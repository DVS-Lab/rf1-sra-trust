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covariates/"/>
    </mc:Choice>
  </mc:AlternateContent>
  <xr:revisionPtr revIDLastSave="0" documentId="13_ncr:1_{02B011A9-DBF6-DB46-AA92-DEA08ABD63FE}" xr6:coauthVersionLast="47" xr6:coauthVersionMax="47" xr10:uidLastSave="{00000000-0000-0000-0000-000000000000}"/>
  <bookViews>
    <workbookView xWindow="0" yWindow="500" windowWidth="38400" windowHeight="16120" xr2:uid="{A4FE8DCF-F3FB-2E42-95E5-40E269DEA11D}"/>
  </bookViews>
  <sheets>
    <sheet name="bippity_poppity_boo" sheetId="4" r:id="rId1"/>
    <sheet name="trust" sheetId="1" r:id="rId2"/>
    <sheet name="rf1_data" sheetId="3" r:id="rId3"/>
    <sheet name="island_data" sheetId="2" r:id="rId4"/>
    <sheet name="TabCA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3" i="4" l="1"/>
  <c r="CL4" i="4"/>
  <c r="CL5" i="4"/>
  <c r="CL6" i="4"/>
  <c r="CL7" i="4"/>
  <c r="CL8" i="4"/>
  <c r="CL9" i="4"/>
  <c r="CL10" i="4"/>
  <c r="CL11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41" i="4"/>
  <c r="CL42" i="4"/>
  <c r="CL43" i="4"/>
  <c r="CL44" i="4"/>
  <c r="CL45" i="4"/>
  <c r="CL46" i="4"/>
  <c r="CL47" i="4"/>
  <c r="CL48" i="4"/>
  <c r="CL49" i="4"/>
  <c r="CL50" i="4"/>
  <c r="CL51" i="4"/>
  <c r="CL52" i="4"/>
  <c r="CL53" i="4"/>
  <c r="CL54" i="4"/>
  <c r="CL55" i="4"/>
  <c r="CL56" i="4"/>
  <c r="CL57" i="4"/>
  <c r="CL58" i="4"/>
  <c r="CL59" i="4"/>
  <c r="CL60" i="4"/>
  <c r="CL61" i="4"/>
  <c r="CL62" i="4"/>
  <c r="CL63" i="4"/>
  <c r="CL64" i="4"/>
  <c r="CL65" i="4"/>
  <c r="CL66" i="4"/>
  <c r="CL67" i="4"/>
  <c r="CL68" i="4"/>
  <c r="CL69" i="4"/>
  <c r="CL70" i="4"/>
  <c r="CL71" i="4"/>
  <c r="CL72" i="4"/>
  <c r="CL73" i="4"/>
  <c r="CL74" i="4"/>
  <c r="CL75" i="4"/>
  <c r="CL76" i="4"/>
  <c r="CL77" i="4"/>
  <c r="CL78" i="4"/>
  <c r="CL79" i="4"/>
  <c r="CL80" i="4"/>
  <c r="CL81" i="4"/>
  <c r="CL82" i="4"/>
  <c r="CL83" i="4"/>
  <c r="CL84" i="4"/>
  <c r="CL85" i="4"/>
  <c r="CL86" i="4"/>
  <c r="CL87" i="4"/>
  <c r="CL88" i="4"/>
  <c r="CL89" i="4"/>
  <c r="CL90" i="4"/>
  <c r="CL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41" i="4"/>
  <c r="CP42" i="4"/>
  <c r="CP43" i="4"/>
  <c r="CP44" i="4"/>
  <c r="CP45" i="4"/>
  <c r="CP46" i="4"/>
  <c r="CP47" i="4"/>
  <c r="CP48" i="4"/>
  <c r="CP49" i="4"/>
  <c r="CP50" i="4"/>
  <c r="CP51" i="4"/>
  <c r="CP52" i="4"/>
  <c r="CP53" i="4"/>
  <c r="CP54" i="4"/>
  <c r="CP55" i="4"/>
  <c r="CP56" i="4"/>
  <c r="CP57" i="4"/>
  <c r="CP58" i="4"/>
  <c r="CP59" i="4"/>
  <c r="CP60" i="4"/>
  <c r="CP61" i="4"/>
  <c r="CP62" i="4"/>
  <c r="CP63" i="4"/>
  <c r="CP64" i="4"/>
  <c r="CP65" i="4"/>
  <c r="CP66" i="4"/>
  <c r="CP67" i="4"/>
  <c r="CP68" i="4"/>
  <c r="CP69" i="4"/>
  <c r="CP70" i="4"/>
  <c r="CP71" i="4"/>
  <c r="CP72" i="4"/>
  <c r="CP73" i="4"/>
  <c r="CP74" i="4"/>
  <c r="CP75" i="4"/>
  <c r="CP76" i="4"/>
  <c r="CP77" i="4"/>
  <c r="CP78" i="4"/>
  <c r="CP79" i="4"/>
  <c r="CP80" i="4"/>
  <c r="CP81" i="4"/>
  <c r="CP82" i="4"/>
  <c r="CP83" i="4"/>
  <c r="CP84" i="4"/>
  <c r="CP85" i="4"/>
  <c r="CP86" i="4"/>
  <c r="CP87" i="4"/>
  <c r="CP88" i="4"/>
  <c r="CP89" i="4"/>
  <c r="CP90" i="4"/>
  <c r="CP2" i="4"/>
  <c r="CP3" i="4"/>
  <c r="CP4" i="4"/>
  <c r="CP5" i="4"/>
  <c r="CP6" i="4"/>
  <c r="CP7" i="4"/>
  <c r="CP8" i="4"/>
  <c r="CP9" i="4"/>
  <c r="CP10" i="4"/>
  <c r="CP11" i="4"/>
  <c r="CP12" i="4"/>
  <c r="ES2" i="4"/>
  <c r="ET2" i="4"/>
  <c r="EU2" i="4"/>
  <c r="EV2" i="4"/>
  <c r="EW2" i="4"/>
  <c r="EX2" i="4"/>
  <c r="EY2" i="4"/>
  <c r="EZ2" i="4"/>
  <c r="FA2" i="4"/>
  <c r="FB2" i="4"/>
  <c r="FC2" i="4"/>
  <c r="FD2" i="4"/>
  <c r="FE2" i="4"/>
  <c r="FF2" i="4"/>
  <c r="FG2" i="4"/>
  <c r="FH2" i="4"/>
  <c r="FI2" i="4"/>
  <c r="FJ2" i="4"/>
  <c r="FK2" i="4"/>
  <c r="FL2" i="4"/>
  <c r="FM2" i="4"/>
  <c r="FN2" i="4"/>
  <c r="FO2" i="4"/>
  <c r="FP2" i="4"/>
  <c r="FQ2" i="4"/>
  <c r="FR2" i="4"/>
  <c r="FS2" i="4"/>
  <c r="FT2" i="4"/>
  <c r="FU2" i="4"/>
  <c r="FV2" i="4"/>
  <c r="FW2" i="4"/>
  <c r="FX2" i="4"/>
  <c r="FY2" i="4"/>
  <c r="FZ2" i="4"/>
  <c r="GA2" i="4"/>
  <c r="GB2" i="4"/>
  <c r="GC2" i="4"/>
  <c r="GD2" i="4"/>
  <c r="GE2" i="4"/>
  <c r="GF2" i="4"/>
  <c r="GG2" i="4"/>
  <c r="GH2" i="4"/>
  <c r="ES3" i="4"/>
  <c r="ET3" i="4"/>
  <c r="EU3" i="4"/>
  <c r="EV3" i="4"/>
  <c r="EW3" i="4"/>
  <c r="EX3" i="4"/>
  <c r="EY3" i="4"/>
  <c r="EZ3" i="4"/>
  <c r="FA3" i="4"/>
  <c r="FB3" i="4"/>
  <c r="FC3" i="4"/>
  <c r="FD3" i="4"/>
  <c r="FE3" i="4"/>
  <c r="FF3" i="4"/>
  <c r="FG3" i="4"/>
  <c r="FH3" i="4"/>
  <c r="FI3" i="4"/>
  <c r="FJ3" i="4"/>
  <c r="FK3" i="4"/>
  <c r="FL3" i="4"/>
  <c r="FM3" i="4"/>
  <c r="FN3" i="4"/>
  <c r="FO3" i="4"/>
  <c r="FP3" i="4"/>
  <c r="FQ3" i="4"/>
  <c r="FR3" i="4"/>
  <c r="FS3" i="4"/>
  <c r="FT3" i="4"/>
  <c r="FU3" i="4"/>
  <c r="FV3" i="4"/>
  <c r="FW3" i="4"/>
  <c r="FX3" i="4"/>
  <c r="FY3" i="4"/>
  <c r="FZ3" i="4"/>
  <c r="GA3" i="4"/>
  <c r="GB3" i="4"/>
  <c r="GC3" i="4"/>
  <c r="GD3" i="4"/>
  <c r="GE3" i="4"/>
  <c r="GF3" i="4"/>
  <c r="GG3" i="4"/>
  <c r="GH3" i="4"/>
  <c r="ES4" i="4"/>
  <c r="ET4" i="4"/>
  <c r="EU4" i="4"/>
  <c r="EV4" i="4"/>
  <c r="EW4" i="4"/>
  <c r="EX4" i="4"/>
  <c r="EY4" i="4"/>
  <c r="EZ4" i="4"/>
  <c r="FA4" i="4"/>
  <c r="FB4" i="4"/>
  <c r="FC4" i="4"/>
  <c r="FD4" i="4"/>
  <c r="FE4" i="4"/>
  <c r="FF4" i="4"/>
  <c r="FG4" i="4"/>
  <c r="FH4" i="4"/>
  <c r="FI4" i="4"/>
  <c r="FJ4" i="4"/>
  <c r="FK4" i="4"/>
  <c r="FL4" i="4"/>
  <c r="FM4" i="4"/>
  <c r="FN4" i="4"/>
  <c r="FO4" i="4"/>
  <c r="FP4" i="4"/>
  <c r="FQ4" i="4"/>
  <c r="FR4" i="4"/>
  <c r="FS4" i="4"/>
  <c r="FT4" i="4"/>
  <c r="FU4" i="4"/>
  <c r="FV4" i="4"/>
  <c r="FW4" i="4"/>
  <c r="FX4" i="4"/>
  <c r="FY4" i="4"/>
  <c r="FZ4" i="4"/>
  <c r="GA4" i="4"/>
  <c r="GB4" i="4"/>
  <c r="GC4" i="4"/>
  <c r="GD4" i="4"/>
  <c r="GE4" i="4"/>
  <c r="GF4" i="4"/>
  <c r="GG4" i="4"/>
  <c r="GH4" i="4"/>
  <c r="ES5" i="4"/>
  <c r="ET5" i="4"/>
  <c r="EU5" i="4"/>
  <c r="EV5" i="4"/>
  <c r="EW5" i="4"/>
  <c r="EX5" i="4"/>
  <c r="EY5" i="4"/>
  <c r="EZ5" i="4"/>
  <c r="FA5" i="4"/>
  <c r="FB5" i="4"/>
  <c r="FC5" i="4"/>
  <c r="FD5" i="4"/>
  <c r="FE5" i="4"/>
  <c r="FF5" i="4"/>
  <c r="FG5" i="4"/>
  <c r="FH5" i="4"/>
  <c r="FI5" i="4"/>
  <c r="FJ5" i="4"/>
  <c r="FK5" i="4"/>
  <c r="FL5" i="4"/>
  <c r="FM5" i="4"/>
  <c r="FN5" i="4"/>
  <c r="FO5" i="4"/>
  <c r="FP5" i="4"/>
  <c r="FQ5" i="4"/>
  <c r="FR5" i="4"/>
  <c r="FS5" i="4"/>
  <c r="FT5" i="4"/>
  <c r="FU5" i="4"/>
  <c r="FV5" i="4"/>
  <c r="FW5" i="4"/>
  <c r="FX5" i="4"/>
  <c r="FY5" i="4"/>
  <c r="FZ5" i="4"/>
  <c r="GA5" i="4"/>
  <c r="GB5" i="4"/>
  <c r="GC5" i="4"/>
  <c r="GD5" i="4"/>
  <c r="GE5" i="4"/>
  <c r="GF5" i="4"/>
  <c r="GG5" i="4"/>
  <c r="GH5" i="4"/>
  <c r="ES6" i="4"/>
  <c r="ET6" i="4"/>
  <c r="EU6" i="4"/>
  <c r="EV6" i="4"/>
  <c r="EW6" i="4"/>
  <c r="EX6" i="4"/>
  <c r="EY6" i="4"/>
  <c r="EZ6" i="4"/>
  <c r="FA6" i="4"/>
  <c r="FB6" i="4"/>
  <c r="FC6" i="4"/>
  <c r="FD6" i="4"/>
  <c r="FE6" i="4"/>
  <c r="FF6" i="4"/>
  <c r="FG6" i="4"/>
  <c r="FH6" i="4"/>
  <c r="FI6" i="4"/>
  <c r="FJ6" i="4"/>
  <c r="FK6" i="4"/>
  <c r="FL6" i="4"/>
  <c r="FM6" i="4"/>
  <c r="FN6" i="4"/>
  <c r="FO6" i="4"/>
  <c r="FP6" i="4"/>
  <c r="FQ6" i="4"/>
  <c r="FR6" i="4"/>
  <c r="FS6" i="4"/>
  <c r="FT6" i="4"/>
  <c r="FU6" i="4"/>
  <c r="FV6" i="4"/>
  <c r="FW6" i="4"/>
  <c r="FX6" i="4"/>
  <c r="FY6" i="4"/>
  <c r="FZ6" i="4"/>
  <c r="GA6" i="4"/>
  <c r="GB6" i="4"/>
  <c r="GC6" i="4"/>
  <c r="GD6" i="4"/>
  <c r="GE6" i="4"/>
  <c r="GF6" i="4"/>
  <c r="GG6" i="4"/>
  <c r="GH6" i="4"/>
  <c r="ES7" i="4"/>
  <c r="ET7" i="4"/>
  <c r="EU7" i="4"/>
  <c r="EV7" i="4"/>
  <c r="EW7" i="4"/>
  <c r="EX7" i="4"/>
  <c r="EY7" i="4"/>
  <c r="EZ7" i="4"/>
  <c r="FA7" i="4"/>
  <c r="FB7" i="4"/>
  <c r="FC7" i="4"/>
  <c r="FD7" i="4"/>
  <c r="FE7" i="4"/>
  <c r="FF7" i="4"/>
  <c r="FG7" i="4"/>
  <c r="FH7" i="4"/>
  <c r="FI7" i="4"/>
  <c r="FJ7" i="4"/>
  <c r="FK7" i="4"/>
  <c r="FL7" i="4"/>
  <c r="FM7" i="4"/>
  <c r="FN7" i="4"/>
  <c r="FO7" i="4"/>
  <c r="FP7" i="4"/>
  <c r="FQ7" i="4"/>
  <c r="FR7" i="4"/>
  <c r="FS7" i="4"/>
  <c r="FT7" i="4"/>
  <c r="FU7" i="4"/>
  <c r="FV7" i="4"/>
  <c r="FW7" i="4"/>
  <c r="FX7" i="4"/>
  <c r="FY7" i="4"/>
  <c r="FZ7" i="4"/>
  <c r="GA7" i="4"/>
  <c r="GB7" i="4"/>
  <c r="GC7" i="4"/>
  <c r="GD7" i="4"/>
  <c r="GE7" i="4"/>
  <c r="GF7" i="4"/>
  <c r="GG7" i="4"/>
  <c r="GH7" i="4"/>
  <c r="ES8" i="4"/>
  <c r="ET8" i="4"/>
  <c r="EU8" i="4"/>
  <c r="EV8" i="4"/>
  <c r="EW8" i="4"/>
  <c r="EX8" i="4"/>
  <c r="EY8" i="4"/>
  <c r="EZ8" i="4"/>
  <c r="FA8" i="4"/>
  <c r="FB8" i="4"/>
  <c r="FC8" i="4"/>
  <c r="FD8" i="4"/>
  <c r="FE8" i="4"/>
  <c r="FF8" i="4"/>
  <c r="FG8" i="4"/>
  <c r="FH8" i="4"/>
  <c r="FI8" i="4"/>
  <c r="FJ8" i="4"/>
  <c r="FK8" i="4"/>
  <c r="FL8" i="4"/>
  <c r="FM8" i="4"/>
  <c r="FN8" i="4"/>
  <c r="FO8" i="4"/>
  <c r="FP8" i="4"/>
  <c r="FQ8" i="4"/>
  <c r="FR8" i="4"/>
  <c r="FS8" i="4"/>
  <c r="FT8" i="4"/>
  <c r="FU8" i="4"/>
  <c r="FV8" i="4"/>
  <c r="FW8" i="4"/>
  <c r="FX8" i="4"/>
  <c r="FY8" i="4"/>
  <c r="FZ8" i="4"/>
  <c r="GA8" i="4"/>
  <c r="GB8" i="4"/>
  <c r="GC8" i="4"/>
  <c r="GD8" i="4"/>
  <c r="GE8" i="4"/>
  <c r="GF8" i="4"/>
  <c r="GG8" i="4"/>
  <c r="GH8" i="4"/>
  <c r="ES9" i="4"/>
  <c r="ET9" i="4"/>
  <c r="EU9" i="4"/>
  <c r="EV9" i="4"/>
  <c r="EW9" i="4"/>
  <c r="EX9" i="4"/>
  <c r="EY9" i="4"/>
  <c r="EZ9" i="4"/>
  <c r="FA9" i="4"/>
  <c r="FB9" i="4"/>
  <c r="FC9" i="4"/>
  <c r="FD9" i="4"/>
  <c r="FE9" i="4"/>
  <c r="FF9" i="4"/>
  <c r="FG9" i="4"/>
  <c r="FH9" i="4"/>
  <c r="FI9" i="4"/>
  <c r="FJ9" i="4"/>
  <c r="FK9" i="4"/>
  <c r="FL9" i="4"/>
  <c r="FM9" i="4"/>
  <c r="FN9" i="4"/>
  <c r="FO9" i="4"/>
  <c r="FP9" i="4"/>
  <c r="FQ9" i="4"/>
  <c r="FR9" i="4"/>
  <c r="FS9" i="4"/>
  <c r="FT9" i="4"/>
  <c r="FU9" i="4"/>
  <c r="FV9" i="4"/>
  <c r="FW9" i="4"/>
  <c r="FX9" i="4"/>
  <c r="FY9" i="4"/>
  <c r="FZ9" i="4"/>
  <c r="GA9" i="4"/>
  <c r="GB9" i="4"/>
  <c r="GC9" i="4"/>
  <c r="GD9" i="4"/>
  <c r="GE9" i="4"/>
  <c r="GF9" i="4"/>
  <c r="GG9" i="4"/>
  <c r="GH9" i="4"/>
  <c r="ES10" i="4"/>
  <c r="ET10" i="4"/>
  <c r="EU10" i="4"/>
  <c r="EV10" i="4"/>
  <c r="EW10" i="4"/>
  <c r="EX10" i="4"/>
  <c r="EY10" i="4"/>
  <c r="EZ10" i="4"/>
  <c r="FA10" i="4"/>
  <c r="FB10" i="4"/>
  <c r="FC10" i="4"/>
  <c r="FD10" i="4"/>
  <c r="FE10" i="4"/>
  <c r="FF10" i="4"/>
  <c r="FG10" i="4"/>
  <c r="FH10" i="4"/>
  <c r="FI10" i="4"/>
  <c r="FJ10" i="4"/>
  <c r="FK10" i="4"/>
  <c r="FL10" i="4"/>
  <c r="FM10" i="4"/>
  <c r="FN10" i="4"/>
  <c r="FO10" i="4"/>
  <c r="FP10" i="4"/>
  <c r="FQ10" i="4"/>
  <c r="FR10" i="4"/>
  <c r="FS10" i="4"/>
  <c r="FT10" i="4"/>
  <c r="FU10" i="4"/>
  <c r="FV10" i="4"/>
  <c r="FW10" i="4"/>
  <c r="FX10" i="4"/>
  <c r="FY10" i="4"/>
  <c r="FZ10" i="4"/>
  <c r="GA10" i="4"/>
  <c r="GB10" i="4"/>
  <c r="GC10" i="4"/>
  <c r="GD10" i="4"/>
  <c r="GE10" i="4"/>
  <c r="GF10" i="4"/>
  <c r="GG10" i="4"/>
  <c r="GH10" i="4"/>
  <c r="ES11" i="4"/>
  <c r="ET11" i="4"/>
  <c r="EU11" i="4"/>
  <c r="EV11" i="4"/>
  <c r="EW11" i="4"/>
  <c r="EX11" i="4"/>
  <c r="EY11" i="4"/>
  <c r="EZ11" i="4"/>
  <c r="FA11" i="4"/>
  <c r="FB11" i="4"/>
  <c r="FC11" i="4"/>
  <c r="FD11" i="4"/>
  <c r="FE11" i="4"/>
  <c r="FF11" i="4"/>
  <c r="FG11" i="4"/>
  <c r="FH11" i="4"/>
  <c r="FI11" i="4"/>
  <c r="FJ11" i="4"/>
  <c r="FK11" i="4"/>
  <c r="FL11" i="4"/>
  <c r="FM11" i="4"/>
  <c r="FN11" i="4"/>
  <c r="FO11" i="4"/>
  <c r="FP11" i="4"/>
  <c r="FQ11" i="4"/>
  <c r="FR11" i="4"/>
  <c r="FS11" i="4"/>
  <c r="FT11" i="4"/>
  <c r="FU11" i="4"/>
  <c r="FV11" i="4"/>
  <c r="FW11" i="4"/>
  <c r="FX11" i="4"/>
  <c r="FY11" i="4"/>
  <c r="FZ11" i="4"/>
  <c r="GA11" i="4"/>
  <c r="GB11" i="4"/>
  <c r="GC11" i="4"/>
  <c r="GD11" i="4"/>
  <c r="GE11" i="4"/>
  <c r="GF11" i="4"/>
  <c r="GG11" i="4"/>
  <c r="GH11" i="4"/>
  <c r="ES12" i="4"/>
  <c r="ET12" i="4"/>
  <c r="EU12" i="4"/>
  <c r="EV12" i="4"/>
  <c r="EW12" i="4"/>
  <c r="EX12" i="4"/>
  <c r="EY12" i="4"/>
  <c r="EZ12" i="4"/>
  <c r="FA12" i="4"/>
  <c r="FB12" i="4"/>
  <c r="FC12" i="4"/>
  <c r="FD12" i="4"/>
  <c r="FE12" i="4"/>
  <c r="FF12" i="4"/>
  <c r="FG12" i="4"/>
  <c r="FH12" i="4"/>
  <c r="FI12" i="4"/>
  <c r="FJ12" i="4"/>
  <c r="FK12" i="4"/>
  <c r="FL12" i="4"/>
  <c r="FM12" i="4"/>
  <c r="FN12" i="4"/>
  <c r="FO12" i="4"/>
  <c r="FP12" i="4"/>
  <c r="FQ12" i="4"/>
  <c r="FR12" i="4"/>
  <c r="FS12" i="4"/>
  <c r="FT12" i="4"/>
  <c r="FU12" i="4"/>
  <c r="FV12" i="4"/>
  <c r="FW12" i="4"/>
  <c r="FX12" i="4"/>
  <c r="FY12" i="4"/>
  <c r="FZ12" i="4"/>
  <c r="GA12" i="4"/>
  <c r="GB12" i="4"/>
  <c r="GC12" i="4"/>
  <c r="GD12" i="4"/>
  <c r="GE12" i="4"/>
  <c r="GF12" i="4"/>
  <c r="GG12" i="4"/>
  <c r="GH12" i="4"/>
  <c r="ES13" i="4"/>
  <c r="ET13" i="4"/>
  <c r="EU13" i="4"/>
  <c r="EV13" i="4"/>
  <c r="EW13" i="4"/>
  <c r="EX13" i="4"/>
  <c r="EY13" i="4"/>
  <c r="EZ13" i="4"/>
  <c r="FA13" i="4"/>
  <c r="FB13" i="4"/>
  <c r="FC13" i="4"/>
  <c r="FD13" i="4"/>
  <c r="FE13" i="4"/>
  <c r="FF13" i="4"/>
  <c r="FG13" i="4"/>
  <c r="FH13" i="4"/>
  <c r="FI13" i="4"/>
  <c r="FJ13" i="4"/>
  <c r="FK13" i="4"/>
  <c r="FL13" i="4"/>
  <c r="FM13" i="4"/>
  <c r="FN13" i="4"/>
  <c r="FO13" i="4"/>
  <c r="FP13" i="4"/>
  <c r="FQ13" i="4"/>
  <c r="FR13" i="4"/>
  <c r="FS13" i="4"/>
  <c r="FT13" i="4"/>
  <c r="FU13" i="4"/>
  <c r="FV13" i="4"/>
  <c r="FW13" i="4"/>
  <c r="FX13" i="4"/>
  <c r="FY13" i="4"/>
  <c r="FZ13" i="4"/>
  <c r="GA13" i="4"/>
  <c r="GB13" i="4"/>
  <c r="GC13" i="4"/>
  <c r="GD13" i="4"/>
  <c r="GE13" i="4"/>
  <c r="GF13" i="4"/>
  <c r="GG13" i="4"/>
  <c r="GH13" i="4"/>
  <c r="ES14" i="4"/>
  <c r="ET14" i="4"/>
  <c r="EU14" i="4"/>
  <c r="EV14" i="4"/>
  <c r="EW14" i="4"/>
  <c r="EX14" i="4"/>
  <c r="EY14" i="4"/>
  <c r="EZ14" i="4"/>
  <c r="FA14" i="4"/>
  <c r="FB14" i="4"/>
  <c r="FC14" i="4"/>
  <c r="FD14" i="4"/>
  <c r="FE14" i="4"/>
  <c r="FF14" i="4"/>
  <c r="FG14" i="4"/>
  <c r="FH14" i="4"/>
  <c r="FI14" i="4"/>
  <c r="FJ14" i="4"/>
  <c r="FK14" i="4"/>
  <c r="FL14" i="4"/>
  <c r="FM14" i="4"/>
  <c r="FN14" i="4"/>
  <c r="FO14" i="4"/>
  <c r="FP14" i="4"/>
  <c r="FQ14" i="4"/>
  <c r="FR14" i="4"/>
  <c r="FS14" i="4"/>
  <c r="FT14" i="4"/>
  <c r="FU14" i="4"/>
  <c r="FV14" i="4"/>
  <c r="FW14" i="4"/>
  <c r="FX14" i="4"/>
  <c r="FY14" i="4"/>
  <c r="FZ14" i="4"/>
  <c r="GA14" i="4"/>
  <c r="GB14" i="4"/>
  <c r="GC14" i="4"/>
  <c r="GD14" i="4"/>
  <c r="GE14" i="4"/>
  <c r="GF14" i="4"/>
  <c r="GG14" i="4"/>
  <c r="GH14" i="4"/>
  <c r="ES15" i="4"/>
  <c r="ET15" i="4"/>
  <c r="EU15" i="4"/>
  <c r="EV15" i="4"/>
  <c r="EW15" i="4"/>
  <c r="EX15" i="4"/>
  <c r="EY15" i="4"/>
  <c r="EZ15" i="4"/>
  <c r="FA15" i="4"/>
  <c r="FB15" i="4"/>
  <c r="FC15" i="4"/>
  <c r="FD15" i="4"/>
  <c r="FE15" i="4"/>
  <c r="FF15" i="4"/>
  <c r="FG15" i="4"/>
  <c r="FH15" i="4"/>
  <c r="FI15" i="4"/>
  <c r="FJ15" i="4"/>
  <c r="FK15" i="4"/>
  <c r="FL15" i="4"/>
  <c r="FM15" i="4"/>
  <c r="FN15" i="4"/>
  <c r="FO15" i="4"/>
  <c r="FP15" i="4"/>
  <c r="FQ15" i="4"/>
  <c r="FR15" i="4"/>
  <c r="FS15" i="4"/>
  <c r="FT15" i="4"/>
  <c r="FU15" i="4"/>
  <c r="FV15" i="4"/>
  <c r="FW15" i="4"/>
  <c r="FX15" i="4"/>
  <c r="FY15" i="4"/>
  <c r="FZ15" i="4"/>
  <c r="GA15" i="4"/>
  <c r="GB15" i="4"/>
  <c r="GC15" i="4"/>
  <c r="GD15" i="4"/>
  <c r="GE15" i="4"/>
  <c r="GF15" i="4"/>
  <c r="GG15" i="4"/>
  <c r="GH15" i="4"/>
  <c r="ES16" i="4"/>
  <c r="ET16" i="4"/>
  <c r="EU16" i="4"/>
  <c r="EV16" i="4"/>
  <c r="EW16" i="4"/>
  <c r="EX16" i="4"/>
  <c r="EY16" i="4"/>
  <c r="EZ16" i="4"/>
  <c r="FA16" i="4"/>
  <c r="FB16" i="4"/>
  <c r="FC16" i="4"/>
  <c r="FD16" i="4"/>
  <c r="FE16" i="4"/>
  <c r="FF16" i="4"/>
  <c r="FG16" i="4"/>
  <c r="FH16" i="4"/>
  <c r="FI16" i="4"/>
  <c r="FJ16" i="4"/>
  <c r="FK16" i="4"/>
  <c r="FL16" i="4"/>
  <c r="FM16" i="4"/>
  <c r="FN16" i="4"/>
  <c r="FO16" i="4"/>
  <c r="FP16" i="4"/>
  <c r="FQ16" i="4"/>
  <c r="FR16" i="4"/>
  <c r="FS16" i="4"/>
  <c r="FT16" i="4"/>
  <c r="FU16" i="4"/>
  <c r="FV16" i="4"/>
  <c r="FW16" i="4"/>
  <c r="FX16" i="4"/>
  <c r="FY16" i="4"/>
  <c r="FZ16" i="4"/>
  <c r="GA16" i="4"/>
  <c r="GB16" i="4"/>
  <c r="GC16" i="4"/>
  <c r="GD16" i="4"/>
  <c r="GE16" i="4"/>
  <c r="GF16" i="4"/>
  <c r="GG16" i="4"/>
  <c r="GH16" i="4"/>
  <c r="ES17" i="4"/>
  <c r="ET17" i="4"/>
  <c r="EU17" i="4"/>
  <c r="EV17" i="4"/>
  <c r="EW17" i="4"/>
  <c r="EX17" i="4"/>
  <c r="EY17" i="4"/>
  <c r="EZ17" i="4"/>
  <c r="FA17" i="4"/>
  <c r="FB17" i="4"/>
  <c r="FC17" i="4"/>
  <c r="FD17" i="4"/>
  <c r="FE17" i="4"/>
  <c r="FF17" i="4"/>
  <c r="FG17" i="4"/>
  <c r="FH17" i="4"/>
  <c r="FI17" i="4"/>
  <c r="FJ17" i="4"/>
  <c r="FK17" i="4"/>
  <c r="FL17" i="4"/>
  <c r="FM17" i="4"/>
  <c r="FN17" i="4"/>
  <c r="FO17" i="4"/>
  <c r="FP17" i="4"/>
  <c r="FQ17" i="4"/>
  <c r="FR17" i="4"/>
  <c r="FS17" i="4"/>
  <c r="FT17" i="4"/>
  <c r="FU17" i="4"/>
  <c r="FV17" i="4"/>
  <c r="FW17" i="4"/>
  <c r="FX17" i="4"/>
  <c r="FY17" i="4"/>
  <c r="FZ17" i="4"/>
  <c r="GA17" i="4"/>
  <c r="GB17" i="4"/>
  <c r="GC17" i="4"/>
  <c r="GD17" i="4"/>
  <c r="GE17" i="4"/>
  <c r="GF17" i="4"/>
  <c r="GG17" i="4"/>
  <c r="GH17" i="4"/>
  <c r="ES18" i="4"/>
  <c r="ET18" i="4"/>
  <c r="EU18" i="4"/>
  <c r="EV18" i="4"/>
  <c r="EW18" i="4"/>
  <c r="EX18" i="4"/>
  <c r="EY18" i="4"/>
  <c r="EZ18" i="4"/>
  <c r="FA18" i="4"/>
  <c r="FB18" i="4"/>
  <c r="FC18" i="4"/>
  <c r="FD18" i="4"/>
  <c r="FE18" i="4"/>
  <c r="FF18" i="4"/>
  <c r="FG18" i="4"/>
  <c r="FH18" i="4"/>
  <c r="FI18" i="4"/>
  <c r="FJ18" i="4"/>
  <c r="FK18" i="4"/>
  <c r="FL18" i="4"/>
  <c r="FM18" i="4"/>
  <c r="FN18" i="4"/>
  <c r="FO18" i="4"/>
  <c r="FP18" i="4"/>
  <c r="FQ18" i="4"/>
  <c r="FR18" i="4"/>
  <c r="FS18" i="4"/>
  <c r="FT18" i="4"/>
  <c r="FU18" i="4"/>
  <c r="FV18" i="4"/>
  <c r="FW18" i="4"/>
  <c r="FX18" i="4"/>
  <c r="FY18" i="4"/>
  <c r="FZ18" i="4"/>
  <c r="GA18" i="4"/>
  <c r="GB18" i="4"/>
  <c r="GC18" i="4"/>
  <c r="GD18" i="4"/>
  <c r="GE18" i="4"/>
  <c r="GF18" i="4"/>
  <c r="GG18" i="4"/>
  <c r="GH18" i="4"/>
  <c r="ES19" i="4"/>
  <c r="ET19" i="4"/>
  <c r="EU19" i="4"/>
  <c r="EV19" i="4"/>
  <c r="EW19" i="4"/>
  <c r="EX19" i="4"/>
  <c r="EY19" i="4"/>
  <c r="EZ19" i="4"/>
  <c r="FA19" i="4"/>
  <c r="FB19" i="4"/>
  <c r="FC19" i="4"/>
  <c r="FD19" i="4"/>
  <c r="FE19" i="4"/>
  <c r="FF19" i="4"/>
  <c r="FG19" i="4"/>
  <c r="FH19" i="4"/>
  <c r="FI19" i="4"/>
  <c r="FJ19" i="4"/>
  <c r="FK19" i="4"/>
  <c r="FL19" i="4"/>
  <c r="FM19" i="4"/>
  <c r="FN19" i="4"/>
  <c r="FO19" i="4"/>
  <c r="FP19" i="4"/>
  <c r="FQ19" i="4"/>
  <c r="FR19" i="4"/>
  <c r="FS19" i="4"/>
  <c r="FT19" i="4"/>
  <c r="FU19" i="4"/>
  <c r="FV19" i="4"/>
  <c r="FW19" i="4"/>
  <c r="FX19" i="4"/>
  <c r="FY19" i="4"/>
  <c r="FZ19" i="4"/>
  <c r="GA19" i="4"/>
  <c r="GB19" i="4"/>
  <c r="GC19" i="4"/>
  <c r="GD19" i="4"/>
  <c r="GE19" i="4"/>
  <c r="GF19" i="4"/>
  <c r="GG19" i="4"/>
  <c r="GH19" i="4"/>
  <c r="ES20" i="4"/>
  <c r="ET20" i="4"/>
  <c r="EU20" i="4"/>
  <c r="EV20" i="4"/>
  <c r="EW20" i="4"/>
  <c r="EX20" i="4"/>
  <c r="EY20" i="4"/>
  <c r="EZ20" i="4"/>
  <c r="FA20" i="4"/>
  <c r="FB20" i="4"/>
  <c r="FC20" i="4"/>
  <c r="FD20" i="4"/>
  <c r="FE20" i="4"/>
  <c r="FF20" i="4"/>
  <c r="FG20" i="4"/>
  <c r="FH20" i="4"/>
  <c r="FI20" i="4"/>
  <c r="FJ20" i="4"/>
  <c r="FK20" i="4"/>
  <c r="FL20" i="4"/>
  <c r="FM20" i="4"/>
  <c r="FN20" i="4"/>
  <c r="FO20" i="4"/>
  <c r="FP20" i="4"/>
  <c r="FQ20" i="4"/>
  <c r="FR20" i="4"/>
  <c r="FS20" i="4"/>
  <c r="FT20" i="4"/>
  <c r="FU20" i="4"/>
  <c r="FV20" i="4"/>
  <c r="FW20" i="4"/>
  <c r="FX20" i="4"/>
  <c r="FY20" i="4"/>
  <c r="FZ20" i="4"/>
  <c r="GA20" i="4"/>
  <c r="GB20" i="4"/>
  <c r="GC20" i="4"/>
  <c r="GD20" i="4"/>
  <c r="GE20" i="4"/>
  <c r="GF20" i="4"/>
  <c r="GG20" i="4"/>
  <c r="GH20" i="4"/>
  <c r="ES21" i="4"/>
  <c r="ET21" i="4"/>
  <c r="EU21" i="4"/>
  <c r="EV21" i="4"/>
  <c r="EW21" i="4"/>
  <c r="EX21" i="4"/>
  <c r="EY21" i="4"/>
  <c r="EZ21" i="4"/>
  <c r="FA21" i="4"/>
  <c r="FB21" i="4"/>
  <c r="FC21" i="4"/>
  <c r="FD21" i="4"/>
  <c r="FE21" i="4"/>
  <c r="FF21" i="4"/>
  <c r="FG21" i="4"/>
  <c r="FH21" i="4"/>
  <c r="FI21" i="4"/>
  <c r="FJ21" i="4"/>
  <c r="FK21" i="4"/>
  <c r="FL21" i="4"/>
  <c r="FM21" i="4"/>
  <c r="FN21" i="4"/>
  <c r="FO21" i="4"/>
  <c r="FP21" i="4"/>
  <c r="FQ21" i="4"/>
  <c r="FR21" i="4"/>
  <c r="FS21" i="4"/>
  <c r="FT21" i="4"/>
  <c r="FU21" i="4"/>
  <c r="FV21" i="4"/>
  <c r="FW21" i="4"/>
  <c r="FX21" i="4"/>
  <c r="FY21" i="4"/>
  <c r="FZ21" i="4"/>
  <c r="GA21" i="4"/>
  <c r="GB21" i="4"/>
  <c r="GC21" i="4"/>
  <c r="GD21" i="4"/>
  <c r="GE21" i="4"/>
  <c r="GF21" i="4"/>
  <c r="GG21" i="4"/>
  <c r="GH21" i="4"/>
  <c r="ES22" i="4"/>
  <c r="ET22" i="4"/>
  <c r="EU22" i="4"/>
  <c r="EV22" i="4"/>
  <c r="EW22" i="4"/>
  <c r="EX22" i="4"/>
  <c r="EY22" i="4"/>
  <c r="EZ22" i="4"/>
  <c r="FA22" i="4"/>
  <c r="FB22" i="4"/>
  <c r="FC22" i="4"/>
  <c r="FD22" i="4"/>
  <c r="FE22" i="4"/>
  <c r="FF22" i="4"/>
  <c r="FG22" i="4"/>
  <c r="FH22" i="4"/>
  <c r="FI22" i="4"/>
  <c r="FJ22" i="4"/>
  <c r="FK22" i="4"/>
  <c r="FL22" i="4"/>
  <c r="FM22" i="4"/>
  <c r="FN22" i="4"/>
  <c r="FO22" i="4"/>
  <c r="FP22" i="4"/>
  <c r="FQ22" i="4"/>
  <c r="FR22" i="4"/>
  <c r="FS22" i="4"/>
  <c r="FT22" i="4"/>
  <c r="FU22" i="4"/>
  <c r="FV22" i="4"/>
  <c r="FW22" i="4"/>
  <c r="FX22" i="4"/>
  <c r="FY22" i="4"/>
  <c r="FZ22" i="4"/>
  <c r="GA22" i="4"/>
  <c r="GB22" i="4"/>
  <c r="GC22" i="4"/>
  <c r="GD22" i="4"/>
  <c r="GE22" i="4"/>
  <c r="GF22" i="4"/>
  <c r="GG22" i="4"/>
  <c r="GH22" i="4"/>
  <c r="ES23" i="4"/>
  <c r="ET23" i="4"/>
  <c r="EU23" i="4"/>
  <c r="EV23" i="4"/>
  <c r="EW23" i="4"/>
  <c r="EX23" i="4"/>
  <c r="EY23" i="4"/>
  <c r="EZ23" i="4"/>
  <c r="FA23" i="4"/>
  <c r="FB23" i="4"/>
  <c r="FC23" i="4"/>
  <c r="FD23" i="4"/>
  <c r="FE23" i="4"/>
  <c r="FF23" i="4"/>
  <c r="FG23" i="4"/>
  <c r="FH23" i="4"/>
  <c r="FI23" i="4"/>
  <c r="FJ23" i="4"/>
  <c r="FK23" i="4"/>
  <c r="FL23" i="4"/>
  <c r="FM23" i="4"/>
  <c r="FN23" i="4"/>
  <c r="FO23" i="4"/>
  <c r="FP23" i="4"/>
  <c r="FQ23" i="4"/>
  <c r="FR23" i="4"/>
  <c r="FS23" i="4"/>
  <c r="FT23" i="4"/>
  <c r="FU23" i="4"/>
  <c r="FV23" i="4"/>
  <c r="FW23" i="4"/>
  <c r="FX23" i="4"/>
  <c r="FY23" i="4"/>
  <c r="FZ23" i="4"/>
  <c r="GA23" i="4"/>
  <c r="GB23" i="4"/>
  <c r="GC23" i="4"/>
  <c r="GD23" i="4"/>
  <c r="GE23" i="4"/>
  <c r="GF23" i="4"/>
  <c r="GG23" i="4"/>
  <c r="GH23" i="4"/>
  <c r="ES24" i="4"/>
  <c r="ET24" i="4"/>
  <c r="EU24" i="4"/>
  <c r="EV24" i="4"/>
  <c r="EW24" i="4"/>
  <c r="EX24" i="4"/>
  <c r="EY24" i="4"/>
  <c r="EZ24" i="4"/>
  <c r="FA24" i="4"/>
  <c r="FB24" i="4"/>
  <c r="FC24" i="4"/>
  <c r="FD24" i="4"/>
  <c r="FE24" i="4"/>
  <c r="FF24" i="4"/>
  <c r="FG24" i="4"/>
  <c r="FH24" i="4"/>
  <c r="FI24" i="4"/>
  <c r="FJ24" i="4"/>
  <c r="FK24" i="4"/>
  <c r="FL24" i="4"/>
  <c r="FM24" i="4"/>
  <c r="FN24" i="4"/>
  <c r="FO24" i="4"/>
  <c r="FP24" i="4"/>
  <c r="FQ24" i="4"/>
  <c r="FR24" i="4"/>
  <c r="FS24" i="4"/>
  <c r="FT24" i="4"/>
  <c r="FU24" i="4"/>
  <c r="FV24" i="4"/>
  <c r="FW24" i="4"/>
  <c r="FX24" i="4"/>
  <c r="FY24" i="4"/>
  <c r="FZ24" i="4"/>
  <c r="GA24" i="4"/>
  <c r="GB24" i="4"/>
  <c r="GC24" i="4"/>
  <c r="GD24" i="4"/>
  <c r="GE24" i="4"/>
  <c r="GF24" i="4"/>
  <c r="GG24" i="4"/>
  <c r="GH24" i="4"/>
  <c r="ES25" i="4"/>
  <c r="ET25" i="4"/>
  <c r="EU25" i="4"/>
  <c r="EV25" i="4"/>
  <c r="EW25" i="4"/>
  <c r="EX25" i="4"/>
  <c r="EY25" i="4"/>
  <c r="EZ25" i="4"/>
  <c r="FA25" i="4"/>
  <c r="FB25" i="4"/>
  <c r="FC25" i="4"/>
  <c r="FD25" i="4"/>
  <c r="FE25" i="4"/>
  <c r="FF25" i="4"/>
  <c r="FG25" i="4"/>
  <c r="FH25" i="4"/>
  <c r="FI25" i="4"/>
  <c r="FJ25" i="4"/>
  <c r="FK25" i="4"/>
  <c r="FL25" i="4"/>
  <c r="FM25" i="4"/>
  <c r="FN25" i="4"/>
  <c r="FO25" i="4"/>
  <c r="FP25" i="4"/>
  <c r="FQ25" i="4"/>
  <c r="FR25" i="4"/>
  <c r="FS25" i="4"/>
  <c r="FT25" i="4"/>
  <c r="FU25" i="4"/>
  <c r="FV25" i="4"/>
  <c r="FW25" i="4"/>
  <c r="FX25" i="4"/>
  <c r="FY25" i="4"/>
  <c r="FZ25" i="4"/>
  <c r="GA25" i="4"/>
  <c r="GB25" i="4"/>
  <c r="GC25" i="4"/>
  <c r="GD25" i="4"/>
  <c r="GE25" i="4"/>
  <c r="GF25" i="4"/>
  <c r="GG25" i="4"/>
  <c r="GH25" i="4"/>
  <c r="ES26" i="4"/>
  <c r="ET26" i="4"/>
  <c r="EU26" i="4"/>
  <c r="EV26" i="4"/>
  <c r="EW26" i="4"/>
  <c r="EX26" i="4"/>
  <c r="EY26" i="4"/>
  <c r="EZ26" i="4"/>
  <c r="FA26" i="4"/>
  <c r="FB26" i="4"/>
  <c r="FC26" i="4"/>
  <c r="FD26" i="4"/>
  <c r="FE26" i="4"/>
  <c r="FF26" i="4"/>
  <c r="FG26" i="4"/>
  <c r="FH26" i="4"/>
  <c r="FI26" i="4"/>
  <c r="FJ26" i="4"/>
  <c r="FK26" i="4"/>
  <c r="FL26" i="4"/>
  <c r="FM26" i="4"/>
  <c r="FN26" i="4"/>
  <c r="FO26" i="4"/>
  <c r="FP26" i="4"/>
  <c r="FQ26" i="4"/>
  <c r="FR26" i="4"/>
  <c r="FS26" i="4"/>
  <c r="FT26" i="4"/>
  <c r="FU26" i="4"/>
  <c r="FV26" i="4"/>
  <c r="FW26" i="4"/>
  <c r="FX26" i="4"/>
  <c r="FY26" i="4"/>
  <c r="FZ26" i="4"/>
  <c r="GA26" i="4"/>
  <c r="GB26" i="4"/>
  <c r="GC26" i="4"/>
  <c r="GD26" i="4"/>
  <c r="GE26" i="4"/>
  <c r="GF26" i="4"/>
  <c r="GG26" i="4"/>
  <c r="GH26" i="4"/>
  <c r="ES27" i="4"/>
  <c r="ET27" i="4"/>
  <c r="EU27" i="4"/>
  <c r="EV27" i="4"/>
  <c r="EW27" i="4"/>
  <c r="EX27" i="4"/>
  <c r="EY27" i="4"/>
  <c r="EZ27" i="4"/>
  <c r="FA27" i="4"/>
  <c r="FB27" i="4"/>
  <c r="FC27" i="4"/>
  <c r="FD27" i="4"/>
  <c r="FE27" i="4"/>
  <c r="FF27" i="4"/>
  <c r="FG27" i="4"/>
  <c r="FH27" i="4"/>
  <c r="FI27" i="4"/>
  <c r="FJ27" i="4"/>
  <c r="FK27" i="4"/>
  <c r="FL27" i="4"/>
  <c r="FM27" i="4"/>
  <c r="FN27" i="4"/>
  <c r="FO27" i="4"/>
  <c r="FP27" i="4"/>
  <c r="FQ27" i="4"/>
  <c r="FR27" i="4"/>
  <c r="FS27" i="4"/>
  <c r="FT27" i="4"/>
  <c r="FU27" i="4"/>
  <c r="FV27" i="4"/>
  <c r="FW27" i="4"/>
  <c r="FX27" i="4"/>
  <c r="FY27" i="4"/>
  <c r="FZ27" i="4"/>
  <c r="GA27" i="4"/>
  <c r="GB27" i="4"/>
  <c r="GC27" i="4"/>
  <c r="GD27" i="4"/>
  <c r="GE27" i="4"/>
  <c r="GF27" i="4"/>
  <c r="GG27" i="4"/>
  <c r="GH27" i="4"/>
  <c r="ES28" i="4"/>
  <c r="ET28" i="4"/>
  <c r="EU28" i="4"/>
  <c r="EV28" i="4"/>
  <c r="EW28" i="4"/>
  <c r="EX28" i="4"/>
  <c r="EY28" i="4"/>
  <c r="EZ28" i="4"/>
  <c r="FA28" i="4"/>
  <c r="FB28" i="4"/>
  <c r="FC28" i="4"/>
  <c r="FD28" i="4"/>
  <c r="FE28" i="4"/>
  <c r="FF28" i="4"/>
  <c r="FG28" i="4"/>
  <c r="FH28" i="4"/>
  <c r="FI28" i="4"/>
  <c r="FJ28" i="4"/>
  <c r="FK28" i="4"/>
  <c r="FL28" i="4"/>
  <c r="FM28" i="4"/>
  <c r="FN28" i="4"/>
  <c r="FO28" i="4"/>
  <c r="FP28" i="4"/>
  <c r="FQ28" i="4"/>
  <c r="FR28" i="4"/>
  <c r="FS28" i="4"/>
  <c r="FT28" i="4"/>
  <c r="FU28" i="4"/>
  <c r="FV28" i="4"/>
  <c r="FW28" i="4"/>
  <c r="FX28" i="4"/>
  <c r="FY28" i="4"/>
  <c r="FZ28" i="4"/>
  <c r="GA28" i="4"/>
  <c r="GB28" i="4"/>
  <c r="GC28" i="4"/>
  <c r="GD28" i="4"/>
  <c r="GE28" i="4"/>
  <c r="GF28" i="4"/>
  <c r="GG28" i="4"/>
  <c r="GH28" i="4"/>
  <c r="ES29" i="4"/>
  <c r="ET29" i="4"/>
  <c r="EU29" i="4"/>
  <c r="EV29" i="4"/>
  <c r="EW29" i="4"/>
  <c r="EX29" i="4"/>
  <c r="EY29" i="4"/>
  <c r="EZ29" i="4"/>
  <c r="FA29" i="4"/>
  <c r="FB29" i="4"/>
  <c r="FC29" i="4"/>
  <c r="FD29" i="4"/>
  <c r="FE29" i="4"/>
  <c r="FF29" i="4"/>
  <c r="FG29" i="4"/>
  <c r="FH29" i="4"/>
  <c r="FI29" i="4"/>
  <c r="FJ29" i="4"/>
  <c r="FK29" i="4"/>
  <c r="FL29" i="4"/>
  <c r="FM29" i="4"/>
  <c r="FN29" i="4"/>
  <c r="FO29" i="4"/>
  <c r="FP29" i="4"/>
  <c r="FQ29" i="4"/>
  <c r="FR29" i="4"/>
  <c r="FS29" i="4"/>
  <c r="FT29" i="4"/>
  <c r="FU29" i="4"/>
  <c r="FV29" i="4"/>
  <c r="FW29" i="4"/>
  <c r="FX29" i="4"/>
  <c r="FY29" i="4"/>
  <c r="FZ29" i="4"/>
  <c r="GA29" i="4"/>
  <c r="GB29" i="4"/>
  <c r="GC29" i="4"/>
  <c r="GD29" i="4"/>
  <c r="GE29" i="4"/>
  <c r="GF29" i="4"/>
  <c r="GG29" i="4"/>
  <c r="GH29" i="4"/>
  <c r="ES30" i="4"/>
  <c r="ET30" i="4"/>
  <c r="EU30" i="4"/>
  <c r="EV30" i="4"/>
  <c r="EW30" i="4"/>
  <c r="EX30" i="4"/>
  <c r="EY30" i="4"/>
  <c r="EZ30" i="4"/>
  <c r="FA30" i="4"/>
  <c r="FB30" i="4"/>
  <c r="FC30" i="4"/>
  <c r="FD30" i="4"/>
  <c r="FE30" i="4"/>
  <c r="FF30" i="4"/>
  <c r="FG30" i="4"/>
  <c r="FH30" i="4"/>
  <c r="FI30" i="4"/>
  <c r="FJ30" i="4"/>
  <c r="FK30" i="4"/>
  <c r="FL30" i="4"/>
  <c r="FM30" i="4"/>
  <c r="FN30" i="4"/>
  <c r="FO30" i="4"/>
  <c r="FP30" i="4"/>
  <c r="FQ30" i="4"/>
  <c r="FR30" i="4"/>
  <c r="FS30" i="4"/>
  <c r="FT30" i="4"/>
  <c r="FU30" i="4"/>
  <c r="FV30" i="4"/>
  <c r="FW30" i="4"/>
  <c r="FX30" i="4"/>
  <c r="FY30" i="4"/>
  <c r="FZ30" i="4"/>
  <c r="GA30" i="4"/>
  <c r="GB30" i="4"/>
  <c r="GC30" i="4"/>
  <c r="GD30" i="4"/>
  <c r="GE30" i="4"/>
  <c r="GF30" i="4"/>
  <c r="GG30" i="4"/>
  <c r="GH30" i="4"/>
  <c r="ES31" i="4"/>
  <c r="ET31" i="4"/>
  <c r="EU31" i="4"/>
  <c r="EV31" i="4"/>
  <c r="EW31" i="4"/>
  <c r="EX31" i="4"/>
  <c r="EY31" i="4"/>
  <c r="EZ31" i="4"/>
  <c r="FA31" i="4"/>
  <c r="FB31" i="4"/>
  <c r="FC31" i="4"/>
  <c r="FD31" i="4"/>
  <c r="FE31" i="4"/>
  <c r="FF31" i="4"/>
  <c r="FG31" i="4"/>
  <c r="FH31" i="4"/>
  <c r="FI31" i="4"/>
  <c r="FJ31" i="4"/>
  <c r="FK31" i="4"/>
  <c r="FL31" i="4"/>
  <c r="FM31" i="4"/>
  <c r="FN31" i="4"/>
  <c r="FO31" i="4"/>
  <c r="FP31" i="4"/>
  <c r="FQ31" i="4"/>
  <c r="FR31" i="4"/>
  <c r="FS31" i="4"/>
  <c r="FT31" i="4"/>
  <c r="FU31" i="4"/>
  <c r="FV31" i="4"/>
  <c r="FW31" i="4"/>
  <c r="FX31" i="4"/>
  <c r="FY31" i="4"/>
  <c r="FZ31" i="4"/>
  <c r="GA31" i="4"/>
  <c r="GB31" i="4"/>
  <c r="GC31" i="4"/>
  <c r="GD31" i="4"/>
  <c r="GE31" i="4"/>
  <c r="GF31" i="4"/>
  <c r="GG31" i="4"/>
  <c r="GH31" i="4"/>
  <c r="ES32" i="4"/>
  <c r="ET32" i="4"/>
  <c r="EU32" i="4"/>
  <c r="EV32" i="4"/>
  <c r="EW32" i="4"/>
  <c r="EX32" i="4"/>
  <c r="EY32" i="4"/>
  <c r="EZ32" i="4"/>
  <c r="FA32" i="4"/>
  <c r="FB32" i="4"/>
  <c r="FC32" i="4"/>
  <c r="FD32" i="4"/>
  <c r="FE32" i="4"/>
  <c r="FF32" i="4"/>
  <c r="FG32" i="4"/>
  <c r="FH32" i="4"/>
  <c r="FI32" i="4"/>
  <c r="FJ32" i="4"/>
  <c r="FK32" i="4"/>
  <c r="FL32" i="4"/>
  <c r="FM32" i="4"/>
  <c r="FN32" i="4"/>
  <c r="FO32" i="4"/>
  <c r="FP32" i="4"/>
  <c r="FQ32" i="4"/>
  <c r="FR32" i="4"/>
  <c r="FS32" i="4"/>
  <c r="FT32" i="4"/>
  <c r="FU32" i="4"/>
  <c r="FV32" i="4"/>
  <c r="FW32" i="4"/>
  <c r="FX32" i="4"/>
  <c r="FY32" i="4"/>
  <c r="FZ32" i="4"/>
  <c r="GA32" i="4"/>
  <c r="GB32" i="4"/>
  <c r="GC32" i="4"/>
  <c r="GD32" i="4"/>
  <c r="GE32" i="4"/>
  <c r="GF32" i="4"/>
  <c r="GG32" i="4"/>
  <c r="GH32" i="4"/>
  <c r="ES33" i="4"/>
  <c r="ET33" i="4"/>
  <c r="EU33" i="4"/>
  <c r="EV33" i="4"/>
  <c r="EW33" i="4"/>
  <c r="EX33" i="4"/>
  <c r="EY33" i="4"/>
  <c r="EZ33" i="4"/>
  <c r="FA33" i="4"/>
  <c r="FB33" i="4"/>
  <c r="FC33" i="4"/>
  <c r="FD33" i="4"/>
  <c r="FE33" i="4"/>
  <c r="FF33" i="4"/>
  <c r="FG33" i="4"/>
  <c r="FH33" i="4"/>
  <c r="FI33" i="4"/>
  <c r="FJ33" i="4"/>
  <c r="FK33" i="4"/>
  <c r="FL33" i="4"/>
  <c r="FM33" i="4"/>
  <c r="FN33" i="4"/>
  <c r="FO33" i="4"/>
  <c r="FP33" i="4"/>
  <c r="FQ33" i="4"/>
  <c r="FR33" i="4"/>
  <c r="FS33" i="4"/>
  <c r="FT33" i="4"/>
  <c r="FU33" i="4"/>
  <c r="FV33" i="4"/>
  <c r="FW33" i="4"/>
  <c r="FX33" i="4"/>
  <c r="FY33" i="4"/>
  <c r="FZ33" i="4"/>
  <c r="GA33" i="4"/>
  <c r="GB33" i="4"/>
  <c r="GC33" i="4"/>
  <c r="GD33" i="4"/>
  <c r="GE33" i="4"/>
  <c r="GF33" i="4"/>
  <c r="GG33" i="4"/>
  <c r="GH33" i="4"/>
  <c r="ES34" i="4"/>
  <c r="ET34" i="4"/>
  <c r="EU34" i="4"/>
  <c r="EV34" i="4"/>
  <c r="EW34" i="4"/>
  <c r="EX34" i="4"/>
  <c r="EY34" i="4"/>
  <c r="EZ34" i="4"/>
  <c r="FA34" i="4"/>
  <c r="FB34" i="4"/>
  <c r="FC34" i="4"/>
  <c r="FD34" i="4"/>
  <c r="FE34" i="4"/>
  <c r="FF34" i="4"/>
  <c r="FG34" i="4"/>
  <c r="FH34" i="4"/>
  <c r="FI34" i="4"/>
  <c r="FJ34" i="4"/>
  <c r="FK34" i="4"/>
  <c r="FL34" i="4"/>
  <c r="FM34" i="4"/>
  <c r="FN34" i="4"/>
  <c r="FO34" i="4"/>
  <c r="FP34" i="4"/>
  <c r="FQ34" i="4"/>
  <c r="FR34" i="4"/>
  <c r="FS34" i="4"/>
  <c r="FT34" i="4"/>
  <c r="FU34" i="4"/>
  <c r="FV34" i="4"/>
  <c r="FW34" i="4"/>
  <c r="FX34" i="4"/>
  <c r="FY34" i="4"/>
  <c r="FZ34" i="4"/>
  <c r="GA34" i="4"/>
  <c r="GB34" i="4"/>
  <c r="GC34" i="4"/>
  <c r="GD34" i="4"/>
  <c r="GE34" i="4"/>
  <c r="GF34" i="4"/>
  <c r="GG34" i="4"/>
  <c r="GH34" i="4"/>
  <c r="ES35" i="4"/>
  <c r="ET35" i="4"/>
  <c r="EU35" i="4"/>
  <c r="EV35" i="4"/>
  <c r="EW35" i="4"/>
  <c r="EX35" i="4"/>
  <c r="EY35" i="4"/>
  <c r="EZ35" i="4"/>
  <c r="FA35" i="4"/>
  <c r="FB35" i="4"/>
  <c r="FC35" i="4"/>
  <c r="FD35" i="4"/>
  <c r="FE35" i="4"/>
  <c r="FF35" i="4"/>
  <c r="FG35" i="4"/>
  <c r="FH35" i="4"/>
  <c r="FI35" i="4"/>
  <c r="FJ35" i="4"/>
  <c r="FK35" i="4"/>
  <c r="FL35" i="4"/>
  <c r="FM35" i="4"/>
  <c r="FN35" i="4"/>
  <c r="FO35" i="4"/>
  <c r="FP35" i="4"/>
  <c r="FQ35" i="4"/>
  <c r="FR35" i="4"/>
  <c r="FS35" i="4"/>
  <c r="FT35" i="4"/>
  <c r="FU35" i="4"/>
  <c r="FV35" i="4"/>
  <c r="FW35" i="4"/>
  <c r="FX35" i="4"/>
  <c r="FY35" i="4"/>
  <c r="FZ35" i="4"/>
  <c r="GA35" i="4"/>
  <c r="GB35" i="4"/>
  <c r="GC35" i="4"/>
  <c r="GD35" i="4"/>
  <c r="GE35" i="4"/>
  <c r="GF35" i="4"/>
  <c r="GG35" i="4"/>
  <c r="GH35" i="4"/>
  <c r="ES36" i="4"/>
  <c r="ET36" i="4"/>
  <c r="EU36" i="4"/>
  <c r="EV36" i="4"/>
  <c r="EW36" i="4"/>
  <c r="EX36" i="4"/>
  <c r="EY36" i="4"/>
  <c r="EZ36" i="4"/>
  <c r="FA36" i="4"/>
  <c r="FB36" i="4"/>
  <c r="FC36" i="4"/>
  <c r="FD36" i="4"/>
  <c r="FE36" i="4"/>
  <c r="FF36" i="4"/>
  <c r="FG36" i="4"/>
  <c r="FH36" i="4"/>
  <c r="FI36" i="4"/>
  <c r="FJ36" i="4"/>
  <c r="FK36" i="4"/>
  <c r="FL36" i="4"/>
  <c r="FM36" i="4"/>
  <c r="FN36" i="4"/>
  <c r="FO36" i="4"/>
  <c r="FP36" i="4"/>
  <c r="FQ36" i="4"/>
  <c r="FR36" i="4"/>
  <c r="FS36" i="4"/>
  <c r="FT36" i="4"/>
  <c r="FU36" i="4"/>
  <c r="FV36" i="4"/>
  <c r="FW36" i="4"/>
  <c r="FX36" i="4"/>
  <c r="FY36" i="4"/>
  <c r="FZ36" i="4"/>
  <c r="GA36" i="4"/>
  <c r="GB36" i="4"/>
  <c r="GC36" i="4"/>
  <c r="GD36" i="4"/>
  <c r="GE36" i="4"/>
  <c r="GF36" i="4"/>
  <c r="GG36" i="4"/>
  <c r="GH36" i="4"/>
  <c r="ES37" i="4"/>
  <c r="ET37" i="4"/>
  <c r="EU37" i="4"/>
  <c r="EV37" i="4"/>
  <c r="EW37" i="4"/>
  <c r="EX37" i="4"/>
  <c r="EY37" i="4"/>
  <c r="EZ37" i="4"/>
  <c r="FA37" i="4"/>
  <c r="FB37" i="4"/>
  <c r="FC37" i="4"/>
  <c r="FD37" i="4"/>
  <c r="FE37" i="4"/>
  <c r="FF37" i="4"/>
  <c r="FG37" i="4"/>
  <c r="FH37" i="4"/>
  <c r="FI37" i="4"/>
  <c r="FJ37" i="4"/>
  <c r="FK37" i="4"/>
  <c r="FL37" i="4"/>
  <c r="FM37" i="4"/>
  <c r="FN37" i="4"/>
  <c r="FO37" i="4"/>
  <c r="FP37" i="4"/>
  <c r="FQ37" i="4"/>
  <c r="FR37" i="4"/>
  <c r="FS37" i="4"/>
  <c r="FT37" i="4"/>
  <c r="FU37" i="4"/>
  <c r="FV37" i="4"/>
  <c r="FW37" i="4"/>
  <c r="FX37" i="4"/>
  <c r="FY37" i="4"/>
  <c r="FZ37" i="4"/>
  <c r="GA37" i="4"/>
  <c r="GB37" i="4"/>
  <c r="GC37" i="4"/>
  <c r="GD37" i="4"/>
  <c r="GE37" i="4"/>
  <c r="GF37" i="4"/>
  <c r="GG37" i="4"/>
  <c r="GH37" i="4"/>
  <c r="ES38" i="4"/>
  <c r="ET38" i="4"/>
  <c r="EU38" i="4"/>
  <c r="EV38" i="4"/>
  <c r="EW38" i="4"/>
  <c r="EX38" i="4"/>
  <c r="EY38" i="4"/>
  <c r="EZ38" i="4"/>
  <c r="FA38" i="4"/>
  <c r="FB38" i="4"/>
  <c r="FC38" i="4"/>
  <c r="FD38" i="4"/>
  <c r="FE38" i="4"/>
  <c r="FF38" i="4"/>
  <c r="FG38" i="4"/>
  <c r="FH38" i="4"/>
  <c r="FI38" i="4"/>
  <c r="FJ38" i="4"/>
  <c r="FK38" i="4"/>
  <c r="FL38" i="4"/>
  <c r="FM38" i="4"/>
  <c r="FN38" i="4"/>
  <c r="FO38" i="4"/>
  <c r="FP38" i="4"/>
  <c r="FQ38" i="4"/>
  <c r="FR38" i="4"/>
  <c r="FS38" i="4"/>
  <c r="FT38" i="4"/>
  <c r="FU38" i="4"/>
  <c r="FV38" i="4"/>
  <c r="FW38" i="4"/>
  <c r="FX38" i="4"/>
  <c r="FY38" i="4"/>
  <c r="FZ38" i="4"/>
  <c r="GA38" i="4"/>
  <c r="GB38" i="4"/>
  <c r="GC38" i="4"/>
  <c r="GD38" i="4"/>
  <c r="GE38" i="4"/>
  <c r="GF38" i="4"/>
  <c r="GG38" i="4"/>
  <c r="GH38" i="4"/>
  <c r="ES39" i="4"/>
  <c r="ET39" i="4"/>
  <c r="EU39" i="4"/>
  <c r="EV39" i="4"/>
  <c r="EW39" i="4"/>
  <c r="EX39" i="4"/>
  <c r="EY39" i="4"/>
  <c r="EZ39" i="4"/>
  <c r="FA39" i="4"/>
  <c r="FB39" i="4"/>
  <c r="FC39" i="4"/>
  <c r="FD39" i="4"/>
  <c r="FE39" i="4"/>
  <c r="FF39" i="4"/>
  <c r="FG39" i="4"/>
  <c r="FH39" i="4"/>
  <c r="FI39" i="4"/>
  <c r="FJ39" i="4"/>
  <c r="FK39" i="4"/>
  <c r="FL39" i="4"/>
  <c r="FM39" i="4"/>
  <c r="FN39" i="4"/>
  <c r="FO39" i="4"/>
  <c r="FP39" i="4"/>
  <c r="FQ39" i="4"/>
  <c r="FR39" i="4"/>
  <c r="FS39" i="4"/>
  <c r="FT39" i="4"/>
  <c r="FU39" i="4"/>
  <c r="FV39" i="4"/>
  <c r="FW39" i="4"/>
  <c r="FX39" i="4"/>
  <c r="FY39" i="4"/>
  <c r="FZ39" i="4"/>
  <c r="GA39" i="4"/>
  <c r="GB39" i="4"/>
  <c r="GC39" i="4"/>
  <c r="GD39" i="4"/>
  <c r="GE39" i="4"/>
  <c r="GF39" i="4"/>
  <c r="GG39" i="4"/>
  <c r="GH39" i="4"/>
  <c r="ES40" i="4"/>
  <c r="ET40" i="4"/>
  <c r="EU40" i="4"/>
  <c r="EV40" i="4"/>
  <c r="EW40" i="4"/>
  <c r="EX40" i="4"/>
  <c r="EY40" i="4"/>
  <c r="EZ40" i="4"/>
  <c r="FA40" i="4"/>
  <c r="FB40" i="4"/>
  <c r="FC40" i="4"/>
  <c r="FD40" i="4"/>
  <c r="FE40" i="4"/>
  <c r="FF40" i="4"/>
  <c r="FG40" i="4"/>
  <c r="FH40" i="4"/>
  <c r="FI40" i="4"/>
  <c r="FJ40" i="4"/>
  <c r="FK40" i="4"/>
  <c r="FL40" i="4"/>
  <c r="FM40" i="4"/>
  <c r="FN40" i="4"/>
  <c r="FO40" i="4"/>
  <c r="FP40" i="4"/>
  <c r="FQ40" i="4"/>
  <c r="FR40" i="4"/>
  <c r="FS40" i="4"/>
  <c r="FT40" i="4"/>
  <c r="FU40" i="4"/>
  <c r="FV40" i="4"/>
  <c r="FW40" i="4"/>
  <c r="FX40" i="4"/>
  <c r="FY40" i="4"/>
  <c r="FZ40" i="4"/>
  <c r="GA40" i="4"/>
  <c r="GB40" i="4"/>
  <c r="GC40" i="4"/>
  <c r="GD40" i="4"/>
  <c r="GE40" i="4"/>
  <c r="GF40" i="4"/>
  <c r="GG40" i="4"/>
  <c r="GH40" i="4"/>
  <c r="ES41" i="4"/>
  <c r="ET41" i="4"/>
  <c r="EU41" i="4"/>
  <c r="EV41" i="4"/>
  <c r="EW41" i="4"/>
  <c r="EX41" i="4"/>
  <c r="EY41" i="4"/>
  <c r="EZ41" i="4"/>
  <c r="FA41" i="4"/>
  <c r="FB41" i="4"/>
  <c r="FC41" i="4"/>
  <c r="FD41" i="4"/>
  <c r="FE41" i="4"/>
  <c r="FF41" i="4"/>
  <c r="FG41" i="4"/>
  <c r="FH41" i="4"/>
  <c r="FI41" i="4"/>
  <c r="FJ41" i="4"/>
  <c r="FK41" i="4"/>
  <c r="FL41" i="4"/>
  <c r="FM41" i="4"/>
  <c r="FN41" i="4"/>
  <c r="FO41" i="4"/>
  <c r="FP41" i="4"/>
  <c r="FQ41" i="4"/>
  <c r="FR41" i="4"/>
  <c r="FS41" i="4"/>
  <c r="FT41" i="4"/>
  <c r="FU41" i="4"/>
  <c r="FV41" i="4"/>
  <c r="FW41" i="4"/>
  <c r="FX41" i="4"/>
  <c r="FY41" i="4"/>
  <c r="FZ41" i="4"/>
  <c r="GA41" i="4"/>
  <c r="GB41" i="4"/>
  <c r="GC41" i="4"/>
  <c r="GD41" i="4"/>
  <c r="GE41" i="4"/>
  <c r="GF41" i="4"/>
  <c r="GG41" i="4"/>
  <c r="GH41" i="4"/>
  <c r="ES42" i="4"/>
  <c r="ET42" i="4"/>
  <c r="EU42" i="4"/>
  <c r="EV42" i="4"/>
  <c r="EW42" i="4"/>
  <c r="EX42" i="4"/>
  <c r="EY42" i="4"/>
  <c r="EZ42" i="4"/>
  <c r="FA42" i="4"/>
  <c r="FB42" i="4"/>
  <c r="FC42" i="4"/>
  <c r="FD42" i="4"/>
  <c r="FE42" i="4"/>
  <c r="FF42" i="4"/>
  <c r="FG42" i="4"/>
  <c r="FH42" i="4"/>
  <c r="FI42" i="4"/>
  <c r="FJ42" i="4"/>
  <c r="FK42" i="4"/>
  <c r="FL42" i="4"/>
  <c r="FM42" i="4"/>
  <c r="FN42" i="4"/>
  <c r="FO42" i="4"/>
  <c r="FP42" i="4"/>
  <c r="FQ42" i="4"/>
  <c r="FR42" i="4"/>
  <c r="FS42" i="4"/>
  <c r="FT42" i="4"/>
  <c r="FU42" i="4"/>
  <c r="FV42" i="4"/>
  <c r="FW42" i="4"/>
  <c r="FX42" i="4"/>
  <c r="FY42" i="4"/>
  <c r="FZ42" i="4"/>
  <c r="GA42" i="4"/>
  <c r="GB42" i="4"/>
  <c r="GC42" i="4"/>
  <c r="GD42" i="4"/>
  <c r="GE42" i="4"/>
  <c r="GF42" i="4"/>
  <c r="GG42" i="4"/>
  <c r="GH42" i="4"/>
  <c r="ES43" i="4"/>
  <c r="ET43" i="4"/>
  <c r="EU43" i="4"/>
  <c r="EV43" i="4"/>
  <c r="EW43" i="4"/>
  <c r="EX43" i="4"/>
  <c r="EY43" i="4"/>
  <c r="EZ43" i="4"/>
  <c r="FA43" i="4"/>
  <c r="FB43" i="4"/>
  <c r="FC43" i="4"/>
  <c r="FD43" i="4"/>
  <c r="FE43" i="4"/>
  <c r="FF43" i="4"/>
  <c r="FG43" i="4"/>
  <c r="FH43" i="4"/>
  <c r="FI43" i="4"/>
  <c r="FJ43" i="4"/>
  <c r="FK43" i="4"/>
  <c r="FL43" i="4"/>
  <c r="FM43" i="4"/>
  <c r="FN43" i="4"/>
  <c r="FO43" i="4"/>
  <c r="FP43" i="4"/>
  <c r="FQ43" i="4"/>
  <c r="FR43" i="4"/>
  <c r="FS43" i="4"/>
  <c r="FT43" i="4"/>
  <c r="FU43" i="4"/>
  <c r="FV43" i="4"/>
  <c r="FW43" i="4"/>
  <c r="FX43" i="4"/>
  <c r="FY43" i="4"/>
  <c r="FZ43" i="4"/>
  <c r="GA43" i="4"/>
  <c r="GB43" i="4"/>
  <c r="GC43" i="4"/>
  <c r="GD43" i="4"/>
  <c r="GE43" i="4"/>
  <c r="GF43" i="4"/>
  <c r="GG43" i="4"/>
  <c r="GH43" i="4"/>
  <c r="ES44" i="4"/>
  <c r="ET44" i="4"/>
  <c r="EU44" i="4"/>
  <c r="EV44" i="4"/>
  <c r="EW44" i="4"/>
  <c r="EX44" i="4"/>
  <c r="EY44" i="4"/>
  <c r="EZ44" i="4"/>
  <c r="FA44" i="4"/>
  <c r="FB44" i="4"/>
  <c r="FC44" i="4"/>
  <c r="FD44" i="4"/>
  <c r="FE44" i="4"/>
  <c r="FF44" i="4"/>
  <c r="FG44" i="4"/>
  <c r="FH44" i="4"/>
  <c r="FI44" i="4"/>
  <c r="FJ44" i="4"/>
  <c r="FK44" i="4"/>
  <c r="FL44" i="4"/>
  <c r="FM44" i="4"/>
  <c r="FN44" i="4"/>
  <c r="FO44" i="4"/>
  <c r="FP44" i="4"/>
  <c r="FQ44" i="4"/>
  <c r="FR44" i="4"/>
  <c r="FS44" i="4"/>
  <c r="FT44" i="4"/>
  <c r="FU44" i="4"/>
  <c r="FV44" i="4"/>
  <c r="FW44" i="4"/>
  <c r="FX44" i="4"/>
  <c r="FY44" i="4"/>
  <c r="FZ44" i="4"/>
  <c r="GA44" i="4"/>
  <c r="GB44" i="4"/>
  <c r="GC44" i="4"/>
  <c r="GD44" i="4"/>
  <c r="GE44" i="4"/>
  <c r="GF44" i="4"/>
  <c r="GG44" i="4"/>
  <c r="GH44" i="4"/>
  <c r="ES45" i="4"/>
  <c r="ET45" i="4"/>
  <c r="EU45" i="4"/>
  <c r="EV45" i="4"/>
  <c r="EW45" i="4"/>
  <c r="EX45" i="4"/>
  <c r="EY45" i="4"/>
  <c r="EZ45" i="4"/>
  <c r="FA45" i="4"/>
  <c r="FB45" i="4"/>
  <c r="FC45" i="4"/>
  <c r="FD45" i="4"/>
  <c r="FE45" i="4"/>
  <c r="FF45" i="4"/>
  <c r="FG45" i="4"/>
  <c r="FH45" i="4"/>
  <c r="FI45" i="4"/>
  <c r="FJ45" i="4"/>
  <c r="FK45" i="4"/>
  <c r="FL45" i="4"/>
  <c r="FM45" i="4"/>
  <c r="FN45" i="4"/>
  <c r="FO45" i="4"/>
  <c r="FP45" i="4"/>
  <c r="FQ45" i="4"/>
  <c r="FR45" i="4"/>
  <c r="FS45" i="4"/>
  <c r="FT45" i="4"/>
  <c r="FU45" i="4"/>
  <c r="FV45" i="4"/>
  <c r="FW45" i="4"/>
  <c r="FX45" i="4"/>
  <c r="FY45" i="4"/>
  <c r="FZ45" i="4"/>
  <c r="GA45" i="4"/>
  <c r="GB45" i="4"/>
  <c r="GC45" i="4"/>
  <c r="GD45" i="4"/>
  <c r="GE45" i="4"/>
  <c r="GF45" i="4"/>
  <c r="GG45" i="4"/>
  <c r="GH45" i="4"/>
  <c r="ES46" i="4"/>
  <c r="ET46" i="4"/>
  <c r="EU46" i="4"/>
  <c r="EV46" i="4"/>
  <c r="EW46" i="4"/>
  <c r="EX46" i="4"/>
  <c r="EY46" i="4"/>
  <c r="EZ46" i="4"/>
  <c r="FA46" i="4"/>
  <c r="FB46" i="4"/>
  <c r="FC46" i="4"/>
  <c r="FD46" i="4"/>
  <c r="FE46" i="4"/>
  <c r="FF46" i="4"/>
  <c r="FG46" i="4"/>
  <c r="FH46" i="4"/>
  <c r="FI46" i="4"/>
  <c r="FJ46" i="4"/>
  <c r="FK46" i="4"/>
  <c r="FL46" i="4"/>
  <c r="FM46" i="4"/>
  <c r="FN46" i="4"/>
  <c r="FO46" i="4"/>
  <c r="FP46" i="4"/>
  <c r="FQ46" i="4"/>
  <c r="FR46" i="4"/>
  <c r="FS46" i="4"/>
  <c r="FT46" i="4"/>
  <c r="FU46" i="4"/>
  <c r="FV46" i="4"/>
  <c r="FW46" i="4"/>
  <c r="FX46" i="4"/>
  <c r="FY46" i="4"/>
  <c r="FZ46" i="4"/>
  <c r="GA46" i="4"/>
  <c r="GB46" i="4"/>
  <c r="GC46" i="4"/>
  <c r="GD46" i="4"/>
  <c r="GE46" i="4"/>
  <c r="GF46" i="4"/>
  <c r="GG46" i="4"/>
  <c r="GH46" i="4"/>
  <c r="ES47" i="4"/>
  <c r="ET47" i="4"/>
  <c r="EU47" i="4"/>
  <c r="EV47" i="4"/>
  <c r="EW47" i="4"/>
  <c r="EX47" i="4"/>
  <c r="EY47" i="4"/>
  <c r="EZ47" i="4"/>
  <c r="FA47" i="4"/>
  <c r="FB47" i="4"/>
  <c r="FC47" i="4"/>
  <c r="FD47" i="4"/>
  <c r="FE47" i="4"/>
  <c r="FF47" i="4"/>
  <c r="FG47" i="4"/>
  <c r="FH47" i="4"/>
  <c r="FI47" i="4"/>
  <c r="FJ47" i="4"/>
  <c r="FK47" i="4"/>
  <c r="FL47" i="4"/>
  <c r="FM47" i="4"/>
  <c r="FN47" i="4"/>
  <c r="FO47" i="4"/>
  <c r="FP47" i="4"/>
  <c r="FQ47" i="4"/>
  <c r="FR47" i="4"/>
  <c r="FS47" i="4"/>
  <c r="FT47" i="4"/>
  <c r="FU47" i="4"/>
  <c r="FV47" i="4"/>
  <c r="FW47" i="4"/>
  <c r="FX47" i="4"/>
  <c r="FY47" i="4"/>
  <c r="FZ47" i="4"/>
  <c r="GA47" i="4"/>
  <c r="GB47" i="4"/>
  <c r="GC47" i="4"/>
  <c r="GD47" i="4"/>
  <c r="GE47" i="4"/>
  <c r="GF47" i="4"/>
  <c r="GG47" i="4"/>
  <c r="GH47" i="4"/>
  <c r="ES48" i="4"/>
  <c r="ET48" i="4"/>
  <c r="EU48" i="4"/>
  <c r="EV48" i="4"/>
  <c r="EW48" i="4"/>
  <c r="EX48" i="4"/>
  <c r="EY48" i="4"/>
  <c r="EZ48" i="4"/>
  <c r="FA48" i="4"/>
  <c r="FB48" i="4"/>
  <c r="FC48" i="4"/>
  <c r="FD48" i="4"/>
  <c r="FE48" i="4"/>
  <c r="FF48" i="4"/>
  <c r="FG48" i="4"/>
  <c r="FH48" i="4"/>
  <c r="FI48" i="4"/>
  <c r="FJ48" i="4"/>
  <c r="FK48" i="4"/>
  <c r="FL48" i="4"/>
  <c r="FM48" i="4"/>
  <c r="FN48" i="4"/>
  <c r="FO48" i="4"/>
  <c r="FP48" i="4"/>
  <c r="FQ48" i="4"/>
  <c r="FR48" i="4"/>
  <c r="FS48" i="4"/>
  <c r="FT48" i="4"/>
  <c r="FU48" i="4"/>
  <c r="FV48" i="4"/>
  <c r="FW48" i="4"/>
  <c r="FX48" i="4"/>
  <c r="FY48" i="4"/>
  <c r="FZ48" i="4"/>
  <c r="GA48" i="4"/>
  <c r="GB48" i="4"/>
  <c r="GC48" i="4"/>
  <c r="GD48" i="4"/>
  <c r="GE48" i="4"/>
  <c r="GF48" i="4"/>
  <c r="GG48" i="4"/>
  <c r="GH48" i="4"/>
  <c r="ES49" i="4"/>
  <c r="ET49" i="4"/>
  <c r="EU49" i="4"/>
  <c r="EV49" i="4"/>
  <c r="EW49" i="4"/>
  <c r="EX49" i="4"/>
  <c r="EY49" i="4"/>
  <c r="EZ49" i="4"/>
  <c r="FA49" i="4"/>
  <c r="FB49" i="4"/>
  <c r="FC49" i="4"/>
  <c r="FD49" i="4"/>
  <c r="FE49" i="4"/>
  <c r="FF49" i="4"/>
  <c r="FG49" i="4"/>
  <c r="FH49" i="4"/>
  <c r="FI49" i="4"/>
  <c r="FJ49" i="4"/>
  <c r="FK49" i="4"/>
  <c r="FL49" i="4"/>
  <c r="FM49" i="4"/>
  <c r="FN49" i="4"/>
  <c r="FO49" i="4"/>
  <c r="FP49" i="4"/>
  <c r="FQ49" i="4"/>
  <c r="FR49" i="4"/>
  <c r="FS49" i="4"/>
  <c r="FT49" i="4"/>
  <c r="FU49" i="4"/>
  <c r="FV49" i="4"/>
  <c r="FW49" i="4"/>
  <c r="FX49" i="4"/>
  <c r="FY49" i="4"/>
  <c r="FZ49" i="4"/>
  <c r="GA49" i="4"/>
  <c r="GB49" i="4"/>
  <c r="GC49" i="4"/>
  <c r="GD49" i="4"/>
  <c r="GE49" i="4"/>
  <c r="GF49" i="4"/>
  <c r="GG49" i="4"/>
  <c r="GH49" i="4"/>
  <c r="ES50" i="4"/>
  <c r="ET50" i="4"/>
  <c r="EU50" i="4"/>
  <c r="EV50" i="4"/>
  <c r="EW50" i="4"/>
  <c r="EX50" i="4"/>
  <c r="EY50" i="4"/>
  <c r="EZ50" i="4"/>
  <c r="FA50" i="4"/>
  <c r="FB50" i="4"/>
  <c r="FC50" i="4"/>
  <c r="FD50" i="4"/>
  <c r="FE50" i="4"/>
  <c r="FF50" i="4"/>
  <c r="FG50" i="4"/>
  <c r="FH50" i="4"/>
  <c r="FI50" i="4"/>
  <c r="FJ50" i="4"/>
  <c r="FK50" i="4"/>
  <c r="FL50" i="4"/>
  <c r="FM50" i="4"/>
  <c r="FN50" i="4"/>
  <c r="FO50" i="4"/>
  <c r="FP50" i="4"/>
  <c r="FQ50" i="4"/>
  <c r="FR50" i="4"/>
  <c r="FS50" i="4"/>
  <c r="FT50" i="4"/>
  <c r="FU50" i="4"/>
  <c r="FV50" i="4"/>
  <c r="FW50" i="4"/>
  <c r="FX50" i="4"/>
  <c r="FY50" i="4"/>
  <c r="FZ50" i="4"/>
  <c r="GA50" i="4"/>
  <c r="GB50" i="4"/>
  <c r="GC50" i="4"/>
  <c r="GD50" i="4"/>
  <c r="GE50" i="4"/>
  <c r="GF50" i="4"/>
  <c r="GG50" i="4"/>
  <c r="GH50" i="4"/>
  <c r="ES51" i="4"/>
  <c r="ET51" i="4"/>
  <c r="EU51" i="4"/>
  <c r="EV51" i="4"/>
  <c r="EW51" i="4"/>
  <c r="EX51" i="4"/>
  <c r="EY51" i="4"/>
  <c r="EZ51" i="4"/>
  <c r="FA51" i="4"/>
  <c r="FB51" i="4"/>
  <c r="FC51" i="4"/>
  <c r="FD51" i="4"/>
  <c r="FE51" i="4"/>
  <c r="FF51" i="4"/>
  <c r="FG51" i="4"/>
  <c r="FH51" i="4"/>
  <c r="FI51" i="4"/>
  <c r="FJ51" i="4"/>
  <c r="FK51" i="4"/>
  <c r="FL51" i="4"/>
  <c r="FM51" i="4"/>
  <c r="FN51" i="4"/>
  <c r="FO51" i="4"/>
  <c r="FP51" i="4"/>
  <c r="FQ51" i="4"/>
  <c r="FR51" i="4"/>
  <c r="FS51" i="4"/>
  <c r="FT51" i="4"/>
  <c r="FU51" i="4"/>
  <c r="FV51" i="4"/>
  <c r="FW51" i="4"/>
  <c r="FX51" i="4"/>
  <c r="FY51" i="4"/>
  <c r="FZ51" i="4"/>
  <c r="GA51" i="4"/>
  <c r="GB51" i="4"/>
  <c r="GC51" i="4"/>
  <c r="GD51" i="4"/>
  <c r="GE51" i="4"/>
  <c r="GF51" i="4"/>
  <c r="GG51" i="4"/>
  <c r="GH51" i="4"/>
  <c r="ES52" i="4"/>
  <c r="ET52" i="4"/>
  <c r="EU52" i="4"/>
  <c r="EV52" i="4"/>
  <c r="EW52" i="4"/>
  <c r="EX52" i="4"/>
  <c r="EY52" i="4"/>
  <c r="EZ52" i="4"/>
  <c r="FA52" i="4"/>
  <c r="FB52" i="4"/>
  <c r="FC52" i="4"/>
  <c r="FD52" i="4"/>
  <c r="FE52" i="4"/>
  <c r="FF52" i="4"/>
  <c r="FG52" i="4"/>
  <c r="FH52" i="4"/>
  <c r="FI52" i="4"/>
  <c r="FJ52" i="4"/>
  <c r="FK52" i="4"/>
  <c r="FL52" i="4"/>
  <c r="FM52" i="4"/>
  <c r="FN52" i="4"/>
  <c r="FO52" i="4"/>
  <c r="FP52" i="4"/>
  <c r="FQ52" i="4"/>
  <c r="FR52" i="4"/>
  <c r="FS52" i="4"/>
  <c r="FT52" i="4"/>
  <c r="FU52" i="4"/>
  <c r="FV52" i="4"/>
  <c r="FW52" i="4"/>
  <c r="FX52" i="4"/>
  <c r="FY52" i="4"/>
  <c r="FZ52" i="4"/>
  <c r="GA52" i="4"/>
  <c r="GB52" i="4"/>
  <c r="GC52" i="4"/>
  <c r="GD52" i="4"/>
  <c r="GE52" i="4"/>
  <c r="GF52" i="4"/>
  <c r="GG52" i="4"/>
  <c r="GH52" i="4"/>
  <c r="ES53" i="4"/>
  <c r="ET53" i="4"/>
  <c r="EU53" i="4"/>
  <c r="EV53" i="4"/>
  <c r="EW53" i="4"/>
  <c r="EX53" i="4"/>
  <c r="EY53" i="4"/>
  <c r="EZ53" i="4"/>
  <c r="FA53" i="4"/>
  <c r="FB53" i="4"/>
  <c r="FC53" i="4"/>
  <c r="FD53" i="4"/>
  <c r="FE53" i="4"/>
  <c r="FF53" i="4"/>
  <c r="FG53" i="4"/>
  <c r="FH53" i="4"/>
  <c r="FI53" i="4"/>
  <c r="FJ53" i="4"/>
  <c r="FK53" i="4"/>
  <c r="FL53" i="4"/>
  <c r="FM53" i="4"/>
  <c r="FN53" i="4"/>
  <c r="FO53" i="4"/>
  <c r="FP53" i="4"/>
  <c r="FQ53" i="4"/>
  <c r="FR53" i="4"/>
  <c r="FS53" i="4"/>
  <c r="FT53" i="4"/>
  <c r="FU53" i="4"/>
  <c r="FV53" i="4"/>
  <c r="FW53" i="4"/>
  <c r="FX53" i="4"/>
  <c r="FY53" i="4"/>
  <c r="FZ53" i="4"/>
  <c r="GA53" i="4"/>
  <c r="GB53" i="4"/>
  <c r="GC53" i="4"/>
  <c r="GD53" i="4"/>
  <c r="GE53" i="4"/>
  <c r="GF53" i="4"/>
  <c r="GG53" i="4"/>
  <c r="GH53" i="4"/>
  <c r="ES54" i="4"/>
  <c r="ET54" i="4"/>
  <c r="EU54" i="4"/>
  <c r="EV54" i="4"/>
  <c r="EW54" i="4"/>
  <c r="EX54" i="4"/>
  <c r="EY54" i="4"/>
  <c r="EZ54" i="4"/>
  <c r="FA54" i="4"/>
  <c r="FB54" i="4"/>
  <c r="FC54" i="4"/>
  <c r="FD54" i="4"/>
  <c r="FE54" i="4"/>
  <c r="FF54" i="4"/>
  <c r="FG54" i="4"/>
  <c r="FH54" i="4"/>
  <c r="FI54" i="4"/>
  <c r="FJ54" i="4"/>
  <c r="FK54" i="4"/>
  <c r="FL54" i="4"/>
  <c r="FM54" i="4"/>
  <c r="FN54" i="4"/>
  <c r="FO54" i="4"/>
  <c r="FP54" i="4"/>
  <c r="FQ54" i="4"/>
  <c r="FR54" i="4"/>
  <c r="FS54" i="4"/>
  <c r="FT54" i="4"/>
  <c r="FU54" i="4"/>
  <c r="FV54" i="4"/>
  <c r="FW54" i="4"/>
  <c r="FX54" i="4"/>
  <c r="FY54" i="4"/>
  <c r="FZ54" i="4"/>
  <c r="GA54" i="4"/>
  <c r="GB54" i="4"/>
  <c r="GC54" i="4"/>
  <c r="GD54" i="4"/>
  <c r="GE54" i="4"/>
  <c r="GF54" i="4"/>
  <c r="GG54" i="4"/>
  <c r="GH54" i="4"/>
  <c r="ES55" i="4"/>
  <c r="ET55" i="4"/>
  <c r="EU55" i="4"/>
  <c r="EV55" i="4"/>
  <c r="EW55" i="4"/>
  <c r="EX55" i="4"/>
  <c r="EY55" i="4"/>
  <c r="EZ55" i="4"/>
  <c r="FA55" i="4"/>
  <c r="FB55" i="4"/>
  <c r="FC55" i="4"/>
  <c r="FD55" i="4"/>
  <c r="FE55" i="4"/>
  <c r="FF55" i="4"/>
  <c r="FG55" i="4"/>
  <c r="FH55" i="4"/>
  <c r="FI55" i="4"/>
  <c r="FJ55" i="4"/>
  <c r="FK55" i="4"/>
  <c r="FL55" i="4"/>
  <c r="FM55" i="4"/>
  <c r="FN55" i="4"/>
  <c r="FO55" i="4"/>
  <c r="FP55" i="4"/>
  <c r="FQ55" i="4"/>
  <c r="FR55" i="4"/>
  <c r="FS55" i="4"/>
  <c r="FT55" i="4"/>
  <c r="FU55" i="4"/>
  <c r="FV55" i="4"/>
  <c r="FW55" i="4"/>
  <c r="FX55" i="4"/>
  <c r="FY55" i="4"/>
  <c r="FZ55" i="4"/>
  <c r="GA55" i="4"/>
  <c r="GB55" i="4"/>
  <c r="GC55" i="4"/>
  <c r="GD55" i="4"/>
  <c r="GE55" i="4"/>
  <c r="GF55" i="4"/>
  <c r="GG55" i="4"/>
  <c r="GH55" i="4"/>
  <c r="ES56" i="4"/>
  <c r="ET56" i="4"/>
  <c r="EU56" i="4"/>
  <c r="EV56" i="4"/>
  <c r="EW56" i="4"/>
  <c r="EX56" i="4"/>
  <c r="EY56" i="4"/>
  <c r="EZ56" i="4"/>
  <c r="FA56" i="4"/>
  <c r="FB56" i="4"/>
  <c r="FC56" i="4"/>
  <c r="FD56" i="4"/>
  <c r="FE56" i="4"/>
  <c r="FF56" i="4"/>
  <c r="FG56" i="4"/>
  <c r="FH56" i="4"/>
  <c r="FI56" i="4"/>
  <c r="FJ56" i="4"/>
  <c r="FK56" i="4"/>
  <c r="FL56" i="4"/>
  <c r="FM56" i="4"/>
  <c r="FN56" i="4"/>
  <c r="FO56" i="4"/>
  <c r="FP56" i="4"/>
  <c r="FQ56" i="4"/>
  <c r="FR56" i="4"/>
  <c r="FS56" i="4"/>
  <c r="FT56" i="4"/>
  <c r="FU56" i="4"/>
  <c r="FV56" i="4"/>
  <c r="FW56" i="4"/>
  <c r="FX56" i="4"/>
  <c r="FY56" i="4"/>
  <c r="FZ56" i="4"/>
  <c r="GA56" i="4"/>
  <c r="GB56" i="4"/>
  <c r="GC56" i="4"/>
  <c r="GD56" i="4"/>
  <c r="GE56" i="4"/>
  <c r="GF56" i="4"/>
  <c r="GG56" i="4"/>
  <c r="GH56" i="4"/>
  <c r="ES57" i="4"/>
  <c r="ET57" i="4"/>
  <c r="EU57" i="4"/>
  <c r="EV57" i="4"/>
  <c r="EW57" i="4"/>
  <c r="EX57" i="4"/>
  <c r="EY57" i="4"/>
  <c r="EZ57" i="4"/>
  <c r="FA57" i="4"/>
  <c r="FB57" i="4"/>
  <c r="FC57" i="4"/>
  <c r="FD57" i="4"/>
  <c r="FE57" i="4"/>
  <c r="FF57" i="4"/>
  <c r="FG57" i="4"/>
  <c r="FH57" i="4"/>
  <c r="FI57" i="4"/>
  <c r="FJ57" i="4"/>
  <c r="FK57" i="4"/>
  <c r="FL57" i="4"/>
  <c r="FM57" i="4"/>
  <c r="FN57" i="4"/>
  <c r="FO57" i="4"/>
  <c r="FP57" i="4"/>
  <c r="FQ57" i="4"/>
  <c r="FR57" i="4"/>
  <c r="FS57" i="4"/>
  <c r="FT57" i="4"/>
  <c r="FU57" i="4"/>
  <c r="FV57" i="4"/>
  <c r="FW57" i="4"/>
  <c r="FX57" i="4"/>
  <c r="FY57" i="4"/>
  <c r="FZ57" i="4"/>
  <c r="GA57" i="4"/>
  <c r="GB57" i="4"/>
  <c r="GC57" i="4"/>
  <c r="GD57" i="4"/>
  <c r="GE57" i="4"/>
  <c r="GF57" i="4"/>
  <c r="GG57" i="4"/>
  <c r="GH57" i="4"/>
  <c r="ES58" i="4"/>
  <c r="ET58" i="4"/>
  <c r="EU58" i="4"/>
  <c r="EV58" i="4"/>
  <c r="EW58" i="4"/>
  <c r="EX58" i="4"/>
  <c r="EY58" i="4"/>
  <c r="EZ58" i="4"/>
  <c r="FA58" i="4"/>
  <c r="FB58" i="4"/>
  <c r="FC58" i="4"/>
  <c r="FD58" i="4"/>
  <c r="FE58" i="4"/>
  <c r="FF58" i="4"/>
  <c r="FG58" i="4"/>
  <c r="FH58" i="4"/>
  <c r="FI58" i="4"/>
  <c r="FJ58" i="4"/>
  <c r="FK58" i="4"/>
  <c r="FL58" i="4"/>
  <c r="FM58" i="4"/>
  <c r="FN58" i="4"/>
  <c r="FO58" i="4"/>
  <c r="FP58" i="4"/>
  <c r="FQ58" i="4"/>
  <c r="FR58" i="4"/>
  <c r="FS58" i="4"/>
  <c r="FT58" i="4"/>
  <c r="FU58" i="4"/>
  <c r="FV58" i="4"/>
  <c r="FW58" i="4"/>
  <c r="FX58" i="4"/>
  <c r="FY58" i="4"/>
  <c r="FZ58" i="4"/>
  <c r="GA58" i="4"/>
  <c r="GB58" i="4"/>
  <c r="GC58" i="4"/>
  <c r="GD58" i="4"/>
  <c r="GE58" i="4"/>
  <c r="GF58" i="4"/>
  <c r="GG58" i="4"/>
  <c r="GH58" i="4"/>
  <c r="ES59" i="4"/>
  <c r="ET59" i="4"/>
  <c r="EU59" i="4"/>
  <c r="EV59" i="4"/>
  <c r="EW59" i="4"/>
  <c r="EX59" i="4"/>
  <c r="EY59" i="4"/>
  <c r="EZ59" i="4"/>
  <c r="FA59" i="4"/>
  <c r="FB59" i="4"/>
  <c r="FC59" i="4"/>
  <c r="FD59" i="4"/>
  <c r="FE59" i="4"/>
  <c r="FF59" i="4"/>
  <c r="FG59" i="4"/>
  <c r="FH59" i="4"/>
  <c r="FI59" i="4"/>
  <c r="FJ59" i="4"/>
  <c r="FK59" i="4"/>
  <c r="FL59" i="4"/>
  <c r="FM59" i="4"/>
  <c r="FN59" i="4"/>
  <c r="FO59" i="4"/>
  <c r="FP59" i="4"/>
  <c r="FQ59" i="4"/>
  <c r="FR59" i="4"/>
  <c r="FS59" i="4"/>
  <c r="FT59" i="4"/>
  <c r="FU59" i="4"/>
  <c r="FV59" i="4"/>
  <c r="FW59" i="4"/>
  <c r="FX59" i="4"/>
  <c r="FY59" i="4"/>
  <c r="FZ59" i="4"/>
  <c r="GA59" i="4"/>
  <c r="GB59" i="4"/>
  <c r="GC59" i="4"/>
  <c r="GD59" i="4"/>
  <c r="GE59" i="4"/>
  <c r="GF59" i="4"/>
  <c r="GG59" i="4"/>
  <c r="GH59" i="4"/>
  <c r="ES60" i="4"/>
  <c r="ET60" i="4"/>
  <c r="EU60" i="4"/>
  <c r="EV60" i="4"/>
  <c r="EW60" i="4"/>
  <c r="EX60" i="4"/>
  <c r="EY60" i="4"/>
  <c r="EZ60" i="4"/>
  <c r="FA60" i="4"/>
  <c r="FB60" i="4"/>
  <c r="FC60" i="4"/>
  <c r="FD60" i="4"/>
  <c r="FE60" i="4"/>
  <c r="FF60" i="4"/>
  <c r="FG60" i="4"/>
  <c r="FH60" i="4"/>
  <c r="FI60" i="4"/>
  <c r="FJ60" i="4"/>
  <c r="FK60" i="4"/>
  <c r="FL60" i="4"/>
  <c r="FM60" i="4"/>
  <c r="FN60" i="4"/>
  <c r="FO60" i="4"/>
  <c r="FP60" i="4"/>
  <c r="FQ60" i="4"/>
  <c r="FR60" i="4"/>
  <c r="FS60" i="4"/>
  <c r="FT60" i="4"/>
  <c r="FU60" i="4"/>
  <c r="FV60" i="4"/>
  <c r="FW60" i="4"/>
  <c r="FX60" i="4"/>
  <c r="FY60" i="4"/>
  <c r="FZ60" i="4"/>
  <c r="GA60" i="4"/>
  <c r="GB60" i="4"/>
  <c r="GC60" i="4"/>
  <c r="GD60" i="4"/>
  <c r="GE60" i="4"/>
  <c r="GF60" i="4"/>
  <c r="GG60" i="4"/>
  <c r="GH60" i="4"/>
  <c r="ES61" i="4"/>
  <c r="ET61" i="4"/>
  <c r="EU61" i="4"/>
  <c r="EV61" i="4"/>
  <c r="EW61" i="4"/>
  <c r="EX61" i="4"/>
  <c r="EY61" i="4"/>
  <c r="EZ61" i="4"/>
  <c r="FA61" i="4"/>
  <c r="FB61" i="4"/>
  <c r="FC61" i="4"/>
  <c r="FD61" i="4"/>
  <c r="FE61" i="4"/>
  <c r="FF61" i="4"/>
  <c r="FG61" i="4"/>
  <c r="FH61" i="4"/>
  <c r="FI61" i="4"/>
  <c r="FJ61" i="4"/>
  <c r="FK61" i="4"/>
  <c r="FL61" i="4"/>
  <c r="FM61" i="4"/>
  <c r="FN61" i="4"/>
  <c r="FO61" i="4"/>
  <c r="FP61" i="4"/>
  <c r="FQ61" i="4"/>
  <c r="FR61" i="4"/>
  <c r="FS61" i="4"/>
  <c r="FT61" i="4"/>
  <c r="FU61" i="4"/>
  <c r="FV61" i="4"/>
  <c r="FW61" i="4"/>
  <c r="FX61" i="4"/>
  <c r="FY61" i="4"/>
  <c r="FZ61" i="4"/>
  <c r="GA61" i="4"/>
  <c r="GB61" i="4"/>
  <c r="GC61" i="4"/>
  <c r="GD61" i="4"/>
  <c r="GE61" i="4"/>
  <c r="GF61" i="4"/>
  <c r="GG61" i="4"/>
  <c r="GH61" i="4"/>
  <c r="ES62" i="4"/>
  <c r="ET62" i="4"/>
  <c r="EU62" i="4"/>
  <c r="EV62" i="4"/>
  <c r="EW62" i="4"/>
  <c r="EX62" i="4"/>
  <c r="EY62" i="4"/>
  <c r="EZ62" i="4"/>
  <c r="FA62" i="4"/>
  <c r="FB62" i="4"/>
  <c r="FC62" i="4"/>
  <c r="FD62" i="4"/>
  <c r="FE62" i="4"/>
  <c r="FF62" i="4"/>
  <c r="FG62" i="4"/>
  <c r="FH62" i="4"/>
  <c r="FI62" i="4"/>
  <c r="FJ62" i="4"/>
  <c r="FK62" i="4"/>
  <c r="FL62" i="4"/>
  <c r="FM62" i="4"/>
  <c r="FN62" i="4"/>
  <c r="FO62" i="4"/>
  <c r="FP62" i="4"/>
  <c r="FQ62" i="4"/>
  <c r="FR62" i="4"/>
  <c r="FS62" i="4"/>
  <c r="FT62" i="4"/>
  <c r="FU62" i="4"/>
  <c r="FV62" i="4"/>
  <c r="FW62" i="4"/>
  <c r="FX62" i="4"/>
  <c r="FY62" i="4"/>
  <c r="FZ62" i="4"/>
  <c r="GA62" i="4"/>
  <c r="GB62" i="4"/>
  <c r="GC62" i="4"/>
  <c r="GD62" i="4"/>
  <c r="GE62" i="4"/>
  <c r="GF62" i="4"/>
  <c r="GG62" i="4"/>
  <c r="GH62" i="4"/>
  <c r="ES63" i="4"/>
  <c r="ET63" i="4"/>
  <c r="EU63" i="4"/>
  <c r="EV63" i="4"/>
  <c r="EW63" i="4"/>
  <c r="EX63" i="4"/>
  <c r="EY63" i="4"/>
  <c r="EZ63" i="4"/>
  <c r="FA63" i="4"/>
  <c r="FB63" i="4"/>
  <c r="FC63" i="4"/>
  <c r="FD63" i="4"/>
  <c r="FE63" i="4"/>
  <c r="FF63" i="4"/>
  <c r="FG63" i="4"/>
  <c r="FH63" i="4"/>
  <c r="FI63" i="4"/>
  <c r="FJ63" i="4"/>
  <c r="FK63" i="4"/>
  <c r="FL63" i="4"/>
  <c r="FM63" i="4"/>
  <c r="FN63" i="4"/>
  <c r="FO63" i="4"/>
  <c r="FP63" i="4"/>
  <c r="FQ63" i="4"/>
  <c r="FR63" i="4"/>
  <c r="FS63" i="4"/>
  <c r="FT63" i="4"/>
  <c r="FU63" i="4"/>
  <c r="FV63" i="4"/>
  <c r="FW63" i="4"/>
  <c r="FX63" i="4"/>
  <c r="FY63" i="4"/>
  <c r="FZ63" i="4"/>
  <c r="GA63" i="4"/>
  <c r="GB63" i="4"/>
  <c r="GC63" i="4"/>
  <c r="GD63" i="4"/>
  <c r="GE63" i="4"/>
  <c r="GF63" i="4"/>
  <c r="GG63" i="4"/>
  <c r="GH63" i="4"/>
  <c r="ES64" i="4"/>
  <c r="ET64" i="4"/>
  <c r="EU64" i="4"/>
  <c r="EV64" i="4"/>
  <c r="EW64" i="4"/>
  <c r="EX64" i="4"/>
  <c r="EY64" i="4"/>
  <c r="EZ64" i="4"/>
  <c r="FA64" i="4"/>
  <c r="FB64" i="4"/>
  <c r="FC64" i="4"/>
  <c r="FD64" i="4"/>
  <c r="FE64" i="4"/>
  <c r="FF64" i="4"/>
  <c r="FG64" i="4"/>
  <c r="FH64" i="4"/>
  <c r="FI64" i="4"/>
  <c r="FJ64" i="4"/>
  <c r="FK64" i="4"/>
  <c r="FL64" i="4"/>
  <c r="FM64" i="4"/>
  <c r="FN64" i="4"/>
  <c r="FO64" i="4"/>
  <c r="FP64" i="4"/>
  <c r="FQ64" i="4"/>
  <c r="FR64" i="4"/>
  <c r="FS64" i="4"/>
  <c r="FT64" i="4"/>
  <c r="FU64" i="4"/>
  <c r="FV64" i="4"/>
  <c r="FW64" i="4"/>
  <c r="FX64" i="4"/>
  <c r="FY64" i="4"/>
  <c r="FZ64" i="4"/>
  <c r="GA64" i="4"/>
  <c r="GB64" i="4"/>
  <c r="GC64" i="4"/>
  <c r="GD64" i="4"/>
  <c r="GE64" i="4"/>
  <c r="GF64" i="4"/>
  <c r="GG64" i="4"/>
  <c r="GH64" i="4"/>
  <c r="ES65" i="4"/>
  <c r="ET65" i="4"/>
  <c r="EU65" i="4"/>
  <c r="EV65" i="4"/>
  <c r="EW65" i="4"/>
  <c r="EX65" i="4"/>
  <c r="EY65" i="4"/>
  <c r="EZ65" i="4"/>
  <c r="FA65" i="4"/>
  <c r="FB65" i="4"/>
  <c r="FC65" i="4"/>
  <c r="FD65" i="4"/>
  <c r="FE65" i="4"/>
  <c r="FF65" i="4"/>
  <c r="FG65" i="4"/>
  <c r="FH65" i="4"/>
  <c r="FI65" i="4"/>
  <c r="FJ65" i="4"/>
  <c r="FK65" i="4"/>
  <c r="FL65" i="4"/>
  <c r="FM65" i="4"/>
  <c r="FN65" i="4"/>
  <c r="FO65" i="4"/>
  <c r="FP65" i="4"/>
  <c r="FQ65" i="4"/>
  <c r="FR65" i="4"/>
  <c r="FS65" i="4"/>
  <c r="FT65" i="4"/>
  <c r="FU65" i="4"/>
  <c r="FV65" i="4"/>
  <c r="FW65" i="4"/>
  <c r="FX65" i="4"/>
  <c r="FY65" i="4"/>
  <c r="FZ65" i="4"/>
  <c r="GA65" i="4"/>
  <c r="GB65" i="4"/>
  <c r="GC65" i="4"/>
  <c r="GD65" i="4"/>
  <c r="GE65" i="4"/>
  <c r="GF65" i="4"/>
  <c r="GG65" i="4"/>
  <c r="GH65" i="4"/>
  <c r="ES66" i="4"/>
  <c r="ET66" i="4"/>
  <c r="EU66" i="4"/>
  <c r="EV66" i="4"/>
  <c r="EW66" i="4"/>
  <c r="EX66" i="4"/>
  <c r="EY66" i="4"/>
  <c r="EZ66" i="4"/>
  <c r="FA66" i="4"/>
  <c r="FB66" i="4"/>
  <c r="FC66" i="4"/>
  <c r="FD66" i="4"/>
  <c r="FE66" i="4"/>
  <c r="FF66" i="4"/>
  <c r="FG66" i="4"/>
  <c r="FH66" i="4"/>
  <c r="FI66" i="4"/>
  <c r="FJ66" i="4"/>
  <c r="FK66" i="4"/>
  <c r="FL66" i="4"/>
  <c r="FM66" i="4"/>
  <c r="FN66" i="4"/>
  <c r="FO66" i="4"/>
  <c r="FP66" i="4"/>
  <c r="FQ66" i="4"/>
  <c r="FR66" i="4"/>
  <c r="FS66" i="4"/>
  <c r="FT66" i="4"/>
  <c r="FU66" i="4"/>
  <c r="FV66" i="4"/>
  <c r="FW66" i="4"/>
  <c r="FX66" i="4"/>
  <c r="FY66" i="4"/>
  <c r="FZ66" i="4"/>
  <c r="GA66" i="4"/>
  <c r="GB66" i="4"/>
  <c r="GC66" i="4"/>
  <c r="GD66" i="4"/>
  <c r="GE66" i="4"/>
  <c r="GF66" i="4"/>
  <c r="GG66" i="4"/>
  <c r="GH66" i="4"/>
  <c r="ES67" i="4"/>
  <c r="ET67" i="4"/>
  <c r="EU67" i="4"/>
  <c r="EV67" i="4"/>
  <c r="EW67" i="4"/>
  <c r="EX67" i="4"/>
  <c r="EY67" i="4"/>
  <c r="EZ67" i="4"/>
  <c r="FA67" i="4"/>
  <c r="FB67" i="4"/>
  <c r="FC67" i="4"/>
  <c r="FD67" i="4"/>
  <c r="FE67" i="4"/>
  <c r="FF67" i="4"/>
  <c r="FG67" i="4"/>
  <c r="FH67" i="4"/>
  <c r="FI67" i="4"/>
  <c r="FJ67" i="4"/>
  <c r="FK67" i="4"/>
  <c r="FL67" i="4"/>
  <c r="FM67" i="4"/>
  <c r="FN67" i="4"/>
  <c r="FO67" i="4"/>
  <c r="FP67" i="4"/>
  <c r="FQ67" i="4"/>
  <c r="FR67" i="4"/>
  <c r="FS67" i="4"/>
  <c r="FT67" i="4"/>
  <c r="FU67" i="4"/>
  <c r="FV67" i="4"/>
  <c r="FW67" i="4"/>
  <c r="FX67" i="4"/>
  <c r="FY67" i="4"/>
  <c r="FZ67" i="4"/>
  <c r="GA67" i="4"/>
  <c r="GB67" i="4"/>
  <c r="GC67" i="4"/>
  <c r="GD67" i="4"/>
  <c r="GE67" i="4"/>
  <c r="GF67" i="4"/>
  <c r="GG67" i="4"/>
  <c r="GH67" i="4"/>
  <c r="ES68" i="4"/>
  <c r="ET68" i="4"/>
  <c r="EU68" i="4"/>
  <c r="EV68" i="4"/>
  <c r="EW68" i="4"/>
  <c r="EX68" i="4"/>
  <c r="EY68" i="4"/>
  <c r="EZ68" i="4"/>
  <c r="FA68" i="4"/>
  <c r="FB68" i="4"/>
  <c r="FC68" i="4"/>
  <c r="FD68" i="4"/>
  <c r="FE68" i="4"/>
  <c r="FF68" i="4"/>
  <c r="FG68" i="4"/>
  <c r="FH68" i="4"/>
  <c r="FI68" i="4"/>
  <c r="FJ68" i="4"/>
  <c r="FK68" i="4"/>
  <c r="FL68" i="4"/>
  <c r="FM68" i="4"/>
  <c r="FN68" i="4"/>
  <c r="FO68" i="4"/>
  <c r="FP68" i="4"/>
  <c r="FQ68" i="4"/>
  <c r="FR68" i="4"/>
  <c r="FS68" i="4"/>
  <c r="FT68" i="4"/>
  <c r="FU68" i="4"/>
  <c r="FV68" i="4"/>
  <c r="FW68" i="4"/>
  <c r="FX68" i="4"/>
  <c r="FY68" i="4"/>
  <c r="FZ68" i="4"/>
  <c r="GA68" i="4"/>
  <c r="GB68" i="4"/>
  <c r="GC68" i="4"/>
  <c r="GD68" i="4"/>
  <c r="GE68" i="4"/>
  <c r="GF68" i="4"/>
  <c r="GG68" i="4"/>
  <c r="GH68" i="4"/>
  <c r="ES69" i="4"/>
  <c r="ET69" i="4"/>
  <c r="EU69" i="4"/>
  <c r="EV69" i="4"/>
  <c r="EW69" i="4"/>
  <c r="EX69" i="4"/>
  <c r="EY69" i="4"/>
  <c r="EZ69" i="4"/>
  <c r="FA69" i="4"/>
  <c r="FB69" i="4"/>
  <c r="FC69" i="4"/>
  <c r="FD69" i="4"/>
  <c r="FE69" i="4"/>
  <c r="FF69" i="4"/>
  <c r="FG69" i="4"/>
  <c r="FH69" i="4"/>
  <c r="FI69" i="4"/>
  <c r="FJ69" i="4"/>
  <c r="FK69" i="4"/>
  <c r="FL69" i="4"/>
  <c r="FM69" i="4"/>
  <c r="FN69" i="4"/>
  <c r="FO69" i="4"/>
  <c r="FP69" i="4"/>
  <c r="FQ69" i="4"/>
  <c r="FR69" i="4"/>
  <c r="FS69" i="4"/>
  <c r="FT69" i="4"/>
  <c r="FU69" i="4"/>
  <c r="FV69" i="4"/>
  <c r="FW69" i="4"/>
  <c r="FX69" i="4"/>
  <c r="FY69" i="4"/>
  <c r="FZ69" i="4"/>
  <c r="GA69" i="4"/>
  <c r="GB69" i="4"/>
  <c r="GC69" i="4"/>
  <c r="GD69" i="4"/>
  <c r="GE69" i="4"/>
  <c r="GF69" i="4"/>
  <c r="GG69" i="4"/>
  <c r="GH69" i="4"/>
  <c r="ES70" i="4"/>
  <c r="ET70" i="4"/>
  <c r="EU70" i="4"/>
  <c r="EV70" i="4"/>
  <c r="EW70" i="4"/>
  <c r="EX70" i="4"/>
  <c r="EY70" i="4"/>
  <c r="EZ70" i="4"/>
  <c r="FA70" i="4"/>
  <c r="FB70" i="4"/>
  <c r="FC70" i="4"/>
  <c r="FD70" i="4"/>
  <c r="FE70" i="4"/>
  <c r="FF70" i="4"/>
  <c r="FG70" i="4"/>
  <c r="FH70" i="4"/>
  <c r="FI70" i="4"/>
  <c r="FJ70" i="4"/>
  <c r="FK70" i="4"/>
  <c r="FL70" i="4"/>
  <c r="FM70" i="4"/>
  <c r="FN70" i="4"/>
  <c r="FO70" i="4"/>
  <c r="FP70" i="4"/>
  <c r="FQ70" i="4"/>
  <c r="FR70" i="4"/>
  <c r="FS70" i="4"/>
  <c r="FT70" i="4"/>
  <c r="FU70" i="4"/>
  <c r="FV70" i="4"/>
  <c r="FW70" i="4"/>
  <c r="FX70" i="4"/>
  <c r="FY70" i="4"/>
  <c r="FZ70" i="4"/>
  <c r="GA70" i="4"/>
  <c r="GB70" i="4"/>
  <c r="GC70" i="4"/>
  <c r="GD70" i="4"/>
  <c r="GE70" i="4"/>
  <c r="GF70" i="4"/>
  <c r="GG70" i="4"/>
  <c r="GH70" i="4"/>
  <c r="ES71" i="4"/>
  <c r="ET71" i="4"/>
  <c r="EU71" i="4"/>
  <c r="EV71" i="4"/>
  <c r="EW71" i="4"/>
  <c r="EX71" i="4"/>
  <c r="EY71" i="4"/>
  <c r="EZ71" i="4"/>
  <c r="FA71" i="4"/>
  <c r="FB71" i="4"/>
  <c r="FC71" i="4"/>
  <c r="FD71" i="4"/>
  <c r="FE71" i="4"/>
  <c r="FF71" i="4"/>
  <c r="FG71" i="4"/>
  <c r="FH71" i="4"/>
  <c r="FI71" i="4"/>
  <c r="FJ71" i="4"/>
  <c r="FK71" i="4"/>
  <c r="FL71" i="4"/>
  <c r="FM71" i="4"/>
  <c r="FN71" i="4"/>
  <c r="FO71" i="4"/>
  <c r="FP71" i="4"/>
  <c r="FQ71" i="4"/>
  <c r="FR71" i="4"/>
  <c r="FS71" i="4"/>
  <c r="FT71" i="4"/>
  <c r="FU71" i="4"/>
  <c r="FV71" i="4"/>
  <c r="FW71" i="4"/>
  <c r="FX71" i="4"/>
  <c r="FY71" i="4"/>
  <c r="FZ71" i="4"/>
  <c r="GA71" i="4"/>
  <c r="GB71" i="4"/>
  <c r="GC71" i="4"/>
  <c r="GD71" i="4"/>
  <c r="GE71" i="4"/>
  <c r="GF71" i="4"/>
  <c r="GG71" i="4"/>
  <c r="GH71" i="4"/>
  <c r="ES72" i="4"/>
  <c r="ET72" i="4"/>
  <c r="EU72" i="4"/>
  <c r="EV72" i="4"/>
  <c r="EW72" i="4"/>
  <c r="EX72" i="4"/>
  <c r="EY72" i="4"/>
  <c r="EZ72" i="4"/>
  <c r="FA72" i="4"/>
  <c r="FB72" i="4"/>
  <c r="FC72" i="4"/>
  <c r="FD72" i="4"/>
  <c r="FE72" i="4"/>
  <c r="FF72" i="4"/>
  <c r="FG72" i="4"/>
  <c r="FH72" i="4"/>
  <c r="FI72" i="4"/>
  <c r="FJ72" i="4"/>
  <c r="FK72" i="4"/>
  <c r="FL72" i="4"/>
  <c r="FM72" i="4"/>
  <c r="FN72" i="4"/>
  <c r="FO72" i="4"/>
  <c r="FP72" i="4"/>
  <c r="FQ72" i="4"/>
  <c r="FR72" i="4"/>
  <c r="FS72" i="4"/>
  <c r="FT72" i="4"/>
  <c r="FU72" i="4"/>
  <c r="FV72" i="4"/>
  <c r="FW72" i="4"/>
  <c r="FX72" i="4"/>
  <c r="FY72" i="4"/>
  <c r="FZ72" i="4"/>
  <c r="GA72" i="4"/>
  <c r="GB72" i="4"/>
  <c r="GC72" i="4"/>
  <c r="GD72" i="4"/>
  <c r="GE72" i="4"/>
  <c r="GF72" i="4"/>
  <c r="GG72" i="4"/>
  <c r="GH72" i="4"/>
  <c r="ES73" i="4"/>
  <c r="ET73" i="4"/>
  <c r="EU73" i="4"/>
  <c r="EV73" i="4"/>
  <c r="EW73" i="4"/>
  <c r="EX73" i="4"/>
  <c r="EY73" i="4"/>
  <c r="EZ73" i="4"/>
  <c r="FA73" i="4"/>
  <c r="FB73" i="4"/>
  <c r="FC73" i="4"/>
  <c r="FD73" i="4"/>
  <c r="FE73" i="4"/>
  <c r="FF73" i="4"/>
  <c r="FG73" i="4"/>
  <c r="FH73" i="4"/>
  <c r="FI73" i="4"/>
  <c r="FJ73" i="4"/>
  <c r="FK73" i="4"/>
  <c r="FL73" i="4"/>
  <c r="FM73" i="4"/>
  <c r="FN73" i="4"/>
  <c r="FO73" i="4"/>
  <c r="FP73" i="4"/>
  <c r="FQ73" i="4"/>
  <c r="FR73" i="4"/>
  <c r="FS73" i="4"/>
  <c r="FT73" i="4"/>
  <c r="FU73" i="4"/>
  <c r="FV73" i="4"/>
  <c r="FW73" i="4"/>
  <c r="FX73" i="4"/>
  <c r="FY73" i="4"/>
  <c r="FZ73" i="4"/>
  <c r="GA73" i="4"/>
  <c r="GB73" i="4"/>
  <c r="GC73" i="4"/>
  <c r="GD73" i="4"/>
  <c r="GE73" i="4"/>
  <c r="GF73" i="4"/>
  <c r="GG73" i="4"/>
  <c r="GH73" i="4"/>
  <c r="ES74" i="4"/>
  <c r="ET74" i="4"/>
  <c r="EU74" i="4"/>
  <c r="EV74" i="4"/>
  <c r="EW74" i="4"/>
  <c r="EX74" i="4"/>
  <c r="EY74" i="4"/>
  <c r="EZ74" i="4"/>
  <c r="FA74" i="4"/>
  <c r="FB74" i="4"/>
  <c r="FC74" i="4"/>
  <c r="FD74" i="4"/>
  <c r="FE74" i="4"/>
  <c r="FF74" i="4"/>
  <c r="FG74" i="4"/>
  <c r="FH74" i="4"/>
  <c r="FI74" i="4"/>
  <c r="FJ74" i="4"/>
  <c r="FK74" i="4"/>
  <c r="FL74" i="4"/>
  <c r="FM74" i="4"/>
  <c r="FN74" i="4"/>
  <c r="FO74" i="4"/>
  <c r="FP74" i="4"/>
  <c r="FQ74" i="4"/>
  <c r="FR74" i="4"/>
  <c r="FS74" i="4"/>
  <c r="FT74" i="4"/>
  <c r="FU74" i="4"/>
  <c r="FV74" i="4"/>
  <c r="FW74" i="4"/>
  <c r="FX74" i="4"/>
  <c r="FY74" i="4"/>
  <c r="FZ74" i="4"/>
  <c r="GA74" i="4"/>
  <c r="GB74" i="4"/>
  <c r="GC74" i="4"/>
  <c r="GD74" i="4"/>
  <c r="GE74" i="4"/>
  <c r="GF74" i="4"/>
  <c r="GG74" i="4"/>
  <c r="GH74" i="4"/>
  <c r="ES75" i="4"/>
  <c r="ET75" i="4"/>
  <c r="EU75" i="4"/>
  <c r="EV75" i="4"/>
  <c r="EW75" i="4"/>
  <c r="EX75" i="4"/>
  <c r="EY75" i="4"/>
  <c r="EZ75" i="4"/>
  <c r="FA75" i="4"/>
  <c r="FB75" i="4"/>
  <c r="FC75" i="4"/>
  <c r="FD75" i="4"/>
  <c r="FE75" i="4"/>
  <c r="FF75" i="4"/>
  <c r="FG75" i="4"/>
  <c r="FH75" i="4"/>
  <c r="FI75" i="4"/>
  <c r="FJ75" i="4"/>
  <c r="FK75" i="4"/>
  <c r="FL75" i="4"/>
  <c r="FM75" i="4"/>
  <c r="FN75" i="4"/>
  <c r="FO75" i="4"/>
  <c r="FP75" i="4"/>
  <c r="FQ75" i="4"/>
  <c r="FR75" i="4"/>
  <c r="FS75" i="4"/>
  <c r="FT75" i="4"/>
  <c r="FU75" i="4"/>
  <c r="FV75" i="4"/>
  <c r="FW75" i="4"/>
  <c r="FX75" i="4"/>
  <c r="FY75" i="4"/>
  <c r="FZ75" i="4"/>
  <c r="GA75" i="4"/>
  <c r="GB75" i="4"/>
  <c r="GC75" i="4"/>
  <c r="GD75" i="4"/>
  <c r="GE75" i="4"/>
  <c r="GF75" i="4"/>
  <c r="GG75" i="4"/>
  <c r="GH75" i="4"/>
  <c r="ES76" i="4"/>
  <c r="ET76" i="4"/>
  <c r="EU76" i="4"/>
  <c r="EV76" i="4"/>
  <c r="EW76" i="4"/>
  <c r="EX76" i="4"/>
  <c r="EY76" i="4"/>
  <c r="EZ76" i="4"/>
  <c r="FA76" i="4"/>
  <c r="FB76" i="4"/>
  <c r="FC76" i="4"/>
  <c r="FD76" i="4"/>
  <c r="FE76" i="4"/>
  <c r="FF76" i="4"/>
  <c r="FG76" i="4"/>
  <c r="FH76" i="4"/>
  <c r="FI76" i="4"/>
  <c r="FJ76" i="4"/>
  <c r="FK76" i="4"/>
  <c r="FL76" i="4"/>
  <c r="FM76" i="4"/>
  <c r="FN76" i="4"/>
  <c r="FO76" i="4"/>
  <c r="FP76" i="4"/>
  <c r="FQ76" i="4"/>
  <c r="FR76" i="4"/>
  <c r="FS76" i="4"/>
  <c r="FT76" i="4"/>
  <c r="FU76" i="4"/>
  <c r="FV76" i="4"/>
  <c r="FW76" i="4"/>
  <c r="FX76" i="4"/>
  <c r="FY76" i="4"/>
  <c r="FZ76" i="4"/>
  <c r="GA76" i="4"/>
  <c r="GB76" i="4"/>
  <c r="GC76" i="4"/>
  <c r="GD76" i="4"/>
  <c r="GE76" i="4"/>
  <c r="GF76" i="4"/>
  <c r="GG76" i="4"/>
  <c r="GH76" i="4"/>
  <c r="ES77" i="4"/>
  <c r="ET77" i="4"/>
  <c r="EU77" i="4"/>
  <c r="EV77" i="4"/>
  <c r="EW77" i="4"/>
  <c r="EX77" i="4"/>
  <c r="EY77" i="4"/>
  <c r="EZ77" i="4"/>
  <c r="FA77" i="4"/>
  <c r="FB77" i="4"/>
  <c r="FC77" i="4"/>
  <c r="FD77" i="4"/>
  <c r="FE77" i="4"/>
  <c r="FF77" i="4"/>
  <c r="FG77" i="4"/>
  <c r="FH77" i="4"/>
  <c r="FI77" i="4"/>
  <c r="FJ77" i="4"/>
  <c r="FK77" i="4"/>
  <c r="FL77" i="4"/>
  <c r="FM77" i="4"/>
  <c r="FN77" i="4"/>
  <c r="FO77" i="4"/>
  <c r="FP77" i="4"/>
  <c r="FQ77" i="4"/>
  <c r="FR77" i="4"/>
  <c r="FS77" i="4"/>
  <c r="FT77" i="4"/>
  <c r="FU77" i="4"/>
  <c r="FV77" i="4"/>
  <c r="FW77" i="4"/>
  <c r="FX77" i="4"/>
  <c r="FY77" i="4"/>
  <c r="FZ77" i="4"/>
  <c r="GA77" i="4"/>
  <c r="GB77" i="4"/>
  <c r="GC77" i="4"/>
  <c r="GD77" i="4"/>
  <c r="GE77" i="4"/>
  <c r="GF77" i="4"/>
  <c r="GG77" i="4"/>
  <c r="GH77" i="4"/>
  <c r="ES78" i="4"/>
  <c r="ET78" i="4"/>
  <c r="EU78" i="4"/>
  <c r="EV78" i="4"/>
  <c r="EW78" i="4"/>
  <c r="EX78" i="4"/>
  <c r="EY78" i="4"/>
  <c r="EZ78" i="4"/>
  <c r="FA78" i="4"/>
  <c r="FB78" i="4"/>
  <c r="FC78" i="4"/>
  <c r="FD78" i="4"/>
  <c r="FE78" i="4"/>
  <c r="FF78" i="4"/>
  <c r="FG78" i="4"/>
  <c r="FH78" i="4"/>
  <c r="FI78" i="4"/>
  <c r="FJ78" i="4"/>
  <c r="FK78" i="4"/>
  <c r="FL78" i="4"/>
  <c r="FM78" i="4"/>
  <c r="FN78" i="4"/>
  <c r="FO78" i="4"/>
  <c r="FP78" i="4"/>
  <c r="FQ78" i="4"/>
  <c r="FR78" i="4"/>
  <c r="FS78" i="4"/>
  <c r="FT78" i="4"/>
  <c r="FU78" i="4"/>
  <c r="FV78" i="4"/>
  <c r="FW78" i="4"/>
  <c r="FX78" i="4"/>
  <c r="FY78" i="4"/>
  <c r="FZ78" i="4"/>
  <c r="GA78" i="4"/>
  <c r="GB78" i="4"/>
  <c r="GC78" i="4"/>
  <c r="GD78" i="4"/>
  <c r="GE78" i="4"/>
  <c r="GF78" i="4"/>
  <c r="GG78" i="4"/>
  <c r="GH78" i="4"/>
  <c r="ES79" i="4"/>
  <c r="ET79" i="4"/>
  <c r="EU79" i="4"/>
  <c r="EV79" i="4"/>
  <c r="EW79" i="4"/>
  <c r="EX79" i="4"/>
  <c r="EY79" i="4"/>
  <c r="EZ79" i="4"/>
  <c r="FA79" i="4"/>
  <c r="FB79" i="4"/>
  <c r="FC79" i="4"/>
  <c r="FD79" i="4"/>
  <c r="FE79" i="4"/>
  <c r="FF79" i="4"/>
  <c r="FG79" i="4"/>
  <c r="FH79" i="4"/>
  <c r="FI79" i="4"/>
  <c r="FJ79" i="4"/>
  <c r="FK79" i="4"/>
  <c r="FL79" i="4"/>
  <c r="FM79" i="4"/>
  <c r="FN79" i="4"/>
  <c r="FO79" i="4"/>
  <c r="FP79" i="4"/>
  <c r="FQ79" i="4"/>
  <c r="FR79" i="4"/>
  <c r="FS79" i="4"/>
  <c r="FT79" i="4"/>
  <c r="FU79" i="4"/>
  <c r="FV79" i="4"/>
  <c r="FW79" i="4"/>
  <c r="FX79" i="4"/>
  <c r="FY79" i="4"/>
  <c r="FZ79" i="4"/>
  <c r="GA79" i="4"/>
  <c r="GB79" i="4"/>
  <c r="GC79" i="4"/>
  <c r="GD79" i="4"/>
  <c r="GE79" i="4"/>
  <c r="GF79" i="4"/>
  <c r="GG79" i="4"/>
  <c r="GH79" i="4"/>
  <c r="ES80" i="4"/>
  <c r="ET80" i="4"/>
  <c r="EU80" i="4"/>
  <c r="EV80" i="4"/>
  <c r="EW80" i="4"/>
  <c r="EX80" i="4"/>
  <c r="EY80" i="4"/>
  <c r="EZ80" i="4"/>
  <c r="FA80" i="4"/>
  <c r="FB80" i="4"/>
  <c r="FC80" i="4"/>
  <c r="FD80" i="4"/>
  <c r="FE80" i="4"/>
  <c r="FF80" i="4"/>
  <c r="FG80" i="4"/>
  <c r="FH80" i="4"/>
  <c r="FI80" i="4"/>
  <c r="FJ80" i="4"/>
  <c r="FK80" i="4"/>
  <c r="FL80" i="4"/>
  <c r="FM80" i="4"/>
  <c r="FN80" i="4"/>
  <c r="FO80" i="4"/>
  <c r="FP80" i="4"/>
  <c r="FQ80" i="4"/>
  <c r="FR80" i="4"/>
  <c r="FS80" i="4"/>
  <c r="FT80" i="4"/>
  <c r="FU80" i="4"/>
  <c r="FV80" i="4"/>
  <c r="FW80" i="4"/>
  <c r="FX80" i="4"/>
  <c r="FY80" i="4"/>
  <c r="FZ80" i="4"/>
  <c r="GA80" i="4"/>
  <c r="GB80" i="4"/>
  <c r="GC80" i="4"/>
  <c r="GD80" i="4"/>
  <c r="GE80" i="4"/>
  <c r="GF80" i="4"/>
  <c r="GG80" i="4"/>
  <c r="GH80" i="4"/>
  <c r="ES81" i="4"/>
  <c r="ET81" i="4"/>
  <c r="EU81" i="4"/>
  <c r="EV81" i="4"/>
  <c r="EW81" i="4"/>
  <c r="EX81" i="4"/>
  <c r="EY81" i="4"/>
  <c r="EZ81" i="4"/>
  <c r="FA81" i="4"/>
  <c r="FB81" i="4"/>
  <c r="FC81" i="4"/>
  <c r="FD81" i="4"/>
  <c r="FE81" i="4"/>
  <c r="FF81" i="4"/>
  <c r="FG81" i="4"/>
  <c r="FH81" i="4"/>
  <c r="FI81" i="4"/>
  <c r="FJ81" i="4"/>
  <c r="FK81" i="4"/>
  <c r="FL81" i="4"/>
  <c r="FM81" i="4"/>
  <c r="FN81" i="4"/>
  <c r="FO81" i="4"/>
  <c r="FP81" i="4"/>
  <c r="FQ81" i="4"/>
  <c r="FR81" i="4"/>
  <c r="FS81" i="4"/>
  <c r="FT81" i="4"/>
  <c r="FU81" i="4"/>
  <c r="FV81" i="4"/>
  <c r="FW81" i="4"/>
  <c r="FX81" i="4"/>
  <c r="FY81" i="4"/>
  <c r="FZ81" i="4"/>
  <c r="GA81" i="4"/>
  <c r="GB81" i="4"/>
  <c r="GC81" i="4"/>
  <c r="GD81" i="4"/>
  <c r="GE81" i="4"/>
  <c r="GF81" i="4"/>
  <c r="GG81" i="4"/>
  <c r="GH81" i="4"/>
  <c r="ES82" i="4"/>
  <c r="ET82" i="4"/>
  <c r="EU82" i="4"/>
  <c r="EV82" i="4"/>
  <c r="EW82" i="4"/>
  <c r="EX82" i="4"/>
  <c r="EY82" i="4"/>
  <c r="EZ82" i="4"/>
  <c r="FA82" i="4"/>
  <c r="FB82" i="4"/>
  <c r="FC82" i="4"/>
  <c r="FD82" i="4"/>
  <c r="FE82" i="4"/>
  <c r="FF82" i="4"/>
  <c r="FG82" i="4"/>
  <c r="FH82" i="4"/>
  <c r="FI82" i="4"/>
  <c r="FJ82" i="4"/>
  <c r="FK82" i="4"/>
  <c r="FL82" i="4"/>
  <c r="FM82" i="4"/>
  <c r="FN82" i="4"/>
  <c r="FO82" i="4"/>
  <c r="FP82" i="4"/>
  <c r="FQ82" i="4"/>
  <c r="FR82" i="4"/>
  <c r="FS82" i="4"/>
  <c r="FT82" i="4"/>
  <c r="FU82" i="4"/>
  <c r="FV82" i="4"/>
  <c r="FW82" i="4"/>
  <c r="FX82" i="4"/>
  <c r="FY82" i="4"/>
  <c r="FZ82" i="4"/>
  <c r="GA82" i="4"/>
  <c r="GB82" i="4"/>
  <c r="GC82" i="4"/>
  <c r="GD82" i="4"/>
  <c r="GE82" i="4"/>
  <c r="GF82" i="4"/>
  <c r="GG82" i="4"/>
  <c r="GH82" i="4"/>
  <c r="ES83" i="4"/>
  <c r="ET83" i="4"/>
  <c r="EU83" i="4"/>
  <c r="EV83" i="4"/>
  <c r="EW83" i="4"/>
  <c r="EX83" i="4"/>
  <c r="EY83" i="4"/>
  <c r="EZ83" i="4"/>
  <c r="FA83" i="4"/>
  <c r="FB83" i="4"/>
  <c r="FC83" i="4"/>
  <c r="FD83" i="4"/>
  <c r="FE83" i="4"/>
  <c r="FF83" i="4"/>
  <c r="FG83" i="4"/>
  <c r="FH83" i="4"/>
  <c r="FI83" i="4"/>
  <c r="FJ83" i="4"/>
  <c r="FK83" i="4"/>
  <c r="FL83" i="4"/>
  <c r="FM83" i="4"/>
  <c r="FN83" i="4"/>
  <c r="FO83" i="4"/>
  <c r="FP83" i="4"/>
  <c r="FQ83" i="4"/>
  <c r="FR83" i="4"/>
  <c r="FS83" i="4"/>
  <c r="FT83" i="4"/>
  <c r="FU83" i="4"/>
  <c r="FV83" i="4"/>
  <c r="FW83" i="4"/>
  <c r="FX83" i="4"/>
  <c r="FY83" i="4"/>
  <c r="FZ83" i="4"/>
  <c r="GA83" i="4"/>
  <c r="GB83" i="4"/>
  <c r="GC83" i="4"/>
  <c r="GD83" i="4"/>
  <c r="GE83" i="4"/>
  <c r="GF83" i="4"/>
  <c r="GG83" i="4"/>
  <c r="GH83" i="4"/>
  <c r="ES84" i="4"/>
  <c r="ET84" i="4"/>
  <c r="EU84" i="4"/>
  <c r="EV84" i="4"/>
  <c r="EW84" i="4"/>
  <c r="EX84" i="4"/>
  <c r="EY84" i="4"/>
  <c r="EZ84" i="4"/>
  <c r="FA84" i="4"/>
  <c r="FB84" i="4"/>
  <c r="FC84" i="4"/>
  <c r="FD84" i="4"/>
  <c r="FE84" i="4"/>
  <c r="FF84" i="4"/>
  <c r="FG84" i="4"/>
  <c r="FH84" i="4"/>
  <c r="FI84" i="4"/>
  <c r="FJ84" i="4"/>
  <c r="FK84" i="4"/>
  <c r="FL84" i="4"/>
  <c r="FM84" i="4"/>
  <c r="FN84" i="4"/>
  <c r="FO84" i="4"/>
  <c r="FP84" i="4"/>
  <c r="FQ84" i="4"/>
  <c r="FR84" i="4"/>
  <c r="FS84" i="4"/>
  <c r="FT84" i="4"/>
  <c r="FU84" i="4"/>
  <c r="FV84" i="4"/>
  <c r="FW84" i="4"/>
  <c r="FX84" i="4"/>
  <c r="FY84" i="4"/>
  <c r="FZ84" i="4"/>
  <c r="GA84" i="4"/>
  <c r="GB84" i="4"/>
  <c r="GC84" i="4"/>
  <c r="GD84" i="4"/>
  <c r="GE84" i="4"/>
  <c r="GF84" i="4"/>
  <c r="GG84" i="4"/>
  <c r="GH84" i="4"/>
  <c r="ES85" i="4"/>
  <c r="ET85" i="4"/>
  <c r="EU85" i="4"/>
  <c r="EV85" i="4"/>
  <c r="EW85" i="4"/>
  <c r="EX85" i="4"/>
  <c r="EY85" i="4"/>
  <c r="EZ85" i="4"/>
  <c r="FA85" i="4"/>
  <c r="FB85" i="4"/>
  <c r="FC85" i="4"/>
  <c r="FD85" i="4"/>
  <c r="FE85" i="4"/>
  <c r="FF85" i="4"/>
  <c r="FG85" i="4"/>
  <c r="FH85" i="4"/>
  <c r="FI85" i="4"/>
  <c r="FJ85" i="4"/>
  <c r="FK85" i="4"/>
  <c r="FL85" i="4"/>
  <c r="FM85" i="4"/>
  <c r="FN85" i="4"/>
  <c r="FO85" i="4"/>
  <c r="FP85" i="4"/>
  <c r="FQ85" i="4"/>
  <c r="FR85" i="4"/>
  <c r="FS85" i="4"/>
  <c r="FT85" i="4"/>
  <c r="FU85" i="4"/>
  <c r="FV85" i="4"/>
  <c r="FW85" i="4"/>
  <c r="FX85" i="4"/>
  <c r="FY85" i="4"/>
  <c r="FZ85" i="4"/>
  <c r="GA85" i="4"/>
  <c r="GB85" i="4"/>
  <c r="GC85" i="4"/>
  <c r="GD85" i="4"/>
  <c r="GE85" i="4"/>
  <c r="GF85" i="4"/>
  <c r="GG85" i="4"/>
  <c r="GH85" i="4"/>
  <c r="ES86" i="4"/>
  <c r="ET86" i="4"/>
  <c r="EU86" i="4"/>
  <c r="EV86" i="4"/>
  <c r="EW86" i="4"/>
  <c r="EX86" i="4"/>
  <c r="EY86" i="4"/>
  <c r="EZ86" i="4"/>
  <c r="FA86" i="4"/>
  <c r="FB86" i="4"/>
  <c r="FC86" i="4"/>
  <c r="FD86" i="4"/>
  <c r="FE86" i="4"/>
  <c r="FF86" i="4"/>
  <c r="FG86" i="4"/>
  <c r="FH86" i="4"/>
  <c r="FI86" i="4"/>
  <c r="FJ86" i="4"/>
  <c r="FK86" i="4"/>
  <c r="FL86" i="4"/>
  <c r="FM86" i="4"/>
  <c r="FN86" i="4"/>
  <c r="FO86" i="4"/>
  <c r="FP86" i="4"/>
  <c r="FQ86" i="4"/>
  <c r="FR86" i="4"/>
  <c r="FS86" i="4"/>
  <c r="FT86" i="4"/>
  <c r="FU86" i="4"/>
  <c r="FV86" i="4"/>
  <c r="FW86" i="4"/>
  <c r="FX86" i="4"/>
  <c r="FY86" i="4"/>
  <c r="FZ86" i="4"/>
  <c r="GA86" i="4"/>
  <c r="GB86" i="4"/>
  <c r="GC86" i="4"/>
  <c r="GD86" i="4"/>
  <c r="GE86" i="4"/>
  <c r="GF86" i="4"/>
  <c r="GG86" i="4"/>
  <c r="GH86" i="4"/>
  <c r="ES87" i="4"/>
  <c r="ET87" i="4"/>
  <c r="EU87" i="4"/>
  <c r="EV87" i="4"/>
  <c r="EW87" i="4"/>
  <c r="EX87" i="4"/>
  <c r="EY87" i="4"/>
  <c r="EZ87" i="4"/>
  <c r="FA87" i="4"/>
  <c r="FB87" i="4"/>
  <c r="FC87" i="4"/>
  <c r="FD87" i="4"/>
  <c r="FE87" i="4"/>
  <c r="FF87" i="4"/>
  <c r="FG87" i="4"/>
  <c r="FH87" i="4"/>
  <c r="FI87" i="4"/>
  <c r="FJ87" i="4"/>
  <c r="FK87" i="4"/>
  <c r="FL87" i="4"/>
  <c r="FM87" i="4"/>
  <c r="FN87" i="4"/>
  <c r="FO87" i="4"/>
  <c r="FP87" i="4"/>
  <c r="FQ87" i="4"/>
  <c r="FR87" i="4"/>
  <c r="FS87" i="4"/>
  <c r="FT87" i="4"/>
  <c r="FU87" i="4"/>
  <c r="FV87" i="4"/>
  <c r="FW87" i="4"/>
  <c r="FX87" i="4"/>
  <c r="FY87" i="4"/>
  <c r="FZ87" i="4"/>
  <c r="GA87" i="4"/>
  <c r="GB87" i="4"/>
  <c r="GC87" i="4"/>
  <c r="GD87" i="4"/>
  <c r="GE87" i="4"/>
  <c r="GF87" i="4"/>
  <c r="GG87" i="4"/>
  <c r="GH87" i="4"/>
  <c r="ES88" i="4"/>
  <c r="ET88" i="4"/>
  <c r="EU88" i="4"/>
  <c r="EV88" i="4"/>
  <c r="EW88" i="4"/>
  <c r="EX88" i="4"/>
  <c r="EY88" i="4"/>
  <c r="EZ88" i="4"/>
  <c r="FA88" i="4"/>
  <c r="FB88" i="4"/>
  <c r="FC88" i="4"/>
  <c r="FD88" i="4"/>
  <c r="FE88" i="4"/>
  <c r="FF88" i="4"/>
  <c r="FG88" i="4"/>
  <c r="FH88" i="4"/>
  <c r="FI88" i="4"/>
  <c r="FJ88" i="4"/>
  <c r="FK88" i="4"/>
  <c r="FL88" i="4"/>
  <c r="FM88" i="4"/>
  <c r="FN88" i="4"/>
  <c r="FO88" i="4"/>
  <c r="FP88" i="4"/>
  <c r="FQ88" i="4"/>
  <c r="FR88" i="4"/>
  <c r="FS88" i="4"/>
  <c r="FT88" i="4"/>
  <c r="FU88" i="4"/>
  <c r="FV88" i="4"/>
  <c r="FW88" i="4"/>
  <c r="FX88" i="4"/>
  <c r="FY88" i="4"/>
  <c r="FZ88" i="4"/>
  <c r="GA88" i="4"/>
  <c r="GB88" i="4"/>
  <c r="GC88" i="4"/>
  <c r="GD88" i="4"/>
  <c r="GE88" i="4"/>
  <c r="GF88" i="4"/>
  <c r="GG88" i="4"/>
  <c r="GH88" i="4"/>
  <c r="ES89" i="4"/>
  <c r="ET89" i="4"/>
  <c r="EU89" i="4"/>
  <c r="EV89" i="4"/>
  <c r="EW89" i="4"/>
  <c r="EX89" i="4"/>
  <c r="EY89" i="4"/>
  <c r="EZ89" i="4"/>
  <c r="FA89" i="4"/>
  <c r="FB89" i="4"/>
  <c r="FC89" i="4"/>
  <c r="FD89" i="4"/>
  <c r="FE89" i="4"/>
  <c r="FF89" i="4"/>
  <c r="FG89" i="4"/>
  <c r="FH89" i="4"/>
  <c r="FI89" i="4"/>
  <c r="FJ89" i="4"/>
  <c r="FK89" i="4"/>
  <c r="FL89" i="4"/>
  <c r="FM89" i="4"/>
  <c r="FN89" i="4"/>
  <c r="FO89" i="4"/>
  <c r="FP89" i="4"/>
  <c r="FQ89" i="4"/>
  <c r="FR89" i="4"/>
  <c r="FS89" i="4"/>
  <c r="FT89" i="4"/>
  <c r="FU89" i="4"/>
  <c r="FV89" i="4"/>
  <c r="FW89" i="4"/>
  <c r="FX89" i="4"/>
  <c r="FY89" i="4"/>
  <c r="FZ89" i="4"/>
  <c r="GA89" i="4"/>
  <c r="GB89" i="4"/>
  <c r="GC89" i="4"/>
  <c r="GD89" i="4"/>
  <c r="GE89" i="4"/>
  <c r="GF89" i="4"/>
  <c r="GG89" i="4"/>
  <c r="GH89" i="4"/>
  <c r="ES90" i="4"/>
  <c r="ET90" i="4"/>
  <c r="EU90" i="4"/>
  <c r="EV90" i="4"/>
  <c r="EW90" i="4"/>
  <c r="EX90" i="4"/>
  <c r="EY90" i="4"/>
  <c r="EZ90" i="4"/>
  <c r="FA90" i="4"/>
  <c r="FB90" i="4"/>
  <c r="FC90" i="4"/>
  <c r="FD90" i="4"/>
  <c r="FE90" i="4"/>
  <c r="FF90" i="4"/>
  <c r="FG90" i="4"/>
  <c r="FH90" i="4"/>
  <c r="FI90" i="4"/>
  <c r="FJ90" i="4"/>
  <c r="FK90" i="4"/>
  <c r="FL90" i="4"/>
  <c r="FM90" i="4"/>
  <c r="FN90" i="4"/>
  <c r="FO90" i="4"/>
  <c r="FP90" i="4"/>
  <c r="FQ90" i="4"/>
  <c r="FR90" i="4"/>
  <c r="FS90" i="4"/>
  <c r="FT90" i="4"/>
  <c r="FU90" i="4"/>
  <c r="FV90" i="4"/>
  <c r="FW90" i="4"/>
  <c r="FX90" i="4"/>
  <c r="FY90" i="4"/>
  <c r="FZ90" i="4"/>
  <c r="GA90" i="4"/>
  <c r="GB90" i="4"/>
  <c r="GC90" i="4"/>
  <c r="GD90" i="4"/>
  <c r="GE90" i="4"/>
  <c r="GF90" i="4"/>
  <c r="GG90" i="4"/>
  <c r="GH90" i="4"/>
  <c r="EK2" i="4"/>
  <c r="EL2" i="4"/>
  <c r="EM2" i="4"/>
  <c r="EN2" i="4"/>
  <c r="EO2" i="4"/>
  <c r="EP2" i="4"/>
  <c r="EQ2" i="4"/>
  <c r="ER2" i="4"/>
  <c r="EK3" i="4"/>
  <c r="EL3" i="4"/>
  <c r="EM3" i="4"/>
  <c r="EN3" i="4"/>
  <c r="EO3" i="4"/>
  <c r="EP3" i="4"/>
  <c r="EQ3" i="4"/>
  <c r="ER3" i="4"/>
  <c r="EK4" i="4"/>
  <c r="EL4" i="4"/>
  <c r="EM4" i="4"/>
  <c r="EN4" i="4"/>
  <c r="EO4" i="4"/>
  <c r="EP4" i="4"/>
  <c r="EQ4" i="4"/>
  <c r="ER4" i="4"/>
  <c r="EK5" i="4"/>
  <c r="EL5" i="4"/>
  <c r="EM5" i="4"/>
  <c r="EN5" i="4"/>
  <c r="EO5" i="4"/>
  <c r="EP5" i="4"/>
  <c r="EQ5" i="4"/>
  <c r="ER5" i="4"/>
  <c r="EK6" i="4"/>
  <c r="EL6" i="4"/>
  <c r="EM6" i="4"/>
  <c r="EN6" i="4"/>
  <c r="EO6" i="4"/>
  <c r="EP6" i="4"/>
  <c r="EQ6" i="4"/>
  <c r="ER6" i="4"/>
  <c r="EK7" i="4"/>
  <c r="EL7" i="4"/>
  <c r="EM7" i="4"/>
  <c r="EN7" i="4"/>
  <c r="EO7" i="4"/>
  <c r="EP7" i="4"/>
  <c r="EQ7" i="4"/>
  <c r="ER7" i="4"/>
  <c r="EK8" i="4"/>
  <c r="EL8" i="4"/>
  <c r="EM8" i="4"/>
  <c r="EN8" i="4"/>
  <c r="EO8" i="4"/>
  <c r="EP8" i="4"/>
  <c r="EQ8" i="4"/>
  <c r="ER8" i="4"/>
  <c r="EK9" i="4"/>
  <c r="EL9" i="4"/>
  <c r="EM9" i="4"/>
  <c r="EN9" i="4"/>
  <c r="EO9" i="4"/>
  <c r="EP9" i="4"/>
  <c r="EQ9" i="4"/>
  <c r="ER9" i="4"/>
  <c r="EK10" i="4"/>
  <c r="EL10" i="4"/>
  <c r="EM10" i="4"/>
  <c r="EN10" i="4"/>
  <c r="EO10" i="4"/>
  <c r="EP10" i="4"/>
  <c r="EQ10" i="4"/>
  <c r="ER10" i="4"/>
  <c r="EK11" i="4"/>
  <c r="EL11" i="4"/>
  <c r="EM11" i="4"/>
  <c r="EN11" i="4"/>
  <c r="EO11" i="4"/>
  <c r="EP11" i="4"/>
  <c r="EQ11" i="4"/>
  <c r="ER11" i="4"/>
  <c r="EK12" i="4"/>
  <c r="EL12" i="4"/>
  <c r="EM12" i="4"/>
  <c r="EN12" i="4"/>
  <c r="EO12" i="4"/>
  <c r="EP12" i="4"/>
  <c r="EQ12" i="4"/>
  <c r="ER12" i="4"/>
  <c r="EK13" i="4"/>
  <c r="EL13" i="4"/>
  <c r="EM13" i="4"/>
  <c r="EN13" i="4"/>
  <c r="EO13" i="4"/>
  <c r="EP13" i="4"/>
  <c r="EQ13" i="4"/>
  <c r="ER13" i="4"/>
  <c r="EK14" i="4"/>
  <c r="EL14" i="4"/>
  <c r="EM14" i="4"/>
  <c r="EN14" i="4"/>
  <c r="EO14" i="4"/>
  <c r="EP14" i="4"/>
  <c r="EQ14" i="4"/>
  <c r="ER14" i="4"/>
  <c r="EK15" i="4"/>
  <c r="EL15" i="4"/>
  <c r="EM15" i="4"/>
  <c r="EN15" i="4"/>
  <c r="EO15" i="4"/>
  <c r="EP15" i="4"/>
  <c r="EQ15" i="4"/>
  <c r="ER15" i="4"/>
  <c r="EK16" i="4"/>
  <c r="EL16" i="4"/>
  <c r="EM16" i="4"/>
  <c r="EN16" i="4"/>
  <c r="EO16" i="4"/>
  <c r="EP16" i="4"/>
  <c r="EQ16" i="4"/>
  <c r="ER16" i="4"/>
  <c r="EK17" i="4"/>
  <c r="EL17" i="4"/>
  <c r="EM17" i="4"/>
  <c r="EN17" i="4"/>
  <c r="EO17" i="4"/>
  <c r="EP17" i="4"/>
  <c r="EQ17" i="4"/>
  <c r="ER17" i="4"/>
  <c r="EK18" i="4"/>
  <c r="EL18" i="4"/>
  <c r="EM18" i="4"/>
  <c r="EN18" i="4"/>
  <c r="EO18" i="4"/>
  <c r="EP18" i="4"/>
  <c r="EQ18" i="4"/>
  <c r="ER18" i="4"/>
  <c r="EK19" i="4"/>
  <c r="EL19" i="4"/>
  <c r="EM19" i="4"/>
  <c r="EN19" i="4"/>
  <c r="EO19" i="4"/>
  <c r="EP19" i="4"/>
  <c r="EQ19" i="4"/>
  <c r="ER19" i="4"/>
  <c r="EK20" i="4"/>
  <c r="EL20" i="4"/>
  <c r="EM20" i="4"/>
  <c r="EN20" i="4"/>
  <c r="EO20" i="4"/>
  <c r="EP20" i="4"/>
  <c r="EQ20" i="4"/>
  <c r="ER20" i="4"/>
  <c r="EK21" i="4"/>
  <c r="EL21" i="4"/>
  <c r="EM21" i="4"/>
  <c r="EN21" i="4"/>
  <c r="EO21" i="4"/>
  <c r="EP21" i="4"/>
  <c r="EQ21" i="4"/>
  <c r="ER21" i="4"/>
  <c r="EK22" i="4"/>
  <c r="EL22" i="4"/>
  <c r="EM22" i="4"/>
  <c r="EN22" i="4"/>
  <c r="EO22" i="4"/>
  <c r="EP22" i="4"/>
  <c r="EQ22" i="4"/>
  <c r="ER22" i="4"/>
  <c r="EK23" i="4"/>
  <c r="EL23" i="4"/>
  <c r="EM23" i="4"/>
  <c r="EN23" i="4"/>
  <c r="EO23" i="4"/>
  <c r="EP23" i="4"/>
  <c r="EQ23" i="4"/>
  <c r="ER23" i="4"/>
  <c r="EK24" i="4"/>
  <c r="EL24" i="4"/>
  <c r="EM24" i="4"/>
  <c r="EN24" i="4"/>
  <c r="EO24" i="4"/>
  <c r="EP24" i="4"/>
  <c r="EQ24" i="4"/>
  <c r="ER24" i="4"/>
  <c r="EK25" i="4"/>
  <c r="EL25" i="4"/>
  <c r="EM25" i="4"/>
  <c r="EN25" i="4"/>
  <c r="EO25" i="4"/>
  <c r="EP25" i="4"/>
  <c r="EQ25" i="4"/>
  <c r="ER25" i="4"/>
  <c r="EK26" i="4"/>
  <c r="EL26" i="4"/>
  <c r="EM26" i="4"/>
  <c r="EN26" i="4"/>
  <c r="EO26" i="4"/>
  <c r="EP26" i="4"/>
  <c r="EQ26" i="4"/>
  <c r="ER26" i="4"/>
  <c r="EK27" i="4"/>
  <c r="EL27" i="4"/>
  <c r="EM27" i="4"/>
  <c r="EN27" i="4"/>
  <c r="EO27" i="4"/>
  <c r="EP27" i="4"/>
  <c r="EQ27" i="4"/>
  <c r="ER27" i="4"/>
  <c r="EK28" i="4"/>
  <c r="EL28" i="4"/>
  <c r="EM28" i="4"/>
  <c r="EN28" i="4"/>
  <c r="EO28" i="4"/>
  <c r="EP28" i="4"/>
  <c r="EQ28" i="4"/>
  <c r="ER28" i="4"/>
  <c r="EK29" i="4"/>
  <c r="EL29" i="4"/>
  <c r="EM29" i="4"/>
  <c r="EN29" i="4"/>
  <c r="EO29" i="4"/>
  <c r="EP29" i="4"/>
  <c r="EQ29" i="4"/>
  <c r="ER29" i="4"/>
  <c r="EK30" i="4"/>
  <c r="EL30" i="4"/>
  <c r="EM30" i="4"/>
  <c r="EN30" i="4"/>
  <c r="EO30" i="4"/>
  <c r="EP30" i="4"/>
  <c r="EQ30" i="4"/>
  <c r="ER30" i="4"/>
  <c r="EK31" i="4"/>
  <c r="EL31" i="4"/>
  <c r="EM31" i="4"/>
  <c r="EN31" i="4"/>
  <c r="EO31" i="4"/>
  <c r="EP31" i="4"/>
  <c r="EQ31" i="4"/>
  <c r="ER31" i="4"/>
  <c r="EK32" i="4"/>
  <c r="EL32" i="4"/>
  <c r="EM32" i="4"/>
  <c r="EN32" i="4"/>
  <c r="EO32" i="4"/>
  <c r="EP32" i="4"/>
  <c r="EQ32" i="4"/>
  <c r="ER32" i="4"/>
  <c r="EK33" i="4"/>
  <c r="EL33" i="4"/>
  <c r="EM33" i="4"/>
  <c r="EN33" i="4"/>
  <c r="EO33" i="4"/>
  <c r="EP33" i="4"/>
  <c r="EQ33" i="4"/>
  <c r="ER33" i="4"/>
  <c r="EK34" i="4"/>
  <c r="EL34" i="4"/>
  <c r="EM34" i="4"/>
  <c r="EN34" i="4"/>
  <c r="EO34" i="4"/>
  <c r="EP34" i="4"/>
  <c r="EQ34" i="4"/>
  <c r="ER34" i="4"/>
  <c r="EK35" i="4"/>
  <c r="EL35" i="4"/>
  <c r="EM35" i="4"/>
  <c r="EN35" i="4"/>
  <c r="EO35" i="4"/>
  <c r="EP35" i="4"/>
  <c r="EQ35" i="4"/>
  <c r="ER35" i="4"/>
  <c r="EK36" i="4"/>
  <c r="EL36" i="4"/>
  <c r="EM36" i="4"/>
  <c r="EN36" i="4"/>
  <c r="EO36" i="4"/>
  <c r="EP36" i="4"/>
  <c r="EQ36" i="4"/>
  <c r="ER36" i="4"/>
  <c r="EK37" i="4"/>
  <c r="EL37" i="4"/>
  <c r="EM37" i="4"/>
  <c r="EN37" i="4"/>
  <c r="EO37" i="4"/>
  <c r="EP37" i="4"/>
  <c r="EQ37" i="4"/>
  <c r="ER37" i="4"/>
  <c r="EK38" i="4"/>
  <c r="EL38" i="4"/>
  <c r="EM38" i="4"/>
  <c r="EN38" i="4"/>
  <c r="EO38" i="4"/>
  <c r="EP38" i="4"/>
  <c r="EQ38" i="4"/>
  <c r="ER38" i="4"/>
  <c r="EK39" i="4"/>
  <c r="EL39" i="4"/>
  <c r="EM39" i="4"/>
  <c r="EN39" i="4"/>
  <c r="EO39" i="4"/>
  <c r="EP39" i="4"/>
  <c r="EQ39" i="4"/>
  <c r="ER39" i="4"/>
  <c r="EK40" i="4"/>
  <c r="EL40" i="4"/>
  <c r="EM40" i="4"/>
  <c r="EN40" i="4"/>
  <c r="EO40" i="4"/>
  <c r="EP40" i="4"/>
  <c r="EQ40" i="4"/>
  <c r="ER40" i="4"/>
  <c r="EK41" i="4"/>
  <c r="EL41" i="4"/>
  <c r="EM41" i="4"/>
  <c r="EN41" i="4"/>
  <c r="EO41" i="4"/>
  <c r="EP41" i="4"/>
  <c r="EQ41" i="4"/>
  <c r="ER41" i="4"/>
  <c r="EK42" i="4"/>
  <c r="EL42" i="4"/>
  <c r="EM42" i="4"/>
  <c r="EN42" i="4"/>
  <c r="EO42" i="4"/>
  <c r="EP42" i="4"/>
  <c r="EQ42" i="4"/>
  <c r="ER42" i="4"/>
  <c r="EK43" i="4"/>
  <c r="EL43" i="4"/>
  <c r="EM43" i="4"/>
  <c r="EN43" i="4"/>
  <c r="EO43" i="4"/>
  <c r="EP43" i="4"/>
  <c r="EQ43" i="4"/>
  <c r="ER43" i="4"/>
  <c r="EK44" i="4"/>
  <c r="EL44" i="4"/>
  <c r="EM44" i="4"/>
  <c r="EN44" i="4"/>
  <c r="EO44" i="4"/>
  <c r="EP44" i="4"/>
  <c r="EQ44" i="4"/>
  <c r="ER44" i="4"/>
  <c r="EK45" i="4"/>
  <c r="EL45" i="4"/>
  <c r="EM45" i="4"/>
  <c r="EN45" i="4"/>
  <c r="EO45" i="4"/>
  <c r="EP45" i="4"/>
  <c r="EQ45" i="4"/>
  <c r="ER45" i="4"/>
  <c r="EK46" i="4"/>
  <c r="EL46" i="4"/>
  <c r="EM46" i="4"/>
  <c r="EN46" i="4"/>
  <c r="EO46" i="4"/>
  <c r="EP46" i="4"/>
  <c r="EQ46" i="4"/>
  <c r="ER46" i="4"/>
  <c r="EK47" i="4"/>
  <c r="EL47" i="4"/>
  <c r="EM47" i="4"/>
  <c r="EN47" i="4"/>
  <c r="EO47" i="4"/>
  <c r="EP47" i="4"/>
  <c r="EQ47" i="4"/>
  <c r="ER47" i="4"/>
  <c r="EK48" i="4"/>
  <c r="EL48" i="4"/>
  <c r="EM48" i="4"/>
  <c r="EN48" i="4"/>
  <c r="EO48" i="4"/>
  <c r="EP48" i="4"/>
  <c r="EQ48" i="4"/>
  <c r="ER48" i="4"/>
  <c r="EK49" i="4"/>
  <c r="EL49" i="4"/>
  <c r="EM49" i="4"/>
  <c r="EN49" i="4"/>
  <c r="EO49" i="4"/>
  <c r="EP49" i="4"/>
  <c r="EQ49" i="4"/>
  <c r="ER49" i="4"/>
  <c r="EK50" i="4"/>
  <c r="EL50" i="4"/>
  <c r="EM50" i="4"/>
  <c r="EN50" i="4"/>
  <c r="EO50" i="4"/>
  <c r="EP50" i="4"/>
  <c r="EQ50" i="4"/>
  <c r="ER50" i="4"/>
  <c r="EK51" i="4"/>
  <c r="EL51" i="4"/>
  <c r="EM51" i="4"/>
  <c r="EN51" i="4"/>
  <c r="EO51" i="4"/>
  <c r="EP51" i="4"/>
  <c r="EQ51" i="4"/>
  <c r="ER51" i="4"/>
  <c r="EK52" i="4"/>
  <c r="EL52" i="4"/>
  <c r="EM52" i="4"/>
  <c r="EN52" i="4"/>
  <c r="EO52" i="4"/>
  <c r="EP52" i="4"/>
  <c r="EQ52" i="4"/>
  <c r="ER52" i="4"/>
  <c r="EK53" i="4"/>
  <c r="EL53" i="4"/>
  <c r="EM53" i="4"/>
  <c r="EN53" i="4"/>
  <c r="EO53" i="4"/>
  <c r="EP53" i="4"/>
  <c r="EQ53" i="4"/>
  <c r="ER53" i="4"/>
  <c r="EK54" i="4"/>
  <c r="EL54" i="4"/>
  <c r="EM54" i="4"/>
  <c r="EN54" i="4"/>
  <c r="EO54" i="4"/>
  <c r="EP54" i="4"/>
  <c r="EQ54" i="4"/>
  <c r="ER54" i="4"/>
  <c r="EK55" i="4"/>
  <c r="EL55" i="4"/>
  <c r="EM55" i="4"/>
  <c r="EN55" i="4"/>
  <c r="EO55" i="4"/>
  <c r="EP55" i="4"/>
  <c r="EQ55" i="4"/>
  <c r="ER55" i="4"/>
  <c r="EK56" i="4"/>
  <c r="EL56" i="4"/>
  <c r="EM56" i="4"/>
  <c r="EN56" i="4"/>
  <c r="EO56" i="4"/>
  <c r="EP56" i="4"/>
  <c r="EQ56" i="4"/>
  <c r="ER56" i="4"/>
  <c r="EK57" i="4"/>
  <c r="EL57" i="4"/>
  <c r="EM57" i="4"/>
  <c r="EN57" i="4"/>
  <c r="EO57" i="4"/>
  <c r="EP57" i="4"/>
  <c r="EQ57" i="4"/>
  <c r="ER57" i="4"/>
  <c r="EK58" i="4"/>
  <c r="EL58" i="4"/>
  <c r="EM58" i="4"/>
  <c r="EN58" i="4"/>
  <c r="EO58" i="4"/>
  <c r="EP58" i="4"/>
  <c r="EQ58" i="4"/>
  <c r="ER58" i="4"/>
  <c r="EK59" i="4"/>
  <c r="EL59" i="4"/>
  <c r="EM59" i="4"/>
  <c r="EN59" i="4"/>
  <c r="EO59" i="4"/>
  <c r="EP59" i="4"/>
  <c r="EQ59" i="4"/>
  <c r="ER59" i="4"/>
  <c r="EK60" i="4"/>
  <c r="EL60" i="4"/>
  <c r="EM60" i="4"/>
  <c r="EN60" i="4"/>
  <c r="EO60" i="4"/>
  <c r="EP60" i="4"/>
  <c r="EQ60" i="4"/>
  <c r="ER60" i="4"/>
  <c r="EK61" i="4"/>
  <c r="EL61" i="4"/>
  <c r="EM61" i="4"/>
  <c r="EN61" i="4"/>
  <c r="EO61" i="4"/>
  <c r="EP61" i="4"/>
  <c r="EQ61" i="4"/>
  <c r="ER61" i="4"/>
  <c r="EK62" i="4"/>
  <c r="EL62" i="4"/>
  <c r="EM62" i="4"/>
  <c r="EN62" i="4"/>
  <c r="EO62" i="4"/>
  <c r="EP62" i="4"/>
  <c r="EQ62" i="4"/>
  <c r="ER62" i="4"/>
  <c r="EK63" i="4"/>
  <c r="EL63" i="4"/>
  <c r="EM63" i="4"/>
  <c r="EN63" i="4"/>
  <c r="EO63" i="4"/>
  <c r="EP63" i="4"/>
  <c r="EQ63" i="4"/>
  <c r="ER63" i="4"/>
  <c r="EK64" i="4"/>
  <c r="EL64" i="4"/>
  <c r="EM64" i="4"/>
  <c r="EN64" i="4"/>
  <c r="EO64" i="4"/>
  <c r="EP64" i="4"/>
  <c r="EQ64" i="4"/>
  <c r="ER64" i="4"/>
  <c r="EK65" i="4"/>
  <c r="EL65" i="4"/>
  <c r="EM65" i="4"/>
  <c r="EN65" i="4"/>
  <c r="EO65" i="4"/>
  <c r="EP65" i="4"/>
  <c r="EQ65" i="4"/>
  <c r="ER65" i="4"/>
  <c r="EK66" i="4"/>
  <c r="EL66" i="4"/>
  <c r="EM66" i="4"/>
  <c r="EN66" i="4"/>
  <c r="EO66" i="4"/>
  <c r="EP66" i="4"/>
  <c r="EQ66" i="4"/>
  <c r="ER66" i="4"/>
  <c r="EK67" i="4"/>
  <c r="EL67" i="4"/>
  <c r="EM67" i="4"/>
  <c r="EN67" i="4"/>
  <c r="EO67" i="4"/>
  <c r="EP67" i="4"/>
  <c r="EQ67" i="4"/>
  <c r="ER67" i="4"/>
  <c r="EK68" i="4"/>
  <c r="EL68" i="4"/>
  <c r="EM68" i="4"/>
  <c r="EN68" i="4"/>
  <c r="EO68" i="4"/>
  <c r="EP68" i="4"/>
  <c r="EQ68" i="4"/>
  <c r="ER68" i="4"/>
  <c r="EK69" i="4"/>
  <c r="EL69" i="4"/>
  <c r="EM69" i="4"/>
  <c r="EN69" i="4"/>
  <c r="EO69" i="4"/>
  <c r="EP69" i="4"/>
  <c r="EQ69" i="4"/>
  <c r="ER69" i="4"/>
  <c r="EK70" i="4"/>
  <c r="EL70" i="4"/>
  <c r="EM70" i="4"/>
  <c r="EN70" i="4"/>
  <c r="EO70" i="4"/>
  <c r="EP70" i="4"/>
  <c r="EQ70" i="4"/>
  <c r="ER70" i="4"/>
  <c r="EK71" i="4"/>
  <c r="EL71" i="4"/>
  <c r="EM71" i="4"/>
  <c r="EN71" i="4"/>
  <c r="EO71" i="4"/>
  <c r="EP71" i="4"/>
  <c r="EQ71" i="4"/>
  <c r="ER71" i="4"/>
  <c r="EK72" i="4"/>
  <c r="EL72" i="4"/>
  <c r="EM72" i="4"/>
  <c r="EN72" i="4"/>
  <c r="EO72" i="4"/>
  <c r="EP72" i="4"/>
  <c r="EQ72" i="4"/>
  <c r="ER72" i="4"/>
  <c r="EK73" i="4"/>
  <c r="EL73" i="4"/>
  <c r="EM73" i="4"/>
  <c r="EN73" i="4"/>
  <c r="EO73" i="4"/>
  <c r="EP73" i="4"/>
  <c r="EQ73" i="4"/>
  <c r="ER73" i="4"/>
  <c r="EK74" i="4"/>
  <c r="EL74" i="4"/>
  <c r="EM74" i="4"/>
  <c r="EN74" i="4"/>
  <c r="EO74" i="4"/>
  <c r="EP74" i="4"/>
  <c r="EQ74" i="4"/>
  <c r="ER74" i="4"/>
  <c r="EK75" i="4"/>
  <c r="EL75" i="4"/>
  <c r="EM75" i="4"/>
  <c r="EN75" i="4"/>
  <c r="EO75" i="4"/>
  <c r="EP75" i="4"/>
  <c r="EQ75" i="4"/>
  <c r="ER75" i="4"/>
  <c r="EK76" i="4"/>
  <c r="EL76" i="4"/>
  <c r="EM76" i="4"/>
  <c r="EN76" i="4"/>
  <c r="EO76" i="4"/>
  <c r="EP76" i="4"/>
  <c r="EQ76" i="4"/>
  <c r="ER76" i="4"/>
  <c r="EK77" i="4"/>
  <c r="EL77" i="4"/>
  <c r="EM77" i="4"/>
  <c r="EN77" i="4"/>
  <c r="EO77" i="4"/>
  <c r="EP77" i="4"/>
  <c r="EQ77" i="4"/>
  <c r="ER77" i="4"/>
  <c r="EK78" i="4"/>
  <c r="EL78" i="4"/>
  <c r="EM78" i="4"/>
  <c r="EN78" i="4"/>
  <c r="EO78" i="4"/>
  <c r="EP78" i="4"/>
  <c r="EQ78" i="4"/>
  <c r="ER78" i="4"/>
  <c r="EK79" i="4"/>
  <c r="EL79" i="4"/>
  <c r="EM79" i="4"/>
  <c r="EN79" i="4"/>
  <c r="EO79" i="4"/>
  <c r="EP79" i="4"/>
  <c r="EQ79" i="4"/>
  <c r="ER79" i="4"/>
  <c r="EK80" i="4"/>
  <c r="EL80" i="4"/>
  <c r="EM80" i="4"/>
  <c r="EN80" i="4"/>
  <c r="EO80" i="4"/>
  <c r="EP80" i="4"/>
  <c r="EQ80" i="4"/>
  <c r="ER80" i="4"/>
  <c r="EK81" i="4"/>
  <c r="EL81" i="4"/>
  <c r="EM81" i="4"/>
  <c r="EN81" i="4"/>
  <c r="EO81" i="4"/>
  <c r="EP81" i="4"/>
  <c r="EQ81" i="4"/>
  <c r="ER81" i="4"/>
  <c r="EK82" i="4"/>
  <c r="EL82" i="4"/>
  <c r="EM82" i="4"/>
  <c r="EN82" i="4"/>
  <c r="EO82" i="4"/>
  <c r="EP82" i="4"/>
  <c r="EQ82" i="4"/>
  <c r="ER82" i="4"/>
  <c r="EK83" i="4"/>
  <c r="EL83" i="4"/>
  <c r="EM83" i="4"/>
  <c r="EN83" i="4"/>
  <c r="EO83" i="4"/>
  <c r="EP83" i="4"/>
  <c r="EQ83" i="4"/>
  <c r="ER83" i="4"/>
  <c r="EK84" i="4"/>
  <c r="EL84" i="4"/>
  <c r="EM84" i="4"/>
  <c r="EN84" i="4"/>
  <c r="EO84" i="4"/>
  <c r="EP84" i="4"/>
  <c r="EQ84" i="4"/>
  <c r="ER84" i="4"/>
  <c r="EK85" i="4"/>
  <c r="EL85" i="4"/>
  <c r="EM85" i="4"/>
  <c r="EN85" i="4"/>
  <c r="EO85" i="4"/>
  <c r="EP85" i="4"/>
  <c r="EQ85" i="4"/>
  <c r="ER85" i="4"/>
  <c r="EK86" i="4"/>
  <c r="EL86" i="4"/>
  <c r="EM86" i="4"/>
  <c r="EN86" i="4"/>
  <c r="EO86" i="4"/>
  <c r="EP86" i="4"/>
  <c r="EQ86" i="4"/>
  <c r="ER86" i="4"/>
  <c r="EK87" i="4"/>
  <c r="EL87" i="4"/>
  <c r="EM87" i="4"/>
  <c r="EN87" i="4"/>
  <c r="EO87" i="4"/>
  <c r="EP87" i="4"/>
  <c r="EQ87" i="4"/>
  <c r="ER87" i="4"/>
  <c r="EK88" i="4"/>
  <c r="EL88" i="4"/>
  <c r="EM88" i="4"/>
  <c r="EN88" i="4"/>
  <c r="EO88" i="4"/>
  <c r="EP88" i="4"/>
  <c r="EQ88" i="4"/>
  <c r="ER88" i="4"/>
  <c r="EK89" i="4"/>
  <c r="EL89" i="4"/>
  <c r="EM89" i="4"/>
  <c r="EN89" i="4"/>
  <c r="EO89" i="4"/>
  <c r="EP89" i="4"/>
  <c r="EQ89" i="4"/>
  <c r="ER89" i="4"/>
  <c r="EK90" i="4"/>
  <c r="EL90" i="4"/>
  <c r="EM90" i="4"/>
  <c r="EN90" i="4"/>
  <c r="EO90" i="4"/>
  <c r="EP90" i="4"/>
  <c r="EQ90" i="4"/>
  <c r="ER90" i="4"/>
  <c r="EJ3" i="4"/>
  <c r="EJ4" i="4"/>
  <c r="EJ5" i="4"/>
  <c r="EJ6" i="4"/>
  <c r="EJ7" i="4"/>
  <c r="EJ8" i="4"/>
  <c r="EJ9" i="4"/>
  <c r="EJ10" i="4"/>
  <c r="EJ11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41" i="4"/>
  <c r="EJ42" i="4"/>
  <c r="EJ43" i="4"/>
  <c r="EJ44" i="4"/>
  <c r="EJ45" i="4"/>
  <c r="EJ46" i="4"/>
  <c r="EJ47" i="4"/>
  <c r="EJ48" i="4"/>
  <c r="EJ49" i="4"/>
  <c r="EJ50" i="4"/>
  <c r="EJ51" i="4"/>
  <c r="EJ52" i="4"/>
  <c r="EJ53" i="4"/>
  <c r="EJ54" i="4"/>
  <c r="EJ55" i="4"/>
  <c r="EJ56" i="4"/>
  <c r="EJ57" i="4"/>
  <c r="EJ58" i="4"/>
  <c r="EJ59" i="4"/>
  <c r="EJ60" i="4"/>
  <c r="EJ61" i="4"/>
  <c r="EJ62" i="4"/>
  <c r="EJ63" i="4"/>
  <c r="EJ64" i="4"/>
  <c r="EJ65" i="4"/>
  <c r="EJ66" i="4"/>
  <c r="EJ67" i="4"/>
  <c r="EJ68" i="4"/>
  <c r="EJ69" i="4"/>
  <c r="EJ70" i="4"/>
  <c r="EJ71" i="4"/>
  <c r="EJ72" i="4"/>
  <c r="EJ73" i="4"/>
  <c r="EJ74" i="4"/>
  <c r="EJ75" i="4"/>
  <c r="EJ76" i="4"/>
  <c r="EJ77" i="4"/>
  <c r="EJ78" i="4"/>
  <c r="EJ79" i="4"/>
  <c r="EJ80" i="4"/>
  <c r="EJ81" i="4"/>
  <c r="EJ82" i="4"/>
  <c r="EJ83" i="4"/>
  <c r="EJ84" i="4"/>
  <c r="EJ85" i="4"/>
  <c r="EJ86" i="4"/>
  <c r="EJ87" i="4"/>
  <c r="EJ88" i="4"/>
  <c r="EJ89" i="4"/>
  <c r="EJ90" i="4"/>
  <c r="EJ2" i="4"/>
  <c r="GA1" i="4"/>
  <c r="GB1" i="4"/>
  <c r="GC1" i="4"/>
  <c r="GD1" i="4"/>
  <c r="GE1" i="4"/>
  <c r="GF1" i="4"/>
  <c r="GG1" i="4"/>
  <c r="GH1" i="4"/>
  <c r="EK1" i="4"/>
  <c r="EL1" i="4"/>
  <c r="EM1" i="4"/>
  <c r="EN1" i="4"/>
  <c r="EO1" i="4"/>
  <c r="EP1" i="4"/>
  <c r="EQ1" i="4"/>
  <c r="ER1" i="4"/>
  <c r="ES1" i="4"/>
  <c r="ET1" i="4"/>
  <c r="EU1" i="4"/>
  <c r="EV1" i="4"/>
  <c r="EW1" i="4"/>
  <c r="EX1" i="4"/>
  <c r="EY1" i="4"/>
  <c r="EZ1" i="4"/>
  <c r="FA1" i="4"/>
  <c r="FB1" i="4"/>
  <c r="FC1" i="4"/>
  <c r="FD1" i="4"/>
  <c r="FE1" i="4"/>
  <c r="FF1" i="4"/>
  <c r="FG1" i="4"/>
  <c r="FH1" i="4"/>
  <c r="FI1" i="4"/>
  <c r="FJ1" i="4"/>
  <c r="FK1" i="4"/>
  <c r="FL1" i="4"/>
  <c r="FM1" i="4"/>
  <c r="FN1" i="4"/>
  <c r="FO1" i="4"/>
  <c r="FP1" i="4"/>
  <c r="FQ1" i="4"/>
  <c r="FR1" i="4"/>
  <c r="FS1" i="4"/>
  <c r="FT1" i="4"/>
  <c r="FU1" i="4"/>
  <c r="FV1" i="4"/>
  <c r="FW1" i="4"/>
  <c r="FX1" i="4"/>
  <c r="FY1" i="4"/>
  <c r="FZ1" i="4"/>
  <c r="EJ1" i="4"/>
  <c r="DI48" i="4"/>
  <c r="DI49" i="4"/>
  <c r="DI50" i="4"/>
  <c r="DI51" i="4"/>
  <c r="DI52" i="4"/>
  <c r="DI53" i="4"/>
  <c r="DI54" i="4"/>
  <c r="DI55" i="4"/>
  <c r="DI56" i="4"/>
  <c r="DI57" i="4"/>
  <c r="DI58" i="4"/>
  <c r="DI59" i="4"/>
  <c r="DI60" i="4"/>
  <c r="DI61" i="4"/>
  <c r="DI62" i="4"/>
  <c r="DI63" i="4"/>
  <c r="DI64" i="4"/>
  <c r="DI65" i="4"/>
  <c r="DI66" i="4"/>
  <c r="DI67" i="4"/>
  <c r="DI68" i="4"/>
  <c r="DI69" i="4"/>
  <c r="DI70" i="4"/>
  <c r="DI71" i="4"/>
  <c r="DI72" i="4"/>
  <c r="DI73" i="4"/>
  <c r="DI74" i="4"/>
  <c r="DI75" i="4"/>
  <c r="DI76" i="4"/>
  <c r="DI77" i="4"/>
  <c r="DI78" i="4"/>
  <c r="DI79" i="4"/>
  <c r="DI80" i="4"/>
  <c r="DI81" i="4"/>
  <c r="DI82" i="4"/>
  <c r="DI83" i="4"/>
  <c r="DI84" i="4"/>
  <c r="DI85" i="4"/>
  <c r="DI86" i="4"/>
  <c r="DI87" i="4"/>
  <c r="DI88" i="4"/>
  <c r="DI89" i="4"/>
  <c r="DI90" i="4"/>
  <c r="DI3" i="4"/>
  <c r="DI4" i="4"/>
  <c r="DI5" i="4"/>
  <c r="DI6" i="4"/>
  <c r="DI7" i="4"/>
  <c r="DI8" i="4"/>
  <c r="DI9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41" i="4"/>
  <c r="DI42" i="4"/>
  <c r="DI43" i="4"/>
  <c r="DI44" i="4"/>
  <c r="DI45" i="4"/>
  <c r="DI46" i="4"/>
  <c r="DI47" i="4"/>
  <c r="DI2" i="4"/>
  <c r="DJ2" i="4"/>
  <c r="DK2" i="4"/>
  <c r="DL3" i="4"/>
  <c r="DL4" i="4"/>
  <c r="DL5" i="4"/>
  <c r="DL6" i="4"/>
  <c r="DL7" i="4"/>
  <c r="DL8" i="4"/>
  <c r="DL9" i="4"/>
  <c r="DL10" i="4"/>
  <c r="DL11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41" i="4"/>
  <c r="DL42" i="4"/>
  <c r="DL43" i="4"/>
  <c r="DL44" i="4"/>
  <c r="DL45" i="4"/>
  <c r="DL46" i="4"/>
  <c r="DL47" i="4"/>
  <c r="DL48" i="4"/>
  <c r="DL49" i="4"/>
  <c r="DL50" i="4"/>
  <c r="DL51" i="4"/>
  <c r="DL52" i="4"/>
  <c r="DL53" i="4"/>
  <c r="DL54" i="4"/>
  <c r="DL55" i="4"/>
  <c r="DL56" i="4"/>
  <c r="DL57" i="4"/>
  <c r="DL58" i="4"/>
  <c r="DL59" i="4"/>
  <c r="DL60" i="4"/>
  <c r="DL61" i="4"/>
  <c r="DL62" i="4"/>
  <c r="DL63" i="4"/>
  <c r="DL64" i="4"/>
  <c r="DL65" i="4"/>
  <c r="DL66" i="4"/>
  <c r="DL67" i="4"/>
  <c r="DL68" i="4"/>
  <c r="DL69" i="4"/>
  <c r="DL70" i="4"/>
  <c r="DL71" i="4"/>
  <c r="DL72" i="4"/>
  <c r="DL73" i="4"/>
  <c r="DL74" i="4"/>
  <c r="DL75" i="4"/>
  <c r="DL76" i="4"/>
  <c r="DL77" i="4"/>
  <c r="DL78" i="4"/>
  <c r="DL79" i="4"/>
  <c r="DL80" i="4"/>
  <c r="DL81" i="4"/>
  <c r="DL82" i="4"/>
  <c r="DL83" i="4"/>
  <c r="DL84" i="4"/>
  <c r="DL85" i="4"/>
  <c r="DL86" i="4"/>
  <c r="DL87" i="4"/>
  <c r="DL88" i="4"/>
  <c r="DL89" i="4"/>
  <c r="DL90" i="4"/>
  <c r="DL2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W1" i="4"/>
  <c r="AX1" i="4"/>
  <c r="AY1" i="4"/>
  <c r="AZ1" i="4"/>
  <c r="BA1" i="4"/>
  <c r="BB1" i="4"/>
  <c r="BC1" i="4"/>
  <c r="BD1" i="4"/>
  <c r="BE1" i="4"/>
  <c r="BF1" i="4"/>
  <c r="BG1" i="4"/>
  <c r="BH1" i="4"/>
  <c r="BI1" i="4"/>
  <c r="BJ1" i="4"/>
  <c r="BK1" i="4"/>
  <c r="BL1" i="4"/>
  <c r="BM1" i="4"/>
  <c r="BN1" i="4"/>
  <c r="BO1" i="4"/>
  <c r="BP1" i="4"/>
  <c r="BQ1" i="4"/>
  <c r="BR1" i="4"/>
  <c r="BS1" i="4"/>
  <c r="BT1" i="4"/>
  <c r="BU1" i="4"/>
  <c r="BV1" i="4"/>
  <c r="BW1" i="4"/>
  <c r="BX1" i="4"/>
  <c r="BY1" i="4"/>
  <c r="BZ1" i="4"/>
  <c r="CA1" i="4"/>
  <c r="CB1" i="4"/>
  <c r="CC1" i="4"/>
  <c r="CD1" i="4"/>
  <c r="CE1" i="4"/>
  <c r="CF1" i="4"/>
  <c r="CG1" i="4"/>
  <c r="CH1" i="4"/>
  <c r="CI1" i="4"/>
  <c r="CJ1" i="4"/>
  <c r="CK1" i="4"/>
  <c r="CL1" i="4"/>
  <c r="CM1" i="4"/>
  <c r="CN1" i="4"/>
  <c r="CO1" i="4"/>
  <c r="CP1" i="4"/>
  <c r="CQ1" i="4"/>
  <c r="CR1" i="4"/>
  <c r="CS1" i="4"/>
  <c r="CT1" i="4"/>
  <c r="CU1" i="4"/>
  <c r="CV1" i="4"/>
  <c r="CW1" i="4"/>
  <c r="CX1" i="4"/>
  <c r="CY1" i="4"/>
  <c r="CZ1" i="4"/>
  <c r="DA1" i="4"/>
  <c r="EI1" i="4"/>
  <c r="DQ1" i="4"/>
  <c r="DR1" i="4"/>
  <c r="DS1" i="4"/>
  <c r="DT1" i="4"/>
  <c r="DU1" i="4"/>
  <c r="DV1" i="4"/>
  <c r="DW1" i="4"/>
  <c r="DX1" i="4"/>
  <c r="DY1" i="4"/>
  <c r="DZ1" i="4"/>
  <c r="EA1" i="4"/>
  <c r="EB1" i="4"/>
  <c r="EC1" i="4"/>
  <c r="ED1" i="4"/>
  <c r="EE1" i="4"/>
  <c r="EF1" i="4"/>
  <c r="EG1" i="4"/>
  <c r="EH1" i="4"/>
  <c r="DB1" i="4"/>
  <c r="DC1" i="4"/>
  <c r="DD1" i="4"/>
  <c r="DE1" i="4"/>
  <c r="DF1" i="4"/>
  <c r="DG1" i="4"/>
  <c r="DH1" i="4"/>
  <c r="DI1" i="4"/>
  <c r="DJ1" i="4"/>
  <c r="DK1" i="4"/>
  <c r="DL1" i="4"/>
  <c r="DM1" i="4"/>
  <c r="DN1" i="4"/>
  <c r="DO1" i="4"/>
  <c r="DP1" i="4"/>
  <c r="H71" i="4" l="1"/>
  <c r="G71" i="4"/>
  <c r="F71" i="4"/>
  <c r="E71" i="4"/>
  <c r="D71" i="4"/>
  <c r="H70" i="4"/>
  <c r="G70" i="4"/>
  <c r="F70" i="4"/>
  <c r="E70" i="4"/>
  <c r="D70" i="4"/>
  <c r="H69" i="4"/>
  <c r="G69" i="4"/>
  <c r="F69" i="4"/>
  <c r="E69" i="4"/>
  <c r="D69" i="4"/>
  <c r="H68" i="4"/>
  <c r="G68" i="4"/>
  <c r="F68" i="4"/>
  <c r="E68" i="4"/>
  <c r="D68" i="4"/>
  <c r="H67" i="4"/>
  <c r="G67" i="4"/>
  <c r="F67" i="4"/>
  <c r="E67" i="4"/>
  <c r="D67" i="4"/>
  <c r="H66" i="4"/>
  <c r="G66" i="4"/>
  <c r="F66" i="4"/>
  <c r="E66" i="4"/>
  <c r="D66" i="4"/>
  <c r="H65" i="4"/>
  <c r="G65" i="4"/>
  <c r="F65" i="4"/>
  <c r="E65" i="4"/>
  <c r="D65" i="4"/>
  <c r="H64" i="4"/>
  <c r="G64" i="4"/>
  <c r="F64" i="4"/>
  <c r="E64" i="4"/>
  <c r="D64" i="4"/>
  <c r="H63" i="4"/>
  <c r="G63" i="4"/>
  <c r="F63" i="4"/>
  <c r="E63" i="4"/>
  <c r="D63" i="4"/>
  <c r="H62" i="4"/>
  <c r="G62" i="4"/>
  <c r="F62" i="4"/>
  <c r="E62" i="4"/>
  <c r="D62" i="4"/>
  <c r="H61" i="4"/>
  <c r="G61" i="4"/>
  <c r="F61" i="4"/>
  <c r="E61" i="4"/>
  <c r="D61" i="4"/>
  <c r="H60" i="4"/>
  <c r="G60" i="4"/>
  <c r="F60" i="4"/>
  <c r="E60" i="4"/>
  <c r="D60" i="4"/>
  <c r="H59" i="4"/>
  <c r="G59" i="4"/>
  <c r="F59" i="4"/>
  <c r="E59" i="4"/>
  <c r="D59" i="4"/>
  <c r="H58" i="4"/>
  <c r="G58" i="4"/>
  <c r="F58" i="4"/>
  <c r="E58" i="4"/>
  <c r="D58" i="4"/>
  <c r="H57" i="4"/>
  <c r="G57" i="4"/>
  <c r="F57" i="4"/>
  <c r="E57" i="4"/>
  <c r="D57" i="4"/>
  <c r="H56" i="4"/>
  <c r="G56" i="4"/>
  <c r="F56" i="4"/>
  <c r="E56" i="4"/>
  <c r="D56" i="4"/>
  <c r="H55" i="4"/>
  <c r="G55" i="4"/>
  <c r="F55" i="4"/>
  <c r="E55" i="4"/>
  <c r="D55" i="4"/>
  <c r="H54" i="4"/>
  <c r="G54" i="4"/>
  <c r="F54" i="4"/>
  <c r="E54" i="4"/>
  <c r="D54" i="4"/>
  <c r="H53" i="4"/>
  <c r="G53" i="4"/>
  <c r="F53" i="4"/>
  <c r="E53" i="4"/>
  <c r="D53" i="4"/>
  <c r="H52" i="4"/>
  <c r="G52" i="4"/>
  <c r="F52" i="4"/>
  <c r="E52" i="4"/>
  <c r="D52" i="4"/>
  <c r="H51" i="4"/>
  <c r="G51" i="4"/>
  <c r="F51" i="4"/>
  <c r="E51" i="4"/>
  <c r="D51" i="4"/>
  <c r="H50" i="4"/>
  <c r="G50" i="4"/>
  <c r="F50" i="4"/>
  <c r="E50" i="4"/>
  <c r="D50" i="4"/>
  <c r="H49" i="4"/>
  <c r="G49" i="4"/>
  <c r="F49" i="4"/>
  <c r="E49" i="4"/>
  <c r="D49" i="4"/>
  <c r="H48" i="4"/>
  <c r="G48" i="4"/>
  <c r="F48" i="4"/>
  <c r="E48" i="4"/>
  <c r="D48" i="4"/>
  <c r="H47" i="4"/>
  <c r="G47" i="4"/>
  <c r="F47" i="4"/>
  <c r="E47" i="4"/>
  <c r="D47" i="4"/>
  <c r="H46" i="4"/>
  <c r="G46" i="4"/>
  <c r="F46" i="4"/>
  <c r="E46" i="4"/>
  <c r="D46" i="4"/>
  <c r="H45" i="4"/>
  <c r="G45" i="4"/>
  <c r="F45" i="4"/>
  <c r="E45" i="4"/>
  <c r="D45" i="4"/>
  <c r="H44" i="4"/>
  <c r="G44" i="4"/>
  <c r="F44" i="4"/>
  <c r="E44" i="4"/>
  <c r="D44" i="4"/>
  <c r="H43" i="4"/>
  <c r="G43" i="4"/>
  <c r="F43" i="4"/>
  <c r="E43" i="4"/>
  <c r="D43" i="4"/>
  <c r="H42" i="4"/>
  <c r="G42" i="4"/>
  <c r="F42" i="4"/>
  <c r="E42" i="4"/>
  <c r="D42" i="4"/>
  <c r="H41" i="4"/>
  <c r="G41" i="4"/>
  <c r="F41" i="4"/>
  <c r="E41" i="4"/>
  <c r="D41" i="4"/>
  <c r="H40" i="4"/>
  <c r="G40" i="4"/>
  <c r="F40" i="4"/>
  <c r="E40" i="4"/>
  <c r="D40" i="4"/>
  <c r="H39" i="4"/>
  <c r="G39" i="4"/>
  <c r="F39" i="4"/>
  <c r="E39" i="4"/>
  <c r="D39" i="4"/>
  <c r="H38" i="4"/>
  <c r="G38" i="4"/>
  <c r="F38" i="4"/>
  <c r="E38" i="4"/>
  <c r="D38" i="4"/>
  <c r="H37" i="4"/>
  <c r="G37" i="4"/>
  <c r="F37" i="4"/>
  <c r="E37" i="4"/>
  <c r="D37" i="4"/>
  <c r="H36" i="4"/>
  <c r="G36" i="4"/>
  <c r="F36" i="4"/>
  <c r="E36" i="4"/>
  <c r="D36" i="4"/>
  <c r="H35" i="4"/>
  <c r="G35" i="4"/>
  <c r="F35" i="4"/>
  <c r="E35" i="4"/>
  <c r="D35" i="4"/>
  <c r="H34" i="4"/>
  <c r="G34" i="4"/>
  <c r="F34" i="4"/>
  <c r="E34" i="4"/>
  <c r="D34" i="4"/>
  <c r="H33" i="4"/>
  <c r="G33" i="4"/>
  <c r="F33" i="4"/>
  <c r="E33" i="4"/>
  <c r="D33" i="4"/>
  <c r="H32" i="4"/>
  <c r="G32" i="4"/>
  <c r="F32" i="4"/>
  <c r="E32" i="4"/>
  <c r="D32" i="4"/>
  <c r="H31" i="4"/>
  <c r="G31" i="4"/>
  <c r="F31" i="4"/>
  <c r="E31" i="4"/>
  <c r="D31" i="4"/>
  <c r="H30" i="4"/>
  <c r="G30" i="4"/>
  <c r="F30" i="4"/>
  <c r="E30" i="4"/>
  <c r="D30" i="4"/>
  <c r="H29" i="4"/>
  <c r="G29" i="4"/>
  <c r="F29" i="4"/>
  <c r="E29" i="4"/>
  <c r="D29" i="4"/>
  <c r="H28" i="4"/>
  <c r="G28" i="4"/>
  <c r="F28" i="4"/>
  <c r="E28" i="4"/>
  <c r="D28" i="4"/>
  <c r="H27" i="4"/>
  <c r="G27" i="4"/>
  <c r="F27" i="4"/>
  <c r="E27" i="4"/>
  <c r="D27" i="4"/>
  <c r="H26" i="4"/>
  <c r="G26" i="4"/>
  <c r="F26" i="4"/>
  <c r="E26" i="4"/>
  <c r="D26" i="4"/>
  <c r="H25" i="4"/>
  <c r="G25" i="4"/>
  <c r="F25" i="4"/>
  <c r="E25" i="4"/>
  <c r="D25" i="4"/>
  <c r="H24" i="4"/>
  <c r="G24" i="4"/>
  <c r="F24" i="4"/>
  <c r="E24" i="4"/>
  <c r="D24" i="4"/>
  <c r="H23" i="4"/>
  <c r="G23" i="4"/>
  <c r="F23" i="4"/>
  <c r="E23" i="4"/>
  <c r="D23" i="4"/>
  <c r="H22" i="4"/>
  <c r="G22" i="4"/>
  <c r="F22" i="4"/>
  <c r="E22" i="4"/>
  <c r="D22" i="4"/>
  <c r="H21" i="4"/>
  <c r="G21" i="4"/>
  <c r="F21" i="4"/>
  <c r="E21" i="4"/>
  <c r="D21" i="4"/>
  <c r="H20" i="4"/>
  <c r="G20" i="4"/>
  <c r="F20" i="4"/>
  <c r="E20" i="4"/>
  <c r="D20" i="4"/>
  <c r="H19" i="4"/>
  <c r="G19" i="4"/>
  <c r="F19" i="4"/>
  <c r="E19" i="4"/>
  <c r="D19" i="4"/>
  <c r="H18" i="4"/>
  <c r="G18" i="4"/>
  <c r="F18" i="4"/>
  <c r="E18" i="4"/>
  <c r="D18" i="4"/>
  <c r="H17" i="4"/>
  <c r="G17" i="4"/>
  <c r="F17" i="4"/>
  <c r="E17" i="4"/>
  <c r="D17" i="4"/>
  <c r="H16" i="4"/>
  <c r="G16" i="4"/>
  <c r="F16" i="4"/>
  <c r="E16" i="4"/>
  <c r="D16" i="4"/>
  <c r="H15" i="4"/>
  <c r="G15" i="4"/>
  <c r="F15" i="4"/>
  <c r="E15" i="4"/>
  <c r="D15" i="4"/>
  <c r="H14" i="4"/>
  <c r="G14" i="4"/>
  <c r="F14" i="4"/>
  <c r="E14" i="4"/>
  <c r="D14" i="4"/>
  <c r="H13" i="4"/>
  <c r="G13" i="4"/>
  <c r="F13" i="4"/>
  <c r="E13" i="4"/>
  <c r="D13" i="4"/>
  <c r="H12" i="4"/>
  <c r="G12" i="4"/>
  <c r="F12" i="4"/>
  <c r="E12" i="4"/>
  <c r="D12" i="4"/>
  <c r="H11" i="4"/>
  <c r="G11" i="4"/>
  <c r="F11" i="4"/>
  <c r="E11" i="4"/>
  <c r="D11" i="4"/>
  <c r="H10" i="4"/>
  <c r="G10" i="4"/>
  <c r="F10" i="4"/>
  <c r="E10" i="4"/>
  <c r="D10" i="4"/>
  <c r="H9" i="4"/>
  <c r="G9" i="4"/>
  <c r="F9" i="4"/>
  <c r="E9" i="4"/>
  <c r="D9" i="4"/>
  <c r="H8" i="4"/>
  <c r="G8" i="4"/>
  <c r="F8" i="4"/>
  <c r="E8" i="4"/>
  <c r="D8" i="4"/>
  <c r="H7" i="4"/>
  <c r="G7" i="4"/>
  <c r="F7" i="4"/>
  <c r="E7" i="4"/>
  <c r="D7" i="4"/>
  <c r="H6" i="4"/>
  <c r="G6" i="4"/>
  <c r="F6" i="4"/>
  <c r="E6" i="4"/>
  <c r="D6" i="4"/>
  <c r="H5" i="4"/>
  <c r="G5" i="4"/>
  <c r="F5" i="4"/>
  <c r="E5" i="4"/>
  <c r="D5" i="4"/>
  <c r="H4" i="4"/>
  <c r="G4" i="4"/>
  <c r="F4" i="4"/>
  <c r="E4" i="4"/>
  <c r="D4" i="4"/>
  <c r="H3" i="4"/>
  <c r="G3" i="4"/>
  <c r="F3" i="4"/>
  <c r="E3" i="4"/>
  <c r="D3" i="4"/>
  <c r="H2" i="4"/>
  <c r="G2" i="4"/>
  <c r="F2" i="4"/>
  <c r="E2" i="4"/>
  <c r="D2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2" i="4"/>
  <c r="B46" i="4" l="1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A72" i="4"/>
  <c r="B72" i="4" s="1"/>
  <c r="A73" i="4"/>
  <c r="B73" i="4" s="1"/>
  <c r="A74" i="4"/>
  <c r="A75" i="4"/>
  <c r="A76" i="4"/>
  <c r="A77" i="4"/>
  <c r="A78" i="4"/>
  <c r="A79" i="4"/>
  <c r="B79" i="4" s="1"/>
  <c r="A80" i="4"/>
  <c r="A81" i="4"/>
  <c r="B81" i="4" s="1"/>
  <c r="A82" i="4"/>
  <c r="A83" i="4"/>
  <c r="A84" i="4"/>
  <c r="A85" i="4"/>
  <c r="A86" i="4"/>
  <c r="A87" i="4"/>
  <c r="B87" i="4" s="1"/>
  <c r="A88" i="4"/>
  <c r="A89" i="4"/>
  <c r="A90" i="4"/>
  <c r="L1" i="4"/>
  <c r="M1" i="4"/>
  <c r="K1" i="4"/>
  <c r="J1" i="4"/>
  <c r="I1" i="4"/>
  <c r="H1" i="4"/>
  <c r="C1" i="4"/>
  <c r="D1" i="4"/>
  <c r="E1" i="4"/>
  <c r="F1" i="4"/>
  <c r="G1" i="4"/>
  <c r="B43" i="4"/>
  <c r="B44" i="4"/>
  <c r="B45" i="4"/>
  <c r="B38" i="4"/>
  <c r="B39" i="4"/>
  <c r="B40" i="4"/>
  <c r="B41" i="4"/>
  <c r="B42" i="4"/>
  <c r="B29" i="4"/>
  <c r="B30" i="4"/>
  <c r="B31" i="4"/>
  <c r="B32" i="4"/>
  <c r="B33" i="4"/>
  <c r="B34" i="4"/>
  <c r="B35" i="4"/>
  <c r="B36" i="4"/>
  <c r="B37" i="4"/>
  <c r="B2" i="4"/>
  <c r="B3" i="4"/>
  <c r="B6" i="4"/>
  <c r="B7" i="4"/>
  <c r="B8" i="4"/>
  <c r="B12" i="4"/>
  <c r="B14" i="4"/>
  <c r="B15" i="4"/>
  <c r="B16" i="4"/>
  <c r="B18" i="4"/>
  <c r="B19" i="4"/>
  <c r="B21" i="4"/>
  <c r="B22" i="4"/>
  <c r="B25" i="4"/>
  <c r="B27" i="4"/>
  <c r="A1" i="4"/>
  <c r="R87" i="4" l="1"/>
  <c r="Z87" i="4"/>
  <c r="AH87" i="4"/>
  <c r="AP87" i="4"/>
  <c r="AX87" i="4"/>
  <c r="BF87" i="4"/>
  <c r="BN87" i="4"/>
  <c r="BV87" i="4"/>
  <c r="CD87" i="4"/>
  <c r="CT87" i="4"/>
  <c r="P87" i="4"/>
  <c r="X87" i="4"/>
  <c r="AF87" i="4"/>
  <c r="AN87" i="4"/>
  <c r="AV87" i="4"/>
  <c r="BD87" i="4"/>
  <c r="BL87" i="4"/>
  <c r="BT87" i="4"/>
  <c r="CB87" i="4"/>
  <c r="CJ87" i="4"/>
  <c r="CR87" i="4"/>
  <c r="CZ87" i="4"/>
  <c r="Q87" i="4"/>
  <c r="AB87" i="4"/>
  <c r="AL87" i="4"/>
  <c r="AW87" i="4"/>
  <c r="BH87" i="4"/>
  <c r="BR87" i="4"/>
  <c r="CC87" i="4"/>
  <c r="CN87" i="4"/>
  <c r="CX87" i="4"/>
  <c r="S87" i="4"/>
  <c r="AC87" i="4"/>
  <c r="AM87" i="4"/>
  <c r="AY87" i="4"/>
  <c r="BI87" i="4"/>
  <c r="BS87" i="4"/>
  <c r="CE87" i="4"/>
  <c r="CO87" i="4"/>
  <c r="CY87" i="4"/>
  <c r="AD87" i="4"/>
  <c r="AO87" i="4"/>
  <c r="AZ87" i="4"/>
  <c r="BJ87" i="4"/>
  <c r="BU87" i="4"/>
  <c r="CF87" i="4"/>
  <c r="DA87" i="4"/>
  <c r="W87" i="4"/>
  <c r="AI87" i="4"/>
  <c r="AS87" i="4"/>
  <c r="BC87" i="4"/>
  <c r="BO87" i="4"/>
  <c r="BY87" i="4"/>
  <c r="CI87" i="4"/>
  <c r="CU87" i="4"/>
  <c r="N87" i="4"/>
  <c r="Y87" i="4"/>
  <c r="AJ87" i="4"/>
  <c r="AT87" i="4"/>
  <c r="BE87" i="4"/>
  <c r="BP87" i="4"/>
  <c r="BZ87" i="4"/>
  <c r="CK87" i="4"/>
  <c r="CV87" i="4"/>
  <c r="V87" i="4"/>
  <c r="BA87" i="4"/>
  <c r="CA87" i="4"/>
  <c r="BK87" i="4"/>
  <c r="AA87" i="4"/>
  <c r="BB87" i="4"/>
  <c r="CG87" i="4"/>
  <c r="BG87" i="4"/>
  <c r="CM87" i="4"/>
  <c r="BM87" i="4"/>
  <c r="O87" i="4"/>
  <c r="BQ87" i="4"/>
  <c r="T87" i="4"/>
  <c r="AR87" i="4"/>
  <c r="BW87" i="4"/>
  <c r="CW87" i="4"/>
  <c r="U87" i="4"/>
  <c r="AU87" i="4"/>
  <c r="BX87" i="4"/>
  <c r="AE87" i="4"/>
  <c r="CH87" i="4"/>
  <c r="AG87" i="4"/>
  <c r="AK87" i="4"/>
  <c r="CQ87" i="4"/>
  <c r="AQ87" i="4"/>
  <c r="CS87" i="4"/>
  <c r="R25" i="4"/>
  <c r="Z25" i="4"/>
  <c r="AH25" i="4"/>
  <c r="AP25" i="4"/>
  <c r="AX25" i="4"/>
  <c r="BF25" i="4"/>
  <c r="BN25" i="4"/>
  <c r="BV25" i="4"/>
  <c r="CD25" i="4"/>
  <c r="CT25" i="4"/>
  <c r="S25" i="4"/>
  <c r="AA25" i="4"/>
  <c r="AI25" i="4"/>
  <c r="AQ25" i="4"/>
  <c r="AY25" i="4"/>
  <c r="BG25" i="4"/>
  <c r="BO25" i="4"/>
  <c r="BW25" i="4"/>
  <c r="CE25" i="4"/>
  <c r="CM25" i="4"/>
  <c r="CU25" i="4"/>
  <c r="O25" i="4"/>
  <c r="W25" i="4"/>
  <c r="AE25" i="4"/>
  <c r="AM25" i="4"/>
  <c r="AU25" i="4"/>
  <c r="BC25" i="4"/>
  <c r="BK25" i="4"/>
  <c r="BS25" i="4"/>
  <c r="CA25" i="4"/>
  <c r="CI25" i="4"/>
  <c r="CQ25" i="4"/>
  <c r="CY25" i="4"/>
  <c r="X25" i="4"/>
  <c r="AK25" i="4"/>
  <c r="AW25" i="4"/>
  <c r="BJ25" i="4"/>
  <c r="BX25" i="4"/>
  <c r="CJ25" i="4"/>
  <c r="CW25" i="4"/>
  <c r="Y25" i="4"/>
  <c r="AL25" i="4"/>
  <c r="AZ25" i="4"/>
  <c r="BL25" i="4"/>
  <c r="BY25" i="4"/>
  <c r="CK25" i="4"/>
  <c r="CX25" i="4"/>
  <c r="V25" i="4"/>
  <c r="AJ25" i="4"/>
  <c r="AV25" i="4"/>
  <c r="BI25" i="4"/>
  <c r="BU25" i="4"/>
  <c r="CH25" i="4"/>
  <c r="CV25" i="4"/>
  <c r="AC25" i="4"/>
  <c r="AT25" i="4"/>
  <c r="BQ25" i="4"/>
  <c r="CN25" i="4"/>
  <c r="T25" i="4"/>
  <c r="AO25" i="4"/>
  <c r="BH25" i="4"/>
  <c r="CC25" i="4"/>
  <c r="CZ25" i="4"/>
  <c r="N25" i="4"/>
  <c r="AN25" i="4"/>
  <c r="BP25" i="4"/>
  <c r="P25" i="4"/>
  <c r="AR25" i="4"/>
  <c r="BR25" i="4"/>
  <c r="CR25" i="4"/>
  <c r="Q25" i="4"/>
  <c r="AS25" i="4"/>
  <c r="BT25" i="4"/>
  <c r="CS25" i="4"/>
  <c r="U25" i="4"/>
  <c r="BA25" i="4"/>
  <c r="BZ25" i="4"/>
  <c r="DA25" i="4"/>
  <c r="AD25" i="4"/>
  <c r="BD25" i="4"/>
  <c r="CF25" i="4"/>
  <c r="AF25" i="4"/>
  <c r="BE25" i="4"/>
  <c r="CG25" i="4"/>
  <c r="AG25" i="4"/>
  <c r="BM25" i="4"/>
  <c r="CO25" i="4"/>
  <c r="BB25" i="4"/>
  <c r="CB25" i="4"/>
  <c r="AB25" i="4"/>
  <c r="T12" i="4"/>
  <c r="AB12" i="4"/>
  <c r="AJ12" i="4"/>
  <c r="AR12" i="4"/>
  <c r="AZ12" i="4"/>
  <c r="BH12" i="4"/>
  <c r="BP12" i="4"/>
  <c r="BX12" i="4"/>
  <c r="CF12" i="4"/>
  <c r="CN12" i="4"/>
  <c r="CV12" i="4"/>
  <c r="U12" i="4"/>
  <c r="AC12" i="4"/>
  <c r="AK12" i="4"/>
  <c r="AS12" i="4"/>
  <c r="BA12" i="4"/>
  <c r="BI12" i="4"/>
  <c r="BQ12" i="4"/>
  <c r="BY12" i="4"/>
  <c r="CG12" i="4"/>
  <c r="CO12" i="4"/>
  <c r="CW12" i="4"/>
  <c r="R12" i="4"/>
  <c r="Z12" i="4"/>
  <c r="AH12" i="4"/>
  <c r="AP12" i="4"/>
  <c r="AX12" i="4"/>
  <c r="BF12" i="4"/>
  <c r="BN12" i="4"/>
  <c r="BV12" i="4"/>
  <c r="CD12" i="4"/>
  <c r="CT12" i="4"/>
  <c r="V12" i="4"/>
  <c r="AG12" i="4"/>
  <c r="AU12" i="4"/>
  <c r="BG12" i="4"/>
  <c r="BT12" i="4"/>
  <c r="CH12" i="4"/>
  <c r="CS12" i="4"/>
  <c r="X12" i="4"/>
  <c r="AL12" i="4"/>
  <c r="AW12" i="4"/>
  <c r="BK12" i="4"/>
  <c r="BW12" i="4"/>
  <c r="CJ12" i="4"/>
  <c r="CX12" i="4"/>
  <c r="Q12" i="4"/>
  <c r="AE12" i="4"/>
  <c r="AQ12" i="4"/>
  <c r="BD12" i="4"/>
  <c r="BR12" i="4"/>
  <c r="CC12" i="4"/>
  <c r="CQ12" i="4"/>
  <c r="AD12" i="4"/>
  <c r="AY12" i="4"/>
  <c r="N12" i="4"/>
  <c r="AF12" i="4"/>
  <c r="BB12" i="4"/>
  <c r="BU12" i="4"/>
  <c r="O12" i="4"/>
  <c r="AI12" i="4"/>
  <c r="BC12" i="4"/>
  <c r="BZ12" i="4"/>
  <c r="CR12" i="4"/>
  <c r="Y12" i="4"/>
  <c r="AT12" i="4"/>
  <c r="BM12" i="4"/>
  <c r="CI12" i="4"/>
  <c r="DA12" i="4"/>
  <c r="AM12" i="4"/>
  <c r="BS12" i="4"/>
  <c r="CZ12" i="4"/>
  <c r="AN12" i="4"/>
  <c r="CA12" i="4"/>
  <c r="AA12" i="4"/>
  <c r="BO12" i="4"/>
  <c r="CY12" i="4"/>
  <c r="W12" i="4"/>
  <c r="CK12" i="4"/>
  <c r="BL12" i="4"/>
  <c r="P12" i="4"/>
  <c r="CB12" i="4"/>
  <c r="S12" i="4"/>
  <c r="CE12" i="4"/>
  <c r="AV12" i="4"/>
  <c r="BE12" i="4"/>
  <c r="BJ12" i="4"/>
  <c r="CM12" i="4"/>
  <c r="AO12" i="4"/>
  <c r="CU12" i="4"/>
  <c r="Q35" i="4"/>
  <c r="Y35" i="4"/>
  <c r="AG35" i="4"/>
  <c r="AO35" i="4"/>
  <c r="AW35" i="4"/>
  <c r="BE35" i="4"/>
  <c r="BM35" i="4"/>
  <c r="BU35" i="4"/>
  <c r="CC35" i="4"/>
  <c r="CK35" i="4"/>
  <c r="CS35" i="4"/>
  <c r="DA35" i="4"/>
  <c r="N35" i="4"/>
  <c r="V35" i="4"/>
  <c r="AD35" i="4"/>
  <c r="AL35" i="4"/>
  <c r="AT35" i="4"/>
  <c r="BB35" i="4"/>
  <c r="BJ35" i="4"/>
  <c r="BR35" i="4"/>
  <c r="BZ35" i="4"/>
  <c r="CH35" i="4"/>
  <c r="CX35" i="4"/>
  <c r="R35" i="4"/>
  <c r="AB35" i="4"/>
  <c r="AM35" i="4"/>
  <c r="AX35" i="4"/>
  <c r="BH35" i="4"/>
  <c r="BS35" i="4"/>
  <c r="CD35" i="4"/>
  <c r="CN35" i="4"/>
  <c r="CY35" i="4"/>
  <c r="S35" i="4"/>
  <c r="AC35" i="4"/>
  <c r="AN35" i="4"/>
  <c r="AY35" i="4"/>
  <c r="BI35" i="4"/>
  <c r="BT35" i="4"/>
  <c r="CE35" i="4"/>
  <c r="CO35" i="4"/>
  <c r="CZ35" i="4"/>
  <c r="O35" i="4"/>
  <c r="Z35" i="4"/>
  <c r="AJ35" i="4"/>
  <c r="AU35" i="4"/>
  <c r="BF35" i="4"/>
  <c r="BP35" i="4"/>
  <c r="CA35" i="4"/>
  <c r="CV35" i="4"/>
  <c r="P35" i="4"/>
  <c r="AA35" i="4"/>
  <c r="AK35" i="4"/>
  <c r="AV35" i="4"/>
  <c r="BG35" i="4"/>
  <c r="BQ35" i="4"/>
  <c r="CB35" i="4"/>
  <c r="CM35" i="4"/>
  <c r="CW35" i="4"/>
  <c r="W35" i="4"/>
  <c r="AR35" i="4"/>
  <c r="BN35" i="4"/>
  <c r="CI35" i="4"/>
  <c r="AF35" i="4"/>
  <c r="BA35" i="4"/>
  <c r="BW35" i="4"/>
  <c r="CR35" i="4"/>
  <c r="AH35" i="4"/>
  <c r="BC35" i="4"/>
  <c r="BX35" i="4"/>
  <c r="CT35" i="4"/>
  <c r="T35" i="4"/>
  <c r="AZ35" i="4"/>
  <c r="CG35" i="4"/>
  <c r="U35" i="4"/>
  <c r="BD35" i="4"/>
  <c r="CJ35" i="4"/>
  <c r="X35" i="4"/>
  <c r="BK35" i="4"/>
  <c r="CQ35" i="4"/>
  <c r="AQ35" i="4"/>
  <c r="BY35" i="4"/>
  <c r="AS35" i="4"/>
  <c r="BL35" i="4"/>
  <c r="BO35" i="4"/>
  <c r="BV35" i="4"/>
  <c r="AE35" i="4"/>
  <c r="AI35" i="4"/>
  <c r="AP35" i="4"/>
  <c r="CF35" i="4"/>
  <c r="CU35" i="4"/>
  <c r="Q41" i="4"/>
  <c r="Y41" i="4"/>
  <c r="AG41" i="4"/>
  <c r="AO41" i="4"/>
  <c r="AW41" i="4"/>
  <c r="BE41" i="4"/>
  <c r="BM41" i="4"/>
  <c r="BU41" i="4"/>
  <c r="CC41" i="4"/>
  <c r="CK41" i="4"/>
  <c r="CS41" i="4"/>
  <c r="DA41" i="4"/>
  <c r="N41" i="4"/>
  <c r="V41" i="4"/>
  <c r="AD41" i="4"/>
  <c r="AL41" i="4"/>
  <c r="AT41" i="4"/>
  <c r="BB41" i="4"/>
  <c r="BJ41" i="4"/>
  <c r="BR41" i="4"/>
  <c r="BZ41" i="4"/>
  <c r="CH41" i="4"/>
  <c r="CX41" i="4"/>
  <c r="T41" i="4"/>
  <c r="AE41" i="4"/>
  <c r="AP41" i="4"/>
  <c r="AZ41" i="4"/>
  <c r="BK41" i="4"/>
  <c r="BV41" i="4"/>
  <c r="CF41" i="4"/>
  <c r="CQ41" i="4"/>
  <c r="R41" i="4"/>
  <c r="AB41" i="4"/>
  <c r="AM41" i="4"/>
  <c r="AX41" i="4"/>
  <c r="BH41" i="4"/>
  <c r="BS41" i="4"/>
  <c r="CD41" i="4"/>
  <c r="CN41" i="4"/>
  <c r="CY41" i="4"/>
  <c r="S41" i="4"/>
  <c r="AC41" i="4"/>
  <c r="AN41" i="4"/>
  <c r="AY41" i="4"/>
  <c r="BI41" i="4"/>
  <c r="BT41" i="4"/>
  <c r="CE41" i="4"/>
  <c r="CO41" i="4"/>
  <c r="CZ41" i="4"/>
  <c r="Z41" i="4"/>
  <c r="AR41" i="4"/>
  <c r="BG41" i="4"/>
  <c r="BY41" i="4"/>
  <c r="CR41" i="4"/>
  <c r="O41" i="4"/>
  <c r="AH41" i="4"/>
  <c r="AV41" i="4"/>
  <c r="BO41" i="4"/>
  <c r="CG41" i="4"/>
  <c r="CV41" i="4"/>
  <c r="P41" i="4"/>
  <c r="AI41" i="4"/>
  <c r="BA41" i="4"/>
  <c r="BP41" i="4"/>
  <c r="CI41" i="4"/>
  <c r="CW41" i="4"/>
  <c r="AK41" i="4"/>
  <c r="BN41" i="4"/>
  <c r="CM41" i="4"/>
  <c r="AQ41" i="4"/>
  <c r="BQ41" i="4"/>
  <c r="CT41" i="4"/>
  <c r="U41" i="4"/>
  <c r="AS41" i="4"/>
  <c r="BW41" i="4"/>
  <c r="CU41" i="4"/>
  <c r="AF41" i="4"/>
  <c r="BF41" i="4"/>
  <c r="CJ41" i="4"/>
  <c r="BL41" i="4"/>
  <c r="W41" i="4"/>
  <c r="BX41" i="4"/>
  <c r="X41" i="4"/>
  <c r="CA41" i="4"/>
  <c r="AA41" i="4"/>
  <c r="CB41" i="4"/>
  <c r="AU41" i="4"/>
  <c r="BC41" i="4"/>
  <c r="BD41" i="4"/>
  <c r="AJ41" i="4"/>
  <c r="N69" i="4"/>
  <c r="V69" i="4"/>
  <c r="AD69" i="4"/>
  <c r="AL69" i="4"/>
  <c r="AT69" i="4"/>
  <c r="BB69" i="4"/>
  <c r="BJ69" i="4"/>
  <c r="BR69" i="4"/>
  <c r="BZ69" i="4"/>
  <c r="CH69" i="4"/>
  <c r="CX69" i="4"/>
  <c r="O69" i="4"/>
  <c r="W69" i="4"/>
  <c r="AE69" i="4"/>
  <c r="AM69" i="4"/>
  <c r="AU69" i="4"/>
  <c r="BC69" i="4"/>
  <c r="BK69" i="4"/>
  <c r="BS69" i="4"/>
  <c r="CA69" i="4"/>
  <c r="CI69" i="4"/>
  <c r="CQ69" i="4"/>
  <c r="CY69" i="4"/>
  <c r="S69" i="4"/>
  <c r="AA69" i="4"/>
  <c r="AI69" i="4"/>
  <c r="AQ69" i="4"/>
  <c r="AY69" i="4"/>
  <c r="BG69" i="4"/>
  <c r="BO69" i="4"/>
  <c r="BW69" i="4"/>
  <c r="CE69" i="4"/>
  <c r="CM69" i="4"/>
  <c r="CU69" i="4"/>
  <c r="R69" i="4"/>
  <c r="AF69" i="4"/>
  <c r="AR69" i="4"/>
  <c r="BE69" i="4"/>
  <c r="BQ69" i="4"/>
  <c r="CD69" i="4"/>
  <c r="CR69" i="4"/>
  <c r="T69" i="4"/>
  <c r="AG69" i="4"/>
  <c r="AS69" i="4"/>
  <c r="BF69" i="4"/>
  <c r="BT69" i="4"/>
  <c r="CF69" i="4"/>
  <c r="CS69" i="4"/>
  <c r="Z69" i="4"/>
  <c r="AN69" i="4"/>
  <c r="AZ69" i="4"/>
  <c r="BM69" i="4"/>
  <c r="BY69" i="4"/>
  <c r="CZ69" i="4"/>
  <c r="P69" i="4"/>
  <c r="AB69" i="4"/>
  <c r="AO69" i="4"/>
  <c r="BA69" i="4"/>
  <c r="BN69" i="4"/>
  <c r="CB69" i="4"/>
  <c r="CN69" i="4"/>
  <c r="DA69" i="4"/>
  <c r="AJ69" i="4"/>
  <c r="BI69" i="4"/>
  <c r="CJ69" i="4"/>
  <c r="Q69" i="4"/>
  <c r="AP69" i="4"/>
  <c r="BP69" i="4"/>
  <c r="CO69" i="4"/>
  <c r="AK69" i="4"/>
  <c r="BL69" i="4"/>
  <c r="CK69" i="4"/>
  <c r="Y69" i="4"/>
  <c r="AX69" i="4"/>
  <c r="BX69" i="4"/>
  <c r="CW69" i="4"/>
  <c r="AC69" i="4"/>
  <c r="BD69" i="4"/>
  <c r="CC69" i="4"/>
  <c r="AW69" i="4"/>
  <c r="BH69" i="4"/>
  <c r="BU69" i="4"/>
  <c r="CG69" i="4"/>
  <c r="CT69" i="4"/>
  <c r="AH69" i="4"/>
  <c r="CV69" i="4"/>
  <c r="AV69" i="4"/>
  <c r="BV69" i="4"/>
  <c r="U69" i="4"/>
  <c r="X69" i="4"/>
  <c r="R61" i="4"/>
  <c r="Z61" i="4"/>
  <c r="AH61" i="4"/>
  <c r="AP61" i="4"/>
  <c r="AX61" i="4"/>
  <c r="BF61" i="4"/>
  <c r="BN61" i="4"/>
  <c r="BV61" i="4"/>
  <c r="CD61" i="4"/>
  <c r="CT61" i="4"/>
  <c r="S61" i="4"/>
  <c r="AA61" i="4"/>
  <c r="AI61" i="4"/>
  <c r="AQ61" i="4"/>
  <c r="AY61" i="4"/>
  <c r="BG61" i="4"/>
  <c r="BO61" i="4"/>
  <c r="BW61" i="4"/>
  <c r="CE61" i="4"/>
  <c r="CM61" i="4"/>
  <c r="CU61" i="4"/>
  <c r="N61" i="4"/>
  <c r="X61" i="4"/>
  <c r="AJ61" i="4"/>
  <c r="AT61" i="4"/>
  <c r="BD61" i="4"/>
  <c r="BP61" i="4"/>
  <c r="BZ61" i="4"/>
  <c r="CJ61" i="4"/>
  <c r="CV61" i="4"/>
  <c r="O61" i="4"/>
  <c r="Y61" i="4"/>
  <c r="AK61" i="4"/>
  <c r="AU61" i="4"/>
  <c r="BE61" i="4"/>
  <c r="BQ61" i="4"/>
  <c r="CA61" i="4"/>
  <c r="CK61" i="4"/>
  <c r="CW61" i="4"/>
  <c r="P61" i="4"/>
  <c r="AB61" i="4"/>
  <c r="AL61" i="4"/>
  <c r="AV61" i="4"/>
  <c r="BH61" i="4"/>
  <c r="BR61" i="4"/>
  <c r="CB61" i="4"/>
  <c r="CN61" i="4"/>
  <c r="CX61" i="4"/>
  <c r="U61" i="4"/>
  <c r="AE61" i="4"/>
  <c r="AO61" i="4"/>
  <c r="BA61" i="4"/>
  <c r="BK61" i="4"/>
  <c r="BU61" i="4"/>
  <c r="CG61" i="4"/>
  <c r="CQ61" i="4"/>
  <c r="DA61" i="4"/>
  <c r="AD61" i="4"/>
  <c r="AZ61" i="4"/>
  <c r="AF61" i="4"/>
  <c r="BB61" i="4"/>
  <c r="BX61" i="4"/>
  <c r="CR61" i="4"/>
  <c r="AG61" i="4"/>
  <c r="BC61" i="4"/>
  <c r="BY61" i="4"/>
  <c r="CS61" i="4"/>
  <c r="Q61" i="4"/>
  <c r="AM61" i="4"/>
  <c r="BI61" i="4"/>
  <c r="CC61" i="4"/>
  <c r="T61" i="4"/>
  <c r="AN61" i="4"/>
  <c r="BJ61" i="4"/>
  <c r="V61" i="4"/>
  <c r="AR61" i="4"/>
  <c r="BL61" i="4"/>
  <c r="W61" i="4"/>
  <c r="AS61" i="4"/>
  <c r="BM61" i="4"/>
  <c r="CI61" i="4"/>
  <c r="AC61" i="4"/>
  <c r="AW61" i="4"/>
  <c r="BS61" i="4"/>
  <c r="CO61" i="4"/>
  <c r="BT61" i="4"/>
  <c r="CF61" i="4"/>
  <c r="CH61" i="4"/>
  <c r="CY61" i="4"/>
  <c r="CZ61" i="4"/>
  <c r="P53" i="4"/>
  <c r="X53" i="4"/>
  <c r="AF53" i="4"/>
  <c r="AN53" i="4"/>
  <c r="AV53" i="4"/>
  <c r="BD53" i="4"/>
  <c r="BL53" i="4"/>
  <c r="BT53" i="4"/>
  <c r="CB53" i="4"/>
  <c r="CJ53" i="4"/>
  <c r="CR53" i="4"/>
  <c r="CZ53" i="4"/>
  <c r="Q53" i="4"/>
  <c r="Y53" i="4"/>
  <c r="AG53" i="4"/>
  <c r="AO53" i="4"/>
  <c r="AW53" i="4"/>
  <c r="BE53" i="4"/>
  <c r="BM53" i="4"/>
  <c r="BU53" i="4"/>
  <c r="CC53" i="4"/>
  <c r="CK53" i="4"/>
  <c r="CS53" i="4"/>
  <c r="DA53" i="4"/>
  <c r="T53" i="4"/>
  <c r="AD53" i="4"/>
  <c r="AP53" i="4"/>
  <c r="AZ53" i="4"/>
  <c r="BJ53" i="4"/>
  <c r="BV53" i="4"/>
  <c r="CF53" i="4"/>
  <c r="U53" i="4"/>
  <c r="AE53" i="4"/>
  <c r="AQ53" i="4"/>
  <c r="BA53" i="4"/>
  <c r="BK53" i="4"/>
  <c r="BW53" i="4"/>
  <c r="CG53" i="4"/>
  <c r="CQ53" i="4"/>
  <c r="W53" i="4"/>
  <c r="AI53" i="4"/>
  <c r="AS53" i="4"/>
  <c r="BC53" i="4"/>
  <c r="BO53" i="4"/>
  <c r="BY53" i="4"/>
  <c r="CI53" i="4"/>
  <c r="CU53" i="4"/>
  <c r="AA53" i="4"/>
  <c r="AR53" i="4"/>
  <c r="BH53" i="4"/>
  <c r="BZ53" i="4"/>
  <c r="CO53" i="4"/>
  <c r="AB53" i="4"/>
  <c r="AT53" i="4"/>
  <c r="BI53" i="4"/>
  <c r="CA53" i="4"/>
  <c r="CT53" i="4"/>
  <c r="N53" i="4"/>
  <c r="AC53" i="4"/>
  <c r="AU53" i="4"/>
  <c r="BN53" i="4"/>
  <c r="CD53" i="4"/>
  <c r="CV53" i="4"/>
  <c r="S53" i="4"/>
  <c r="AK53" i="4"/>
  <c r="BB53" i="4"/>
  <c r="BR53" i="4"/>
  <c r="CY53" i="4"/>
  <c r="V53" i="4"/>
  <c r="AL53" i="4"/>
  <c r="BF53" i="4"/>
  <c r="BS53" i="4"/>
  <c r="CM53" i="4"/>
  <c r="AJ53" i="4"/>
  <c r="CE53" i="4"/>
  <c r="AM53" i="4"/>
  <c r="CH53" i="4"/>
  <c r="AX53" i="4"/>
  <c r="CN53" i="4"/>
  <c r="AY53" i="4"/>
  <c r="CW53" i="4"/>
  <c r="O53" i="4"/>
  <c r="BG53" i="4"/>
  <c r="CX53" i="4"/>
  <c r="R53" i="4"/>
  <c r="BP53" i="4"/>
  <c r="Z53" i="4"/>
  <c r="BQ53" i="4"/>
  <c r="AH53" i="4"/>
  <c r="BX53" i="4"/>
  <c r="Q19" i="4"/>
  <c r="Y19" i="4"/>
  <c r="AG19" i="4"/>
  <c r="AO19" i="4"/>
  <c r="AW19" i="4"/>
  <c r="BE19" i="4"/>
  <c r="BM19" i="4"/>
  <c r="BU19" i="4"/>
  <c r="CC19" i="4"/>
  <c r="CK19" i="4"/>
  <c r="CS19" i="4"/>
  <c r="DA19" i="4"/>
  <c r="S19" i="4"/>
  <c r="AA19" i="4"/>
  <c r="AI19" i="4"/>
  <c r="AQ19" i="4"/>
  <c r="AY19" i="4"/>
  <c r="BG19" i="4"/>
  <c r="BO19" i="4"/>
  <c r="BW19" i="4"/>
  <c r="CE19" i="4"/>
  <c r="CM19" i="4"/>
  <c r="CU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U19" i="4"/>
  <c r="AH19" i="4"/>
  <c r="AT19" i="4"/>
  <c r="BH19" i="4"/>
  <c r="BT19" i="4"/>
  <c r="CG19" i="4"/>
  <c r="CT19" i="4"/>
  <c r="V19" i="4"/>
  <c r="AJ19" i="4"/>
  <c r="AV19" i="4"/>
  <c r="BI19" i="4"/>
  <c r="BV19" i="4"/>
  <c r="CH19" i="4"/>
  <c r="CV19" i="4"/>
  <c r="P19" i="4"/>
  <c r="AC19" i="4"/>
  <c r="AP19" i="4"/>
  <c r="BB19" i="4"/>
  <c r="BP19" i="4"/>
  <c r="CB19" i="4"/>
  <c r="CO19" i="4"/>
  <c r="AF19" i="4"/>
  <c r="BA19" i="4"/>
  <c r="BX19" i="4"/>
  <c r="N19" i="4"/>
  <c r="AK19" i="4"/>
  <c r="BD19" i="4"/>
  <c r="BY19" i="4"/>
  <c r="CR19" i="4"/>
  <c r="AD19" i="4"/>
  <c r="AZ19" i="4"/>
  <c r="BR19" i="4"/>
  <c r="CN19" i="4"/>
  <c r="X19" i="4"/>
  <c r="BF19" i="4"/>
  <c r="CJ19" i="4"/>
  <c r="AR19" i="4"/>
  <c r="BZ19" i="4"/>
  <c r="R19" i="4"/>
  <c r="AS19" i="4"/>
  <c r="CD19" i="4"/>
  <c r="AX19" i="4"/>
  <c r="CX19" i="4"/>
  <c r="BJ19" i="4"/>
  <c r="CZ19" i="4"/>
  <c r="BL19" i="4"/>
  <c r="T19" i="4"/>
  <c r="BN19" i="4"/>
  <c r="AB19" i="4"/>
  <c r="CF19" i="4"/>
  <c r="AL19" i="4"/>
  <c r="AN19" i="4"/>
  <c r="CW19" i="4"/>
  <c r="Z19" i="4"/>
  <c r="BQ19" i="4"/>
  <c r="S32" i="4"/>
  <c r="AA32" i="4"/>
  <c r="AI32" i="4"/>
  <c r="AQ32" i="4"/>
  <c r="AY32" i="4"/>
  <c r="BG32" i="4"/>
  <c r="BO32" i="4"/>
  <c r="BW32" i="4"/>
  <c r="CE32" i="4"/>
  <c r="CM32" i="4"/>
  <c r="CU32" i="4"/>
  <c r="P32" i="4"/>
  <c r="X32" i="4"/>
  <c r="AF32" i="4"/>
  <c r="AN32" i="4"/>
  <c r="AV32" i="4"/>
  <c r="O32" i="4"/>
  <c r="Z32" i="4"/>
  <c r="AK32" i="4"/>
  <c r="AU32" i="4"/>
  <c r="BE32" i="4"/>
  <c r="BN32" i="4"/>
  <c r="BX32" i="4"/>
  <c r="CG32" i="4"/>
  <c r="CY32" i="4"/>
  <c r="V32" i="4"/>
  <c r="AG32" i="4"/>
  <c r="AR32" i="4"/>
  <c r="BB32" i="4"/>
  <c r="BK32" i="4"/>
  <c r="BT32" i="4"/>
  <c r="CC32" i="4"/>
  <c r="CV32" i="4"/>
  <c r="W32" i="4"/>
  <c r="AH32" i="4"/>
  <c r="AS32" i="4"/>
  <c r="BC32" i="4"/>
  <c r="BL32" i="4"/>
  <c r="BU32" i="4"/>
  <c r="CD32" i="4"/>
  <c r="CN32" i="4"/>
  <c r="CW32" i="4"/>
  <c r="N32" i="4"/>
  <c r="Y32" i="4"/>
  <c r="AJ32" i="4"/>
  <c r="AT32" i="4"/>
  <c r="BD32" i="4"/>
  <c r="BM32" i="4"/>
  <c r="AB32" i="4"/>
  <c r="AW32" i="4"/>
  <c r="BP32" i="4"/>
  <c r="CB32" i="4"/>
  <c r="CR32" i="4"/>
  <c r="AC32" i="4"/>
  <c r="AX32" i="4"/>
  <c r="BQ32" i="4"/>
  <c r="CF32" i="4"/>
  <c r="CS32" i="4"/>
  <c r="T32" i="4"/>
  <c r="AO32" i="4"/>
  <c r="BI32" i="4"/>
  <c r="BZ32" i="4"/>
  <c r="CO32" i="4"/>
  <c r="U32" i="4"/>
  <c r="AP32" i="4"/>
  <c r="BJ32" i="4"/>
  <c r="CA32" i="4"/>
  <c r="CQ32" i="4"/>
  <c r="AE32" i="4"/>
  <c r="BS32" i="4"/>
  <c r="CX32" i="4"/>
  <c r="AL32" i="4"/>
  <c r="BV32" i="4"/>
  <c r="CZ32" i="4"/>
  <c r="BA32" i="4"/>
  <c r="CI32" i="4"/>
  <c r="Q32" i="4"/>
  <c r="BF32" i="4"/>
  <c r="CJ32" i="4"/>
  <c r="AM32" i="4"/>
  <c r="DA32" i="4"/>
  <c r="AZ32" i="4"/>
  <c r="BH32" i="4"/>
  <c r="BR32" i="4"/>
  <c r="R32" i="4"/>
  <c r="CK32" i="4"/>
  <c r="CT32" i="4"/>
  <c r="AD32" i="4"/>
  <c r="BY32" i="4"/>
  <c r="CH32" i="4"/>
  <c r="U22" i="4"/>
  <c r="AC22" i="4"/>
  <c r="AK22" i="4"/>
  <c r="AS22" i="4"/>
  <c r="BA22" i="4"/>
  <c r="BI22" i="4"/>
  <c r="BQ22" i="4"/>
  <c r="BY22" i="4"/>
  <c r="CG22" i="4"/>
  <c r="CO22" i="4"/>
  <c r="CW22" i="4"/>
  <c r="O22" i="4"/>
  <c r="W22" i="4"/>
  <c r="AE22" i="4"/>
  <c r="AM22" i="4"/>
  <c r="AU22" i="4"/>
  <c r="BC22" i="4"/>
  <c r="BK22" i="4"/>
  <c r="BS22" i="4"/>
  <c r="CA22" i="4"/>
  <c r="CI22" i="4"/>
  <c r="CQ22" i="4"/>
  <c r="CY22" i="4"/>
  <c r="S22" i="4"/>
  <c r="AA22" i="4"/>
  <c r="AI22" i="4"/>
  <c r="AQ22" i="4"/>
  <c r="AY22" i="4"/>
  <c r="BG22" i="4"/>
  <c r="BO22" i="4"/>
  <c r="BW22" i="4"/>
  <c r="CE22" i="4"/>
  <c r="CM22" i="4"/>
  <c r="CU22" i="4"/>
  <c r="N22" i="4"/>
  <c r="Z22" i="4"/>
  <c r="AN22" i="4"/>
  <c r="AZ22" i="4"/>
  <c r="BM22" i="4"/>
  <c r="BZ22" i="4"/>
  <c r="CZ22" i="4"/>
  <c r="P22" i="4"/>
  <c r="AB22" i="4"/>
  <c r="AO22" i="4"/>
  <c r="BB22" i="4"/>
  <c r="BN22" i="4"/>
  <c r="CB22" i="4"/>
  <c r="CN22" i="4"/>
  <c r="DA22" i="4"/>
  <c r="V22" i="4"/>
  <c r="AH22" i="4"/>
  <c r="AV22" i="4"/>
  <c r="BH22" i="4"/>
  <c r="BU22" i="4"/>
  <c r="CH22" i="4"/>
  <c r="CT22" i="4"/>
  <c r="X22" i="4"/>
  <c r="AR22" i="4"/>
  <c r="BL22" i="4"/>
  <c r="CF22" i="4"/>
  <c r="Y22" i="4"/>
  <c r="AT22" i="4"/>
  <c r="BP22" i="4"/>
  <c r="CJ22" i="4"/>
  <c r="T22" i="4"/>
  <c r="AP22" i="4"/>
  <c r="BJ22" i="4"/>
  <c r="CD22" i="4"/>
  <c r="CX22" i="4"/>
  <c r="AL22" i="4"/>
  <c r="BV22" i="4"/>
  <c r="AF22" i="4"/>
  <c r="BF22" i="4"/>
  <c r="CR22" i="4"/>
  <c r="AG22" i="4"/>
  <c r="BR22" i="4"/>
  <c r="CS22" i="4"/>
  <c r="AJ22" i="4"/>
  <c r="CK22" i="4"/>
  <c r="AW22" i="4"/>
  <c r="AX22" i="4"/>
  <c r="CV22" i="4"/>
  <c r="BD22" i="4"/>
  <c r="Q22" i="4"/>
  <c r="BT22" i="4"/>
  <c r="R22" i="4"/>
  <c r="BX22" i="4"/>
  <c r="AD22" i="4"/>
  <c r="CC22" i="4"/>
  <c r="BE22" i="4"/>
  <c r="U34" i="4"/>
  <c r="AC34" i="4"/>
  <c r="AK34" i="4"/>
  <c r="AS34" i="4"/>
  <c r="BA34" i="4"/>
  <c r="BI34" i="4"/>
  <c r="BQ34" i="4"/>
  <c r="BY34" i="4"/>
  <c r="CG34" i="4"/>
  <c r="CO34" i="4"/>
  <c r="CW34" i="4"/>
  <c r="R34" i="4"/>
  <c r="Z34" i="4"/>
  <c r="AH34" i="4"/>
  <c r="AP34" i="4"/>
  <c r="AX34" i="4"/>
  <c r="BF34" i="4"/>
  <c r="BN34" i="4"/>
  <c r="BV34" i="4"/>
  <c r="CD34" i="4"/>
  <c r="CT34" i="4"/>
  <c r="S34" i="4"/>
  <c r="AA34" i="4"/>
  <c r="AI34" i="4"/>
  <c r="V34" i="4"/>
  <c r="AG34" i="4"/>
  <c r="AT34" i="4"/>
  <c r="BD34" i="4"/>
  <c r="BO34" i="4"/>
  <c r="BZ34" i="4"/>
  <c r="CJ34" i="4"/>
  <c r="CU34" i="4"/>
  <c r="W34" i="4"/>
  <c r="AJ34" i="4"/>
  <c r="AU34" i="4"/>
  <c r="BE34" i="4"/>
  <c r="BP34" i="4"/>
  <c r="CA34" i="4"/>
  <c r="CK34" i="4"/>
  <c r="CV34" i="4"/>
  <c r="Q34" i="4"/>
  <c r="AE34" i="4"/>
  <c r="AQ34" i="4"/>
  <c r="BB34" i="4"/>
  <c r="BL34" i="4"/>
  <c r="BW34" i="4"/>
  <c r="CH34" i="4"/>
  <c r="CR34" i="4"/>
  <c r="T34" i="4"/>
  <c r="AF34" i="4"/>
  <c r="AR34" i="4"/>
  <c r="BC34" i="4"/>
  <c r="BM34" i="4"/>
  <c r="BX34" i="4"/>
  <c r="CI34" i="4"/>
  <c r="CS34" i="4"/>
  <c r="Y34" i="4"/>
  <c r="AW34" i="4"/>
  <c r="BS34" i="4"/>
  <c r="AB34" i="4"/>
  <c r="AY34" i="4"/>
  <c r="BT34" i="4"/>
  <c r="N34" i="4"/>
  <c r="AM34" i="4"/>
  <c r="BH34" i="4"/>
  <c r="CC34" i="4"/>
  <c r="CY34" i="4"/>
  <c r="O34" i="4"/>
  <c r="AN34" i="4"/>
  <c r="BJ34" i="4"/>
  <c r="CE34" i="4"/>
  <c r="CZ34" i="4"/>
  <c r="AD34" i="4"/>
  <c r="BU34" i="4"/>
  <c r="AL34" i="4"/>
  <c r="CB34" i="4"/>
  <c r="AO34" i="4"/>
  <c r="CF34" i="4"/>
  <c r="AV34" i="4"/>
  <c r="CM34" i="4"/>
  <c r="P34" i="4"/>
  <c r="BK34" i="4"/>
  <c r="CX34" i="4"/>
  <c r="BG34" i="4"/>
  <c r="BR34" i="4"/>
  <c r="CN34" i="4"/>
  <c r="CQ34" i="4"/>
  <c r="X34" i="4"/>
  <c r="AZ34" i="4"/>
  <c r="DA34" i="4"/>
  <c r="U40" i="4"/>
  <c r="AC40" i="4"/>
  <c r="AK40" i="4"/>
  <c r="AS40" i="4"/>
  <c r="BA40" i="4"/>
  <c r="BI40" i="4"/>
  <c r="BQ40" i="4"/>
  <c r="BY40" i="4"/>
  <c r="CG40" i="4"/>
  <c r="CO40" i="4"/>
  <c r="CW40" i="4"/>
  <c r="R40" i="4"/>
  <c r="Z40" i="4"/>
  <c r="AH40" i="4"/>
  <c r="AP40" i="4"/>
  <c r="AX40" i="4"/>
  <c r="BF40" i="4"/>
  <c r="BN40" i="4"/>
  <c r="BV40" i="4"/>
  <c r="CD40" i="4"/>
  <c r="CT40" i="4"/>
  <c r="P40" i="4"/>
  <c r="AA40" i="4"/>
  <c r="AL40" i="4"/>
  <c r="AV40" i="4"/>
  <c r="BG40" i="4"/>
  <c r="BR40" i="4"/>
  <c r="CB40" i="4"/>
  <c r="CM40" i="4"/>
  <c r="CX40" i="4"/>
  <c r="N40" i="4"/>
  <c r="X40" i="4"/>
  <c r="AI40" i="4"/>
  <c r="AT40" i="4"/>
  <c r="BD40" i="4"/>
  <c r="BO40" i="4"/>
  <c r="BZ40" i="4"/>
  <c r="CJ40" i="4"/>
  <c r="CU40" i="4"/>
  <c r="O40" i="4"/>
  <c r="Y40" i="4"/>
  <c r="AJ40" i="4"/>
  <c r="AU40" i="4"/>
  <c r="BE40" i="4"/>
  <c r="BP40" i="4"/>
  <c r="CA40" i="4"/>
  <c r="CK40" i="4"/>
  <c r="CV40" i="4"/>
  <c r="Q40" i="4"/>
  <c r="AF40" i="4"/>
  <c r="AY40" i="4"/>
  <c r="BM40" i="4"/>
  <c r="CF40" i="4"/>
  <c r="CY40" i="4"/>
  <c r="V40" i="4"/>
  <c r="AN40" i="4"/>
  <c r="BC40" i="4"/>
  <c r="BU40" i="4"/>
  <c r="CN40" i="4"/>
  <c r="W40" i="4"/>
  <c r="AO40" i="4"/>
  <c r="BH40" i="4"/>
  <c r="BW40" i="4"/>
  <c r="T40" i="4"/>
  <c r="AW40" i="4"/>
  <c r="BX40" i="4"/>
  <c r="CZ40" i="4"/>
  <c r="AB40" i="4"/>
  <c r="AZ40" i="4"/>
  <c r="CC40" i="4"/>
  <c r="DA40" i="4"/>
  <c r="AD40" i="4"/>
  <c r="BB40" i="4"/>
  <c r="CE40" i="4"/>
  <c r="AQ40" i="4"/>
  <c r="BS40" i="4"/>
  <c r="CR40" i="4"/>
  <c r="AR40" i="4"/>
  <c r="CS40" i="4"/>
  <c r="BJ40" i="4"/>
  <c r="BK40" i="4"/>
  <c r="BL40" i="4"/>
  <c r="AE40" i="4"/>
  <c r="AG40" i="4"/>
  <c r="AM40" i="4"/>
  <c r="BT40" i="4"/>
  <c r="CH40" i="4"/>
  <c r="CI40" i="4"/>
  <c r="CQ40" i="4"/>
  <c r="S40" i="4"/>
  <c r="R68" i="4"/>
  <c r="Z68" i="4"/>
  <c r="AH68" i="4"/>
  <c r="AP68" i="4"/>
  <c r="AX68" i="4"/>
  <c r="BF68" i="4"/>
  <c r="BN68" i="4"/>
  <c r="BV68" i="4"/>
  <c r="CD68" i="4"/>
  <c r="CT68" i="4"/>
  <c r="S68" i="4"/>
  <c r="AA68" i="4"/>
  <c r="AI68" i="4"/>
  <c r="AQ68" i="4"/>
  <c r="AY68" i="4"/>
  <c r="BG68" i="4"/>
  <c r="BO68" i="4"/>
  <c r="BW68" i="4"/>
  <c r="CE68" i="4"/>
  <c r="CM68" i="4"/>
  <c r="CU68" i="4"/>
  <c r="O68" i="4"/>
  <c r="W68" i="4"/>
  <c r="AE68" i="4"/>
  <c r="AM68" i="4"/>
  <c r="AU68" i="4"/>
  <c r="BC68" i="4"/>
  <c r="BK68" i="4"/>
  <c r="BS68" i="4"/>
  <c r="CA68" i="4"/>
  <c r="CI68" i="4"/>
  <c r="CQ68" i="4"/>
  <c r="CY68" i="4"/>
  <c r="U68" i="4"/>
  <c r="AG68" i="4"/>
  <c r="AT68" i="4"/>
  <c r="BH68" i="4"/>
  <c r="BT68" i="4"/>
  <c r="CG68" i="4"/>
  <c r="CS68" i="4"/>
  <c r="V68" i="4"/>
  <c r="AJ68" i="4"/>
  <c r="AV68" i="4"/>
  <c r="BI68" i="4"/>
  <c r="BU68" i="4"/>
  <c r="CH68" i="4"/>
  <c r="CV68" i="4"/>
  <c r="P68" i="4"/>
  <c r="AC68" i="4"/>
  <c r="AO68" i="4"/>
  <c r="BB68" i="4"/>
  <c r="BP68" i="4"/>
  <c r="CB68" i="4"/>
  <c r="CO68" i="4"/>
  <c r="DA68" i="4"/>
  <c r="Q68" i="4"/>
  <c r="AD68" i="4"/>
  <c r="AR68" i="4"/>
  <c r="BD68" i="4"/>
  <c r="BQ68" i="4"/>
  <c r="CC68" i="4"/>
  <c r="Y68" i="4"/>
  <c r="AZ68" i="4"/>
  <c r="BY68" i="4"/>
  <c r="CX68" i="4"/>
  <c r="AF68" i="4"/>
  <c r="BE68" i="4"/>
  <c r="CF68" i="4"/>
  <c r="AB68" i="4"/>
  <c r="BA68" i="4"/>
  <c r="BZ68" i="4"/>
  <c r="CZ68" i="4"/>
  <c r="N68" i="4"/>
  <c r="AN68" i="4"/>
  <c r="BM68" i="4"/>
  <c r="CN68" i="4"/>
  <c r="T68" i="4"/>
  <c r="AS68" i="4"/>
  <c r="BR68" i="4"/>
  <c r="CR68" i="4"/>
  <c r="BX68" i="4"/>
  <c r="CJ68" i="4"/>
  <c r="X68" i="4"/>
  <c r="CK68" i="4"/>
  <c r="AK68" i="4"/>
  <c r="CW68" i="4"/>
  <c r="AL68" i="4"/>
  <c r="AW68" i="4"/>
  <c r="BJ68" i="4"/>
  <c r="BL68" i="4"/>
  <c r="N60" i="4"/>
  <c r="V60" i="4"/>
  <c r="AD60" i="4"/>
  <c r="AL60" i="4"/>
  <c r="AT60" i="4"/>
  <c r="BB60" i="4"/>
  <c r="BJ60" i="4"/>
  <c r="BR60" i="4"/>
  <c r="BZ60" i="4"/>
  <c r="CH60" i="4"/>
  <c r="CX60" i="4"/>
  <c r="O60" i="4"/>
  <c r="W60" i="4"/>
  <c r="AE60" i="4"/>
  <c r="AM60" i="4"/>
  <c r="AU60" i="4"/>
  <c r="BC60" i="4"/>
  <c r="BK60" i="4"/>
  <c r="BS60" i="4"/>
  <c r="CA60" i="4"/>
  <c r="CI60" i="4"/>
  <c r="CQ60" i="4"/>
  <c r="CY60" i="4"/>
  <c r="T60" i="4"/>
  <c r="AF60" i="4"/>
  <c r="AP60" i="4"/>
  <c r="AZ60" i="4"/>
  <c r="BL60" i="4"/>
  <c r="BV60" i="4"/>
  <c r="CF60" i="4"/>
  <c r="CR60" i="4"/>
  <c r="U60" i="4"/>
  <c r="AG60" i="4"/>
  <c r="AQ60" i="4"/>
  <c r="BA60" i="4"/>
  <c r="BM60" i="4"/>
  <c r="BW60" i="4"/>
  <c r="CG60" i="4"/>
  <c r="CS60" i="4"/>
  <c r="X60" i="4"/>
  <c r="AH60" i="4"/>
  <c r="AR60" i="4"/>
  <c r="BD60" i="4"/>
  <c r="BN60" i="4"/>
  <c r="BX60" i="4"/>
  <c r="CJ60" i="4"/>
  <c r="CT60" i="4"/>
  <c r="Q60" i="4"/>
  <c r="AA60" i="4"/>
  <c r="AK60" i="4"/>
  <c r="AW60" i="4"/>
  <c r="BG60" i="4"/>
  <c r="BQ60" i="4"/>
  <c r="CC60" i="4"/>
  <c r="CM60" i="4"/>
  <c r="CW60" i="4"/>
  <c r="P60" i="4"/>
  <c r="AJ60" i="4"/>
  <c r="BF60" i="4"/>
  <c r="CB60" i="4"/>
  <c r="CV60" i="4"/>
  <c r="R60" i="4"/>
  <c r="AN60" i="4"/>
  <c r="BH60" i="4"/>
  <c r="CD60" i="4"/>
  <c r="CZ60" i="4"/>
  <c r="S60" i="4"/>
  <c r="AO60" i="4"/>
  <c r="BI60" i="4"/>
  <c r="CE60" i="4"/>
  <c r="DA60" i="4"/>
  <c r="Y60" i="4"/>
  <c r="AS60" i="4"/>
  <c r="BO60" i="4"/>
  <c r="CK60" i="4"/>
  <c r="Z60" i="4"/>
  <c r="AV60" i="4"/>
  <c r="BP60" i="4"/>
  <c r="AB60" i="4"/>
  <c r="AX60" i="4"/>
  <c r="BT60" i="4"/>
  <c r="CN60" i="4"/>
  <c r="AC60" i="4"/>
  <c r="AY60" i="4"/>
  <c r="BU60" i="4"/>
  <c r="CO60" i="4"/>
  <c r="AI60" i="4"/>
  <c r="BE60" i="4"/>
  <c r="BY60" i="4"/>
  <c r="CU60" i="4"/>
  <c r="T52" i="4"/>
  <c r="AB52" i="4"/>
  <c r="AJ52" i="4"/>
  <c r="AR52" i="4"/>
  <c r="AZ52" i="4"/>
  <c r="BH52" i="4"/>
  <c r="BP52" i="4"/>
  <c r="BX52" i="4"/>
  <c r="CF52" i="4"/>
  <c r="CN52" i="4"/>
  <c r="CV52" i="4"/>
  <c r="U52" i="4"/>
  <c r="AC52" i="4"/>
  <c r="AK52" i="4"/>
  <c r="AS52" i="4"/>
  <c r="BA52" i="4"/>
  <c r="BI52" i="4"/>
  <c r="BQ52" i="4"/>
  <c r="BY52" i="4"/>
  <c r="CG52" i="4"/>
  <c r="CO52" i="4"/>
  <c r="CW52" i="4"/>
  <c r="P52" i="4"/>
  <c r="Z52" i="4"/>
  <c r="AL52" i="4"/>
  <c r="AV52" i="4"/>
  <c r="BF52" i="4"/>
  <c r="BR52" i="4"/>
  <c r="CB52" i="4"/>
  <c r="CX52" i="4"/>
  <c r="Q52" i="4"/>
  <c r="AA52" i="4"/>
  <c r="AM52" i="4"/>
  <c r="AW52" i="4"/>
  <c r="BG52" i="4"/>
  <c r="BS52" i="4"/>
  <c r="CC52" i="4"/>
  <c r="CM52" i="4"/>
  <c r="CY52" i="4"/>
  <c r="S52" i="4"/>
  <c r="AE52" i="4"/>
  <c r="AO52" i="4"/>
  <c r="AY52" i="4"/>
  <c r="BK52" i="4"/>
  <c r="BU52" i="4"/>
  <c r="CE52" i="4"/>
  <c r="CQ52" i="4"/>
  <c r="DA52" i="4"/>
  <c r="O52" i="4"/>
  <c r="AG52" i="4"/>
  <c r="AX52" i="4"/>
  <c r="BN52" i="4"/>
  <c r="CH52" i="4"/>
  <c r="CU52" i="4"/>
  <c r="R52" i="4"/>
  <c r="AH52" i="4"/>
  <c r="BB52" i="4"/>
  <c r="BO52" i="4"/>
  <c r="CI52" i="4"/>
  <c r="CZ52" i="4"/>
  <c r="V52" i="4"/>
  <c r="AI52" i="4"/>
  <c r="BC52" i="4"/>
  <c r="BT52" i="4"/>
  <c r="CJ52" i="4"/>
  <c r="Y52" i="4"/>
  <c r="AQ52" i="4"/>
  <c r="BJ52" i="4"/>
  <c r="BZ52" i="4"/>
  <c r="CR52" i="4"/>
  <c r="AD52" i="4"/>
  <c r="AT52" i="4"/>
  <c r="BL52" i="4"/>
  <c r="CA52" i="4"/>
  <c r="CS52" i="4"/>
  <c r="AN52" i="4"/>
  <c r="CD52" i="4"/>
  <c r="AP52" i="4"/>
  <c r="CK52" i="4"/>
  <c r="AU52" i="4"/>
  <c r="BD52" i="4"/>
  <c r="CT52" i="4"/>
  <c r="N52" i="4"/>
  <c r="BE52" i="4"/>
  <c r="W52" i="4"/>
  <c r="BM52" i="4"/>
  <c r="X52" i="4"/>
  <c r="BV52" i="4"/>
  <c r="AF52" i="4"/>
  <c r="BW52" i="4"/>
  <c r="N6" i="4"/>
  <c r="V6" i="4"/>
  <c r="AD6" i="4"/>
  <c r="AL6" i="4"/>
  <c r="AT6" i="4"/>
  <c r="BB6" i="4"/>
  <c r="BJ6" i="4"/>
  <c r="BR6" i="4"/>
  <c r="BZ6" i="4"/>
  <c r="CH6" i="4"/>
  <c r="CX6" i="4"/>
  <c r="O6" i="4"/>
  <c r="W6" i="4"/>
  <c r="AE6" i="4"/>
  <c r="AM6" i="4"/>
  <c r="AU6" i="4"/>
  <c r="BC6" i="4"/>
  <c r="BK6" i="4"/>
  <c r="BS6" i="4"/>
  <c r="CA6" i="4"/>
  <c r="CI6" i="4"/>
  <c r="CQ6" i="4"/>
  <c r="CY6" i="4"/>
  <c r="T6" i="4"/>
  <c r="AB6" i="4"/>
  <c r="AJ6" i="4"/>
  <c r="AR6" i="4"/>
  <c r="AZ6" i="4"/>
  <c r="BH6" i="4"/>
  <c r="BP6" i="4"/>
  <c r="BX6" i="4"/>
  <c r="CF6" i="4"/>
  <c r="CN6" i="4"/>
  <c r="CV6" i="4"/>
  <c r="P6" i="4"/>
  <c r="AA6" i="4"/>
  <c r="AO6" i="4"/>
  <c r="BA6" i="4"/>
  <c r="BN6" i="4"/>
  <c r="CB6" i="4"/>
  <c r="CM6" i="4"/>
  <c r="DA6" i="4"/>
  <c r="Q6" i="4"/>
  <c r="AC6" i="4"/>
  <c r="AP6" i="4"/>
  <c r="BD6" i="4"/>
  <c r="BO6" i="4"/>
  <c r="CC6" i="4"/>
  <c r="CO6" i="4"/>
  <c r="X6" i="4"/>
  <c r="AI6" i="4"/>
  <c r="AW6" i="4"/>
  <c r="BI6" i="4"/>
  <c r="BV6" i="4"/>
  <c r="CJ6" i="4"/>
  <c r="CU6" i="4"/>
  <c r="S6" i="4"/>
  <c r="AN6" i="4"/>
  <c r="BG6" i="4"/>
  <c r="CD6" i="4"/>
  <c r="CW6" i="4"/>
  <c r="U6" i="4"/>
  <c r="AQ6" i="4"/>
  <c r="BL6" i="4"/>
  <c r="CE6" i="4"/>
  <c r="CZ6" i="4"/>
  <c r="AH6" i="4"/>
  <c r="BE6" i="4"/>
  <c r="BW6" i="4"/>
  <c r="CS6" i="4"/>
  <c r="AG6" i="4"/>
  <c r="BQ6" i="4"/>
  <c r="CT6" i="4"/>
  <c r="AS6" i="4"/>
  <c r="BU6" i="4"/>
  <c r="Z6" i="4"/>
  <c r="BF6" i="4"/>
  <c r="AF6" i="4"/>
  <c r="BM6" i="4"/>
  <c r="CR6" i="4"/>
  <c r="BY6" i="4"/>
  <c r="R6" i="4"/>
  <c r="CG6" i="4"/>
  <c r="Y6" i="4"/>
  <c r="CK6" i="4"/>
  <c r="AY6" i="4"/>
  <c r="BT6" i="4"/>
  <c r="AX6" i="4"/>
  <c r="AK6" i="4"/>
  <c r="AV6" i="4"/>
  <c r="U38" i="4"/>
  <c r="AC38" i="4"/>
  <c r="AK38" i="4"/>
  <c r="AS38" i="4"/>
  <c r="BA38" i="4"/>
  <c r="BI38" i="4"/>
  <c r="BQ38" i="4"/>
  <c r="BY38" i="4"/>
  <c r="CG38" i="4"/>
  <c r="CO38" i="4"/>
  <c r="CW38" i="4"/>
  <c r="R38" i="4"/>
  <c r="Z38" i="4"/>
  <c r="AH38" i="4"/>
  <c r="AP38" i="4"/>
  <c r="AX38" i="4"/>
  <c r="BF38" i="4"/>
  <c r="BN38" i="4"/>
  <c r="BV38" i="4"/>
  <c r="CD38" i="4"/>
  <c r="CT38" i="4"/>
  <c r="S38" i="4"/>
  <c r="AD38" i="4"/>
  <c r="AN38" i="4"/>
  <c r="AY38" i="4"/>
  <c r="BJ38" i="4"/>
  <c r="BT38" i="4"/>
  <c r="CE38" i="4"/>
  <c r="CZ38" i="4"/>
  <c r="P38" i="4"/>
  <c r="AA38" i="4"/>
  <c r="AL38" i="4"/>
  <c r="AV38" i="4"/>
  <c r="BG38" i="4"/>
  <c r="BR38" i="4"/>
  <c r="CB38" i="4"/>
  <c r="CM38" i="4"/>
  <c r="CX38" i="4"/>
  <c r="Q38" i="4"/>
  <c r="AB38" i="4"/>
  <c r="AM38" i="4"/>
  <c r="AW38" i="4"/>
  <c r="BH38" i="4"/>
  <c r="BS38" i="4"/>
  <c r="CC38" i="4"/>
  <c r="CN38" i="4"/>
  <c r="CY38" i="4"/>
  <c r="AE38" i="4"/>
  <c r="AT38" i="4"/>
  <c r="BL38" i="4"/>
  <c r="CA38" i="4"/>
  <c r="CS38" i="4"/>
  <c r="T38" i="4"/>
  <c r="AI38" i="4"/>
  <c r="BB38" i="4"/>
  <c r="BP38" i="4"/>
  <c r="CI38" i="4"/>
  <c r="DA38" i="4"/>
  <c r="V38" i="4"/>
  <c r="AJ38" i="4"/>
  <c r="BC38" i="4"/>
  <c r="BU38" i="4"/>
  <c r="CJ38" i="4"/>
  <c r="N38" i="4"/>
  <c r="AQ38" i="4"/>
  <c r="BO38" i="4"/>
  <c r="CR38" i="4"/>
  <c r="O38" i="4"/>
  <c r="AR38" i="4"/>
  <c r="BW38" i="4"/>
  <c r="CU38" i="4"/>
  <c r="W38" i="4"/>
  <c r="AU38" i="4"/>
  <c r="BX38" i="4"/>
  <c r="CV38" i="4"/>
  <c r="AG38" i="4"/>
  <c r="BK38" i="4"/>
  <c r="CK38" i="4"/>
  <c r="BM38" i="4"/>
  <c r="X38" i="4"/>
  <c r="BZ38" i="4"/>
  <c r="Y38" i="4"/>
  <c r="CF38" i="4"/>
  <c r="AF38" i="4"/>
  <c r="CH38" i="4"/>
  <c r="AO38" i="4"/>
  <c r="AZ38" i="4"/>
  <c r="BD38" i="4"/>
  <c r="BE38" i="4"/>
  <c r="CQ38" i="4"/>
  <c r="N8" i="4"/>
  <c r="V8" i="4"/>
  <c r="AD8" i="4"/>
  <c r="AL8" i="4"/>
  <c r="AT8" i="4"/>
  <c r="BB8" i="4"/>
  <c r="BJ8" i="4"/>
  <c r="BR8" i="4"/>
  <c r="BZ8" i="4"/>
  <c r="CH8" i="4"/>
  <c r="CX8" i="4"/>
  <c r="O8" i="4"/>
  <c r="W8" i="4"/>
  <c r="AE8" i="4"/>
  <c r="AM8" i="4"/>
  <c r="AU8" i="4"/>
  <c r="BC8" i="4"/>
  <c r="BK8" i="4"/>
  <c r="BS8" i="4"/>
  <c r="CA8" i="4"/>
  <c r="CI8" i="4"/>
  <c r="CQ8" i="4"/>
  <c r="CY8" i="4"/>
  <c r="U8" i="4"/>
  <c r="AG8" i="4"/>
  <c r="AQ8" i="4"/>
  <c r="BA8" i="4"/>
  <c r="BM8" i="4"/>
  <c r="BW8" i="4"/>
  <c r="CG8" i="4"/>
  <c r="CS8" i="4"/>
  <c r="X8" i="4"/>
  <c r="AH8" i="4"/>
  <c r="AR8" i="4"/>
  <c r="BD8" i="4"/>
  <c r="BN8" i="4"/>
  <c r="BX8" i="4"/>
  <c r="CJ8" i="4"/>
  <c r="CT8" i="4"/>
  <c r="R8" i="4"/>
  <c r="AB8" i="4"/>
  <c r="AN8" i="4"/>
  <c r="AX8" i="4"/>
  <c r="BH8" i="4"/>
  <c r="BT8" i="4"/>
  <c r="CD8" i="4"/>
  <c r="CN8" i="4"/>
  <c r="CZ8" i="4"/>
  <c r="S8" i="4"/>
  <c r="AJ8" i="4"/>
  <c r="AZ8" i="4"/>
  <c r="BQ8" i="4"/>
  <c r="CK8" i="4"/>
  <c r="DA8" i="4"/>
  <c r="T8" i="4"/>
  <c r="AK8" i="4"/>
  <c r="BE8" i="4"/>
  <c r="BU8" i="4"/>
  <c r="P8" i="4"/>
  <c r="AF8" i="4"/>
  <c r="AW8" i="4"/>
  <c r="BO8" i="4"/>
  <c r="CE8" i="4"/>
  <c r="CV8" i="4"/>
  <c r="AP8" i="4"/>
  <c r="BP8" i="4"/>
  <c r="CR8" i="4"/>
  <c r="Y8" i="4"/>
  <c r="AV8" i="4"/>
  <c r="BY8" i="4"/>
  <c r="CW8" i="4"/>
  <c r="AI8" i="4"/>
  <c r="BI8" i="4"/>
  <c r="CM8" i="4"/>
  <c r="AO8" i="4"/>
  <c r="Z8" i="4"/>
  <c r="BV8" i="4"/>
  <c r="AA8" i="4"/>
  <c r="CB8" i="4"/>
  <c r="AC8" i="4"/>
  <c r="CC8" i="4"/>
  <c r="BG8" i="4"/>
  <c r="AS8" i="4"/>
  <c r="AY8" i="4"/>
  <c r="Q8" i="4"/>
  <c r="CF8" i="4"/>
  <c r="CO8" i="4"/>
  <c r="CU8" i="4"/>
  <c r="BF8" i="4"/>
  <c r="BL8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S21" i="4"/>
  <c r="AA21" i="4"/>
  <c r="AI21" i="4"/>
  <c r="AQ21" i="4"/>
  <c r="AY21" i="4"/>
  <c r="BG21" i="4"/>
  <c r="BO21" i="4"/>
  <c r="BW21" i="4"/>
  <c r="CE21" i="4"/>
  <c r="CM21" i="4"/>
  <c r="CU21" i="4"/>
  <c r="O21" i="4"/>
  <c r="W21" i="4"/>
  <c r="AE21" i="4"/>
  <c r="AM21" i="4"/>
  <c r="AU21" i="4"/>
  <c r="BC21" i="4"/>
  <c r="BK21" i="4"/>
  <c r="BS21" i="4"/>
  <c r="CA21" i="4"/>
  <c r="CI21" i="4"/>
  <c r="CQ21" i="4"/>
  <c r="CY21" i="4"/>
  <c r="P21" i="4"/>
  <c r="AC21" i="4"/>
  <c r="AP21" i="4"/>
  <c r="BB21" i="4"/>
  <c r="BP21" i="4"/>
  <c r="CB21" i="4"/>
  <c r="CO21" i="4"/>
  <c r="R21" i="4"/>
  <c r="AD21" i="4"/>
  <c r="AR21" i="4"/>
  <c r="BD21" i="4"/>
  <c r="BQ21" i="4"/>
  <c r="CD21" i="4"/>
  <c r="X21" i="4"/>
  <c r="AK21" i="4"/>
  <c r="AX21" i="4"/>
  <c r="BJ21" i="4"/>
  <c r="BX21" i="4"/>
  <c r="CJ21" i="4"/>
  <c r="CW21" i="4"/>
  <c r="AH21" i="4"/>
  <c r="BA21" i="4"/>
  <c r="BV21" i="4"/>
  <c r="CR21" i="4"/>
  <c r="N21" i="4"/>
  <c r="AJ21" i="4"/>
  <c r="BF21" i="4"/>
  <c r="BY21" i="4"/>
  <c r="CT21" i="4"/>
  <c r="AF21" i="4"/>
  <c r="AZ21" i="4"/>
  <c r="BT21" i="4"/>
  <c r="CN21" i="4"/>
  <c r="AL21" i="4"/>
  <c r="BN21" i="4"/>
  <c r="CX21" i="4"/>
  <c r="V21" i="4"/>
  <c r="BH21" i="4"/>
  <c r="CH21" i="4"/>
  <c r="Z21" i="4"/>
  <c r="BI21" i="4"/>
  <c r="U21" i="4"/>
  <c r="BZ21" i="4"/>
  <c r="AB21" i="4"/>
  <c r="CF21" i="4"/>
  <c r="AN21" i="4"/>
  <c r="CG21" i="4"/>
  <c r="AS21" i="4"/>
  <c r="CV21" i="4"/>
  <c r="AV21" i="4"/>
  <c r="BL21" i="4"/>
  <c r="T21" i="4"/>
  <c r="BR21" i="4"/>
  <c r="CZ21" i="4"/>
  <c r="AT21" i="4"/>
  <c r="R7" i="4"/>
  <c r="Z7" i="4"/>
  <c r="AH7" i="4"/>
  <c r="AP7" i="4"/>
  <c r="AX7" i="4"/>
  <c r="BF7" i="4"/>
  <c r="BN7" i="4"/>
  <c r="BV7" i="4"/>
  <c r="CD7" i="4"/>
  <c r="CT7" i="4"/>
  <c r="S7" i="4"/>
  <c r="AA7" i="4"/>
  <c r="AI7" i="4"/>
  <c r="AQ7" i="4"/>
  <c r="AY7" i="4"/>
  <c r="BG7" i="4"/>
  <c r="BO7" i="4"/>
  <c r="BW7" i="4"/>
  <c r="CE7" i="4"/>
  <c r="CM7" i="4"/>
  <c r="CU7" i="4"/>
  <c r="P7" i="4"/>
  <c r="X7" i="4"/>
  <c r="AF7" i="4"/>
  <c r="AN7" i="4"/>
  <c r="AV7" i="4"/>
  <c r="BD7" i="4"/>
  <c r="BL7" i="4"/>
  <c r="BT7" i="4"/>
  <c r="CB7" i="4"/>
  <c r="CJ7" i="4"/>
  <c r="CR7" i="4"/>
  <c r="CZ7" i="4"/>
  <c r="Y7" i="4"/>
  <c r="AL7" i="4"/>
  <c r="AZ7" i="4"/>
  <c r="BK7" i="4"/>
  <c r="BY7" i="4"/>
  <c r="CK7" i="4"/>
  <c r="CX7" i="4"/>
  <c r="N7" i="4"/>
  <c r="AB7" i="4"/>
  <c r="AM7" i="4"/>
  <c r="BA7" i="4"/>
  <c r="BM7" i="4"/>
  <c r="BZ7" i="4"/>
  <c r="CN7" i="4"/>
  <c r="CY7" i="4"/>
  <c r="U7" i="4"/>
  <c r="AG7" i="4"/>
  <c r="AT7" i="4"/>
  <c r="BH7" i="4"/>
  <c r="BS7" i="4"/>
  <c r="CG7" i="4"/>
  <c r="CS7" i="4"/>
  <c r="AD7" i="4"/>
  <c r="AW7" i="4"/>
  <c r="BR7" i="4"/>
  <c r="CO7" i="4"/>
  <c r="AE7" i="4"/>
  <c r="BB7" i="4"/>
  <c r="BU7" i="4"/>
  <c r="W7" i="4"/>
  <c r="AS7" i="4"/>
  <c r="BP7" i="4"/>
  <c r="CH7" i="4"/>
  <c r="AO7" i="4"/>
  <c r="BX7" i="4"/>
  <c r="DA7" i="4"/>
  <c r="Q7" i="4"/>
  <c r="AU7" i="4"/>
  <c r="CC7" i="4"/>
  <c r="AJ7" i="4"/>
  <c r="BJ7" i="4"/>
  <c r="CV7" i="4"/>
  <c r="AK7" i="4"/>
  <c r="BQ7" i="4"/>
  <c r="CW7" i="4"/>
  <c r="BC7" i="4"/>
  <c r="BE7" i="4"/>
  <c r="BI7" i="4"/>
  <c r="AC7" i="4"/>
  <c r="CQ7" i="4"/>
  <c r="O7" i="4"/>
  <c r="T7" i="4"/>
  <c r="CA7" i="4"/>
  <c r="V7" i="4"/>
  <c r="AR7" i="4"/>
  <c r="CI7" i="4"/>
  <c r="CF7" i="4"/>
  <c r="O33" i="4"/>
  <c r="W33" i="4"/>
  <c r="AE33" i="4"/>
  <c r="AM33" i="4"/>
  <c r="AU33" i="4"/>
  <c r="BC33" i="4"/>
  <c r="T33" i="4"/>
  <c r="AC33" i="4"/>
  <c r="AL33" i="4"/>
  <c r="AV33" i="4"/>
  <c r="BE33" i="4"/>
  <c r="BM33" i="4"/>
  <c r="BU33" i="4"/>
  <c r="CC33" i="4"/>
  <c r="CK33" i="4"/>
  <c r="CS33" i="4"/>
  <c r="DA33" i="4"/>
  <c r="Q33" i="4"/>
  <c r="Z33" i="4"/>
  <c r="AI33" i="4"/>
  <c r="AR33" i="4"/>
  <c r="BA33" i="4"/>
  <c r="BJ33" i="4"/>
  <c r="BR33" i="4"/>
  <c r="BZ33" i="4"/>
  <c r="CH33" i="4"/>
  <c r="CX33" i="4"/>
  <c r="R33" i="4"/>
  <c r="AA33" i="4"/>
  <c r="AJ33" i="4"/>
  <c r="AS33" i="4"/>
  <c r="BB33" i="4"/>
  <c r="BK33" i="4"/>
  <c r="BS33" i="4"/>
  <c r="CA33" i="4"/>
  <c r="CI33" i="4"/>
  <c r="CQ33" i="4"/>
  <c r="CY33" i="4"/>
  <c r="S33" i="4"/>
  <c r="AG33" i="4"/>
  <c r="AW33" i="4"/>
  <c r="BI33" i="4"/>
  <c r="BW33" i="4"/>
  <c r="CJ33" i="4"/>
  <c r="CV33" i="4"/>
  <c r="U33" i="4"/>
  <c r="AH33" i="4"/>
  <c r="AX33" i="4"/>
  <c r="BL33" i="4"/>
  <c r="BX33" i="4"/>
  <c r="CW33" i="4"/>
  <c r="N33" i="4"/>
  <c r="AD33" i="4"/>
  <c r="AQ33" i="4"/>
  <c r="BG33" i="4"/>
  <c r="BT33" i="4"/>
  <c r="CF33" i="4"/>
  <c r="CT33" i="4"/>
  <c r="P33" i="4"/>
  <c r="AF33" i="4"/>
  <c r="AT33" i="4"/>
  <c r="BH33" i="4"/>
  <c r="BV33" i="4"/>
  <c r="CG33" i="4"/>
  <c r="CU33" i="4"/>
  <c r="AN33" i="4"/>
  <c r="BO33" i="4"/>
  <c r="CN33" i="4"/>
  <c r="AO33" i="4"/>
  <c r="BP33" i="4"/>
  <c r="CO33" i="4"/>
  <c r="X33" i="4"/>
  <c r="AZ33" i="4"/>
  <c r="CB33" i="4"/>
  <c r="Y33" i="4"/>
  <c r="BD33" i="4"/>
  <c r="CD33" i="4"/>
  <c r="BQ33" i="4"/>
  <c r="V33" i="4"/>
  <c r="BY33" i="4"/>
  <c r="AB33" i="4"/>
  <c r="CE33" i="4"/>
  <c r="AK33" i="4"/>
  <c r="CM33" i="4"/>
  <c r="BF33" i="4"/>
  <c r="AP33" i="4"/>
  <c r="AY33" i="4"/>
  <c r="BN33" i="4"/>
  <c r="CR33" i="4"/>
  <c r="CZ33" i="4"/>
  <c r="Q39" i="4"/>
  <c r="Y39" i="4"/>
  <c r="AG39" i="4"/>
  <c r="AO39" i="4"/>
  <c r="AW39" i="4"/>
  <c r="BE39" i="4"/>
  <c r="BM39" i="4"/>
  <c r="BU39" i="4"/>
  <c r="CC39" i="4"/>
  <c r="CK39" i="4"/>
  <c r="CS39" i="4"/>
  <c r="DA39" i="4"/>
  <c r="N39" i="4"/>
  <c r="V39" i="4"/>
  <c r="AD39" i="4"/>
  <c r="AL39" i="4"/>
  <c r="AT39" i="4"/>
  <c r="BB39" i="4"/>
  <c r="BJ39" i="4"/>
  <c r="BR39" i="4"/>
  <c r="BZ39" i="4"/>
  <c r="CH39" i="4"/>
  <c r="CX39" i="4"/>
  <c r="W39" i="4"/>
  <c r="AH39" i="4"/>
  <c r="AR39" i="4"/>
  <c r="BC39" i="4"/>
  <c r="BN39" i="4"/>
  <c r="BX39" i="4"/>
  <c r="CI39" i="4"/>
  <c r="CT39" i="4"/>
  <c r="T39" i="4"/>
  <c r="AE39" i="4"/>
  <c r="AP39" i="4"/>
  <c r="AZ39" i="4"/>
  <c r="BK39" i="4"/>
  <c r="BV39" i="4"/>
  <c r="CF39" i="4"/>
  <c r="CQ39" i="4"/>
  <c r="U39" i="4"/>
  <c r="AF39" i="4"/>
  <c r="AQ39" i="4"/>
  <c r="BA39" i="4"/>
  <c r="BL39" i="4"/>
  <c r="BW39" i="4"/>
  <c r="CG39" i="4"/>
  <c r="CR39" i="4"/>
  <c r="X39" i="4"/>
  <c r="AM39" i="4"/>
  <c r="BF39" i="4"/>
  <c r="BT39" i="4"/>
  <c r="CM39" i="4"/>
  <c r="AB39" i="4"/>
  <c r="AU39" i="4"/>
  <c r="BI39" i="4"/>
  <c r="CB39" i="4"/>
  <c r="CU39" i="4"/>
  <c r="O39" i="4"/>
  <c r="AC39" i="4"/>
  <c r="AV39" i="4"/>
  <c r="BO39" i="4"/>
  <c r="CD39" i="4"/>
  <c r="CV39" i="4"/>
  <c r="AI39" i="4"/>
  <c r="BG39" i="4"/>
  <c r="CJ39" i="4"/>
  <c r="AJ39" i="4"/>
  <c r="BH39" i="4"/>
  <c r="AK39" i="4"/>
  <c r="BP39" i="4"/>
  <c r="CN39" i="4"/>
  <c r="Z39" i="4"/>
  <c r="AY39" i="4"/>
  <c r="CA39" i="4"/>
  <c r="CZ39" i="4"/>
  <c r="AA39" i="4"/>
  <c r="CE39" i="4"/>
  <c r="AN39" i="4"/>
  <c r="CO39" i="4"/>
  <c r="AS39" i="4"/>
  <c r="CW39" i="4"/>
  <c r="AX39" i="4"/>
  <c r="CY39" i="4"/>
  <c r="P39" i="4"/>
  <c r="R39" i="4"/>
  <c r="S39" i="4"/>
  <c r="BD39" i="4"/>
  <c r="BQ39" i="4"/>
  <c r="BS39" i="4"/>
  <c r="BY39" i="4"/>
  <c r="N67" i="4"/>
  <c r="V67" i="4"/>
  <c r="AD67" i="4"/>
  <c r="AL67" i="4"/>
  <c r="AT67" i="4"/>
  <c r="BB67" i="4"/>
  <c r="BJ67" i="4"/>
  <c r="BR67" i="4"/>
  <c r="BZ67" i="4"/>
  <c r="CH67" i="4"/>
  <c r="CX67" i="4"/>
  <c r="O67" i="4"/>
  <c r="W67" i="4"/>
  <c r="AE67" i="4"/>
  <c r="AM67" i="4"/>
  <c r="AU67" i="4"/>
  <c r="BC67" i="4"/>
  <c r="BK67" i="4"/>
  <c r="BS67" i="4"/>
  <c r="CA67" i="4"/>
  <c r="CI67" i="4"/>
  <c r="CQ67" i="4"/>
  <c r="CY67" i="4"/>
  <c r="S67" i="4"/>
  <c r="AA67" i="4"/>
  <c r="AI67" i="4"/>
  <c r="AQ67" i="4"/>
  <c r="AY67" i="4"/>
  <c r="BG67" i="4"/>
  <c r="BO67" i="4"/>
  <c r="BW67" i="4"/>
  <c r="CE67" i="4"/>
  <c r="CM67" i="4"/>
  <c r="CU67" i="4"/>
  <c r="X67" i="4"/>
  <c r="AJ67" i="4"/>
  <c r="AW67" i="4"/>
  <c r="BI67" i="4"/>
  <c r="BV67" i="4"/>
  <c r="CJ67" i="4"/>
  <c r="CV67" i="4"/>
  <c r="Y67" i="4"/>
  <c r="AK67" i="4"/>
  <c r="AX67" i="4"/>
  <c r="BL67" i="4"/>
  <c r="BX67" i="4"/>
  <c r="CK67" i="4"/>
  <c r="CW67" i="4"/>
  <c r="R67" i="4"/>
  <c r="AF67" i="4"/>
  <c r="AR67" i="4"/>
  <c r="BE67" i="4"/>
  <c r="BQ67" i="4"/>
  <c r="CD67" i="4"/>
  <c r="CR67" i="4"/>
  <c r="T67" i="4"/>
  <c r="AG67" i="4"/>
  <c r="AS67" i="4"/>
  <c r="BF67" i="4"/>
  <c r="BT67" i="4"/>
  <c r="CF67" i="4"/>
  <c r="CS67" i="4"/>
  <c r="P67" i="4"/>
  <c r="AO67" i="4"/>
  <c r="BN67" i="4"/>
  <c r="CN67" i="4"/>
  <c r="U67" i="4"/>
  <c r="AV67" i="4"/>
  <c r="BU67" i="4"/>
  <c r="CT67" i="4"/>
  <c r="Q67" i="4"/>
  <c r="AP67" i="4"/>
  <c r="BP67" i="4"/>
  <c r="CO67" i="4"/>
  <c r="AC67" i="4"/>
  <c r="BD67" i="4"/>
  <c r="CC67" i="4"/>
  <c r="AH67" i="4"/>
  <c r="BH67" i="4"/>
  <c r="CG67" i="4"/>
  <c r="AB67" i="4"/>
  <c r="CZ67" i="4"/>
  <c r="AN67" i="4"/>
  <c r="DA67" i="4"/>
  <c r="AZ67" i="4"/>
  <c r="CB67" i="4"/>
  <c r="Z67" i="4"/>
  <c r="BA67" i="4"/>
  <c r="BM67" i="4"/>
  <c r="BY67" i="4"/>
  <c r="R59" i="4"/>
  <c r="Z59" i="4"/>
  <c r="AH59" i="4"/>
  <c r="AP59" i="4"/>
  <c r="AX59" i="4"/>
  <c r="BF59" i="4"/>
  <c r="BN59" i="4"/>
  <c r="BV59" i="4"/>
  <c r="CD59" i="4"/>
  <c r="CT59" i="4"/>
  <c r="S59" i="4"/>
  <c r="AA59" i="4"/>
  <c r="AI59" i="4"/>
  <c r="AQ59" i="4"/>
  <c r="AY59" i="4"/>
  <c r="BG59" i="4"/>
  <c r="BO59" i="4"/>
  <c r="BW59" i="4"/>
  <c r="CE59" i="4"/>
  <c r="CM59" i="4"/>
  <c r="CU59" i="4"/>
  <c r="P59" i="4"/>
  <c r="AB59" i="4"/>
  <c r="AL59" i="4"/>
  <c r="AV59" i="4"/>
  <c r="BH59" i="4"/>
  <c r="BR59" i="4"/>
  <c r="CB59" i="4"/>
  <c r="CN59" i="4"/>
  <c r="CX59" i="4"/>
  <c r="Q59" i="4"/>
  <c r="AC59" i="4"/>
  <c r="AM59" i="4"/>
  <c r="AW59" i="4"/>
  <c r="BI59" i="4"/>
  <c r="BS59" i="4"/>
  <c r="CC59" i="4"/>
  <c r="CO59" i="4"/>
  <c r="CY59" i="4"/>
  <c r="T59" i="4"/>
  <c r="AD59" i="4"/>
  <c r="AN59" i="4"/>
  <c r="AZ59" i="4"/>
  <c r="BJ59" i="4"/>
  <c r="BT59" i="4"/>
  <c r="CF59" i="4"/>
  <c r="CZ59" i="4"/>
  <c r="W59" i="4"/>
  <c r="AG59" i="4"/>
  <c r="AS59" i="4"/>
  <c r="BC59" i="4"/>
  <c r="BM59" i="4"/>
  <c r="BY59" i="4"/>
  <c r="CI59" i="4"/>
  <c r="CS59" i="4"/>
  <c r="V59" i="4"/>
  <c r="AR59" i="4"/>
  <c r="BL59" i="4"/>
  <c r="CH59" i="4"/>
  <c r="X59" i="4"/>
  <c r="AT59" i="4"/>
  <c r="BP59" i="4"/>
  <c r="CJ59" i="4"/>
  <c r="Y59" i="4"/>
  <c r="AU59" i="4"/>
  <c r="BQ59" i="4"/>
  <c r="CK59" i="4"/>
  <c r="AE59" i="4"/>
  <c r="BA59" i="4"/>
  <c r="BU59" i="4"/>
  <c r="CQ59" i="4"/>
  <c r="AF59" i="4"/>
  <c r="BB59" i="4"/>
  <c r="BX59" i="4"/>
  <c r="CR59" i="4"/>
  <c r="N59" i="4"/>
  <c r="AJ59" i="4"/>
  <c r="BD59" i="4"/>
  <c r="BZ59" i="4"/>
  <c r="CV59" i="4"/>
  <c r="O59" i="4"/>
  <c r="AK59" i="4"/>
  <c r="BE59" i="4"/>
  <c r="CA59" i="4"/>
  <c r="CW59" i="4"/>
  <c r="U59" i="4"/>
  <c r="AO59" i="4"/>
  <c r="BK59" i="4"/>
  <c r="CG59" i="4"/>
  <c r="DA59" i="4"/>
  <c r="O51" i="4"/>
  <c r="W51" i="4"/>
  <c r="AE51" i="4"/>
  <c r="AM51" i="4"/>
  <c r="AU51" i="4"/>
  <c r="BC51" i="4"/>
  <c r="BK51" i="4"/>
  <c r="BS51" i="4"/>
  <c r="CA51" i="4"/>
  <c r="CI51" i="4"/>
  <c r="CQ51" i="4"/>
  <c r="CY51" i="4"/>
  <c r="P51" i="4"/>
  <c r="X51" i="4"/>
  <c r="AF51" i="4"/>
  <c r="AN51" i="4"/>
  <c r="AV51" i="4"/>
  <c r="BD51" i="4"/>
  <c r="BL51" i="4"/>
  <c r="BT51" i="4"/>
  <c r="CB51" i="4"/>
  <c r="CJ51" i="4"/>
  <c r="CR51" i="4"/>
  <c r="CZ51" i="4"/>
  <c r="Q51" i="4"/>
  <c r="Y51" i="4"/>
  <c r="AG51" i="4"/>
  <c r="AO51" i="4"/>
  <c r="AW51" i="4"/>
  <c r="BE51" i="4"/>
  <c r="BM51" i="4"/>
  <c r="BU51" i="4"/>
  <c r="CC51" i="4"/>
  <c r="CK51" i="4"/>
  <c r="CS51" i="4"/>
  <c r="DA51" i="4"/>
  <c r="S51" i="4"/>
  <c r="AD51" i="4"/>
  <c r="AR51" i="4"/>
  <c r="BF51" i="4"/>
  <c r="BQ51" i="4"/>
  <c r="CE51" i="4"/>
  <c r="T51" i="4"/>
  <c r="AH51" i="4"/>
  <c r="AS51" i="4"/>
  <c r="BG51" i="4"/>
  <c r="BR51" i="4"/>
  <c r="CF51" i="4"/>
  <c r="CT51" i="4"/>
  <c r="V51" i="4"/>
  <c r="AJ51" i="4"/>
  <c r="AX51" i="4"/>
  <c r="BI51" i="4"/>
  <c r="BW51" i="4"/>
  <c r="CH51" i="4"/>
  <c r="CV51" i="4"/>
  <c r="AA51" i="4"/>
  <c r="AT51" i="4"/>
  <c r="BO51" i="4"/>
  <c r="AB51" i="4"/>
  <c r="AY51" i="4"/>
  <c r="BP51" i="4"/>
  <c r="CM51" i="4"/>
  <c r="AC51" i="4"/>
  <c r="AZ51" i="4"/>
  <c r="BV51" i="4"/>
  <c r="CN51" i="4"/>
  <c r="AI51" i="4"/>
  <c r="N51" i="4"/>
  <c r="AK51" i="4"/>
  <c r="R51" i="4"/>
  <c r="AL51" i="4"/>
  <c r="BH51" i="4"/>
  <c r="BZ51" i="4"/>
  <c r="CW51" i="4"/>
  <c r="U51" i="4"/>
  <c r="AP51" i="4"/>
  <c r="BJ51" i="4"/>
  <c r="CD51" i="4"/>
  <c r="CX51" i="4"/>
  <c r="BY51" i="4"/>
  <c r="CG51" i="4"/>
  <c r="Z51" i="4"/>
  <c r="CO51" i="4"/>
  <c r="AQ51" i="4"/>
  <c r="CU51" i="4"/>
  <c r="BA51" i="4"/>
  <c r="BB51" i="4"/>
  <c r="BN51" i="4"/>
  <c r="BX51" i="4"/>
  <c r="N73" i="4"/>
  <c r="V73" i="4"/>
  <c r="AD73" i="4"/>
  <c r="AL73" i="4"/>
  <c r="AT73" i="4"/>
  <c r="BB73" i="4"/>
  <c r="BJ73" i="4"/>
  <c r="BR73" i="4"/>
  <c r="BZ73" i="4"/>
  <c r="CH73" i="4"/>
  <c r="CX73" i="4"/>
  <c r="O73" i="4"/>
  <c r="W73" i="4"/>
  <c r="AE73" i="4"/>
  <c r="AM73" i="4"/>
  <c r="AU73" i="4"/>
  <c r="BC73" i="4"/>
  <c r="BK73" i="4"/>
  <c r="BS73" i="4"/>
  <c r="CA73" i="4"/>
  <c r="CI73" i="4"/>
  <c r="CQ73" i="4"/>
  <c r="CY73" i="4"/>
  <c r="S73" i="4"/>
  <c r="AA73" i="4"/>
  <c r="AI73" i="4"/>
  <c r="AQ73" i="4"/>
  <c r="AY73" i="4"/>
  <c r="BG73" i="4"/>
  <c r="BO73" i="4"/>
  <c r="BW73" i="4"/>
  <c r="CE73" i="4"/>
  <c r="CM73" i="4"/>
  <c r="CU73" i="4"/>
  <c r="U73" i="4"/>
  <c r="AH73" i="4"/>
  <c r="AV73" i="4"/>
  <c r="BH73" i="4"/>
  <c r="BU73" i="4"/>
  <c r="CG73" i="4"/>
  <c r="CT73" i="4"/>
  <c r="X73" i="4"/>
  <c r="AJ73" i="4"/>
  <c r="AW73" i="4"/>
  <c r="BI73" i="4"/>
  <c r="BV73" i="4"/>
  <c r="CJ73" i="4"/>
  <c r="CV73" i="4"/>
  <c r="Q73" i="4"/>
  <c r="AC73" i="4"/>
  <c r="AP73" i="4"/>
  <c r="BD73" i="4"/>
  <c r="BP73" i="4"/>
  <c r="CC73" i="4"/>
  <c r="CO73" i="4"/>
  <c r="R73" i="4"/>
  <c r="AF73" i="4"/>
  <c r="AR73" i="4"/>
  <c r="BE73" i="4"/>
  <c r="BQ73" i="4"/>
  <c r="CD73" i="4"/>
  <c r="CR73" i="4"/>
  <c r="Z73" i="4"/>
  <c r="AZ73" i="4"/>
  <c r="BY73" i="4"/>
  <c r="CZ73" i="4"/>
  <c r="AG73" i="4"/>
  <c r="BF73" i="4"/>
  <c r="CF73" i="4"/>
  <c r="AB73" i="4"/>
  <c r="BA73" i="4"/>
  <c r="CB73" i="4"/>
  <c r="DA73" i="4"/>
  <c r="P73" i="4"/>
  <c r="AO73" i="4"/>
  <c r="BN73" i="4"/>
  <c r="CN73" i="4"/>
  <c r="T73" i="4"/>
  <c r="AS73" i="4"/>
  <c r="BT73" i="4"/>
  <c r="CS73" i="4"/>
  <c r="Y73" i="4"/>
  <c r="AK73" i="4"/>
  <c r="CW73" i="4"/>
  <c r="AN73" i="4"/>
  <c r="AX73" i="4"/>
  <c r="BX73" i="4"/>
  <c r="CK73" i="4"/>
  <c r="BL73" i="4"/>
  <c r="BM73" i="4"/>
  <c r="R66" i="4"/>
  <c r="Z66" i="4"/>
  <c r="AH66" i="4"/>
  <c r="AP66" i="4"/>
  <c r="AX66" i="4"/>
  <c r="BF66" i="4"/>
  <c r="BN66" i="4"/>
  <c r="BV66" i="4"/>
  <c r="CD66" i="4"/>
  <c r="CT66" i="4"/>
  <c r="S66" i="4"/>
  <c r="AA66" i="4"/>
  <c r="AI66" i="4"/>
  <c r="AQ66" i="4"/>
  <c r="AY66" i="4"/>
  <c r="BG66" i="4"/>
  <c r="BO66" i="4"/>
  <c r="BW66" i="4"/>
  <c r="CE66" i="4"/>
  <c r="CM66" i="4"/>
  <c r="CU66" i="4"/>
  <c r="O66" i="4"/>
  <c r="W66" i="4"/>
  <c r="AE66" i="4"/>
  <c r="AM66" i="4"/>
  <c r="AU66" i="4"/>
  <c r="BC66" i="4"/>
  <c r="BK66" i="4"/>
  <c r="BS66" i="4"/>
  <c r="CA66" i="4"/>
  <c r="CI66" i="4"/>
  <c r="CQ66" i="4"/>
  <c r="CY66" i="4"/>
  <c r="Y66" i="4"/>
  <c r="AL66" i="4"/>
  <c r="AZ66" i="4"/>
  <c r="BL66" i="4"/>
  <c r="BY66" i="4"/>
  <c r="CK66" i="4"/>
  <c r="CX66" i="4"/>
  <c r="N66" i="4"/>
  <c r="AB66" i="4"/>
  <c r="AN66" i="4"/>
  <c r="BA66" i="4"/>
  <c r="BM66" i="4"/>
  <c r="BZ66" i="4"/>
  <c r="CN66" i="4"/>
  <c r="CZ66" i="4"/>
  <c r="U66" i="4"/>
  <c r="AG66" i="4"/>
  <c r="AT66" i="4"/>
  <c r="BH66" i="4"/>
  <c r="BT66" i="4"/>
  <c r="CG66" i="4"/>
  <c r="CS66" i="4"/>
  <c r="V66" i="4"/>
  <c r="AJ66" i="4"/>
  <c r="AV66" i="4"/>
  <c r="BI66" i="4"/>
  <c r="BU66" i="4"/>
  <c r="CH66" i="4"/>
  <c r="CV66" i="4"/>
  <c r="AD66" i="4"/>
  <c r="BD66" i="4"/>
  <c r="CC66" i="4"/>
  <c r="AK66" i="4"/>
  <c r="BJ66" i="4"/>
  <c r="CJ66" i="4"/>
  <c r="AF66" i="4"/>
  <c r="BE66" i="4"/>
  <c r="CF66" i="4"/>
  <c r="T66" i="4"/>
  <c r="AS66" i="4"/>
  <c r="BR66" i="4"/>
  <c r="CR66" i="4"/>
  <c r="X66" i="4"/>
  <c r="AW66" i="4"/>
  <c r="BX66" i="4"/>
  <c r="CW66" i="4"/>
  <c r="BB66" i="4"/>
  <c r="BP66" i="4"/>
  <c r="BQ66" i="4"/>
  <c r="P66" i="4"/>
  <c r="CB66" i="4"/>
  <c r="CO66" i="4"/>
  <c r="AO66" i="4"/>
  <c r="DA66" i="4"/>
  <c r="AR66" i="4"/>
  <c r="Q66" i="4"/>
  <c r="AC66" i="4"/>
  <c r="N58" i="4"/>
  <c r="V58" i="4"/>
  <c r="AD58" i="4"/>
  <c r="AL58" i="4"/>
  <c r="AT58" i="4"/>
  <c r="BB58" i="4"/>
  <c r="BJ58" i="4"/>
  <c r="BR58" i="4"/>
  <c r="BZ58" i="4"/>
  <c r="CH58" i="4"/>
  <c r="CX58" i="4"/>
  <c r="O58" i="4"/>
  <c r="W58" i="4"/>
  <c r="AE58" i="4"/>
  <c r="AM58" i="4"/>
  <c r="AU58" i="4"/>
  <c r="BC58" i="4"/>
  <c r="BK58" i="4"/>
  <c r="BS58" i="4"/>
  <c r="CA58" i="4"/>
  <c r="CI58" i="4"/>
  <c r="CQ58" i="4"/>
  <c r="CY58" i="4"/>
  <c r="X58" i="4"/>
  <c r="AH58" i="4"/>
  <c r="AR58" i="4"/>
  <c r="BD58" i="4"/>
  <c r="BN58" i="4"/>
  <c r="BX58" i="4"/>
  <c r="CJ58" i="4"/>
  <c r="CT58" i="4"/>
  <c r="Y58" i="4"/>
  <c r="AI58" i="4"/>
  <c r="AS58" i="4"/>
  <c r="BE58" i="4"/>
  <c r="BO58" i="4"/>
  <c r="BY58" i="4"/>
  <c r="CK58" i="4"/>
  <c r="CU58" i="4"/>
  <c r="P58" i="4"/>
  <c r="Z58" i="4"/>
  <c r="AJ58" i="4"/>
  <c r="AV58" i="4"/>
  <c r="BF58" i="4"/>
  <c r="BP58" i="4"/>
  <c r="CB58" i="4"/>
  <c r="CV58" i="4"/>
  <c r="S58" i="4"/>
  <c r="AC58" i="4"/>
  <c r="AO58" i="4"/>
  <c r="AY58" i="4"/>
  <c r="BI58" i="4"/>
  <c r="BU58" i="4"/>
  <c r="CE58" i="4"/>
  <c r="CO58" i="4"/>
  <c r="DA58" i="4"/>
  <c r="AB58" i="4"/>
  <c r="AX58" i="4"/>
  <c r="BT58" i="4"/>
  <c r="CN58" i="4"/>
  <c r="AF58" i="4"/>
  <c r="AZ58" i="4"/>
  <c r="BV58" i="4"/>
  <c r="CR58" i="4"/>
  <c r="AG58" i="4"/>
  <c r="BA58" i="4"/>
  <c r="BW58" i="4"/>
  <c r="CS58" i="4"/>
  <c r="Q58" i="4"/>
  <c r="AK58" i="4"/>
  <c r="BG58" i="4"/>
  <c r="CC58" i="4"/>
  <c r="CW58" i="4"/>
  <c r="R58" i="4"/>
  <c r="AN58" i="4"/>
  <c r="BH58" i="4"/>
  <c r="CD58" i="4"/>
  <c r="CZ58" i="4"/>
  <c r="T58" i="4"/>
  <c r="AP58" i="4"/>
  <c r="BL58" i="4"/>
  <c r="CF58" i="4"/>
  <c r="U58" i="4"/>
  <c r="AQ58" i="4"/>
  <c r="BM58" i="4"/>
  <c r="CG58" i="4"/>
  <c r="AA58" i="4"/>
  <c r="AW58" i="4"/>
  <c r="BQ58" i="4"/>
  <c r="CM58" i="4"/>
  <c r="S50" i="4"/>
  <c r="AA50" i="4"/>
  <c r="AI50" i="4"/>
  <c r="AQ50" i="4"/>
  <c r="AY50" i="4"/>
  <c r="BG50" i="4"/>
  <c r="BO50" i="4"/>
  <c r="BW50" i="4"/>
  <c r="CE50" i="4"/>
  <c r="CM50" i="4"/>
  <c r="CU50" i="4"/>
  <c r="T50" i="4"/>
  <c r="AB50" i="4"/>
  <c r="AJ50" i="4"/>
  <c r="AR50" i="4"/>
  <c r="AZ50" i="4"/>
  <c r="BH50" i="4"/>
  <c r="BP50" i="4"/>
  <c r="BX50" i="4"/>
  <c r="CF50" i="4"/>
  <c r="CN50" i="4"/>
  <c r="CV50" i="4"/>
  <c r="U50" i="4"/>
  <c r="AC50" i="4"/>
  <c r="AK50" i="4"/>
  <c r="AS50" i="4"/>
  <c r="BA50" i="4"/>
  <c r="BI50" i="4"/>
  <c r="BQ50" i="4"/>
  <c r="BY50" i="4"/>
  <c r="CG50" i="4"/>
  <c r="CO50" i="4"/>
  <c r="CW50" i="4"/>
  <c r="V50" i="4"/>
  <c r="AG50" i="4"/>
  <c r="AU50" i="4"/>
  <c r="BF50" i="4"/>
  <c r="BT50" i="4"/>
  <c r="CH50" i="4"/>
  <c r="CS50" i="4"/>
  <c r="W50" i="4"/>
  <c r="AH50" i="4"/>
  <c r="AV50" i="4"/>
  <c r="BJ50" i="4"/>
  <c r="BU50" i="4"/>
  <c r="CI50" i="4"/>
  <c r="CT50" i="4"/>
  <c r="N50" i="4"/>
  <c r="Y50" i="4"/>
  <c r="AM50" i="4"/>
  <c r="AX50" i="4"/>
  <c r="BL50" i="4"/>
  <c r="BZ50" i="4"/>
  <c r="CK50" i="4"/>
  <c r="CY50" i="4"/>
  <c r="P50" i="4"/>
  <c r="AL50" i="4"/>
  <c r="BD50" i="4"/>
  <c r="CA50" i="4"/>
  <c r="CR50" i="4"/>
  <c r="Q50" i="4"/>
  <c r="AN50" i="4"/>
  <c r="BE50" i="4"/>
  <c r="CB50" i="4"/>
  <c r="CX50" i="4"/>
  <c r="R50" i="4"/>
  <c r="AO50" i="4"/>
  <c r="BK50" i="4"/>
  <c r="CC50" i="4"/>
  <c r="CZ50" i="4"/>
  <c r="X50" i="4"/>
  <c r="AP50" i="4"/>
  <c r="BM50" i="4"/>
  <c r="CD50" i="4"/>
  <c r="DA50" i="4"/>
  <c r="Z50" i="4"/>
  <c r="AT50" i="4"/>
  <c r="BN50" i="4"/>
  <c r="CJ50" i="4"/>
  <c r="AD50" i="4"/>
  <c r="AW50" i="4"/>
  <c r="BR50" i="4"/>
  <c r="AE50" i="4"/>
  <c r="BB50" i="4"/>
  <c r="BS50" i="4"/>
  <c r="BV50" i="4"/>
  <c r="CQ50" i="4"/>
  <c r="O50" i="4"/>
  <c r="AF50" i="4"/>
  <c r="BC50" i="4"/>
  <c r="R3" i="4"/>
  <c r="Z3" i="4"/>
  <c r="AH3" i="4"/>
  <c r="AP3" i="4"/>
  <c r="AX3" i="4"/>
  <c r="BF3" i="4"/>
  <c r="BN3" i="4"/>
  <c r="BV3" i="4"/>
  <c r="CD3" i="4"/>
  <c r="CT3" i="4"/>
  <c r="S3" i="4"/>
  <c r="AA3" i="4"/>
  <c r="AI3" i="4"/>
  <c r="AQ3" i="4"/>
  <c r="AY3" i="4"/>
  <c r="BG3" i="4"/>
  <c r="BO3" i="4"/>
  <c r="BW3" i="4"/>
  <c r="CE3" i="4"/>
  <c r="CM3" i="4"/>
  <c r="CU3" i="4"/>
  <c r="P3" i="4"/>
  <c r="X3" i="4"/>
  <c r="AF3" i="4"/>
  <c r="AN3" i="4"/>
  <c r="AV3" i="4"/>
  <c r="BD3" i="4"/>
  <c r="BL3" i="4"/>
  <c r="BT3" i="4"/>
  <c r="CB3" i="4"/>
  <c r="CJ3" i="4"/>
  <c r="CR3" i="4"/>
  <c r="CZ3" i="4"/>
  <c r="V3" i="4"/>
  <c r="AJ3" i="4"/>
  <c r="AU3" i="4"/>
  <c r="BI3" i="4"/>
  <c r="BU3" i="4"/>
  <c r="CH3" i="4"/>
  <c r="CV3" i="4"/>
  <c r="W3" i="4"/>
  <c r="AK3" i="4"/>
  <c r="AW3" i="4"/>
  <c r="BJ3" i="4"/>
  <c r="BX3" i="4"/>
  <c r="CI3" i="4"/>
  <c r="CW3" i="4"/>
  <c r="Q3" i="4"/>
  <c r="AD3" i="4"/>
  <c r="AR3" i="4"/>
  <c r="BC3" i="4"/>
  <c r="BQ3" i="4"/>
  <c r="CC3" i="4"/>
  <c r="AC3" i="4"/>
  <c r="AZ3" i="4"/>
  <c r="BR3" i="4"/>
  <c r="CN3" i="4"/>
  <c r="AE3" i="4"/>
  <c r="BA3" i="4"/>
  <c r="BS3" i="4"/>
  <c r="CO3" i="4"/>
  <c r="Y3" i="4"/>
  <c r="AS3" i="4"/>
  <c r="BM3" i="4"/>
  <c r="CG3" i="4"/>
  <c r="DA3" i="4"/>
  <c r="O3" i="4"/>
  <c r="AT3" i="4"/>
  <c r="CA3" i="4"/>
  <c r="U3" i="4"/>
  <c r="BE3" i="4"/>
  <c r="CK3" i="4"/>
  <c r="AM3" i="4"/>
  <c r="BY3" i="4"/>
  <c r="CY3" i="4"/>
  <c r="N3" i="4"/>
  <c r="AO3" i="4"/>
  <c r="BZ3" i="4"/>
  <c r="AB3" i="4"/>
  <c r="CQ3" i="4"/>
  <c r="AG3" i="4"/>
  <c r="CS3" i="4"/>
  <c r="AL3" i="4"/>
  <c r="CX3" i="4"/>
  <c r="BP3" i="4"/>
  <c r="BK3" i="4"/>
  <c r="CF3" i="4"/>
  <c r="T3" i="4"/>
  <c r="BB3" i="4"/>
  <c r="BH3" i="4"/>
  <c r="Q31" i="4"/>
  <c r="Y31" i="4"/>
  <c r="AG31" i="4"/>
  <c r="AO31" i="4"/>
  <c r="AW31" i="4"/>
  <c r="BE31" i="4"/>
  <c r="R31" i="4"/>
  <c r="Z31" i="4"/>
  <c r="AH31" i="4"/>
  <c r="AP31" i="4"/>
  <c r="AX31" i="4"/>
  <c r="BF31" i="4"/>
  <c r="BN31" i="4"/>
  <c r="BV31" i="4"/>
  <c r="S31" i="4"/>
  <c r="AC31" i="4"/>
  <c r="AM31" i="4"/>
  <c r="AY31" i="4"/>
  <c r="BI31" i="4"/>
  <c r="BR31" i="4"/>
  <c r="CA31" i="4"/>
  <c r="CI31" i="4"/>
  <c r="CQ31" i="4"/>
  <c r="CY31" i="4"/>
  <c r="N31" i="4"/>
  <c r="X31" i="4"/>
  <c r="AJ31" i="4"/>
  <c r="AT31" i="4"/>
  <c r="BD31" i="4"/>
  <c r="BO31" i="4"/>
  <c r="BX31" i="4"/>
  <c r="CF31" i="4"/>
  <c r="CN31" i="4"/>
  <c r="CV31" i="4"/>
  <c r="U31" i="4"/>
  <c r="AI31" i="4"/>
  <c r="AV31" i="4"/>
  <c r="BK31" i="4"/>
  <c r="BW31" i="4"/>
  <c r="CH31" i="4"/>
  <c r="CS31" i="4"/>
  <c r="O31" i="4"/>
  <c r="AD31" i="4"/>
  <c r="AR31" i="4"/>
  <c r="BG31" i="4"/>
  <c r="BS31" i="4"/>
  <c r="CD31" i="4"/>
  <c r="CO31" i="4"/>
  <c r="CZ31" i="4"/>
  <c r="P31" i="4"/>
  <c r="AE31" i="4"/>
  <c r="AS31" i="4"/>
  <c r="BH31" i="4"/>
  <c r="BT31" i="4"/>
  <c r="CE31" i="4"/>
  <c r="DA31" i="4"/>
  <c r="T31" i="4"/>
  <c r="AF31" i="4"/>
  <c r="AU31" i="4"/>
  <c r="BJ31" i="4"/>
  <c r="BU31" i="4"/>
  <c r="CG31" i="4"/>
  <c r="CR31" i="4"/>
  <c r="V31" i="4"/>
  <c r="AZ31" i="4"/>
  <c r="BY31" i="4"/>
  <c r="CT31" i="4"/>
  <c r="W31" i="4"/>
  <c r="BA31" i="4"/>
  <c r="BZ31" i="4"/>
  <c r="CU31" i="4"/>
  <c r="AN31" i="4"/>
  <c r="BP31" i="4"/>
  <c r="AQ31" i="4"/>
  <c r="BQ31" i="4"/>
  <c r="CM31" i="4"/>
  <c r="AB31" i="4"/>
  <c r="CC31" i="4"/>
  <c r="AK31" i="4"/>
  <c r="CJ31" i="4"/>
  <c r="BC31" i="4"/>
  <c r="CX31" i="4"/>
  <c r="BL31" i="4"/>
  <c r="BM31" i="4"/>
  <c r="AA31" i="4"/>
  <c r="AL31" i="4"/>
  <c r="BB31" i="4"/>
  <c r="CB31" i="4"/>
  <c r="CK31" i="4"/>
  <c r="CW31" i="4"/>
  <c r="R45" i="4"/>
  <c r="Z45" i="4"/>
  <c r="AH45" i="4"/>
  <c r="AP45" i="4"/>
  <c r="AX45" i="4"/>
  <c r="BF45" i="4"/>
  <c r="BN45" i="4"/>
  <c r="BV45" i="4"/>
  <c r="CD45" i="4"/>
  <c r="CT45" i="4"/>
  <c r="P45" i="4"/>
  <c r="X45" i="4"/>
  <c r="AF45" i="4"/>
  <c r="AN45" i="4"/>
  <c r="AV45" i="4"/>
  <c r="BD45" i="4"/>
  <c r="BL45" i="4"/>
  <c r="BT45" i="4"/>
  <c r="CB45" i="4"/>
  <c r="CJ45" i="4"/>
  <c r="CR45" i="4"/>
  <c r="CZ45" i="4"/>
  <c r="Q45" i="4"/>
  <c r="Y45" i="4"/>
  <c r="AG45" i="4"/>
  <c r="AO45" i="4"/>
  <c r="AW45" i="4"/>
  <c r="BE45" i="4"/>
  <c r="BM45" i="4"/>
  <c r="BU45" i="4"/>
  <c r="CC45" i="4"/>
  <c r="CK45" i="4"/>
  <c r="CS45" i="4"/>
  <c r="DA45" i="4"/>
  <c r="T45" i="4"/>
  <c r="AE45" i="4"/>
  <c r="AS45" i="4"/>
  <c r="BG45" i="4"/>
  <c r="BR45" i="4"/>
  <c r="CF45" i="4"/>
  <c r="CQ45" i="4"/>
  <c r="W45" i="4"/>
  <c r="AK45" i="4"/>
  <c r="AY45" i="4"/>
  <c r="BJ45" i="4"/>
  <c r="BX45" i="4"/>
  <c r="CI45" i="4"/>
  <c r="CW45" i="4"/>
  <c r="AA45" i="4"/>
  <c r="AL45" i="4"/>
  <c r="AZ45" i="4"/>
  <c r="BK45" i="4"/>
  <c r="BY45" i="4"/>
  <c r="CM45" i="4"/>
  <c r="CX45" i="4"/>
  <c r="V45" i="4"/>
  <c r="AR45" i="4"/>
  <c r="BO45" i="4"/>
  <c r="CG45" i="4"/>
  <c r="AB45" i="4"/>
  <c r="AT45" i="4"/>
  <c r="BP45" i="4"/>
  <c r="CH45" i="4"/>
  <c r="AC45" i="4"/>
  <c r="AU45" i="4"/>
  <c r="BQ45" i="4"/>
  <c r="CN45" i="4"/>
  <c r="S45" i="4"/>
  <c r="AM45" i="4"/>
  <c r="BH45" i="4"/>
  <c r="CA45" i="4"/>
  <c r="CV45" i="4"/>
  <c r="AQ45" i="4"/>
  <c r="CE45" i="4"/>
  <c r="BA45" i="4"/>
  <c r="CO45" i="4"/>
  <c r="O45" i="4"/>
  <c r="BC45" i="4"/>
  <c r="CU45" i="4"/>
  <c r="U45" i="4"/>
  <c r="BZ45" i="4"/>
  <c r="AD45" i="4"/>
  <c r="AI45" i="4"/>
  <c r="CY45" i="4"/>
  <c r="AJ45" i="4"/>
  <c r="BB45" i="4"/>
  <c r="BI45" i="4"/>
  <c r="BS45" i="4"/>
  <c r="N45" i="4"/>
  <c r="BW45" i="4"/>
  <c r="N65" i="4"/>
  <c r="V65" i="4"/>
  <c r="AD65" i="4"/>
  <c r="AL65" i="4"/>
  <c r="AT65" i="4"/>
  <c r="BB65" i="4"/>
  <c r="BJ65" i="4"/>
  <c r="BR65" i="4"/>
  <c r="BZ65" i="4"/>
  <c r="CH65" i="4"/>
  <c r="CX65" i="4"/>
  <c r="O65" i="4"/>
  <c r="W65" i="4"/>
  <c r="AE65" i="4"/>
  <c r="AM65" i="4"/>
  <c r="AU65" i="4"/>
  <c r="BC65" i="4"/>
  <c r="BK65" i="4"/>
  <c r="BS65" i="4"/>
  <c r="CA65" i="4"/>
  <c r="CI65" i="4"/>
  <c r="CQ65" i="4"/>
  <c r="CY65" i="4"/>
  <c r="S65" i="4"/>
  <c r="AA65" i="4"/>
  <c r="AI65" i="4"/>
  <c r="AQ65" i="4"/>
  <c r="AY65" i="4"/>
  <c r="BG65" i="4"/>
  <c r="BO65" i="4"/>
  <c r="BW65" i="4"/>
  <c r="CE65" i="4"/>
  <c r="CM65" i="4"/>
  <c r="CU65" i="4"/>
  <c r="P65" i="4"/>
  <c r="AB65" i="4"/>
  <c r="AO65" i="4"/>
  <c r="BA65" i="4"/>
  <c r="BN65" i="4"/>
  <c r="CB65" i="4"/>
  <c r="CN65" i="4"/>
  <c r="DA65" i="4"/>
  <c r="Q65" i="4"/>
  <c r="AC65" i="4"/>
  <c r="AP65" i="4"/>
  <c r="BD65" i="4"/>
  <c r="BP65" i="4"/>
  <c r="CC65" i="4"/>
  <c r="CO65" i="4"/>
  <c r="X65" i="4"/>
  <c r="AJ65" i="4"/>
  <c r="AW65" i="4"/>
  <c r="BI65" i="4"/>
  <c r="BV65" i="4"/>
  <c r="CJ65" i="4"/>
  <c r="CV65" i="4"/>
  <c r="Y65" i="4"/>
  <c r="AK65" i="4"/>
  <c r="AX65" i="4"/>
  <c r="BL65" i="4"/>
  <c r="BX65" i="4"/>
  <c r="CK65" i="4"/>
  <c r="CW65" i="4"/>
  <c r="T65" i="4"/>
  <c r="AS65" i="4"/>
  <c r="BT65" i="4"/>
  <c r="CS65" i="4"/>
  <c r="Z65" i="4"/>
  <c r="AZ65" i="4"/>
  <c r="BY65" i="4"/>
  <c r="CZ65" i="4"/>
  <c r="U65" i="4"/>
  <c r="AV65" i="4"/>
  <c r="BU65" i="4"/>
  <c r="CT65" i="4"/>
  <c r="AH65" i="4"/>
  <c r="BH65" i="4"/>
  <c r="CG65" i="4"/>
  <c r="AN65" i="4"/>
  <c r="BM65" i="4"/>
  <c r="CD65" i="4"/>
  <c r="R65" i="4"/>
  <c r="CF65" i="4"/>
  <c r="AF65" i="4"/>
  <c r="CR65" i="4"/>
  <c r="AG65" i="4"/>
  <c r="AR65" i="4"/>
  <c r="BE65" i="4"/>
  <c r="BF65" i="4"/>
  <c r="BQ65" i="4"/>
  <c r="P57" i="4"/>
  <c r="X57" i="4"/>
  <c r="AF57" i="4"/>
  <c r="AN57" i="4"/>
  <c r="AV57" i="4"/>
  <c r="BD57" i="4"/>
  <c r="BL57" i="4"/>
  <c r="BT57" i="4"/>
  <c r="CB57" i="4"/>
  <c r="Q57" i="4"/>
  <c r="Y57" i="4"/>
  <c r="AG57" i="4"/>
  <c r="AO57" i="4"/>
  <c r="AW57" i="4"/>
  <c r="BE57" i="4"/>
  <c r="BM57" i="4"/>
  <c r="BU57" i="4"/>
  <c r="CC57" i="4"/>
  <c r="CK57" i="4"/>
  <c r="CS57" i="4"/>
  <c r="N57" i="4"/>
  <c r="Z57" i="4"/>
  <c r="AJ57" i="4"/>
  <c r="AT57" i="4"/>
  <c r="BF57" i="4"/>
  <c r="BP57" i="4"/>
  <c r="BZ57" i="4"/>
  <c r="CJ57" i="4"/>
  <c r="CT57" i="4"/>
  <c r="O57" i="4"/>
  <c r="AA57" i="4"/>
  <c r="AK57" i="4"/>
  <c r="AU57" i="4"/>
  <c r="BG57" i="4"/>
  <c r="BQ57" i="4"/>
  <c r="CA57" i="4"/>
  <c r="CU57" i="4"/>
  <c r="V57" i="4"/>
  <c r="AL57" i="4"/>
  <c r="AZ57" i="4"/>
  <c r="BN57" i="4"/>
  <c r="CD57" i="4"/>
  <c r="CO57" i="4"/>
  <c r="CZ57" i="4"/>
  <c r="W57" i="4"/>
  <c r="AM57" i="4"/>
  <c r="BA57" i="4"/>
  <c r="BO57" i="4"/>
  <c r="CE57" i="4"/>
  <c r="DA57" i="4"/>
  <c r="AB57" i="4"/>
  <c r="AP57" i="4"/>
  <c r="BB57" i="4"/>
  <c r="BR57" i="4"/>
  <c r="CF57" i="4"/>
  <c r="CQ57" i="4"/>
  <c r="S57" i="4"/>
  <c r="AE57" i="4"/>
  <c r="AS57" i="4"/>
  <c r="BI57" i="4"/>
  <c r="BW57" i="4"/>
  <c r="CI57" i="4"/>
  <c r="CW57" i="4"/>
  <c r="T57" i="4"/>
  <c r="AH57" i="4"/>
  <c r="AR57" i="4"/>
  <c r="BV57" i="4"/>
  <c r="CV57" i="4"/>
  <c r="AX57" i="4"/>
  <c r="BX57" i="4"/>
  <c r="CX57" i="4"/>
  <c r="R57" i="4"/>
  <c r="AY57" i="4"/>
  <c r="BY57" i="4"/>
  <c r="CY57" i="4"/>
  <c r="U57" i="4"/>
  <c r="BC57" i="4"/>
  <c r="CG57" i="4"/>
  <c r="AC57" i="4"/>
  <c r="BH57" i="4"/>
  <c r="CH57" i="4"/>
  <c r="AD57" i="4"/>
  <c r="BJ57" i="4"/>
  <c r="CM57" i="4"/>
  <c r="AI57" i="4"/>
  <c r="BK57" i="4"/>
  <c r="CN57" i="4"/>
  <c r="AQ57" i="4"/>
  <c r="BS57" i="4"/>
  <c r="CR57" i="4"/>
  <c r="R49" i="4"/>
  <c r="Z49" i="4"/>
  <c r="AH49" i="4"/>
  <c r="AP49" i="4"/>
  <c r="AX49" i="4"/>
  <c r="BF49" i="4"/>
  <c r="Q49" i="4"/>
  <c r="AA49" i="4"/>
  <c r="AJ49" i="4"/>
  <c r="AS49" i="4"/>
  <c r="BB49" i="4"/>
  <c r="BK49" i="4"/>
  <c r="BS49" i="4"/>
  <c r="CA49" i="4"/>
  <c r="CI49" i="4"/>
  <c r="CQ49" i="4"/>
  <c r="CY49" i="4"/>
  <c r="S49" i="4"/>
  <c r="AB49" i="4"/>
  <c r="AK49" i="4"/>
  <c r="AT49" i="4"/>
  <c r="BC49" i="4"/>
  <c r="BL49" i="4"/>
  <c r="BT49" i="4"/>
  <c r="CB49" i="4"/>
  <c r="CJ49" i="4"/>
  <c r="CR49" i="4"/>
  <c r="CZ49" i="4"/>
  <c r="T49" i="4"/>
  <c r="AC49" i="4"/>
  <c r="AL49" i="4"/>
  <c r="AU49" i="4"/>
  <c r="BD49" i="4"/>
  <c r="BM49" i="4"/>
  <c r="BU49" i="4"/>
  <c r="CC49" i="4"/>
  <c r="CK49" i="4"/>
  <c r="CS49" i="4"/>
  <c r="DA49" i="4"/>
  <c r="O49" i="4"/>
  <c r="P49" i="4"/>
  <c r="AF49" i="4"/>
  <c r="AV49" i="4"/>
  <c r="BI49" i="4"/>
  <c r="BW49" i="4"/>
  <c r="CH49" i="4"/>
  <c r="CV49" i="4"/>
  <c r="U49" i="4"/>
  <c r="AG49" i="4"/>
  <c r="AW49" i="4"/>
  <c r="BJ49" i="4"/>
  <c r="BX49" i="4"/>
  <c r="CW49" i="4"/>
  <c r="W49" i="4"/>
  <c r="AM49" i="4"/>
  <c r="AZ49" i="4"/>
  <c r="BO49" i="4"/>
  <c r="BZ49" i="4"/>
  <c r="CN49" i="4"/>
  <c r="V49" i="4"/>
  <c r="AQ49" i="4"/>
  <c r="BP49" i="4"/>
  <c r="CG49" i="4"/>
  <c r="X49" i="4"/>
  <c r="AR49" i="4"/>
  <c r="BQ49" i="4"/>
  <c r="CM49" i="4"/>
  <c r="Y49" i="4"/>
  <c r="AY49" i="4"/>
  <c r="BR49" i="4"/>
  <c r="CO49" i="4"/>
  <c r="AD49" i="4"/>
  <c r="BA49" i="4"/>
  <c r="BV49" i="4"/>
  <c r="AE49" i="4"/>
  <c r="BE49" i="4"/>
  <c r="BY49" i="4"/>
  <c r="CT49" i="4"/>
  <c r="AI49" i="4"/>
  <c r="BG49" i="4"/>
  <c r="CD49" i="4"/>
  <c r="CU49" i="4"/>
  <c r="AN49" i="4"/>
  <c r="BH49" i="4"/>
  <c r="CE49" i="4"/>
  <c r="CX49" i="4"/>
  <c r="N49" i="4"/>
  <c r="AO49" i="4"/>
  <c r="BN49" i="4"/>
  <c r="CF49" i="4"/>
  <c r="R72" i="4"/>
  <c r="Z72" i="4"/>
  <c r="AH72" i="4"/>
  <c r="AP72" i="4"/>
  <c r="AX72" i="4"/>
  <c r="BF72" i="4"/>
  <c r="BN72" i="4"/>
  <c r="BV72" i="4"/>
  <c r="CD72" i="4"/>
  <c r="CT72" i="4"/>
  <c r="S72" i="4"/>
  <c r="AA72" i="4"/>
  <c r="AI72" i="4"/>
  <c r="AQ72" i="4"/>
  <c r="AY72" i="4"/>
  <c r="BG72" i="4"/>
  <c r="BO72" i="4"/>
  <c r="BW72" i="4"/>
  <c r="CE72" i="4"/>
  <c r="CM72" i="4"/>
  <c r="CU72" i="4"/>
  <c r="O72" i="4"/>
  <c r="W72" i="4"/>
  <c r="AE72" i="4"/>
  <c r="AM72" i="4"/>
  <c r="AU72" i="4"/>
  <c r="BC72" i="4"/>
  <c r="BK72" i="4"/>
  <c r="BS72" i="4"/>
  <c r="CA72" i="4"/>
  <c r="CI72" i="4"/>
  <c r="CQ72" i="4"/>
  <c r="CY72" i="4"/>
  <c r="X72" i="4"/>
  <c r="AK72" i="4"/>
  <c r="AW72" i="4"/>
  <c r="BJ72" i="4"/>
  <c r="BX72" i="4"/>
  <c r="CJ72" i="4"/>
  <c r="CW72" i="4"/>
  <c r="Y72" i="4"/>
  <c r="AL72" i="4"/>
  <c r="AZ72" i="4"/>
  <c r="BL72" i="4"/>
  <c r="BY72" i="4"/>
  <c r="CK72" i="4"/>
  <c r="CX72" i="4"/>
  <c r="T72" i="4"/>
  <c r="AF72" i="4"/>
  <c r="AS72" i="4"/>
  <c r="BE72" i="4"/>
  <c r="BR72" i="4"/>
  <c r="CF72" i="4"/>
  <c r="CR72" i="4"/>
  <c r="U72" i="4"/>
  <c r="AG72" i="4"/>
  <c r="AT72" i="4"/>
  <c r="BH72" i="4"/>
  <c r="BT72" i="4"/>
  <c r="CG72" i="4"/>
  <c r="CS72" i="4"/>
  <c r="P72" i="4"/>
  <c r="AO72" i="4"/>
  <c r="BP72" i="4"/>
  <c r="CO72" i="4"/>
  <c r="V72" i="4"/>
  <c r="AV72" i="4"/>
  <c r="BU72" i="4"/>
  <c r="CV72" i="4"/>
  <c r="Q72" i="4"/>
  <c r="AR72" i="4"/>
  <c r="BQ72" i="4"/>
  <c r="AD72" i="4"/>
  <c r="BD72" i="4"/>
  <c r="CC72" i="4"/>
  <c r="AJ72" i="4"/>
  <c r="BI72" i="4"/>
  <c r="CH72" i="4"/>
  <c r="BA72" i="4"/>
  <c r="BB72" i="4"/>
  <c r="BM72" i="4"/>
  <c r="CB72" i="4"/>
  <c r="CN72" i="4"/>
  <c r="AC72" i="4"/>
  <c r="CZ72" i="4"/>
  <c r="AN72" i="4"/>
  <c r="DA72" i="4"/>
  <c r="BZ72" i="4"/>
  <c r="N72" i="4"/>
  <c r="AB72" i="4"/>
  <c r="R64" i="4"/>
  <c r="Z64" i="4"/>
  <c r="AH64" i="4"/>
  <c r="AP64" i="4"/>
  <c r="AX64" i="4"/>
  <c r="BF64" i="4"/>
  <c r="BN64" i="4"/>
  <c r="BV64" i="4"/>
  <c r="CD64" i="4"/>
  <c r="CT64" i="4"/>
  <c r="S64" i="4"/>
  <c r="AA64" i="4"/>
  <c r="AI64" i="4"/>
  <c r="AQ64" i="4"/>
  <c r="AY64" i="4"/>
  <c r="BG64" i="4"/>
  <c r="BO64" i="4"/>
  <c r="BW64" i="4"/>
  <c r="CE64" i="4"/>
  <c r="CM64" i="4"/>
  <c r="CU64" i="4"/>
  <c r="T64" i="4"/>
  <c r="AB64" i="4"/>
  <c r="AJ64" i="4"/>
  <c r="AR64" i="4"/>
  <c r="AZ64" i="4"/>
  <c r="BH64" i="4"/>
  <c r="BP64" i="4"/>
  <c r="BX64" i="4"/>
  <c r="CF64" i="4"/>
  <c r="O64" i="4"/>
  <c r="W64" i="4"/>
  <c r="AE64" i="4"/>
  <c r="AM64" i="4"/>
  <c r="AU64" i="4"/>
  <c r="BC64" i="4"/>
  <c r="BK64" i="4"/>
  <c r="BS64" i="4"/>
  <c r="CA64" i="4"/>
  <c r="CI64" i="4"/>
  <c r="CQ64" i="4"/>
  <c r="CY64" i="4"/>
  <c r="P64" i="4"/>
  <c r="AF64" i="4"/>
  <c r="AV64" i="4"/>
  <c r="BL64" i="4"/>
  <c r="CB64" i="4"/>
  <c r="Q64" i="4"/>
  <c r="AG64" i="4"/>
  <c r="AW64" i="4"/>
  <c r="BM64" i="4"/>
  <c r="CC64" i="4"/>
  <c r="CR64" i="4"/>
  <c r="Y64" i="4"/>
  <c r="AO64" i="4"/>
  <c r="BE64" i="4"/>
  <c r="BU64" i="4"/>
  <c r="CK64" i="4"/>
  <c r="CX64" i="4"/>
  <c r="AC64" i="4"/>
  <c r="AS64" i="4"/>
  <c r="BI64" i="4"/>
  <c r="BY64" i="4"/>
  <c r="CN64" i="4"/>
  <c r="CZ64" i="4"/>
  <c r="V64" i="4"/>
  <c r="BB64" i="4"/>
  <c r="CH64" i="4"/>
  <c r="AD64" i="4"/>
  <c r="BJ64" i="4"/>
  <c r="CO64" i="4"/>
  <c r="X64" i="4"/>
  <c r="BD64" i="4"/>
  <c r="CJ64" i="4"/>
  <c r="AN64" i="4"/>
  <c r="BT64" i="4"/>
  <c r="CW64" i="4"/>
  <c r="N64" i="4"/>
  <c r="AT64" i="4"/>
  <c r="BZ64" i="4"/>
  <c r="DA64" i="4"/>
  <c r="U64" i="4"/>
  <c r="CV64" i="4"/>
  <c r="BA64" i="4"/>
  <c r="BQ64" i="4"/>
  <c r="AK64" i="4"/>
  <c r="AL64" i="4"/>
  <c r="CG64" i="4"/>
  <c r="CS64" i="4"/>
  <c r="BR64" i="4"/>
  <c r="T56" i="4"/>
  <c r="AB56" i="4"/>
  <c r="AJ56" i="4"/>
  <c r="AR56" i="4"/>
  <c r="AZ56" i="4"/>
  <c r="BH56" i="4"/>
  <c r="BP56" i="4"/>
  <c r="BX56" i="4"/>
  <c r="CF56" i="4"/>
  <c r="CN56" i="4"/>
  <c r="CV56" i="4"/>
  <c r="U56" i="4"/>
  <c r="AC56" i="4"/>
  <c r="AK56" i="4"/>
  <c r="AS56" i="4"/>
  <c r="BA56" i="4"/>
  <c r="BI56" i="4"/>
  <c r="BQ56" i="4"/>
  <c r="BY56" i="4"/>
  <c r="CG56" i="4"/>
  <c r="CO56" i="4"/>
  <c r="CW56" i="4"/>
  <c r="V56" i="4"/>
  <c r="AF56" i="4"/>
  <c r="AP56" i="4"/>
  <c r="BB56" i="4"/>
  <c r="BL56" i="4"/>
  <c r="BV56" i="4"/>
  <c r="CH56" i="4"/>
  <c r="CR56" i="4"/>
  <c r="W56" i="4"/>
  <c r="AG56" i="4"/>
  <c r="AQ56" i="4"/>
  <c r="BC56" i="4"/>
  <c r="BM56" i="4"/>
  <c r="BW56" i="4"/>
  <c r="CI56" i="4"/>
  <c r="CS56" i="4"/>
  <c r="P56" i="4"/>
  <c r="AD56" i="4"/>
  <c r="AT56" i="4"/>
  <c r="BF56" i="4"/>
  <c r="BT56" i="4"/>
  <c r="CJ56" i="4"/>
  <c r="CX56" i="4"/>
  <c r="Q56" i="4"/>
  <c r="AE56" i="4"/>
  <c r="AU56" i="4"/>
  <c r="BG56" i="4"/>
  <c r="BU56" i="4"/>
  <c r="CK56" i="4"/>
  <c r="CY56" i="4"/>
  <c r="R56" i="4"/>
  <c r="AH56" i="4"/>
  <c r="AV56" i="4"/>
  <c r="BJ56" i="4"/>
  <c r="BZ56" i="4"/>
  <c r="CZ56" i="4"/>
  <c r="Y56" i="4"/>
  <c r="AM56" i="4"/>
  <c r="AY56" i="4"/>
  <c r="BO56" i="4"/>
  <c r="CC56" i="4"/>
  <c r="CQ56" i="4"/>
  <c r="N56" i="4"/>
  <c r="Z56" i="4"/>
  <c r="AN56" i="4"/>
  <c r="BD56" i="4"/>
  <c r="BR56" i="4"/>
  <c r="CD56" i="4"/>
  <c r="CT56" i="4"/>
  <c r="X56" i="4"/>
  <c r="BK56" i="4"/>
  <c r="CU56" i="4"/>
  <c r="AA56" i="4"/>
  <c r="BN56" i="4"/>
  <c r="DA56" i="4"/>
  <c r="AI56" i="4"/>
  <c r="BS56" i="4"/>
  <c r="AL56" i="4"/>
  <c r="CA56" i="4"/>
  <c r="AO56" i="4"/>
  <c r="CB56" i="4"/>
  <c r="AW56" i="4"/>
  <c r="CE56" i="4"/>
  <c r="O56" i="4"/>
  <c r="AX56" i="4"/>
  <c r="CM56" i="4"/>
  <c r="S56" i="4"/>
  <c r="BE56" i="4"/>
  <c r="N48" i="4"/>
  <c r="V48" i="4"/>
  <c r="AD48" i="4"/>
  <c r="AL48" i="4"/>
  <c r="AT48" i="4"/>
  <c r="BB48" i="4"/>
  <c r="BJ48" i="4"/>
  <c r="BR48" i="4"/>
  <c r="BZ48" i="4"/>
  <c r="CH48" i="4"/>
  <c r="CX48" i="4"/>
  <c r="U48" i="4"/>
  <c r="AC48" i="4"/>
  <c r="AK48" i="4"/>
  <c r="AS48" i="4"/>
  <c r="BA48" i="4"/>
  <c r="P48" i="4"/>
  <c r="Z48" i="4"/>
  <c r="AJ48" i="4"/>
  <c r="AV48" i="4"/>
  <c r="BF48" i="4"/>
  <c r="BO48" i="4"/>
  <c r="BX48" i="4"/>
  <c r="CG48" i="4"/>
  <c r="CQ48" i="4"/>
  <c r="W48" i="4"/>
  <c r="AH48" i="4"/>
  <c r="AU48" i="4"/>
  <c r="BG48" i="4"/>
  <c r="BQ48" i="4"/>
  <c r="CB48" i="4"/>
  <c r="CV48" i="4"/>
  <c r="X48" i="4"/>
  <c r="AI48" i="4"/>
  <c r="AW48" i="4"/>
  <c r="BH48" i="4"/>
  <c r="BS48" i="4"/>
  <c r="CC48" i="4"/>
  <c r="CM48" i="4"/>
  <c r="CW48" i="4"/>
  <c r="Y48" i="4"/>
  <c r="AM48" i="4"/>
  <c r="AX48" i="4"/>
  <c r="BI48" i="4"/>
  <c r="BT48" i="4"/>
  <c r="CD48" i="4"/>
  <c r="CN48" i="4"/>
  <c r="CY48" i="4"/>
  <c r="S48" i="4"/>
  <c r="AF48" i="4"/>
  <c r="AQ48" i="4"/>
  <c r="BD48" i="4"/>
  <c r="BN48" i="4"/>
  <c r="BY48" i="4"/>
  <c r="CJ48" i="4"/>
  <c r="CT48" i="4"/>
  <c r="T48" i="4"/>
  <c r="AR48" i="4"/>
  <c r="BP48" i="4"/>
  <c r="CK48" i="4"/>
  <c r="AA48" i="4"/>
  <c r="AY48" i="4"/>
  <c r="BU48" i="4"/>
  <c r="CO48" i="4"/>
  <c r="AE48" i="4"/>
  <c r="BC48" i="4"/>
  <c r="BW48" i="4"/>
  <c r="CS48" i="4"/>
  <c r="AP48" i="4"/>
  <c r="CE48" i="4"/>
  <c r="O48" i="4"/>
  <c r="AZ48" i="4"/>
  <c r="CF48" i="4"/>
  <c r="Q48" i="4"/>
  <c r="BE48" i="4"/>
  <c r="CI48" i="4"/>
  <c r="R48" i="4"/>
  <c r="BK48" i="4"/>
  <c r="CR48" i="4"/>
  <c r="AB48" i="4"/>
  <c r="BL48" i="4"/>
  <c r="CU48" i="4"/>
  <c r="AG48" i="4"/>
  <c r="BM48" i="4"/>
  <c r="CZ48" i="4"/>
  <c r="AN48" i="4"/>
  <c r="BV48" i="4"/>
  <c r="DA48" i="4"/>
  <c r="CA48" i="4"/>
  <c r="AO48" i="4"/>
  <c r="N81" i="4"/>
  <c r="V81" i="4"/>
  <c r="AD81" i="4"/>
  <c r="AL81" i="4"/>
  <c r="AT81" i="4"/>
  <c r="BB81" i="4"/>
  <c r="BJ81" i="4"/>
  <c r="BR81" i="4"/>
  <c r="BZ81" i="4"/>
  <c r="CH81" i="4"/>
  <c r="CX81" i="4"/>
  <c r="O81" i="4"/>
  <c r="W81" i="4"/>
  <c r="AE81" i="4"/>
  <c r="AM81" i="4"/>
  <c r="AU81" i="4"/>
  <c r="BC81" i="4"/>
  <c r="BK81" i="4"/>
  <c r="BS81" i="4"/>
  <c r="CA81" i="4"/>
  <c r="S81" i="4"/>
  <c r="AC81" i="4"/>
  <c r="AO81" i="4"/>
  <c r="AY81" i="4"/>
  <c r="BI81" i="4"/>
  <c r="BU81" i="4"/>
  <c r="CE81" i="4"/>
  <c r="CN81" i="4"/>
  <c r="CW81" i="4"/>
  <c r="P81" i="4"/>
  <c r="Q81" i="4"/>
  <c r="AA81" i="4"/>
  <c r="AK81" i="4"/>
  <c r="AW81" i="4"/>
  <c r="BG81" i="4"/>
  <c r="BQ81" i="4"/>
  <c r="CC81" i="4"/>
  <c r="CU81" i="4"/>
  <c r="AB81" i="4"/>
  <c r="AQ81" i="4"/>
  <c r="BE81" i="4"/>
  <c r="BT81" i="4"/>
  <c r="CG81" i="4"/>
  <c r="CS81" i="4"/>
  <c r="R81" i="4"/>
  <c r="AG81" i="4"/>
  <c r="AS81" i="4"/>
  <c r="BH81" i="4"/>
  <c r="BW81" i="4"/>
  <c r="CJ81" i="4"/>
  <c r="CV81" i="4"/>
  <c r="AF81" i="4"/>
  <c r="AR81" i="4"/>
  <c r="BF81" i="4"/>
  <c r="BV81" i="4"/>
  <c r="CI81" i="4"/>
  <c r="CT81" i="4"/>
  <c r="X81" i="4"/>
  <c r="AJ81" i="4"/>
  <c r="AZ81" i="4"/>
  <c r="BN81" i="4"/>
  <c r="CB81" i="4"/>
  <c r="CO81" i="4"/>
  <c r="DA81" i="4"/>
  <c r="Y81" i="4"/>
  <c r="AN81" i="4"/>
  <c r="BA81" i="4"/>
  <c r="BO81" i="4"/>
  <c r="CD81" i="4"/>
  <c r="CQ81" i="4"/>
  <c r="AP81" i="4"/>
  <c r="BY81" i="4"/>
  <c r="AV81" i="4"/>
  <c r="CF81" i="4"/>
  <c r="CK81" i="4"/>
  <c r="T81" i="4"/>
  <c r="CM81" i="4"/>
  <c r="U81" i="4"/>
  <c r="CR81" i="4"/>
  <c r="Z81" i="4"/>
  <c r="CY81" i="4"/>
  <c r="AH81" i="4"/>
  <c r="BP81" i="4"/>
  <c r="CZ81" i="4"/>
  <c r="AI81" i="4"/>
  <c r="BX81" i="4"/>
  <c r="AX81" i="4"/>
  <c r="BD81" i="4"/>
  <c r="BL81" i="4"/>
  <c r="BM81" i="4"/>
  <c r="U18" i="4"/>
  <c r="AC18" i="4"/>
  <c r="AK18" i="4"/>
  <c r="AS18" i="4"/>
  <c r="BA18" i="4"/>
  <c r="BI18" i="4"/>
  <c r="BQ18" i="4"/>
  <c r="BY18" i="4"/>
  <c r="CG18" i="4"/>
  <c r="CO18" i="4"/>
  <c r="CW18" i="4"/>
  <c r="O18" i="4"/>
  <c r="W18" i="4"/>
  <c r="AE18" i="4"/>
  <c r="AM18" i="4"/>
  <c r="AU18" i="4"/>
  <c r="BC18" i="4"/>
  <c r="BK18" i="4"/>
  <c r="BS18" i="4"/>
  <c r="CA18" i="4"/>
  <c r="CI18" i="4"/>
  <c r="CQ18" i="4"/>
  <c r="CY18" i="4"/>
  <c r="S18" i="4"/>
  <c r="AA18" i="4"/>
  <c r="AI18" i="4"/>
  <c r="AQ18" i="4"/>
  <c r="AY18" i="4"/>
  <c r="BG18" i="4"/>
  <c r="BO18" i="4"/>
  <c r="BW18" i="4"/>
  <c r="CE18" i="4"/>
  <c r="CM18" i="4"/>
  <c r="CU18" i="4"/>
  <c r="X18" i="4"/>
  <c r="AJ18" i="4"/>
  <c r="AW18" i="4"/>
  <c r="BJ18" i="4"/>
  <c r="BV18" i="4"/>
  <c r="CJ18" i="4"/>
  <c r="CV18" i="4"/>
  <c r="Y18" i="4"/>
  <c r="AL18" i="4"/>
  <c r="AX18" i="4"/>
  <c r="BL18" i="4"/>
  <c r="BX18" i="4"/>
  <c r="CK18" i="4"/>
  <c r="CX18" i="4"/>
  <c r="R18" i="4"/>
  <c r="AF18" i="4"/>
  <c r="AR18" i="4"/>
  <c r="BE18" i="4"/>
  <c r="BR18" i="4"/>
  <c r="CD18" i="4"/>
  <c r="CR18" i="4"/>
  <c r="V18" i="4"/>
  <c r="AP18" i="4"/>
  <c r="BM18" i="4"/>
  <c r="CF18" i="4"/>
  <c r="DA18" i="4"/>
  <c r="Z18" i="4"/>
  <c r="AT18" i="4"/>
  <c r="BN18" i="4"/>
  <c r="CH18" i="4"/>
  <c r="T18" i="4"/>
  <c r="AO18" i="4"/>
  <c r="BH18" i="4"/>
  <c r="CC18" i="4"/>
  <c r="CZ18" i="4"/>
  <c r="P18" i="4"/>
  <c r="AZ18" i="4"/>
  <c r="CB18" i="4"/>
  <c r="AH18" i="4"/>
  <c r="BT18" i="4"/>
  <c r="CT18" i="4"/>
  <c r="AN18" i="4"/>
  <c r="BU18" i="4"/>
  <c r="AG18" i="4"/>
  <c r="CN18" i="4"/>
  <c r="AV18" i="4"/>
  <c r="BB18" i="4"/>
  <c r="CS18" i="4"/>
  <c r="BD18" i="4"/>
  <c r="Q18" i="4"/>
  <c r="BP18" i="4"/>
  <c r="AB18" i="4"/>
  <c r="BZ18" i="4"/>
  <c r="AD18" i="4"/>
  <c r="N18" i="4"/>
  <c r="BF18" i="4"/>
  <c r="U16" i="4"/>
  <c r="AC16" i="4"/>
  <c r="AK16" i="4"/>
  <c r="AS16" i="4"/>
  <c r="BA16" i="4"/>
  <c r="BI16" i="4"/>
  <c r="BQ16" i="4"/>
  <c r="BY16" i="4"/>
  <c r="CG16" i="4"/>
  <c r="CO16" i="4"/>
  <c r="CW16" i="4"/>
  <c r="O16" i="4"/>
  <c r="W16" i="4"/>
  <c r="AE16" i="4"/>
  <c r="AM16" i="4"/>
  <c r="AU16" i="4"/>
  <c r="BC16" i="4"/>
  <c r="BK16" i="4"/>
  <c r="BS16" i="4"/>
  <c r="CA16" i="4"/>
  <c r="CI16" i="4"/>
  <c r="CQ16" i="4"/>
  <c r="CY16" i="4"/>
  <c r="S16" i="4"/>
  <c r="AA16" i="4"/>
  <c r="AI16" i="4"/>
  <c r="AQ16" i="4"/>
  <c r="AY16" i="4"/>
  <c r="BG16" i="4"/>
  <c r="BO16" i="4"/>
  <c r="BW16" i="4"/>
  <c r="CE16" i="4"/>
  <c r="CM16" i="4"/>
  <c r="CU16" i="4"/>
  <c r="P16" i="4"/>
  <c r="AB16" i="4"/>
  <c r="AO16" i="4"/>
  <c r="BB16" i="4"/>
  <c r="BN16" i="4"/>
  <c r="CB16" i="4"/>
  <c r="CN16" i="4"/>
  <c r="DA16" i="4"/>
  <c r="Q16" i="4"/>
  <c r="AD16" i="4"/>
  <c r="AP16" i="4"/>
  <c r="BD16" i="4"/>
  <c r="BP16" i="4"/>
  <c r="CC16" i="4"/>
  <c r="X16" i="4"/>
  <c r="AJ16" i="4"/>
  <c r="AW16" i="4"/>
  <c r="BJ16" i="4"/>
  <c r="BV16" i="4"/>
  <c r="CJ16" i="4"/>
  <c r="CV16" i="4"/>
  <c r="V16" i="4"/>
  <c r="AR16" i="4"/>
  <c r="BL16" i="4"/>
  <c r="CF16" i="4"/>
  <c r="CZ16" i="4"/>
  <c r="Y16" i="4"/>
  <c r="AT16" i="4"/>
  <c r="BM16" i="4"/>
  <c r="CH16" i="4"/>
  <c r="T16" i="4"/>
  <c r="AN16" i="4"/>
  <c r="BH16" i="4"/>
  <c r="CD16" i="4"/>
  <c r="CX16" i="4"/>
  <c r="AH16" i="4"/>
  <c r="BT16" i="4"/>
  <c r="CT16" i="4"/>
  <c r="Z16" i="4"/>
  <c r="BE16" i="4"/>
  <c r="AF16" i="4"/>
  <c r="BF16" i="4"/>
  <c r="CR16" i="4"/>
  <c r="AG16" i="4"/>
  <c r="BR16" i="4"/>
  <c r="CS16" i="4"/>
  <c r="AV16" i="4"/>
  <c r="AX16" i="4"/>
  <c r="AZ16" i="4"/>
  <c r="BU16" i="4"/>
  <c r="N16" i="4"/>
  <c r="BZ16" i="4"/>
  <c r="R16" i="4"/>
  <c r="CK16" i="4"/>
  <c r="AL16" i="4"/>
  <c r="BX16" i="4"/>
  <c r="N2" i="4"/>
  <c r="V2" i="4"/>
  <c r="AD2" i="4"/>
  <c r="AL2" i="4"/>
  <c r="AT2" i="4"/>
  <c r="BB2" i="4"/>
  <c r="BJ2" i="4"/>
  <c r="BR2" i="4"/>
  <c r="BZ2" i="4"/>
  <c r="CH2" i="4"/>
  <c r="CX2" i="4"/>
  <c r="O2" i="4"/>
  <c r="W2" i="4"/>
  <c r="AE2" i="4"/>
  <c r="AM2" i="4"/>
  <c r="AU2" i="4"/>
  <c r="BC2" i="4"/>
  <c r="BK2" i="4"/>
  <c r="BS2" i="4"/>
  <c r="CA2" i="4"/>
  <c r="CI2" i="4"/>
  <c r="CQ2" i="4"/>
  <c r="CY2" i="4"/>
  <c r="P2" i="4"/>
  <c r="Q2" i="4"/>
  <c r="R2" i="4"/>
  <c r="S2" i="4"/>
  <c r="T2" i="4"/>
  <c r="AB2" i="4"/>
  <c r="AJ2" i="4"/>
  <c r="AR2" i="4"/>
  <c r="AZ2" i="4"/>
  <c r="BH2" i="4"/>
  <c r="BP2" i="4"/>
  <c r="BX2" i="4"/>
  <c r="CF2" i="4"/>
  <c r="CN2" i="4"/>
  <c r="CV2" i="4"/>
  <c r="U2" i="4"/>
  <c r="X2" i="4"/>
  <c r="AI2" i="4"/>
  <c r="AW2" i="4"/>
  <c r="BI2" i="4"/>
  <c r="BV2" i="4"/>
  <c r="CJ2" i="4"/>
  <c r="Y2" i="4"/>
  <c r="AK2" i="4"/>
  <c r="AX2" i="4"/>
  <c r="BL2" i="4"/>
  <c r="BW2" i="4"/>
  <c r="CK2" i="4"/>
  <c r="CW2" i="4"/>
  <c r="Z2" i="4"/>
  <c r="AN2" i="4"/>
  <c r="AY2" i="4"/>
  <c r="BM2" i="4"/>
  <c r="BY2" i="4"/>
  <c r="CZ2" i="4"/>
  <c r="AG2" i="4"/>
  <c r="AS2" i="4"/>
  <c r="BF2" i="4"/>
  <c r="BT2" i="4"/>
  <c r="CE2" i="4"/>
  <c r="CS2" i="4"/>
  <c r="AA2" i="4"/>
  <c r="BA2" i="4"/>
  <c r="CB2" i="4"/>
  <c r="CU2" i="4"/>
  <c r="AC2" i="4"/>
  <c r="BD2" i="4"/>
  <c r="CC2" i="4"/>
  <c r="DA2" i="4"/>
  <c r="AQ2" i="4"/>
  <c r="BQ2" i="4"/>
  <c r="CR2" i="4"/>
  <c r="AF2" i="4"/>
  <c r="BO2" i="4"/>
  <c r="AH2" i="4"/>
  <c r="AO2" i="4"/>
  <c r="CD2" i="4"/>
  <c r="BG2" i="4"/>
  <c r="CT2" i="4"/>
  <c r="BN2" i="4"/>
  <c r="AP2" i="4"/>
  <c r="AV2" i="4"/>
  <c r="BE2" i="4"/>
  <c r="CO2" i="4"/>
  <c r="BU2" i="4"/>
  <c r="CG2" i="4"/>
  <c r="CM2" i="4"/>
  <c r="N30" i="4"/>
  <c r="V30" i="4"/>
  <c r="AD30" i="4"/>
  <c r="AL30" i="4"/>
  <c r="AT30" i="4"/>
  <c r="BB30" i="4"/>
  <c r="BJ30" i="4"/>
  <c r="O30" i="4"/>
  <c r="W30" i="4"/>
  <c r="AE30" i="4"/>
  <c r="AM30" i="4"/>
  <c r="AU30" i="4"/>
  <c r="S30" i="4"/>
  <c r="AA30" i="4"/>
  <c r="AI30" i="4"/>
  <c r="AQ30" i="4"/>
  <c r="AY30" i="4"/>
  <c r="Y30" i="4"/>
  <c r="AK30" i="4"/>
  <c r="AX30" i="4"/>
  <c r="BH30" i="4"/>
  <c r="BQ30" i="4"/>
  <c r="BY30" i="4"/>
  <c r="CG30" i="4"/>
  <c r="CO30" i="4"/>
  <c r="CW30" i="4"/>
  <c r="Z30" i="4"/>
  <c r="AN30" i="4"/>
  <c r="AZ30" i="4"/>
  <c r="BI30" i="4"/>
  <c r="BR30" i="4"/>
  <c r="BZ30" i="4"/>
  <c r="CH30" i="4"/>
  <c r="CX30" i="4"/>
  <c r="U30" i="4"/>
  <c r="AO30" i="4"/>
  <c r="BD30" i="4"/>
  <c r="BO30" i="4"/>
  <c r="CA30" i="4"/>
  <c r="CK30" i="4"/>
  <c r="CU30" i="4"/>
  <c r="Q30" i="4"/>
  <c r="AG30" i="4"/>
  <c r="AW30" i="4"/>
  <c r="BL30" i="4"/>
  <c r="BV30" i="4"/>
  <c r="CF30" i="4"/>
  <c r="CR30" i="4"/>
  <c r="AF30" i="4"/>
  <c r="BC30" i="4"/>
  <c r="BS30" i="4"/>
  <c r="CE30" i="4"/>
  <c r="CT30" i="4"/>
  <c r="X30" i="4"/>
  <c r="AS30" i="4"/>
  <c r="BM30" i="4"/>
  <c r="CB30" i="4"/>
  <c r="CN30" i="4"/>
  <c r="AB30" i="4"/>
  <c r="AV30" i="4"/>
  <c r="BN30" i="4"/>
  <c r="CC30" i="4"/>
  <c r="CQ30" i="4"/>
  <c r="AC30" i="4"/>
  <c r="BA30" i="4"/>
  <c r="BP30" i="4"/>
  <c r="CD30" i="4"/>
  <c r="CS30" i="4"/>
  <c r="BE30" i="4"/>
  <c r="CI30" i="4"/>
  <c r="P30" i="4"/>
  <c r="BF30" i="4"/>
  <c r="CJ30" i="4"/>
  <c r="AP30" i="4"/>
  <c r="BW30" i="4"/>
  <c r="CZ30" i="4"/>
  <c r="AR30" i="4"/>
  <c r="BX30" i="4"/>
  <c r="DA30" i="4"/>
  <c r="BK30" i="4"/>
  <c r="BT30" i="4"/>
  <c r="T30" i="4"/>
  <c r="CM30" i="4"/>
  <c r="AH30" i="4"/>
  <c r="CV30" i="4"/>
  <c r="AJ30" i="4"/>
  <c r="CY30" i="4"/>
  <c r="BU30" i="4"/>
  <c r="R30" i="4"/>
  <c r="BG30" i="4"/>
  <c r="N44" i="4"/>
  <c r="V44" i="4"/>
  <c r="AD44" i="4"/>
  <c r="AL44" i="4"/>
  <c r="AT44" i="4"/>
  <c r="BB44" i="4"/>
  <c r="BJ44" i="4"/>
  <c r="BR44" i="4"/>
  <c r="BZ44" i="4"/>
  <c r="CH44" i="4"/>
  <c r="CX44" i="4"/>
  <c r="T44" i="4"/>
  <c r="AB44" i="4"/>
  <c r="AJ44" i="4"/>
  <c r="AR44" i="4"/>
  <c r="AZ44" i="4"/>
  <c r="BH44" i="4"/>
  <c r="BP44" i="4"/>
  <c r="BX44" i="4"/>
  <c r="CF44" i="4"/>
  <c r="CN44" i="4"/>
  <c r="CV44" i="4"/>
  <c r="U44" i="4"/>
  <c r="AC44" i="4"/>
  <c r="AK44" i="4"/>
  <c r="AS44" i="4"/>
  <c r="BA44" i="4"/>
  <c r="BI44" i="4"/>
  <c r="BQ44" i="4"/>
  <c r="BY44" i="4"/>
  <c r="CG44" i="4"/>
  <c r="CO44" i="4"/>
  <c r="CW44" i="4"/>
  <c r="W44" i="4"/>
  <c r="AH44" i="4"/>
  <c r="AV44" i="4"/>
  <c r="BG44" i="4"/>
  <c r="BU44" i="4"/>
  <c r="CI44" i="4"/>
  <c r="CT44" i="4"/>
  <c r="O44" i="4"/>
  <c r="Z44" i="4"/>
  <c r="AN44" i="4"/>
  <c r="AY44" i="4"/>
  <c r="BM44" i="4"/>
  <c r="CA44" i="4"/>
  <c r="CZ44" i="4"/>
  <c r="P44" i="4"/>
  <c r="AA44" i="4"/>
  <c r="AO44" i="4"/>
  <c r="BC44" i="4"/>
  <c r="BN44" i="4"/>
  <c r="CB44" i="4"/>
  <c r="CM44" i="4"/>
  <c r="DA44" i="4"/>
  <c r="AG44" i="4"/>
  <c r="BD44" i="4"/>
  <c r="BV44" i="4"/>
  <c r="CR44" i="4"/>
  <c r="Q44" i="4"/>
  <c r="AI44" i="4"/>
  <c r="BE44" i="4"/>
  <c r="BW44" i="4"/>
  <c r="CS44" i="4"/>
  <c r="R44" i="4"/>
  <c r="AM44" i="4"/>
  <c r="BF44" i="4"/>
  <c r="CC44" i="4"/>
  <c r="CU44" i="4"/>
  <c r="AE44" i="4"/>
  <c r="AW44" i="4"/>
  <c r="BS44" i="4"/>
  <c r="CK44" i="4"/>
  <c r="AX44" i="4"/>
  <c r="CQ44" i="4"/>
  <c r="S44" i="4"/>
  <c r="BK44" i="4"/>
  <c r="CY44" i="4"/>
  <c r="X44" i="4"/>
  <c r="BL44" i="4"/>
  <c r="Y44" i="4"/>
  <c r="BO44" i="4"/>
  <c r="AP44" i="4"/>
  <c r="AQ44" i="4"/>
  <c r="AU44" i="4"/>
  <c r="BT44" i="4"/>
  <c r="CD44" i="4"/>
  <c r="CE44" i="4"/>
  <c r="CJ44" i="4"/>
  <c r="AF44" i="4"/>
  <c r="R47" i="4"/>
  <c r="Z47" i="4"/>
  <c r="AH47" i="4"/>
  <c r="AP47" i="4"/>
  <c r="AX47" i="4"/>
  <c r="BF47" i="4"/>
  <c r="BN47" i="4"/>
  <c r="BV47" i="4"/>
  <c r="CD47" i="4"/>
  <c r="CT47" i="4"/>
  <c r="Q47" i="4"/>
  <c r="Y47" i="4"/>
  <c r="AG47" i="4"/>
  <c r="AO47" i="4"/>
  <c r="AW47" i="4"/>
  <c r="BE47" i="4"/>
  <c r="BM47" i="4"/>
  <c r="BU47" i="4"/>
  <c r="CC47" i="4"/>
  <c r="CK47" i="4"/>
  <c r="CS47" i="4"/>
  <c r="DA47" i="4"/>
  <c r="V47" i="4"/>
  <c r="AF47" i="4"/>
  <c r="AR47" i="4"/>
  <c r="BB47" i="4"/>
  <c r="BL47" i="4"/>
  <c r="BX47" i="4"/>
  <c r="CH47" i="4"/>
  <c r="CR47" i="4"/>
  <c r="P47" i="4"/>
  <c r="O47" i="4"/>
  <c r="AC47" i="4"/>
  <c r="AN47" i="4"/>
  <c r="BA47" i="4"/>
  <c r="BO47" i="4"/>
  <c r="BZ47" i="4"/>
  <c r="CM47" i="4"/>
  <c r="CX47" i="4"/>
  <c r="S47" i="4"/>
  <c r="AD47" i="4"/>
  <c r="AQ47" i="4"/>
  <c r="BC47" i="4"/>
  <c r="BP47" i="4"/>
  <c r="CA47" i="4"/>
  <c r="CN47" i="4"/>
  <c r="CY47" i="4"/>
  <c r="T47" i="4"/>
  <c r="AE47" i="4"/>
  <c r="AS47" i="4"/>
  <c r="BD47" i="4"/>
  <c r="BQ47" i="4"/>
  <c r="CB47" i="4"/>
  <c r="CO47" i="4"/>
  <c r="CZ47" i="4"/>
  <c r="AA47" i="4"/>
  <c r="AL47" i="4"/>
  <c r="AY47" i="4"/>
  <c r="BJ47" i="4"/>
  <c r="BW47" i="4"/>
  <c r="CI47" i="4"/>
  <c r="CV47" i="4"/>
  <c r="N47" i="4"/>
  <c r="AM47" i="4"/>
  <c r="BK47" i="4"/>
  <c r="CJ47" i="4"/>
  <c r="U47" i="4"/>
  <c r="AT47" i="4"/>
  <c r="BR47" i="4"/>
  <c r="X47" i="4"/>
  <c r="AV47" i="4"/>
  <c r="BT47" i="4"/>
  <c r="CU47" i="4"/>
  <c r="W47" i="4"/>
  <c r="BH47" i="4"/>
  <c r="CW47" i="4"/>
  <c r="AB47" i="4"/>
  <c r="BI47" i="4"/>
  <c r="AI47" i="4"/>
  <c r="BS47" i="4"/>
  <c r="AJ47" i="4"/>
  <c r="BY47" i="4"/>
  <c r="AK47" i="4"/>
  <c r="CE47" i="4"/>
  <c r="AU47" i="4"/>
  <c r="CF47" i="4"/>
  <c r="AZ47" i="4"/>
  <c r="CG47" i="4"/>
  <c r="BG47" i="4"/>
  <c r="CQ47" i="4"/>
  <c r="N79" i="4"/>
  <c r="V79" i="4"/>
  <c r="AD79" i="4"/>
  <c r="AL79" i="4"/>
  <c r="AT79" i="4"/>
  <c r="BB79" i="4"/>
  <c r="BJ79" i="4"/>
  <c r="BR79" i="4"/>
  <c r="BZ79" i="4"/>
  <c r="CH79" i="4"/>
  <c r="CX79" i="4"/>
  <c r="O79" i="4"/>
  <c r="W79" i="4"/>
  <c r="AE79" i="4"/>
  <c r="AM79" i="4"/>
  <c r="AU79" i="4"/>
  <c r="BC79" i="4"/>
  <c r="BK79" i="4"/>
  <c r="BS79" i="4"/>
  <c r="CA79" i="4"/>
  <c r="CI79" i="4"/>
  <c r="CQ79" i="4"/>
  <c r="CY79" i="4"/>
  <c r="U79" i="4"/>
  <c r="AG79" i="4"/>
  <c r="AQ79" i="4"/>
  <c r="BA79" i="4"/>
  <c r="BM79" i="4"/>
  <c r="BW79" i="4"/>
  <c r="CG79" i="4"/>
  <c r="CS79" i="4"/>
  <c r="X79" i="4"/>
  <c r="AH79" i="4"/>
  <c r="AR79" i="4"/>
  <c r="BD79" i="4"/>
  <c r="BN79" i="4"/>
  <c r="BX79" i="4"/>
  <c r="CJ79" i="4"/>
  <c r="CT79" i="4"/>
  <c r="R79" i="4"/>
  <c r="AB79" i="4"/>
  <c r="AN79" i="4"/>
  <c r="AX79" i="4"/>
  <c r="BH79" i="4"/>
  <c r="BT79" i="4"/>
  <c r="CD79" i="4"/>
  <c r="CN79" i="4"/>
  <c r="CZ79" i="4"/>
  <c r="S79" i="4"/>
  <c r="AC79" i="4"/>
  <c r="AO79" i="4"/>
  <c r="AY79" i="4"/>
  <c r="BI79" i="4"/>
  <c r="BU79" i="4"/>
  <c r="CE79" i="4"/>
  <c r="CO79" i="4"/>
  <c r="DA79" i="4"/>
  <c r="Z79" i="4"/>
  <c r="AV79" i="4"/>
  <c r="BP79" i="4"/>
  <c r="AF79" i="4"/>
  <c r="AZ79" i="4"/>
  <c r="BV79" i="4"/>
  <c r="CR79" i="4"/>
  <c r="AA79" i="4"/>
  <c r="AW79" i="4"/>
  <c r="BQ79" i="4"/>
  <c r="CM79" i="4"/>
  <c r="Q79" i="4"/>
  <c r="AK79" i="4"/>
  <c r="BG79" i="4"/>
  <c r="CC79" i="4"/>
  <c r="CW79" i="4"/>
  <c r="T79" i="4"/>
  <c r="AP79" i="4"/>
  <c r="BL79" i="4"/>
  <c r="CF79" i="4"/>
  <c r="BO79" i="4"/>
  <c r="P79" i="4"/>
  <c r="BY79" i="4"/>
  <c r="CB79" i="4"/>
  <c r="CK79" i="4"/>
  <c r="CU79" i="4"/>
  <c r="CV79" i="4"/>
  <c r="BE79" i="4"/>
  <c r="BF79" i="4"/>
  <c r="Y79" i="4"/>
  <c r="AI79" i="4"/>
  <c r="AJ79" i="4"/>
  <c r="AS79" i="4"/>
  <c r="P15" i="4"/>
  <c r="X15" i="4"/>
  <c r="AF15" i="4"/>
  <c r="AN15" i="4"/>
  <c r="AV15" i="4"/>
  <c r="BD15" i="4"/>
  <c r="BL15" i="4"/>
  <c r="BT15" i="4"/>
  <c r="Q15" i="4"/>
  <c r="Y15" i="4"/>
  <c r="AG15" i="4"/>
  <c r="AO15" i="4"/>
  <c r="AW15" i="4"/>
  <c r="BE15" i="4"/>
  <c r="BM15" i="4"/>
  <c r="BU15" i="4"/>
  <c r="S15" i="4"/>
  <c r="AC15" i="4"/>
  <c r="AM15" i="4"/>
  <c r="AY15" i="4"/>
  <c r="BI15" i="4"/>
  <c r="BS15" i="4"/>
  <c r="CC15" i="4"/>
  <c r="CK15" i="4"/>
  <c r="CS15" i="4"/>
  <c r="DA15" i="4"/>
  <c r="U15" i="4"/>
  <c r="AE15" i="4"/>
  <c r="AQ15" i="4"/>
  <c r="BA15" i="4"/>
  <c r="BK15" i="4"/>
  <c r="BW15" i="4"/>
  <c r="CE15" i="4"/>
  <c r="CM15" i="4"/>
  <c r="CU15" i="4"/>
  <c r="O15" i="4"/>
  <c r="AA15" i="4"/>
  <c r="AK15" i="4"/>
  <c r="AU15" i="4"/>
  <c r="BG15" i="4"/>
  <c r="BQ15" i="4"/>
  <c r="CA15" i="4"/>
  <c r="CI15" i="4"/>
  <c r="CQ15" i="4"/>
  <c r="CY15" i="4"/>
  <c r="N15" i="4"/>
  <c r="AH15" i="4"/>
  <c r="AX15" i="4"/>
  <c r="BO15" i="4"/>
  <c r="CD15" i="4"/>
  <c r="R15" i="4"/>
  <c r="AI15" i="4"/>
  <c r="AZ15" i="4"/>
  <c r="BP15" i="4"/>
  <c r="CF15" i="4"/>
  <c r="CR15" i="4"/>
  <c r="Z15" i="4"/>
  <c r="AR15" i="4"/>
  <c r="BH15" i="4"/>
  <c r="BY15" i="4"/>
  <c r="CX15" i="4"/>
  <c r="T15" i="4"/>
  <c r="AS15" i="4"/>
  <c r="BV15" i="4"/>
  <c r="CO15" i="4"/>
  <c r="V15" i="4"/>
  <c r="AT15" i="4"/>
  <c r="BX15" i="4"/>
  <c r="CT15" i="4"/>
  <c r="AP15" i="4"/>
  <c r="BR15" i="4"/>
  <c r="CN15" i="4"/>
  <c r="BF15" i="4"/>
  <c r="CV15" i="4"/>
  <c r="AL15" i="4"/>
  <c r="CG15" i="4"/>
  <c r="BB15" i="4"/>
  <c r="CH15" i="4"/>
  <c r="BC15" i="4"/>
  <c r="CJ15" i="4"/>
  <c r="BN15" i="4"/>
  <c r="BZ15" i="4"/>
  <c r="CB15" i="4"/>
  <c r="W15" i="4"/>
  <c r="CW15" i="4"/>
  <c r="AD15" i="4"/>
  <c r="AJ15" i="4"/>
  <c r="BJ15" i="4"/>
  <c r="AB15" i="4"/>
  <c r="CZ15" i="4"/>
  <c r="Q37" i="4"/>
  <c r="Y37" i="4"/>
  <c r="AG37" i="4"/>
  <c r="AO37" i="4"/>
  <c r="AW37" i="4"/>
  <c r="BE37" i="4"/>
  <c r="BM37" i="4"/>
  <c r="BU37" i="4"/>
  <c r="CC37" i="4"/>
  <c r="CK37" i="4"/>
  <c r="CS37" i="4"/>
  <c r="DA37" i="4"/>
  <c r="N37" i="4"/>
  <c r="V37" i="4"/>
  <c r="AD37" i="4"/>
  <c r="AL37" i="4"/>
  <c r="AT37" i="4"/>
  <c r="BB37" i="4"/>
  <c r="BJ37" i="4"/>
  <c r="BR37" i="4"/>
  <c r="BZ37" i="4"/>
  <c r="CH37" i="4"/>
  <c r="CX37" i="4"/>
  <c r="O37" i="4"/>
  <c r="Z37" i="4"/>
  <c r="AJ37" i="4"/>
  <c r="AU37" i="4"/>
  <c r="BF37" i="4"/>
  <c r="BP37" i="4"/>
  <c r="CA37" i="4"/>
  <c r="CV37" i="4"/>
  <c r="W37" i="4"/>
  <c r="AH37" i="4"/>
  <c r="AR37" i="4"/>
  <c r="BC37" i="4"/>
  <c r="BN37" i="4"/>
  <c r="BX37" i="4"/>
  <c r="CI37" i="4"/>
  <c r="CT37" i="4"/>
  <c r="X37" i="4"/>
  <c r="AI37" i="4"/>
  <c r="AS37" i="4"/>
  <c r="BD37" i="4"/>
  <c r="BO37" i="4"/>
  <c r="BY37" i="4"/>
  <c r="CJ37" i="4"/>
  <c r="CU37" i="4"/>
  <c r="S37" i="4"/>
  <c r="AK37" i="4"/>
  <c r="AZ37" i="4"/>
  <c r="BS37" i="4"/>
  <c r="CG37" i="4"/>
  <c r="CZ37" i="4"/>
  <c r="AA37" i="4"/>
  <c r="AP37" i="4"/>
  <c r="BH37" i="4"/>
  <c r="BW37" i="4"/>
  <c r="CO37" i="4"/>
  <c r="AB37" i="4"/>
  <c r="AQ37" i="4"/>
  <c r="BI37" i="4"/>
  <c r="CB37" i="4"/>
  <c r="CQ37" i="4"/>
  <c r="U37" i="4"/>
  <c r="AY37" i="4"/>
  <c r="CD37" i="4"/>
  <c r="AC37" i="4"/>
  <c r="BA37" i="4"/>
  <c r="CE37" i="4"/>
  <c r="AE37" i="4"/>
  <c r="BG37" i="4"/>
  <c r="CF37" i="4"/>
  <c r="R37" i="4"/>
  <c r="AV37" i="4"/>
  <c r="BT37" i="4"/>
  <c r="CW37" i="4"/>
  <c r="AX37" i="4"/>
  <c r="CY37" i="4"/>
  <c r="BK37" i="4"/>
  <c r="BL37" i="4"/>
  <c r="P37" i="4"/>
  <c r="BQ37" i="4"/>
  <c r="CM37" i="4"/>
  <c r="CN37" i="4"/>
  <c r="CR37" i="4"/>
  <c r="T37" i="4"/>
  <c r="AF37" i="4"/>
  <c r="AM37" i="4"/>
  <c r="AN37" i="4"/>
  <c r="BV37" i="4"/>
  <c r="R29" i="4"/>
  <c r="Z29" i="4"/>
  <c r="AH29" i="4"/>
  <c r="AP29" i="4"/>
  <c r="AX29" i="4"/>
  <c r="BF29" i="4"/>
  <c r="BN29" i="4"/>
  <c r="BV29" i="4"/>
  <c r="CD29" i="4"/>
  <c r="CT29" i="4"/>
  <c r="S29" i="4"/>
  <c r="AA29" i="4"/>
  <c r="AI29" i="4"/>
  <c r="AQ29" i="4"/>
  <c r="AY29" i="4"/>
  <c r="BG29" i="4"/>
  <c r="BO29" i="4"/>
  <c r="BW29" i="4"/>
  <c r="CE29" i="4"/>
  <c r="CM29" i="4"/>
  <c r="CU29" i="4"/>
  <c r="O29" i="4"/>
  <c r="W29" i="4"/>
  <c r="AE29" i="4"/>
  <c r="AM29" i="4"/>
  <c r="AU29" i="4"/>
  <c r="BC29" i="4"/>
  <c r="BK29" i="4"/>
  <c r="BS29" i="4"/>
  <c r="CA29" i="4"/>
  <c r="CI29" i="4"/>
  <c r="CQ29" i="4"/>
  <c r="CY29" i="4"/>
  <c r="N29" i="4"/>
  <c r="AB29" i="4"/>
  <c r="AN29" i="4"/>
  <c r="BA29" i="4"/>
  <c r="BM29" i="4"/>
  <c r="BZ29" i="4"/>
  <c r="CN29" i="4"/>
  <c r="CZ29" i="4"/>
  <c r="P29" i="4"/>
  <c r="AC29" i="4"/>
  <c r="AO29" i="4"/>
  <c r="BB29" i="4"/>
  <c r="BP29" i="4"/>
  <c r="CB29" i="4"/>
  <c r="CO29" i="4"/>
  <c r="DA29" i="4"/>
  <c r="AD29" i="4"/>
  <c r="AT29" i="4"/>
  <c r="BJ29" i="4"/>
  <c r="CC29" i="4"/>
  <c r="CS29" i="4"/>
  <c r="V29" i="4"/>
  <c r="AL29" i="4"/>
  <c r="BE29" i="4"/>
  <c r="BU29" i="4"/>
  <c r="CK29" i="4"/>
  <c r="AG29" i="4"/>
  <c r="BD29" i="4"/>
  <c r="BY29" i="4"/>
  <c r="CW29" i="4"/>
  <c r="X29" i="4"/>
  <c r="AV29" i="4"/>
  <c r="BR29" i="4"/>
  <c r="Y29" i="4"/>
  <c r="AW29" i="4"/>
  <c r="BT29" i="4"/>
  <c r="CR29" i="4"/>
  <c r="AF29" i="4"/>
  <c r="AZ29" i="4"/>
  <c r="BX29" i="4"/>
  <c r="CV29" i="4"/>
  <c r="BH29" i="4"/>
  <c r="CX29" i="4"/>
  <c r="Q29" i="4"/>
  <c r="BI29" i="4"/>
  <c r="T29" i="4"/>
  <c r="BL29" i="4"/>
  <c r="U29" i="4"/>
  <c r="BQ29" i="4"/>
  <c r="AK29" i="4"/>
  <c r="AR29" i="4"/>
  <c r="CH29" i="4"/>
  <c r="AS29" i="4"/>
  <c r="CJ29" i="4"/>
  <c r="AJ29" i="4"/>
  <c r="CF29" i="4"/>
  <c r="CG29" i="4"/>
  <c r="R43" i="4"/>
  <c r="Z43" i="4"/>
  <c r="AH43" i="4"/>
  <c r="AP43" i="4"/>
  <c r="AX43" i="4"/>
  <c r="BF43" i="4"/>
  <c r="BN43" i="4"/>
  <c r="BV43" i="4"/>
  <c r="CD43" i="4"/>
  <c r="CT43" i="4"/>
  <c r="P43" i="4"/>
  <c r="X43" i="4"/>
  <c r="AF43" i="4"/>
  <c r="AN43" i="4"/>
  <c r="AV43" i="4"/>
  <c r="BD43" i="4"/>
  <c r="BL43" i="4"/>
  <c r="BT43" i="4"/>
  <c r="CB43" i="4"/>
  <c r="CJ43" i="4"/>
  <c r="CR43" i="4"/>
  <c r="CZ43" i="4"/>
  <c r="Q43" i="4"/>
  <c r="Y43" i="4"/>
  <c r="AG43" i="4"/>
  <c r="AO43" i="4"/>
  <c r="AW43" i="4"/>
  <c r="BE43" i="4"/>
  <c r="BM43" i="4"/>
  <c r="BU43" i="4"/>
  <c r="CC43" i="4"/>
  <c r="CK43" i="4"/>
  <c r="CS43" i="4"/>
  <c r="DA43" i="4"/>
  <c r="W43" i="4"/>
  <c r="AK43" i="4"/>
  <c r="AY43" i="4"/>
  <c r="BJ43" i="4"/>
  <c r="BX43" i="4"/>
  <c r="CI43" i="4"/>
  <c r="CW43" i="4"/>
  <c r="O43" i="4"/>
  <c r="AC43" i="4"/>
  <c r="AQ43" i="4"/>
  <c r="BB43" i="4"/>
  <c r="BP43" i="4"/>
  <c r="CA43" i="4"/>
  <c r="CO43" i="4"/>
  <c r="S43" i="4"/>
  <c r="AD43" i="4"/>
  <c r="AR43" i="4"/>
  <c r="BC43" i="4"/>
  <c r="BQ43" i="4"/>
  <c r="CE43" i="4"/>
  <c r="V43" i="4"/>
  <c r="AS43" i="4"/>
  <c r="BK43" i="4"/>
  <c r="CG43" i="4"/>
  <c r="CY43" i="4"/>
  <c r="AA43" i="4"/>
  <c r="AT43" i="4"/>
  <c r="BO43" i="4"/>
  <c r="CH43" i="4"/>
  <c r="AB43" i="4"/>
  <c r="AU43" i="4"/>
  <c r="BR43" i="4"/>
  <c r="CM43" i="4"/>
  <c r="T43" i="4"/>
  <c r="AL43" i="4"/>
  <c r="BH43" i="4"/>
  <c r="BZ43" i="4"/>
  <c r="CV43" i="4"/>
  <c r="U43" i="4"/>
  <c r="BI43" i="4"/>
  <c r="CX43" i="4"/>
  <c r="AE43" i="4"/>
  <c r="BS43" i="4"/>
  <c r="AI43" i="4"/>
  <c r="BW43" i="4"/>
  <c r="AJ43" i="4"/>
  <c r="BY43" i="4"/>
  <c r="AZ43" i="4"/>
  <c r="BA43" i="4"/>
  <c r="BG43" i="4"/>
  <c r="CF43" i="4"/>
  <c r="CN43" i="4"/>
  <c r="CQ43" i="4"/>
  <c r="N43" i="4"/>
  <c r="CU43" i="4"/>
  <c r="AM43" i="4"/>
  <c r="N71" i="4"/>
  <c r="V71" i="4"/>
  <c r="AD71" i="4"/>
  <c r="AL71" i="4"/>
  <c r="AT71" i="4"/>
  <c r="BB71" i="4"/>
  <c r="BJ71" i="4"/>
  <c r="BR71" i="4"/>
  <c r="BZ71" i="4"/>
  <c r="CH71" i="4"/>
  <c r="CX71" i="4"/>
  <c r="O71" i="4"/>
  <c r="W71" i="4"/>
  <c r="AE71" i="4"/>
  <c r="AM71" i="4"/>
  <c r="AU71" i="4"/>
  <c r="BC71" i="4"/>
  <c r="BK71" i="4"/>
  <c r="BS71" i="4"/>
  <c r="CA71" i="4"/>
  <c r="CI71" i="4"/>
  <c r="CQ71" i="4"/>
  <c r="CY71" i="4"/>
  <c r="S71" i="4"/>
  <c r="AA71" i="4"/>
  <c r="AI71" i="4"/>
  <c r="AQ71" i="4"/>
  <c r="AY71" i="4"/>
  <c r="BG71" i="4"/>
  <c r="BO71" i="4"/>
  <c r="BW71" i="4"/>
  <c r="CE71" i="4"/>
  <c r="CM71" i="4"/>
  <c r="CU71" i="4"/>
  <c r="Z71" i="4"/>
  <c r="AN71" i="4"/>
  <c r="AZ71" i="4"/>
  <c r="BM71" i="4"/>
  <c r="BY71" i="4"/>
  <c r="CZ71" i="4"/>
  <c r="P71" i="4"/>
  <c r="AB71" i="4"/>
  <c r="AO71" i="4"/>
  <c r="BA71" i="4"/>
  <c r="BN71" i="4"/>
  <c r="CB71" i="4"/>
  <c r="CN71" i="4"/>
  <c r="DA71" i="4"/>
  <c r="U71" i="4"/>
  <c r="AH71" i="4"/>
  <c r="AV71" i="4"/>
  <c r="BH71" i="4"/>
  <c r="BU71" i="4"/>
  <c r="CG71" i="4"/>
  <c r="CT71" i="4"/>
  <c r="X71" i="4"/>
  <c r="AJ71" i="4"/>
  <c r="AW71" i="4"/>
  <c r="BI71" i="4"/>
  <c r="BV71" i="4"/>
  <c r="CJ71" i="4"/>
  <c r="CV71" i="4"/>
  <c r="AF71" i="4"/>
  <c r="BE71" i="4"/>
  <c r="CD71" i="4"/>
  <c r="AK71" i="4"/>
  <c r="BL71" i="4"/>
  <c r="CK71" i="4"/>
  <c r="AG71" i="4"/>
  <c r="BF71" i="4"/>
  <c r="CF71" i="4"/>
  <c r="T71" i="4"/>
  <c r="AS71" i="4"/>
  <c r="BT71" i="4"/>
  <c r="CS71" i="4"/>
  <c r="Y71" i="4"/>
  <c r="AX71" i="4"/>
  <c r="BX71" i="4"/>
  <c r="CW71" i="4"/>
  <c r="BQ71" i="4"/>
  <c r="Q71" i="4"/>
  <c r="CC71" i="4"/>
  <c r="R71" i="4"/>
  <c r="CR71" i="4"/>
  <c r="AP71" i="4"/>
  <c r="AR71" i="4"/>
  <c r="BD71" i="4"/>
  <c r="BP71" i="4"/>
  <c r="CO71" i="4"/>
  <c r="AC71" i="4"/>
  <c r="N63" i="4"/>
  <c r="V63" i="4"/>
  <c r="AD63" i="4"/>
  <c r="AL63" i="4"/>
  <c r="AT63" i="4"/>
  <c r="BB63" i="4"/>
  <c r="BJ63" i="4"/>
  <c r="BR63" i="4"/>
  <c r="BZ63" i="4"/>
  <c r="CH63" i="4"/>
  <c r="CX63" i="4"/>
  <c r="O63" i="4"/>
  <c r="W63" i="4"/>
  <c r="AE63" i="4"/>
  <c r="AM63" i="4"/>
  <c r="AU63" i="4"/>
  <c r="BC63" i="4"/>
  <c r="BK63" i="4"/>
  <c r="BS63" i="4"/>
  <c r="CA63" i="4"/>
  <c r="CI63" i="4"/>
  <c r="CQ63" i="4"/>
  <c r="CY63" i="4"/>
  <c r="P63" i="4"/>
  <c r="X63" i="4"/>
  <c r="AF63" i="4"/>
  <c r="AN63" i="4"/>
  <c r="AV63" i="4"/>
  <c r="BD63" i="4"/>
  <c r="BL63" i="4"/>
  <c r="BT63" i="4"/>
  <c r="CB63" i="4"/>
  <c r="CJ63" i="4"/>
  <c r="CR63" i="4"/>
  <c r="CZ63" i="4"/>
  <c r="S63" i="4"/>
  <c r="AA63" i="4"/>
  <c r="AI63" i="4"/>
  <c r="AQ63" i="4"/>
  <c r="AY63" i="4"/>
  <c r="BG63" i="4"/>
  <c r="BO63" i="4"/>
  <c r="BW63" i="4"/>
  <c r="CE63" i="4"/>
  <c r="CM63" i="4"/>
  <c r="CU63" i="4"/>
  <c r="AB63" i="4"/>
  <c r="AR63" i="4"/>
  <c r="BH63" i="4"/>
  <c r="BX63" i="4"/>
  <c r="CN63" i="4"/>
  <c r="AC63" i="4"/>
  <c r="AS63" i="4"/>
  <c r="BI63" i="4"/>
  <c r="BY63" i="4"/>
  <c r="CO63" i="4"/>
  <c r="U63" i="4"/>
  <c r="AK63" i="4"/>
  <c r="BA63" i="4"/>
  <c r="BQ63" i="4"/>
  <c r="CG63" i="4"/>
  <c r="CW63" i="4"/>
  <c r="Y63" i="4"/>
  <c r="AO63" i="4"/>
  <c r="BE63" i="4"/>
  <c r="BU63" i="4"/>
  <c r="CK63" i="4"/>
  <c r="DA63" i="4"/>
  <c r="R63" i="4"/>
  <c r="AX63" i="4"/>
  <c r="CD63" i="4"/>
  <c r="Z63" i="4"/>
  <c r="BF63" i="4"/>
  <c r="T63" i="4"/>
  <c r="AZ63" i="4"/>
  <c r="CF63" i="4"/>
  <c r="AJ63" i="4"/>
  <c r="BP63" i="4"/>
  <c r="CV63" i="4"/>
  <c r="AP63" i="4"/>
  <c r="BV63" i="4"/>
  <c r="AG63" i="4"/>
  <c r="AH63" i="4"/>
  <c r="AW63" i="4"/>
  <c r="BN63" i="4"/>
  <c r="CS63" i="4"/>
  <c r="Q63" i="4"/>
  <c r="CT63" i="4"/>
  <c r="BM63" i="4"/>
  <c r="CC63" i="4"/>
  <c r="P55" i="4"/>
  <c r="X55" i="4"/>
  <c r="AF55" i="4"/>
  <c r="AN55" i="4"/>
  <c r="AV55" i="4"/>
  <c r="BD55" i="4"/>
  <c r="BL55" i="4"/>
  <c r="BT55" i="4"/>
  <c r="CB55" i="4"/>
  <c r="CJ55" i="4"/>
  <c r="CR55" i="4"/>
  <c r="CZ55" i="4"/>
  <c r="Q55" i="4"/>
  <c r="Y55" i="4"/>
  <c r="AG55" i="4"/>
  <c r="AO55" i="4"/>
  <c r="AW55" i="4"/>
  <c r="BE55" i="4"/>
  <c r="BM55" i="4"/>
  <c r="BU55" i="4"/>
  <c r="CC55" i="4"/>
  <c r="CK55" i="4"/>
  <c r="CS55" i="4"/>
  <c r="DA55" i="4"/>
  <c r="R55" i="4"/>
  <c r="AB55" i="4"/>
  <c r="AL55" i="4"/>
  <c r="AX55" i="4"/>
  <c r="BH55" i="4"/>
  <c r="BR55" i="4"/>
  <c r="CD55" i="4"/>
  <c r="CN55" i="4"/>
  <c r="CX55" i="4"/>
  <c r="S55" i="4"/>
  <c r="AC55" i="4"/>
  <c r="AM55" i="4"/>
  <c r="AY55" i="4"/>
  <c r="BI55" i="4"/>
  <c r="BS55" i="4"/>
  <c r="CE55" i="4"/>
  <c r="CO55" i="4"/>
  <c r="CY55" i="4"/>
  <c r="U55" i="4"/>
  <c r="AE55" i="4"/>
  <c r="AQ55" i="4"/>
  <c r="BA55" i="4"/>
  <c r="BK55" i="4"/>
  <c r="AD55" i="4"/>
  <c r="AT55" i="4"/>
  <c r="BN55" i="4"/>
  <c r="BZ55" i="4"/>
  <c r="N55" i="4"/>
  <c r="AH55" i="4"/>
  <c r="AU55" i="4"/>
  <c r="BO55" i="4"/>
  <c r="CA55" i="4"/>
  <c r="CQ55" i="4"/>
  <c r="O55" i="4"/>
  <c r="AI55" i="4"/>
  <c r="AZ55" i="4"/>
  <c r="BP55" i="4"/>
  <c r="CF55" i="4"/>
  <c r="CT55" i="4"/>
  <c r="W55" i="4"/>
  <c r="AP55" i="4"/>
  <c r="BF55" i="4"/>
  <c r="BW55" i="4"/>
  <c r="CI55" i="4"/>
  <c r="CW55" i="4"/>
  <c r="Z55" i="4"/>
  <c r="AR55" i="4"/>
  <c r="BG55" i="4"/>
  <c r="BX55" i="4"/>
  <c r="AJ55" i="4"/>
  <c r="BY55" i="4"/>
  <c r="AK55" i="4"/>
  <c r="CG55" i="4"/>
  <c r="AS55" i="4"/>
  <c r="CH55" i="4"/>
  <c r="BB55" i="4"/>
  <c r="CM55" i="4"/>
  <c r="BC55" i="4"/>
  <c r="CU55" i="4"/>
  <c r="T55" i="4"/>
  <c r="BJ55" i="4"/>
  <c r="CV55" i="4"/>
  <c r="V55" i="4"/>
  <c r="BQ55" i="4"/>
  <c r="AA55" i="4"/>
  <c r="BV55" i="4"/>
  <c r="R27" i="4"/>
  <c r="Z27" i="4"/>
  <c r="AH27" i="4"/>
  <c r="AP27" i="4"/>
  <c r="AX27" i="4"/>
  <c r="BF27" i="4"/>
  <c r="BN27" i="4"/>
  <c r="BV27" i="4"/>
  <c r="CD27" i="4"/>
  <c r="CT27" i="4"/>
  <c r="S27" i="4"/>
  <c r="AA27" i="4"/>
  <c r="AI27" i="4"/>
  <c r="AQ27" i="4"/>
  <c r="AY27" i="4"/>
  <c r="BG27" i="4"/>
  <c r="BO27" i="4"/>
  <c r="BW27" i="4"/>
  <c r="CE27" i="4"/>
  <c r="CM27" i="4"/>
  <c r="CU27" i="4"/>
  <c r="O27" i="4"/>
  <c r="W27" i="4"/>
  <c r="AE27" i="4"/>
  <c r="AM27" i="4"/>
  <c r="AU27" i="4"/>
  <c r="BC27" i="4"/>
  <c r="BK27" i="4"/>
  <c r="BS27" i="4"/>
  <c r="CA27" i="4"/>
  <c r="CI27" i="4"/>
  <c r="CQ27" i="4"/>
  <c r="CY27" i="4"/>
  <c r="T27" i="4"/>
  <c r="AF27" i="4"/>
  <c r="AS27" i="4"/>
  <c r="BE27" i="4"/>
  <c r="BR27" i="4"/>
  <c r="CF27" i="4"/>
  <c r="CR27" i="4"/>
  <c r="U27" i="4"/>
  <c r="AG27" i="4"/>
  <c r="AT27" i="4"/>
  <c r="BH27" i="4"/>
  <c r="BT27" i="4"/>
  <c r="CG27" i="4"/>
  <c r="CS27" i="4"/>
  <c r="Q27" i="4"/>
  <c r="AD27" i="4"/>
  <c r="AR27" i="4"/>
  <c r="BD27" i="4"/>
  <c r="BQ27" i="4"/>
  <c r="CC27" i="4"/>
  <c r="AB27" i="4"/>
  <c r="AW27" i="4"/>
  <c r="BP27" i="4"/>
  <c r="CK27" i="4"/>
  <c r="V27" i="4"/>
  <c r="AN27" i="4"/>
  <c r="BJ27" i="4"/>
  <c r="CB27" i="4"/>
  <c r="CX27" i="4"/>
  <c r="P27" i="4"/>
  <c r="AV27" i="4"/>
  <c r="BX27" i="4"/>
  <c r="CW27" i="4"/>
  <c r="AK27" i="4"/>
  <c r="BL27" i="4"/>
  <c r="CN27" i="4"/>
  <c r="AL27" i="4"/>
  <c r="BM27" i="4"/>
  <c r="CO27" i="4"/>
  <c r="N27" i="4"/>
  <c r="AO27" i="4"/>
  <c r="BU27" i="4"/>
  <c r="CV27" i="4"/>
  <c r="AZ27" i="4"/>
  <c r="CZ27" i="4"/>
  <c r="BA27" i="4"/>
  <c r="DA27" i="4"/>
  <c r="BB27" i="4"/>
  <c r="BI27" i="4"/>
  <c r="Y27" i="4"/>
  <c r="BZ27" i="4"/>
  <c r="AC27" i="4"/>
  <c r="CH27" i="4"/>
  <c r="AJ27" i="4"/>
  <c r="CJ27" i="4"/>
  <c r="X27" i="4"/>
  <c r="BY27" i="4"/>
  <c r="T14" i="4"/>
  <c r="AB14" i="4"/>
  <c r="AJ14" i="4"/>
  <c r="AR14" i="4"/>
  <c r="AZ14" i="4"/>
  <c r="BH14" i="4"/>
  <c r="BP14" i="4"/>
  <c r="BX14" i="4"/>
  <c r="CF14" i="4"/>
  <c r="CN14" i="4"/>
  <c r="CV14" i="4"/>
  <c r="U14" i="4"/>
  <c r="AC14" i="4"/>
  <c r="AK14" i="4"/>
  <c r="AS14" i="4"/>
  <c r="BA14" i="4"/>
  <c r="BI14" i="4"/>
  <c r="BQ14" i="4"/>
  <c r="BY14" i="4"/>
  <c r="CG14" i="4"/>
  <c r="CO14" i="4"/>
  <c r="CW14" i="4"/>
  <c r="R14" i="4"/>
  <c r="Z14" i="4"/>
  <c r="AH14" i="4"/>
  <c r="AP14" i="4"/>
  <c r="AX14" i="4"/>
  <c r="BF14" i="4"/>
  <c r="BN14" i="4"/>
  <c r="P14" i="4"/>
  <c r="AD14" i="4"/>
  <c r="AO14" i="4"/>
  <c r="BC14" i="4"/>
  <c r="BO14" i="4"/>
  <c r="CA14" i="4"/>
  <c r="CK14" i="4"/>
  <c r="CU14" i="4"/>
  <c r="S14" i="4"/>
  <c r="AF14" i="4"/>
  <c r="AT14" i="4"/>
  <c r="BE14" i="4"/>
  <c r="BS14" i="4"/>
  <c r="CC14" i="4"/>
  <c r="CM14" i="4"/>
  <c r="CY14" i="4"/>
  <c r="N14" i="4"/>
  <c r="Y14" i="4"/>
  <c r="AM14" i="4"/>
  <c r="AY14" i="4"/>
  <c r="BL14" i="4"/>
  <c r="BW14" i="4"/>
  <c r="CI14" i="4"/>
  <c r="CS14" i="4"/>
  <c r="AG14" i="4"/>
  <c r="BB14" i="4"/>
  <c r="BU14" i="4"/>
  <c r="O14" i="4"/>
  <c r="AI14" i="4"/>
  <c r="BD14" i="4"/>
  <c r="BV14" i="4"/>
  <c r="X14" i="4"/>
  <c r="AU14" i="4"/>
  <c r="BM14" i="4"/>
  <c r="CE14" i="4"/>
  <c r="CX14" i="4"/>
  <c r="V14" i="4"/>
  <c r="AW14" i="4"/>
  <c r="CD14" i="4"/>
  <c r="W14" i="4"/>
  <c r="BG14" i="4"/>
  <c r="CH14" i="4"/>
  <c r="Q14" i="4"/>
  <c r="AV14" i="4"/>
  <c r="CB14" i="4"/>
  <c r="DA14" i="4"/>
  <c r="BK14" i="4"/>
  <c r="CZ14" i="4"/>
  <c r="AN14" i="4"/>
  <c r="CQ14" i="4"/>
  <c r="AQ14" i="4"/>
  <c r="CR14" i="4"/>
  <c r="BJ14" i="4"/>
  <c r="CT14" i="4"/>
  <c r="BT14" i="4"/>
  <c r="BZ14" i="4"/>
  <c r="CJ14" i="4"/>
  <c r="AE14" i="4"/>
  <c r="AL14" i="4"/>
  <c r="BR14" i="4"/>
  <c r="AA14" i="4"/>
  <c r="U36" i="4"/>
  <c r="AC36" i="4"/>
  <c r="AK36" i="4"/>
  <c r="AS36" i="4"/>
  <c r="BA36" i="4"/>
  <c r="BI36" i="4"/>
  <c r="BQ36" i="4"/>
  <c r="BY36" i="4"/>
  <c r="CG36" i="4"/>
  <c r="CO36" i="4"/>
  <c r="CW36" i="4"/>
  <c r="R36" i="4"/>
  <c r="Z36" i="4"/>
  <c r="AH36" i="4"/>
  <c r="AP36" i="4"/>
  <c r="AX36" i="4"/>
  <c r="BF36" i="4"/>
  <c r="BN36" i="4"/>
  <c r="BV36" i="4"/>
  <c r="CD36" i="4"/>
  <c r="CT36" i="4"/>
  <c r="V36" i="4"/>
  <c r="AF36" i="4"/>
  <c r="AQ36" i="4"/>
  <c r="BB36" i="4"/>
  <c r="BL36" i="4"/>
  <c r="BW36" i="4"/>
  <c r="CH36" i="4"/>
  <c r="CR36" i="4"/>
  <c r="W36" i="4"/>
  <c r="AG36" i="4"/>
  <c r="AR36" i="4"/>
  <c r="BC36" i="4"/>
  <c r="S36" i="4"/>
  <c r="AD36" i="4"/>
  <c r="AN36" i="4"/>
  <c r="AY36" i="4"/>
  <c r="BJ36" i="4"/>
  <c r="BT36" i="4"/>
  <c r="CE36" i="4"/>
  <c r="CZ36" i="4"/>
  <c r="T36" i="4"/>
  <c r="AE36" i="4"/>
  <c r="AO36" i="4"/>
  <c r="AZ36" i="4"/>
  <c r="BK36" i="4"/>
  <c r="BU36" i="4"/>
  <c r="CF36" i="4"/>
  <c r="CQ36" i="4"/>
  <c r="DA36" i="4"/>
  <c r="P36" i="4"/>
  <c r="AL36" i="4"/>
  <c r="BG36" i="4"/>
  <c r="BZ36" i="4"/>
  <c r="CN36" i="4"/>
  <c r="Y36" i="4"/>
  <c r="AU36" i="4"/>
  <c r="BO36" i="4"/>
  <c r="CC36" i="4"/>
  <c r="CV36" i="4"/>
  <c r="AA36" i="4"/>
  <c r="AV36" i="4"/>
  <c r="BP36" i="4"/>
  <c r="CI36" i="4"/>
  <c r="CX36" i="4"/>
  <c r="AB36" i="4"/>
  <c r="BH36" i="4"/>
  <c r="CK36" i="4"/>
  <c r="AI36" i="4"/>
  <c r="BM36" i="4"/>
  <c r="CM36" i="4"/>
  <c r="AJ36" i="4"/>
  <c r="BR36" i="4"/>
  <c r="CS36" i="4"/>
  <c r="Q36" i="4"/>
  <c r="BD36" i="4"/>
  <c r="CB36" i="4"/>
  <c r="X36" i="4"/>
  <c r="CJ36" i="4"/>
  <c r="AM36" i="4"/>
  <c r="CU36" i="4"/>
  <c r="AT36" i="4"/>
  <c r="CY36" i="4"/>
  <c r="AW36" i="4"/>
  <c r="BS36" i="4"/>
  <c r="BX36" i="4"/>
  <c r="CA36" i="4"/>
  <c r="N36" i="4"/>
  <c r="O36" i="4"/>
  <c r="BE36" i="4"/>
  <c r="U42" i="4"/>
  <c r="AC42" i="4"/>
  <c r="AK42" i="4"/>
  <c r="AS42" i="4"/>
  <c r="R42" i="4"/>
  <c r="Z42" i="4"/>
  <c r="AH42" i="4"/>
  <c r="AP42" i="4"/>
  <c r="N42" i="4"/>
  <c r="X42" i="4"/>
  <c r="AI42" i="4"/>
  <c r="AT42" i="4"/>
  <c r="BB42" i="4"/>
  <c r="BJ42" i="4"/>
  <c r="BR42" i="4"/>
  <c r="BZ42" i="4"/>
  <c r="CH42" i="4"/>
  <c r="CX42" i="4"/>
  <c r="V42" i="4"/>
  <c r="AF42" i="4"/>
  <c r="AQ42" i="4"/>
  <c r="AZ42" i="4"/>
  <c r="BH42" i="4"/>
  <c r="BP42" i="4"/>
  <c r="BX42" i="4"/>
  <c r="CF42" i="4"/>
  <c r="CN42" i="4"/>
  <c r="CV42" i="4"/>
  <c r="W42" i="4"/>
  <c r="AG42" i="4"/>
  <c r="AR42" i="4"/>
  <c r="BA42" i="4"/>
  <c r="BI42" i="4"/>
  <c r="BQ42" i="4"/>
  <c r="BY42" i="4"/>
  <c r="CG42" i="4"/>
  <c r="CO42" i="4"/>
  <c r="CW42" i="4"/>
  <c r="S42" i="4"/>
  <c r="AL42" i="4"/>
  <c r="AY42" i="4"/>
  <c r="BM42" i="4"/>
  <c r="CA42" i="4"/>
  <c r="CZ42" i="4"/>
  <c r="AA42" i="4"/>
  <c r="AO42" i="4"/>
  <c r="BE42" i="4"/>
  <c r="BS42" i="4"/>
  <c r="CD42" i="4"/>
  <c r="CR42" i="4"/>
  <c r="AB42" i="4"/>
  <c r="AU42" i="4"/>
  <c r="BF42" i="4"/>
  <c r="BT42" i="4"/>
  <c r="CE42" i="4"/>
  <c r="CS42" i="4"/>
  <c r="AD42" i="4"/>
  <c r="BC42" i="4"/>
  <c r="BV42" i="4"/>
  <c r="CQ42" i="4"/>
  <c r="AE42" i="4"/>
  <c r="BD42" i="4"/>
  <c r="BW42" i="4"/>
  <c r="CT42" i="4"/>
  <c r="AJ42" i="4"/>
  <c r="BG42" i="4"/>
  <c r="CB42" i="4"/>
  <c r="CU42" i="4"/>
  <c r="T42" i="4"/>
  <c r="AW42" i="4"/>
  <c r="BO42" i="4"/>
  <c r="CK42" i="4"/>
  <c r="Y42" i="4"/>
  <c r="BU42" i="4"/>
  <c r="AM42" i="4"/>
  <c r="CC42" i="4"/>
  <c r="AN42" i="4"/>
  <c r="CI42" i="4"/>
  <c r="AV42" i="4"/>
  <c r="CJ42" i="4"/>
  <c r="BK42" i="4"/>
  <c r="BL42" i="4"/>
  <c r="BN42" i="4"/>
  <c r="CM42" i="4"/>
  <c r="O42" i="4"/>
  <c r="CY42" i="4"/>
  <c r="P42" i="4"/>
  <c r="DA42" i="4"/>
  <c r="Q42" i="4"/>
  <c r="AX42" i="4"/>
  <c r="R70" i="4"/>
  <c r="Z70" i="4"/>
  <c r="AH70" i="4"/>
  <c r="AP70" i="4"/>
  <c r="AX70" i="4"/>
  <c r="BF70" i="4"/>
  <c r="BN70" i="4"/>
  <c r="BV70" i="4"/>
  <c r="CD70" i="4"/>
  <c r="CT70" i="4"/>
  <c r="S70" i="4"/>
  <c r="AA70" i="4"/>
  <c r="AI70" i="4"/>
  <c r="AQ70" i="4"/>
  <c r="AY70" i="4"/>
  <c r="BG70" i="4"/>
  <c r="BO70" i="4"/>
  <c r="BW70" i="4"/>
  <c r="CE70" i="4"/>
  <c r="CM70" i="4"/>
  <c r="CU70" i="4"/>
  <c r="O70" i="4"/>
  <c r="W70" i="4"/>
  <c r="AE70" i="4"/>
  <c r="AM70" i="4"/>
  <c r="AU70" i="4"/>
  <c r="BC70" i="4"/>
  <c r="BK70" i="4"/>
  <c r="BS70" i="4"/>
  <c r="CA70" i="4"/>
  <c r="CI70" i="4"/>
  <c r="CQ70" i="4"/>
  <c r="CY70" i="4"/>
  <c r="P70" i="4"/>
  <c r="AC70" i="4"/>
  <c r="AO70" i="4"/>
  <c r="BB70" i="4"/>
  <c r="BP70" i="4"/>
  <c r="CB70" i="4"/>
  <c r="CO70" i="4"/>
  <c r="DA70" i="4"/>
  <c r="Q70" i="4"/>
  <c r="AD70" i="4"/>
  <c r="AR70" i="4"/>
  <c r="BD70" i="4"/>
  <c r="BQ70" i="4"/>
  <c r="CC70" i="4"/>
  <c r="X70" i="4"/>
  <c r="AK70" i="4"/>
  <c r="AW70" i="4"/>
  <c r="BJ70" i="4"/>
  <c r="BX70" i="4"/>
  <c r="CJ70" i="4"/>
  <c r="CW70" i="4"/>
  <c r="Y70" i="4"/>
  <c r="AL70" i="4"/>
  <c r="AZ70" i="4"/>
  <c r="BL70" i="4"/>
  <c r="BY70" i="4"/>
  <c r="CK70" i="4"/>
  <c r="CX70" i="4"/>
  <c r="U70" i="4"/>
  <c r="AT70" i="4"/>
  <c r="BT70" i="4"/>
  <c r="CS70" i="4"/>
  <c r="AB70" i="4"/>
  <c r="BA70" i="4"/>
  <c r="BZ70" i="4"/>
  <c r="CZ70" i="4"/>
  <c r="V70" i="4"/>
  <c r="AV70" i="4"/>
  <c r="BU70" i="4"/>
  <c r="CV70" i="4"/>
  <c r="AJ70" i="4"/>
  <c r="BI70" i="4"/>
  <c r="CH70" i="4"/>
  <c r="N70" i="4"/>
  <c r="AN70" i="4"/>
  <c r="BM70" i="4"/>
  <c r="CN70" i="4"/>
  <c r="AF70" i="4"/>
  <c r="CR70" i="4"/>
  <c r="AG70" i="4"/>
  <c r="AS70" i="4"/>
  <c r="BE70" i="4"/>
  <c r="CF70" i="4"/>
  <c r="T70" i="4"/>
  <c r="CG70" i="4"/>
  <c r="BH70" i="4"/>
  <c r="BR70" i="4"/>
  <c r="N62" i="4"/>
  <c r="V62" i="4"/>
  <c r="AD62" i="4"/>
  <c r="AL62" i="4"/>
  <c r="AT62" i="4"/>
  <c r="BB62" i="4"/>
  <c r="BJ62" i="4"/>
  <c r="BR62" i="4"/>
  <c r="BZ62" i="4"/>
  <c r="CH62" i="4"/>
  <c r="CX62" i="4"/>
  <c r="O62" i="4"/>
  <c r="W62" i="4"/>
  <c r="AE62" i="4"/>
  <c r="AM62" i="4"/>
  <c r="AU62" i="4"/>
  <c r="BC62" i="4"/>
  <c r="R62" i="4"/>
  <c r="AB62" i="4"/>
  <c r="AN62" i="4"/>
  <c r="AX62" i="4"/>
  <c r="BH62" i="4"/>
  <c r="BQ62" i="4"/>
  <c r="CA62" i="4"/>
  <c r="CJ62" i="4"/>
  <c r="CS62" i="4"/>
  <c r="S62" i="4"/>
  <c r="AC62" i="4"/>
  <c r="AO62" i="4"/>
  <c r="AY62" i="4"/>
  <c r="BI62" i="4"/>
  <c r="BS62" i="4"/>
  <c r="CB62" i="4"/>
  <c r="CK62" i="4"/>
  <c r="CT62" i="4"/>
  <c r="T62" i="4"/>
  <c r="AF62" i="4"/>
  <c r="AP62" i="4"/>
  <c r="AZ62" i="4"/>
  <c r="BK62" i="4"/>
  <c r="BT62" i="4"/>
  <c r="CC62" i="4"/>
  <c r="CU62" i="4"/>
  <c r="Y62" i="4"/>
  <c r="AI62" i="4"/>
  <c r="AS62" i="4"/>
  <c r="BE62" i="4"/>
  <c r="BN62" i="4"/>
  <c r="BW62" i="4"/>
  <c r="CF62" i="4"/>
  <c r="CO62" i="4"/>
  <c r="CY62" i="4"/>
  <c r="Z62" i="4"/>
  <c r="AV62" i="4"/>
  <c r="BO62" i="4"/>
  <c r="CG62" i="4"/>
  <c r="CZ62" i="4"/>
  <c r="AA62" i="4"/>
  <c r="AW62" i="4"/>
  <c r="BP62" i="4"/>
  <c r="CI62" i="4"/>
  <c r="DA62" i="4"/>
  <c r="Q62" i="4"/>
  <c r="AK62" i="4"/>
  <c r="BG62" i="4"/>
  <c r="BY62" i="4"/>
  <c r="CR62" i="4"/>
  <c r="U62" i="4"/>
  <c r="AQ62" i="4"/>
  <c r="BL62" i="4"/>
  <c r="CD62" i="4"/>
  <c r="CV62" i="4"/>
  <c r="AH62" i="4"/>
  <c r="BV62" i="4"/>
  <c r="CE62" i="4"/>
  <c r="AJ62" i="4"/>
  <c r="BX62" i="4"/>
  <c r="AR62" i="4"/>
  <c r="P62" i="4"/>
  <c r="BF62" i="4"/>
  <c r="CQ62" i="4"/>
  <c r="AG62" i="4"/>
  <c r="X62" i="4"/>
  <c r="BM62" i="4"/>
  <c r="CW62" i="4"/>
  <c r="BA62" i="4"/>
  <c r="BD62" i="4"/>
  <c r="CM62" i="4"/>
  <c r="CN62" i="4"/>
  <c r="BU62" i="4"/>
  <c r="T54" i="4"/>
  <c r="AB54" i="4"/>
  <c r="AJ54" i="4"/>
  <c r="AR54" i="4"/>
  <c r="AZ54" i="4"/>
  <c r="BH54" i="4"/>
  <c r="BP54" i="4"/>
  <c r="BX54" i="4"/>
  <c r="CF54" i="4"/>
  <c r="CN54" i="4"/>
  <c r="CV54" i="4"/>
  <c r="U54" i="4"/>
  <c r="AC54" i="4"/>
  <c r="AK54" i="4"/>
  <c r="AS54" i="4"/>
  <c r="BA54" i="4"/>
  <c r="BI54" i="4"/>
  <c r="BQ54" i="4"/>
  <c r="BY54" i="4"/>
  <c r="CG54" i="4"/>
  <c r="CO54" i="4"/>
  <c r="CW54" i="4"/>
  <c r="N54" i="4"/>
  <c r="X54" i="4"/>
  <c r="AH54" i="4"/>
  <c r="AT54" i="4"/>
  <c r="BD54" i="4"/>
  <c r="BN54" i="4"/>
  <c r="BZ54" i="4"/>
  <c r="CJ54" i="4"/>
  <c r="CT54" i="4"/>
  <c r="O54" i="4"/>
  <c r="Y54" i="4"/>
  <c r="AI54" i="4"/>
  <c r="AU54" i="4"/>
  <c r="BE54" i="4"/>
  <c r="BO54" i="4"/>
  <c r="CA54" i="4"/>
  <c r="CK54" i="4"/>
  <c r="CU54" i="4"/>
  <c r="Q54" i="4"/>
  <c r="AA54" i="4"/>
  <c r="AM54" i="4"/>
  <c r="AW54" i="4"/>
  <c r="BG54" i="4"/>
  <c r="BS54" i="4"/>
  <c r="CC54" i="4"/>
  <c r="CM54" i="4"/>
  <c r="CY54" i="4"/>
  <c r="S54" i="4"/>
  <c r="AL54" i="4"/>
  <c r="BB54" i="4"/>
  <c r="BT54" i="4"/>
  <c r="CI54" i="4"/>
  <c r="DA54" i="4"/>
  <c r="V54" i="4"/>
  <c r="AN54" i="4"/>
  <c r="BC54" i="4"/>
  <c r="BU54" i="4"/>
  <c r="W54" i="4"/>
  <c r="AO54" i="4"/>
  <c r="BF54" i="4"/>
  <c r="BV54" i="4"/>
  <c r="AE54" i="4"/>
  <c r="AV54" i="4"/>
  <c r="BL54" i="4"/>
  <c r="CD54" i="4"/>
  <c r="CS54" i="4"/>
  <c r="P54" i="4"/>
  <c r="AF54" i="4"/>
  <c r="AX54" i="4"/>
  <c r="BM54" i="4"/>
  <c r="CE54" i="4"/>
  <c r="CX54" i="4"/>
  <c r="AG54" i="4"/>
  <c r="CB54" i="4"/>
  <c r="AP54" i="4"/>
  <c r="CH54" i="4"/>
  <c r="AQ54" i="4"/>
  <c r="CQ54" i="4"/>
  <c r="AY54" i="4"/>
  <c r="CR54" i="4"/>
  <c r="BJ54" i="4"/>
  <c r="CZ54" i="4"/>
  <c r="R54" i="4"/>
  <c r="BK54" i="4"/>
  <c r="Z54" i="4"/>
  <c r="BR54" i="4"/>
  <c r="AD54" i="4"/>
  <c r="BW54" i="4"/>
  <c r="N46" i="4"/>
  <c r="V46" i="4"/>
  <c r="AD46" i="4"/>
  <c r="AL46" i="4"/>
  <c r="AT46" i="4"/>
  <c r="BB46" i="4"/>
  <c r="BJ46" i="4"/>
  <c r="BR46" i="4"/>
  <c r="BZ46" i="4"/>
  <c r="CH46" i="4"/>
  <c r="CX46" i="4"/>
  <c r="T46" i="4"/>
  <c r="AB46" i="4"/>
  <c r="AJ46" i="4"/>
  <c r="AR46" i="4"/>
  <c r="AZ46" i="4"/>
  <c r="BH46" i="4"/>
  <c r="BP46" i="4"/>
  <c r="BX46" i="4"/>
  <c r="CF46" i="4"/>
  <c r="U46" i="4"/>
  <c r="AC46" i="4"/>
  <c r="AK46" i="4"/>
  <c r="AS46" i="4"/>
  <c r="BA46" i="4"/>
  <c r="BI46" i="4"/>
  <c r="BQ46" i="4"/>
  <c r="BY46" i="4"/>
  <c r="CG46" i="4"/>
  <c r="CO46" i="4"/>
  <c r="CW46" i="4"/>
  <c r="Q46" i="4"/>
  <c r="AE46" i="4"/>
  <c r="AP46" i="4"/>
  <c r="BD46" i="4"/>
  <c r="BO46" i="4"/>
  <c r="CC46" i="4"/>
  <c r="CN46" i="4"/>
  <c r="CZ46" i="4"/>
  <c r="W46" i="4"/>
  <c r="AH46" i="4"/>
  <c r="AV46" i="4"/>
  <c r="BG46" i="4"/>
  <c r="BU46" i="4"/>
  <c r="CI46" i="4"/>
  <c r="X46" i="4"/>
  <c r="AI46" i="4"/>
  <c r="AW46" i="4"/>
  <c r="BK46" i="4"/>
  <c r="BV46" i="4"/>
  <c r="CJ46" i="4"/>
  <c r="CT46" i="4"/>
  <c r="O46" i="4"/>
  <c r="AG46" i="4"/>
  <c r="BC46" i="4"/>
  <c r="BW46" i="4"/>
  <c r="CQ46" i="4"/>
  <c r="P46" i="4"/>
  <c r="AM46" i="4"/>
  <c r="BE46" i="4"/>
  <c r="CA46" i="4"/>
  <c r="CR46" i="4"/>
  <c r="R46" i="4"/>
  <c r="AN46" i="4"/>
  <c r="BF46" i="4"/>
  <c r="CB46" i="4"/>
  <c r="CS46" i="4"/>
  <c r="AA46" i="4"/>
  <c r="AX46" i="4"/>
  <c r="BS46" i="4"/>
  <c r="DA46" i="4"/>
  <c r="AF46" i="4"/>
  <c r="BT46" i="4"/>
  <c r="AO46" i="4"/>
  <c r="CD46" i="4"/>
  <c r="AU46" i="4"/>
  <c r="CK46" i="4"/>
  <c r="BL46" i="4"/>
  <c r="BM46" i="4"/>
  <c r="BN46" i="4"/>
  <c r="S46" i="4"/>
  <c r="CE46" i="4"/>
  <c r="Y46" i="4"/>
  <c r="CM46" i="4"/>
  <c r="Z46" i="4"/>
  <c r="CU46" i="4"/>
  <c r="AQ46" i="4"/>
  <c r="CV46" i="4"/>
  <c r="AY46" i="4"/>
  <c r="CY46" i="4"/>
  <c r="EI79" i="4"/>
  <c r="DW79" i="4"/>
  <c r="EE79" i="4"/>
  <c r="DV79" i="4"/>
  <c r="EF79" i="4"/>
  <c r="DT79" i="4"/>
  <c r="EC79" i="4"/>
  <c r="DZ79" i="4"/>
  <c r="EA79" i="4"/>
  <c r="DX79" i="4"/>
  <c r="DY79" i="4"/>
  <c r="DS79" i="4"/>
  <c r="DU79" i="4"/>
  <c r="EB79" i="4"/>
  <c r="DQ79" i="4"/>
  <c r="DC79" i="4"/>
  <c r="DK79" i="4"/>
  <c r="I79" i="4"/>
  <c r="DR79" i="4"/>
  <c r="ED79" i="4"/>
  <c r="EG79" i="4"/>
  <c r="EH79" i="4"/>
  <c r="DB79" i="4"/>
  <c r="DJ79" i="4"/>
  <c r="DE79" i="4"/>
  <c r="DP79" i="4"/>
  <c r="K79" i="4"/>
  <c r="DF79" i="4"/>
  <c r="DM79" i="4"/>
  <c r="DN79" i="4"/>
  <c r="DO79" i="4"/>
  <c r="J79" i="4"/>
  <c r="DD79" i="4"/>
  <c r="DH79" i="4"/>
  <c r="DG79" i="4"/>
  <c r="DT14" i="4"/>
  <c r="EB14" i="4"/>
  <c r="DW14" i="4"/>
  <c r="EE14" i="4"/>
  <c r="EI14" i="4"/>
  <c r="DS14" i="4"/>
  <c r="ED14" i="4"/>
  <c r="DX14" i="4"/>
  <c r="EH14" i="4"/>
  <c r="DQ14" i="4"/>
  <c r="EA14" i="4"/>
  <c r="EG14" i="4"/>
  <c r="DR14" i="4"/>
  <c r="EC14" i="4"/>
  <c r="EF14" i="4"/>
  <c r="DV14" i="4"/>
  <c r="DY14" i="4"/>
  <c r="DE14" i="4"/>
  <c r="DN14" i="4"/>
  <c r="DZ14" i="4"/>
  <c r="DC14" i="4"/>
  <c r="DM14" i="4"/>
  <c r="DB14" i="4"/>
  <c r="DO14" i="4"/>
  <c r="DJ14" i="4"/>
  <c r="DK14" i="4"/>
  <c r="DU14" i="4"/>
  <c r="DH14" i="4"/>
  <c r="DF14" i="4"/>
  <c r="DG14" i="4"/>
  <c r="DP14" i="4"/>
  <c r="DD14" i="4"/>
  <c r="I14" i="4"/>
  <c r="J14" i="4"/>
  <c r="K14" i="4"/>
  <c r="EI42" i="4"/>
  <c r="DW42" i="4"/>
  <c r="EE42" i="4"/>
  <c r="DU42" i="4"/>
  <c r="EC42" i="4"/>
  <c r="DS42" i="4"/>
  <c r="ED42" i="4"/>
  <c r="DT42" i="4"/>
  <c r="EF42" i="4"/>
  <c r="DZ42" i="4"/>
  <c r="DR42" i="4"/>
  <c r="EH42" i="4"/>
  <c r="DY42" i="4"/>
  <c r="DG42" i="4"/>
  <c r="DO42" i="4"/>
  <c r="EA42" i="4"/>
  <c r="EB42" i="4"/>
  <c r="DV42" i="4"/>
  <c r="DX42" i="4"/>
  <c r="EG42" i="4"/>
  <c r="DJ42" i="4"/>
  <c r="DF42" i="4"/>
  <c r="DP42" i="4"/>
  <c r="DQ42" i="4"/>
  <c r="DD42" i="4"/>
  <c r="DH42" i="4"/>
  <c r="DM42" i="4"/>
  <c r="DN42" i="4"/>
  <c r="DB42" i="4"/>
  <c r="DC42" i="4"/>
  <c r="DE42" i="4"/>
  <c r="DK42" i="4"/>
  <c r="K42" i="4"/>
  <c r="I42" i="4"/>
  <c r="J42" i="4"/>
  <c r="EI71" i="4"/>
  <c r="DW71" i="4"/>
  <c r="EE71" i="4"/>
  <c r="DT71" i="4"/>
  <c r="EC71" i="4"/>
  <c r="DR71" i="4"/>
  <c r="EA71" i="4"/>
  <c r="DX71" i="4"/>
  <c r="DY71" i="4"/>
  <c r="DZ71" i="4"/>
  <c r="DU71" i="4"/>
  <c r="EG71" i="4"/>
  <c r="DV71" i="4"/>
  <c r="EH71" i="4"/>
  <c r="DQ71" i="4"/>
  <c r="DS71" i="4"/>
  <c r="EB71" i="4"/>
  <c r="EF71" i="4"/>
  <c r="DC71" i="4"/>
  <c r="DK71" i="4"/>
  <c r="I71" i="4"/>
  <c r="ED71" i="4"/>
  <c r="DB71" i="4"/>
  <c r="DJ71" i="4"/>
  <c r="DM71" i="4"/>
  <c r="DN71" i="4"/>
  <c r="DD71" i="4"/>
  <c r="DO71" i="4"/>
  <c r="DG71" i="4"/>
  <c r="DH71" i="4"/>
  <c r="J71" i="4"/>
  <c r="DE71" i="4"/>
  <c r="K71" i="4"/>
  <c r="DP71" i="4"/>
  <c r="DF71" i="4"/>
  <c r="DT22" i="4"/>
  <c r="EB22" i="4"/>
  <c r="DW22" i="4"/>
  <c r="EE22" i="4"/>
  <c r="EI22" i="4"/>
  <c r="DY22" i="4"/>
  <c r="DV22" i="4"/>
  <c r="EG22" i="4"/>
  <c r="DQ22" i="4"/>
  <c r="ED22" i="4"/>
  <c r="DR22" i="4"/>
  <c r="EF22" i="4"/>
  <c r="EA22" i="4"/>
  <c r="EC22" i="4"/>
  <c r="DU22" i="4"/>
  <c r="DF22" i="4"/>
  <c r="DO22" i="4"/>
  <c r="EH22" i="4"/>
  <c r="DD22" i="4"/>
  <c r="DM22" i="4"/>
  <c r="DK22" i="4"/>
  <c r="DZ22" i="4"/>
  <c r="DH22" i="4"/>
  <c r="DB22" i="4"/>
  <c r="DS22" i="4"/>
  <c r="DE22" i="4"/>
  <c r="DP22" i="4"/>
  <c r="DC22" i="4"/>
  <c r="DG22" i="4"/>
  <c r="DJ22" i="4"/>
  <c r="DX22" i="4"/>
  <c r="DN22" i="4"/>
  <c r="I22" i="4"/>
  <c r="J22" i="4"/>
  <c r="K22" i="4"/>
  <c r="EI8" i="4"/>
  <c r="DX8" i="4"/>
  <c r="EF8" i="4"/>
  <c r="DS8" i="4"/>
  <c r="EA8" i="4"/>
  <c r="DU8" i="4"/>
  <c r="EE8" i="4"/>
  <c r="DY8" i="4"/>
  <c r="DR8" i="4"/>
  <c r="EC8" i="4"/>
  <c r="DV8" i="4"/>
  <c r="DW8" i="4"/>
  <c r="DQ8" i="4"/>
  <c r="EH8" i="4"/>
  <c r="DT8" i="4"/>
  <c r="EB8" i="4"/>
  <c r="DG8" i="4"/>
  <c r="DO8" i="4"/>
  <c r="ED8" i="4"/>
  <c r="EG8" i="4"/>
  <c r="DF8" i="4"/>
  <c r="DP8" i="4"/>
  <c r="DD8" i="4"/>
  <c r="DM8" i="4"/>
  <c r="DZ8" i="4"/>
  <c r="DE8" i="4"/>
  <c r="DH8" i="4"/>
  <c r="DB8" i="4"/>
  <c r="DN8" i="4"/>
  <c r="DC8" i="4"/>
  <c r="I8" i="4"/>
  <c r="DJ8" i="4"/>
  <c r="DK8" i="4"/>
  <c r="J8" i="4"/>
  <c r="K8" i="4"/>
  <c r="EI34" i="4"/>
  <c r="DW34" i="4"/>
  <c r="EE34" i="4"/>
  <c r="DU34" i="4"/>
  <c r="EC34" i="4"/>
  <c r="DY34" i="4"/>
  <c r="DZ34" i="4"/>
  <c r="DV34" i="4"/>
  <c r="EG34" i="4"/>
  <c r="DT34" i="4"/>
  <c r="DX34" i="4"/>
  <c r="ED34" i="4"/>
  <c r="DG34" i="4"/>
  <c r="DO34" i="4"/>
  <c r="DQ34" i="4"/>
  <c r="DR34" i="4"/>
  <c r="EF34" i="4"/>
  <c r="DE34" i="4"/>
  <c r="DM34" i="4"/>
  <c r="EH34" i="4"/>
  <c r="EB34" i="4"/>
  <c r="DC34" i="4"/>
  <c r="DN34" i="4"/>
  <c r="DD34" i="4"/>
  <c r="DP34" i="4"/>
  <c r="DS34" i="4"/>
  <c r="DK34" i="4"/>
  <c r="EA34" i="4"/>
  <c r="DH34" i="4"/>
  <c r="DJ34" i="4"/>
  <c r="DB34" i="4"/>
  <c r="DF34" i="4"/>
  <c r="I34" i="4"/>
  <c r="J34" i="4"/>
  <c r="K34" i="4"/>
  <c r="EI40" i="4"/>
  <c r="DS40" i="4"/>
  <c r="EA40" i="4"/>
  <c r="DQ40" i="4"/>
  <c r="DY40" i="4"/>
  <c r="EG40" i="4"/>
  <c r="DW40" i="4"/>
  <c r="EH40" i="4"/>
  <c r="DX40" i="4"/>
  <c r="DU40" i="4"/>
  <c r="EE40" i="4"/>
  <c r="EF40" i="4"/>
  <c r="DR40" i="4"/>
  <c r="DZ40" i="4"/>
  <c r="DT40" i="4"/>
  <c r="ED40" i="4"/>
  <c r="DG40" i="4"/>
  <c r="DP40" i="4"/>
  <c r="DV40" i="4"/>
  <c r="DD40" i="4"/>
  <c r="DM40" i="4"/>
  <c r="DB40" i="4"/>
  <c r="DN40" i="4"/>
  <c r="DE40" i="4"/>
  <c r="EC40" i="4"/>
  <c r="I40" i="4"/>
  <c r="DO40" i="4"/>
  <c r="DC40" i="4"/>
  <c r="DF40" i="4"/>
  <c r="EB40" i="4"/>
  <c r="DH40" i="4"/>
  <c r="DJ40" i="4"/>
  <c r="DK40" i="4"/>
  <c r="J40" i="4"/>
  <c r="K40" i="4"/>
  <c r="EI69" i="4"/>
  <c r="DQ69" i="4"/>
  <c r="DS69" i="4"/>
  <c r="EA69" i="4"/>
  <c r="DT69" i="4"/>
  <c r="EC69" i="4"/>
  <c r="DZ69" i="4"/>
  <c r="DR69" i="4"/>
  <c r="EB69" i="4"/>
  <c r="DU69" i="4"/>
  <c r="EG69" i="4"/>
  <c r="DV69" i="4"/>
  <c r="EH69" i="4"/>
  <c r="DW69" i="4"/>
  <c r="EE69" i="4"/>
  <c r="EF69" i="4"/>
  <c r="DG69" i="4"/>
  <c r="DO69" i="4"/>
  <c r="DX69" i="4"/>
  <c r="DY69" i="4"/>
  <c r="DC69" i="4"/>
  <c r="K69" i="4"/>
  <c r="DD69" i="4"/>
  <c r="DM69" i="4"/>
  <c r="ED69" i="4"/>
  <c r="DJ69" i="4"/>
  <c r="DB69" i="4"/>
  <c r="DK69" i="4"/>
  <c r="J69" i="4"/>
  <c r="DE69" i="4"/>
  <c r="I69" i="4"/>
  <c r="DF69" i="4"/>
  <c r="DH69" i="4"/>
  <c r="DP69" i="4"/>
  <c r="DN69" i="4"/>
  <c r="EI61" i="4"/>
  <c r="DQ61" i="4"/>
  <c r="DY61" i="4"/>
  <c r="EG61" i="4"/>
  <c r="DZ61" i="4"/>
  <c r="DR61" i="4"/>
  <c r="EB61" i="4"/>
  <c r="DD61" i="4"/>
  <c r="DX61" i="4"/>
  <c r="EA61" i="4"/>
  <c r="ED61" i="4"/>
  <c r="EE61" i="4"/>
  <c r="DS61" i="4"/>
  <c r="EF61" i="4"/>
  <c r="DW61" i="4"/>
  <c r="DC61" i="4"/>
  <c r="DM61" i="4"/>
  <c r="EC61" i="4"/>
  <c r="DV61" i="4"/>
  <c r="DG61" i="4"/>
  <c r="EH61" i="4"/>
  <c r="DT61" i="4"/>
  <c r="DN61" i="4"/>
  <c r="K61" i="4"/>
  <c r="DB61" i="4"/>
  <c r="DO61" i="4"/>
  <c r="DU61" i="4"/>
  <c r="DJ61" i="4"/>
  <c r="DK61" i="4"/>
  <c r="J61" i="4"/>
  <c r="DE61" i="4"/>
  <c r="DF61" i="4"/>
  <c r="DH61" i="4"/>
  <c r="DP61" i="4"/>
  <c r="I61" i="4"/>
  <c r="EI53" i="4"/>
  <c r="DQ53" i="4"/>
  <c r="DY53" i="4"/>
  <c r="EG53" i="4"/>
  <c r="DX53" i="4"/>
  <c r="EH53" i="4"/>
  <c r="DZ53" i="4"/>
  <c r="DU53" i="4"/>
  <c r="EF53" i="4"/>
  <c r="EB53" i="4"/>
  <c r="DR53" i="4"/>
  <c r="EE53" i="4"/>
  <c r="DD53" i="4"/>
  <c r="DT53" i="4"/>
  <c r="EC53" i="4"/>
  <c r="ED53" i="4"/>
  <c r="DW53" i="4"/>
  <c r="DB53" i="4"/>
  <c r="DK53" i="4"/>
  <c r="EA53" i="4"/>
  <c r="DG53" i="4"/>
  <c r="DV53" i="4"/>
  <c r="DF53" i="4"/>
  <c r="K53" i="4"/>
  <c r="DH53" i="4"/>
  <c r="DS53" i="4"/>
  <c r="DC53" i="4"/>
  <c r="DP53" i="4"/>
  <c r="DE53" i="4"/>
  <c r="J53" i="4"/>
  <c r="DJ53" i="4"/>
  <c r="DM53" i="4"/>
  <c r="DN53" i="4"/>
  <c r="I53" i="4"/>
  <c r="DO53" i="4"/>
  <c r="EI73" i="4"/>
  <c r="DS73" i="4"/>
  <c r="EA73" i="4"/>
  <c r="DU73" i="4"/>
  <c r="ED73" i="4"/>
  <c r="DR73" i="4"/>
  <c r="EB73" i="4"/>
  <c r="DX73" i="4"/>
  <c r="DY73" i="4"/>
  <c r="DZ73" i="4"/>
  <c r="DV73" i="4"/>
  <c r="EG73" i="4"/>
  <c r="DW73" i="4"/>
  <c r="EH73" i="4"/>
  <c r="DQ73" i="4"/>
  <c r="DT73" i="4"/>
  <c r="K73" i="4"/>
  <c r="EC73" i="4"/>
  <c r="EE73" i="4"/>
  <c r="EF73" i="4"/>
  <c r="DG73" i="4"/>
  <c r="DO73" i="4"/>
  <c r="DH73" i="4"/>
  <c r="DP73" i="4"/>
  <c r="J73" i="4"/>
  <c r="DD73" i="4"/>
  <c r="DE73" i="4"/>
  <c r="DF73" i="4"/>
  <c r="DB73" i="4"/>
  <c r="DM73" i="4"/>
  <c r="I73" i="4"/>
  <c r="DC73" i="4"/>
  <c r="DK73" i="4"/>
  <c r="DN73" i="4"/>
  <c r="DJ73" i="4"/>
  <c r="EI16" i="4"/>
  <c r="DX16" i="4"/>
  <c r="EF16" i="4"/>
  <c r="DS16" i="4"/>
  <c r="EA16" i="4"/>
  <c r="DZ16" i="4"/>
  <c r="DT16" i="4"/>
  <c r="ED16" i="4"/>
  <c r="DW16" i="4"/>
  <c r="EH16" i="4"/>
  <c r="EE16" i="4"/>
  <c r="DQ16" i="4"/>
  <c r="EG16" i="4"/>
  <c r="EB16" i="4"/>
  <c r="EC16" i="4"/>
  <c r="DU16" i="4"/>
  <c r="DG16" i="4"/>
  <c r="DO16" i="4"/>
  <c r="DV16" i="4"/>
  <c r="DH16" i="4"/>
  <c r="DR16" i="4"/>
  <c r="DE16" i="4"/>
  <c r="DN16" i="4"/>
  <c r="DC16" i="4"/>
  <c r="DP16" i="4"/>
  <c r="DD16" i="4"/>
  <c r="DY16" i="4"/>
  <c r="DB16" i="4"/>
  <c r="DM16" i="4"/>
  <c r="DK16" i="4"/>
  <c r="DJ16" i="4"/>
  <c r="I16" i="4"/>
  <c r="DF16" i="4"/>
  <c r="K16" i="4"/>
  <c r="J16" i="4"/>
  <c r="DT2" i="4"/>
  <c r="EB2" i="4"/>
  <c r="EI2" i="4"/>
  <c r="DW2" i="4"/>
  <c r="EE2" i="4"/>
  <c r="DR2" i="4"/>
  <c r="DZ2" i="4"/>
  <c r="EH2" i="4"/>
  <c r="DU2" i="4"/>
  <c r="EG2" i="4"/>
  <c r="DY2" i="4"/>
  <c r="DQ2" i="4"/>
  <c r="ED2" i="4"/>
  <c r="EC2" i="4"/>
  <c r="EF2" i="4"/>
  <c r="DV2" i="4"/>
  <c r="DE2" i="4"/>
  <c r="DM2" i="4"/>
  <c r="DX2" i="4"/>
  <c r="DS2" i="4"/>
  <c r="DH2" i="4"/>
  <c r="DF2" i="4"/>
  <c r="DO2" i="4"/>
  <c r="DG2" i="4"/>
  <c r="DB2" i="4"/>
  <c r="DD2" i="4"/>
  <c r="DN2" i="4"/>
  <c r="DP2" i="4"/>
  <c r="EA2" i="4"/>
  <c r="DC2" i="4"/>
  <c r="J2" i="4"/>
  <c r="K2" i="4"/>
  <c r="I2" i="4"/>
  <c r="EI44" i="4"/>
  <c r="DS44" i="4"/>
  <c r="EA44" i="4"/>
  <c r="DQ44" i="4"/>
  <c r="DY44" i="4"/>
  <c r="EG44" i="4"/>
  <c r="DZ44" i="4"/>
  <c r="EB44" i="4"/>
  <c r="DT44" i="4"/>
  <c r="EF44" i="4"/>
  <c r="DX44" i="4"/>
  <c r="EC44" i="4"/>
  <c r="DE44" i="4"/>
  <c r="DM44" i="4"/>
  <c r="ED44" i="4"/>
  <c r="EE44" i="4"/>
  <c r="DV44" i="4"/>
  <c r="DW44" i="4"/>
  <c r="EH44" i="4"/>
  <c r="DC44" i="4"/>
  <c r="DN44" i="4"/>
  <c r="DR44" i="4"/>
  <c r="DU44" i="4"/>
  <c r="DF44" i="4"/>
  <c r="DP44" i="4"/>
  <c r="DG44" i="4"/>
  <c r="DH44" i="4"/>
  <c r="DJ44" i="4"/>
  <c r="DK44" i="4"/>
  <c r="DO44" i="4"/>
  <c r="DB44" i="4"/>
  <c r="DD44" i="4"/>
  <c r="I44" i="4"/>
  <c r="J44" i="4"/>
  <c r="K44" i="4"/>
  <c r="EI37" i="4"/>
  <c r="DQ37" i="4"/>
  <c r="DY37" i="4"/>
  <c r="EG37" i="4"/>
  <c r="DW37" i="4"/>
  <c r="EE37" i="4"/>
  <c r="DX37" i="4"/>
  <c r="DZ37" i="4"/>
  <c r="DU37" i="4"/>
  <c r="EF37" i="4"/>
  <c r="DS37" i="4"/>
  <c r="DT37" i="4"/>
  <c r="EB37" i="4"/>
  <c r="DD37" i="4"/>
  <c r="DR37" i="4"/>
  <c r="ED37" i="4"/>
  <c r="DB37" i="4"/>
  <c r="DJ37" i="4"/>
  <c r="EH37" i="4"/>
  <c r="DF37" i="4"/>
  <c r="DP37" i="4"/>
  <c r="DG37" i="4"/>
  <c r="EC37" i="4"/>
  <c r="DC37" i="4"/>
  <c r="DN37" i="4"/>
  <c r="DH37" i="4"/>
  <c r="DK37" i="4"/>
  <c r="DE37" i="4"/>
  <c r="K37" i="4"/>
  <c r="DM37" i="4"/>
  <c r="DV37" i="4"/>
  <c r="DO37" i="4"/>
  <c r="EA37" i="4"/>
  <c r="J37" i="4"/>
  <c r="I37" i="4"/>
  <c r="DV29" i="4"/>
  <c r="EI29" i="4"/>
  <c r="DY29" i="4"/>
  <c r="EG29" i="4"/>
  <c r="DW29" i="4"/>
  <c r="EE29" i="4"/>
  <c r="DR29" i="4"/>
  <c r="EC29" i="4"/>
  <c r="DS29" i="4"/>
  <c r="ED29" i="4"/>
  <c r="EA29" i="4"/>
  <c r="DQ29" i="4"/>
  <c r="EB29" i="4"/>
  <c r="DU29" i="4"/>
  <c r="DX29" i="4"/>
  <c r="EH29" i="4"/>
  <c r="DD29" i="4"/>
  <c r="DT29" i="4"/>
  <c r="DB29" i="4"/>
  <c r="DJ29" i="4"/>
  <c r="DC29" i="4"/>
  <c r="DN29" i="4"/>
  <c r="DE29" i="4"/>
  <c r="DO29" i="4"/>
  <c r="EF29" i="4"/>
  <c r="DK29" i="4"/>
  <c r="DG29" i="4"/>
  <c r="DZ29" i="4"/>
  <c r="DF29" i="4"/>
  <c r="K29" i="4"/>
  <c r="DH29" i="4"/>
  <c r="DM29" i="4"/>
  <c r="DP29" i="4"/>
  <c r="J29" i="4"/>
  <c r="I29" i="4"/>
  <c r="EI43" i="4"/>
  <c r="DU43" i="4"/>
  <c r="EC43" i="4"/>
  <c r="DS43" i="4"/>
  <c r="EA43" i="4"/>
  <c r="DW43" i="4"/>
  <c r="EG43" i="4"/>
  <c r="DX43" i="4"/>
  <c r="EH43" i="4"/>
  <c r="DV43" i="4"/>
  <c r="ED43" i="4"/>
  <c r="DZ43" i="4"/>
  <c r="DF43" i="4"/>
  <c r="DN43" i="4"/>
  <c r="EB43" i="4"/>
  <c r="EE43" i="4"/>
  <c r="DT43" i="4"/>
  <c r="DY43" i="4"/>
  <c r="DQ43" i="4"/>
  <c r="DR43" i="4"/>
  <c r="DH43" i="4"/>
  <c r="EF43" i="4"/>
  <c r="DJ43" i="4"/>
  <c r="DB43" i="4"/>
  <c r="DK43" i="4"/>
  <c r="DM43" i="4"/>
  <c r="DO43" i="4"/>
  <c r="DC43" i="4"/>
  <c r="DP43" i="4"/>
  <c r="DD43" i="4"/>
  <c r="DE43" i="4"/>
  <c r="DG43" i="4"/>
  <c r="I43" i="4"/>
  <c r="J43" i="4"/>
  <c r="K43" i="4"/>
  <c r="DV21" i="4"/>
  <c r="ED21" i="4"/>
  <c r="DQ21" i="4"/>
  <c r="DY21" i="4"/>
  <c r="EG21" i="4"/>
  <c r="EI21" i="4"/>
  <c r="DU21" i="4"/>
  <c r="EF21" i="4"/>
  <c r="DS21" i="4"/>
  <c r="EC21" i="4"/>
  <c r="DT21" i="4"/>
  <c r="DW21" i="4"/>
  <c r="EE21" i="4"/>
  <c r="DR21" i="4"/>
  <c r="EH21" i="4"/>
  <c r="DZ21" i="4"/>
  <c r="DB21" i="4"/>
  <c r="DJ21" i="4"/>
  <c r="EA21" i="4"/>
  <c r="DE21" i="4"/>
  <c r="DN21" i="4"/>
  <c r="DX21" i="4"/>
  <c r="EB21" i="4"/>
  <c r="DC21" i="4"/>
  <c r="DD21" i="4"/>
  <c r="DP21" i="4"/>
  <c r="DF21" i="4"/>
  <c r="DM21" i="4"/>
  <c r="DK21" i="4"/>
  <c r="DG21" i="4"/>
  <c r="K21" i="4"/>
  <c r="DH21" i="4"/>
  <c r="DO21" i="4"/>
  <c r="J21" i="4"/>
  <c r="I21" i="4"/>
  <c r="DR7" i="4"/>
  <c r="DZ7" i="4"/>
  <c r="EH7" i="4"/>
  <c r="DU7" i="4"/>
  <c r="EC7" i="4"/>
  <c r="EI7" i="4"/>
  <c r="DQ7" i="4"/>
  <c r="EB7" i="4"/>
  <c r="DV7" i="4"/>
  <c r="EF7" i="4"/>
  <c r="DY7" i="4"/>
  <c r="DW7" i="4"/>
  <c r="DX7" i="4"/>
  <c r="DS7" i="4"/>
  <c r="DT7" i="4"/>
  <c r="DH7" i="4"/>
  <c r="DP7" i="4"/>
  <c r="ED7" i="4"/>
  <c r="EG7" i="4"/>
  <c r="DE7" i="4"/>
  <c r="DN7" i="4"/>
  <c r="EE7" i="4"/>
  <c r="DC7" i="4"/>
  <c r="DJ7" i="4"/>
  <c r="DK7" i="4"/>
  <c r="DG7" i="4"/>
  <c r="EA7" i="4"/>
  <c r="DO7" i="4"/>
  <c r="DF7" i="4"/>
  <c r="DD7" i="4"/>
  <c r="DM7" i="4"/>
  <c r="DB7" i="4"/>
  <c r="I7" i="4"/>
  <c r="K7" i="4"/>
  <c r="J7" i="4"/>
  <c r="DQ33" i="4"/>
  <c r="DY33" i="4"/>
  <c r="EG33" i="4"/>
  <c r="DW33" i="4"/>
  <c r="EE33" i="4"/>
  <c r="DU33" i="4"/>
  <c r="EF33" i="4"/>
  <c r="DV33" i="4"/>
  <c r="EH33" i="4"/>
  <c r="DS33" i="4"/>
  <c r="EC33" i="4"/>
  <c r="DX33" i="4"/>
  <c r="DZ33" i="4"/>
  <c r="EI33" i="4"/>
  <c r="ED33" i="4"/>
  <c r="EB33" i="4"/>
  <c r="DH33" i="4"/>
  <c r="DP33" i="4"/>
  <c r="DT33" i="4"/>
  <c r="DF33" i="4"/>
  <c r="DN33" i="4"/>
  <c r="EA33" i="4"/>
  <c r="DJ33" i="4"/>
  <c r="DK33" i="4"/>
  <c r="DG33" i="4"/>
  <c r="DE33" i="4"/>
  <c r="DR33" i="4"/>
  <c r="DD33" i="4"/>
  <c r="K33" i="4"/>
  <c r="DM33" i="4"/>
  <c r="DO33" i="4"/>
  <c r="DB33" i="4"/>
  <c r="DC33" i="4"/>
  <c r="J33" i="4"/>
  <c r="I33" i="4"/>
  <c r="EI39" i="4"/>
  <c r="DU39" i="4"/>
  <c r="EC39" i="4"/>
  <c r="DS39" i="4"/>
  <c r="EA39" i="4"/>
  <c r="DT39" i="4"/>
  <c r="EE39" i="4"/>
  <c r="DV39" i="4"/>
  <c r="EF39" i="4"/>
  <c r="DQ39" i="4"/>
  <c r="EB39" i="4"/>
  <c r="EH39" i="4"/>
  <c r="DR39" i="4"/>
  <c r="DY39" i="4"/>
  <c r="ED39" i="4"/>
  <c r="DB39" i="4"/>
  <c r="DJ39" i="4"/>
  <c r="EG39" i="4"/>
  <c r="DX39" i="4"/>
  <c r="DH39" i="4"/>
  <c r="DZ39" i="4"/>
  <c r="DW39" i="4"/>
  <c r="DE39" i="4"/>
  <c r="DO39" i="4"/>
  <c r="DF39" i="4"/>
  <c r="DN39" i="4"/>
  <c r="DP39" i="4"/>
  <c r="DC39" i="4"/>
  <c r="DD39" i="4"/>
  <c r="DG39" i="4"/>
  <c r="DK39" i="4"/>
  <c r="DM39" i="4"/>
  <c r="I39" i="4"/>
  <c r="K39" i="4"/>
  <c r="J39" i="4"/>
  <c r="EI68" i="4"/>
  <c r="DS68" i="4"/>
  <c r="EA68" i="4"/>
  <c r="DR68" i="4"/>
  <c r="EB68" i="4"/>
  <c r="DZ68" i="4"/>
  <c r="DX68" i="4"/>
  <c r="EH68" i="4"/>
  <c r="DY68" i="4"/>
  <c r="DU68" i="4"/>
  <c r="DV68" i="4"/>
  <c r="DW68" i="4"/>
  <c r="DQ68" i="4"/>
  <c r="EF68" i="4"/>
  <c r="DT68" i="4"/>
  <c r="EG68" i="4"/>
  <c r="EE68" i="4"/>
  <c r="DH68" i="4"/>
  <c r="DP68" i="4"/>
  <c r="EC68" i="4"/>
  <c r="DB68" i="4"/>
  <c r="DK68" i="4"/>
  <c r="DC68" i="4"/>
  <c r="ED68" i="4"/>
  <c r="DJ68" i="4"/>
  <c r="DD68" i="4"/>
  <c r="K68" i="4"/>
  <c r="DE68" i="4"/>
  <c r="DF68" i="4"/>
  <c r="DN68" i="4"/>
  <c r="DO68" i="4"/>
  <c r="J68" i="4"/>
  <c r="DG68" i="4"/>
  <c r="DM68" i="4"/>
  <c r="I68" i="4"/>
  <c r="EI60" i="4"/>
  <c r="DS60" i="4"/>
  <c r="EA60" i="4"/>
  <c r="DQ60" i="4"/>
  <c r="DY60" i="4"/>
  <c r="EH60" i="4"/>
  <c r="DX60" i="4"/>
  <c r="DE60" i="4"/>
  <c r="DM60" i="4"/>
  <c r="DV60" i="4"/>
  <c r="EF60" i="4"/>
  <c r="DW60" i="4"/>
  <c r="EG60" i="4"/>
  <c r="ED60" i="4"/>
  <c r="EE60" i="4"/>
  <c r="DR60" i="4"/>
  <c r="EB60" i="4"/>
  <c r="DB60" i="4"/>
  <c r="DK60" i="4"/>
  <c r="EC60" i="4"/>
  <c r="DC60" i="4"/>
  <c r="DN60" i="4"/>
  <c r="DG60" i="4"/>
  <c r="DH60" i="4"/>
  <c r="DT60" i="4"/>
  <c r="DU60" i="4"/>
  <c r="DZ60" i="4"/>
  <c r="DD60" i="4"/>
  <c r="DP60" i="4"/>
  <c r="DF60" i="4"/>
  <c r="DJ60" i="4"/>
  <c r="DO60" i="4"/>
  <c r="J60" i="4"/>
  <c r="K60" i="4"/>
  <c r="I60" i="4"/>
  <c r="EI52" i="4"/>
  <c r="DS52" i="4"/>
  <c r="EA52" i="4"/>
  <c r="DX52" i="4"/>
  <c r="EG52" i="4"/>
  <c r="DY52" i="4"/>
  <c r="EH52" i="4"/>
  <c r="EB52" i="4"/>
  <c r="DU52" i="4"/>
  <c r="EF52" i="4"/>
  <c r="DR52" i="4"/>
  <c r="DE52" i="4"/>
  <c r="DM52" i="4"/>
  <c r="DV52" i="4"/>
  <c r="ED52" i="4"/>
  <c r="DQ52" i="4"/>
  <c r="EE52" i="4"/>
  <c r="DT52" i="4"/>
  <c r="DW52" i="4"/>
  <c r="DZ52" i="4"/>
  <c r="DJ52" i="4"/>
  <c r="DC52" i="4"/>
  <c r="DN52" i="4"/>
  <c r="DF52" i="4"/>
  <c r="DP52" i="4"/>
  <c r="DK52" i="4"/>
  <c r="EC52" i="4"/>
  <c r="DG52" i="4"/>
  <c r="DH52" i="4"/>
  <c r="K52" i="4"/>
  <c r="DB52" i="4"/>
  <c r="DO52" i="4"/>
  <c r="J52" i="4"/>
  <c r="DD52" i="4"/>
  <c r="I52" i="4"/>
  <c r="EI32" i="4"/>
  <c r="DS32" i="4"/>
  <c r="EA32" i="4"/>
  <c r="DQ32" i="4"/>
  <c r="DY32" i="4"/>
  <c r="EG32" i="4"/>
  <c r="DR32" i="4"/>
  <c r="EC32" i="4"/>
  <c r="DT32" i="4"/>
  <c r="ED32" i="4"/>
  <c r="DZ32" i="4"/>
  <c r="DW32" i="4"/>
  <c r="DX32" i="4"/>
  <c r="EF32" i="4"/>
  <c r="DU32" i="4"/>
  <c r="DV32" i="4"/>
  <c r="EB32" i="4"/>
  <c r="DG32" i="4"/>
  <c r="DO32" i="4"/>
  <c r="DE32" i="4"/>
  <c r="DP32" i="4"/>
  <c r="DF32" i="4"/>
  <c r="DC32" i="4"/>
  <c r="DM32" i="4"/>
  <c r="EH32" i="4"/>
  <c r="DH32" i="4"/>
  <c r="DK32" i="4"/>
  <c r="I32" i="4"/>
  <c r="DB32" i="4"/>
  <c r="EE32" i="4"/>
  <c r="DD32" i="4"/>
  <c r="DJ32" i="4"/>
  <c r="DN32" i="4"/>
  <c r="J32" i="4"/>
  <c r="K32" i="4"/>
  <c r="EI67" i="4"/>
  <c r="DU67" i="4"/>
  <c r="EC67" i="4"/>
  <c r="DR67" i="4"/>
  <c r="EA67" i="4"/>
  <c r="DX67" i="4"/>
  <c r="EH67" i="4"/>
  <c r="DV67" i="4"/>
  <c r="EF67" i="4"/>
  <c r="DW67" i="4"/>
  <c r="EG67" i="4"/>
  <c r="DT67" i="4"/>
  <c r="DY67" i="4"/>
  <c r="DZ67" i="4"/>
  <c r="DQ67" i="4"/>
  <c r="DS67" i="4"/>
  <c r="ED67" i="4"/>
  <c r="DJ67" i="4"/>
  <c r="EE67" i="4"/>
  <c r="DB67" i="4"/>
  <c r="DK67" i="4"/>
  <c r="DG67" i="4"/>
  <c r="DP67" i="4"/>
  <c r="EB67" i="4"/>
  <c r="DH67" i="4"/>
  <c r="DC67" i="4"/>
  <c r="DD67" i="4"/>
  <c r="DE67" i="4"/>
  <c r="DM67" i="4"/>
  <c r="J67" i="4"/>
  <c r="DN67" i="4"/>
  <c r="K67" i="4"/>
  <c r="I67" i="4"/>
  <c r="DF67" i="4"/>
  <c r="DO67" i="4"/>
  <c r="EI59" i="4"/>
  <c r="DU59" i="4"/>
  <c r="EC59" i="4"/>
  <c r="DQ59" i="4"/>
  <c r="DZ59" i="4"/>
  <c r="DR59" i="4"/>
  <c r="DW59" i="4"/>
  <c r="EG59" i="4"/>
  <c r="DS59" i="4"/>
  <c r="EE59" i="4"/>
  <c r="DF59" i="4"/>
  <c r="DN59" i="4"/>
  <c r="EB59" i="4"/>
  <c r="ED59" i="4"/>
  <c r="EF59" i="4"/>
  <c r="EH59" i="4"/>
  <c r="DY59" i="4"/>
  <c r="DJ59" i="4"/>
  <c r="EA59" i="4"/>
  <c r="DT59" i="4"/>
  <c r="DV59" i="4"/>
  <c r="DX59" i="4"/>
  <c r="DB59" i="4"/>
  <c r="DM59" i="4"/>
  <c r="DH59" i="4"/>
  <c r="DK59" i="4"/>
  <c r="DO59" i="4"/>
  <c r="I59" i="4"/>
  <c r="DP59" i="4"/>
  <c r="DD59" i="4"/>
  <c r="DE59" i="4"/>
  <c r="K59" i="4"/>
  <c r="DC59" i="4"/>
  <c r="J59" i="4"/>
  <c r="DG59" i="4"/>
  <c r="EI51" i="4"/>
  <c r="DU51" i="4"/>
  <c r="EC51" i="4"/>
  <c r="DX51" i="4"/>
  <c r="EG51" i="4"/>
  <c r="DY51" i="4"/>
  <c r="EH51" i="4"/>
  <c r="DT51" i="4"/>
  <c r="EF51" i="4"/>
  <c r="EA51" i="4"/>
  <c r="DS51" i="4"/>
  <c r="DF51" i="4"/>
  <c r="DN51" i="4"/>
  <c r="DW51" i="4"/>
  <c r="DQ51" i="4"/>
  <c r="EE51" i="4"/>
  <c r="DR51" i="4"/>
  <c r="EB51" i="4"/>
  <c r="ED51" i="4"/>
  <c r="DJ51" i="4"/>
  <c r="DV51" i="4"/>
  <c r="DB51" i="4"/>
  <c r="DM51" i="4"/>
  <c r="DO51" i="4"/>
  <c r="DZ51" i="4"/>
  <c r="DH51" i="4"/>
  <c r="DK51" i="4"/>
  <c r="DP51" i="4"/>
  <c r="DD51" i="4"/>
  <c r="J51" i="4"/>
  <c r="DE51" i="4"/>
  <c r="K51" i="4"/>
  <c r="DG51" i="4"/>
  <c r="I51" i="4"/>
  <c r="DC51" i="4"/>
  <c r="EI81" i="4"/>
  <c r="DS81" i="4"/>
  <c r="EA81" i="4"/>
  <c r="DW81" i="4"/>
  <c r="EF81" i="4"/>
  <c r="DU81" i="4"/>
  <c r="ED81" i="4"/>
  <c r="DZ81" i="4"/>
  <c r="EB81" i="4"/>
  <c r="DX81" i="4"/>
  <c r="DY81" i="4"/>
  <c r="EG81" i="4"/>
  <c r="EH81" i="4"/>
  <c r="DQ81" i="4"/>
  <c r="EC81" i="4"/>
  <c r="DT81" i="4"/>
  <c r="K81" i="4"/>
  <c r="DV81" i="4"/>
  <c r="EE81" i="4"/>
  <c r="DG81" i="4"/>
  <c r="DO81" i="4"/>
  <c r="DR81" i="4"/>
  <c r="DH81" i="4"/>
  <c r="DP81" i="4"/>
  <c r="J81" i="4"/>
  <c r="DJ81" i="4"/>
  <c r="I81" i="4"/>
  <c r="DK81" i="4"/>
  <c r="DD81" i="4"/>
  <c r="DE81" i="4"/>
  <c r="DF81" i="4"/>
  <c r="DM81" i="4"/>
  <c r="DN81" i="4"/>
  <c r="DB81" i="4"/>
  <c r="DC81" i="4"/>
  <c r="EI66" i="4"/>
  <c r="DW66" i="4"/>
  <c r="EE66" i="4"/>
  <c r="DR66" i="4"/>
  <c r="EA66" i="4"/>
  <c r="DU66" i="4"/>
  <c r="EF66" i="4"/>
  <c r="DS66" i="4"/>
  <c r="EC66" i="4"/>
  <c r="DT66" i="4"/>
  <c r="ED66" i="4"/>
  <c r="DX66" i="4"/>
  <c r="DY66" i="4"/>
  <c r="DZ66" i="4"/>
  <c r="DQ66" i="4"/>
  <c r="DV66" i="4"/>
  <c r="EB66" i="4"/>
  <c r="DB66" i="4"/>
  <c r="DJ66" i="4"/>
  <c r="EG66" i="4"/>
  <c r="EH66" i="4"/>
  <c r="DH66" i="4"/>
  <c r="DF66" i="4"/>
  <c r="DO66" i="4"/>
  <c r="DG66" i="4"/>
  <c r="DP66" i="4"/>
  <c r="DC66" i="4"/>
  <c r="DD66" i="4"/>
  <c r="I66" i="4"/>
  <c r="DM66" i="4"/>
  <c r="DK66" i="4"/>
  <c r="J66" i="4"/>
  <c r="DN66" i="4"/>
  <c r="K66" i="4"/>
  <c r="DE66" i="4"/>
  <c r="EI58" i="4"/>
  <c r="DW58" i="4"/>
  <c r="EE58" i="4"/>
  <c r="DQ58" i="4"/>
  <c r="DZ58" i="4"/>
  <c r="DR58" i="4"/>
  <c r="EA58" i="4"/>
  <c r="EC58" i="4"/>
  <c r="DV58" i="4"/>
  <c r="DG58" i="4"/>
  <c r="DO58" i="4"/>
  <c r="DT58" i="4"/>
  <c r="EG58" i="4"/>
  <c r="DU58" i="4"/>
  <c r="EH58" i="4"/>
  <c r="EB58" i="4"/>
  <c r="ED58" i="4"/>
  <c r="EF58" i="4"/>
  <c r="DX58" i="4"/>
  <c r="DY58" i="4"/>
  <c r="DE58" i="4"/>
  <c r="DP58" i="4"/>
  <c r="DD58" i="4"/>
  <c r="DF58" i="4"/>
  <c r="DS58" i="4"/>
  <c r="DB58" i="4"/>
  <c r="DM58" i="4"/>
  <c r="DC58" i="4"/>
  <c r="DN58" i="4"/>
  <c r="DH58" i="4"/>
  <c r="K58" i="4"/>
  <c r="DJ58" i="4"/>
  <c r="DK58" i="4"/>
  <c r="I58" i="4"/>
  <c r="J58" i="4"/>
  <c r="EI50" i="4"/>
  <c r="DW50" i="4"/>
  <c r="EE50" i="4"/>
  <c r="DX50" i="4"/>
  <c r="EG50" i="4"/>
  <c r="DY50" i="4"/>
  <c r="EH50" i="4"/>
  <c r="EA50" i="4"/>
  <c r="DT50" i="4"/>
  <c r="EF50" i="4"/>
  <c r="DU50" i="4"/>
  <c r="DG50" i="4"/>
  <c r="DO50" i="4"/>
  <c r="DZ50" i="4"/>
  <c r="DR50" i="4"/>
  <c r="DS50" i="4"/>
  <c r="DV50" i="4"/>
  <c r="EB50" i="4"/>
  <c r="EC50" i="4"/>
  <c r="DH50" i="4"/>
  <c r="DQ50" i="4"/>
  <c r="DE50" i="4"/>
  <c r="DP50" i="4"/>
  <c r="ED50" i="4"/>
  <c r="DB50" i="4"/>
  <c r="DN50" i="4"/>
  <c r="DC50" i="4"/>
  <c r="DM50" i="4"/>
  <c r="DD50" i="4"/>
  <c r="DF50" i="4"/>
  <c r="DJ50" i="4"/>
  <c r="K50" i="4"/>
  <c r="DK50" i="4"/>
  <c r="I50" i="4"/>
  <c r="J50" i="4"/>
  <c r="EI38" i="4"/>
  <c r="DW38" i="4"/>
  <c r="EE38" i="4"/>
  <c r="DU38" i="4"/>
  <c r="EC38" i="4"/>
  <c r="DQ38" i="4"/>
  <c r="EA38" i="4"/>
  <c r="DR38" i="4"/>
  <c r="EB38" i="4"/>
  <c r="DY38" i="4"/>
  <c r="DS38" i="4"/>
  <c r="EH38" i="4"/>
  <c r="DT38" i="4"/>
  <c r="DZ38" i="4"/>
  <c r="DV38" i="4"/>
  <c r="DC38" i="4"/>
  <c r="DK38" i="4"/>
  <c r="DX38" i="4"/>
  <c r="ED38" i="4"/>
  <c r="EG38" i="4"/>
  <c r="DJ38" i="4"/>
  <c r="DG38" i="4"/>
  <c r="EF38" i="4"/>
  <c r="DF38" i="4"/>
  <c r="DM38" i="4"/>
  <c r="DN38" i="4"/>
  <c r="DO38" i="4"/>
  <c r="DP38" i="4"/>
  <c r="DB38" i="4"/>
  <c r="DD38" i="4"/>
  <c r="DE38" i="4"/>
  <c r="DH38" i="4"/>
  <c r="I38" i="4"/>
  <c r="J38" i="4"/>
  <c r="K38" i="4"/>
  <c r="DT18" i="4"/>
  <c r="EB18" i="4"/>
  <c r="EI18" i="4"/>
  <c r="DW18" i="4"/>
  <c r="EE18" i="4"/>
  <c r="DV18" i="4"/>
  <c r="EG18" i="4"/>
  <c r="DZ18" i="4"/>
  <c r="DS18" i="4"/>
  <c r="ED18" i="4"/>
  <c r="EC18" i="4"/>
  <c r="EF18" i="4"/>
  <c r="DY18" i="4"/>
  <c r="EA18" i="4"/>
  <c r="DR18" i="4"/>
  <c r="DE18" i="4"/>
  <c r="DM18" i="4"/>
  <c r="DU18" i="4"/>
  <c r="DX18" i="4"/>
  <c r="DJ18" i="4"/>
  <c r="EH18" i="4"/>
  <c r="DH18" i="4"/>
  <c r="DQ18" i="4"/>
  <c r="DF18" i="4"/>
  <c r="DG18" i="4"/>
  <c r="DC18" i="4"/>
  <c r="DO18" i="4"/>
  <c r="DD18" i="4"/>
  <c r="DP18" i="4"/>
  <c r="DB18" i="4"/>
  <c r="DN18" i="4"/>
  <c r="DK18" i="4"/>
  <c r="J18" i="4"/>
  <c r="K18" i="4"/>
  <c r="I18" i="4"/>
  <c r="EI45" i="4"/>
  <c r="DQ45" i="4"/>
  <c r="DY45" i="4"/>
  <c r="EG45" i="4"/>
  <c r="DW45" i="4"/>
  <c r="EE45" i="4"/>
  <c r="DS45" i="4"/>
  <c r="EC45" i="4"/>
  <c r="DT45" i="4"/>
  <c r="ED45" i="4"/>
  <c r="EB45" i="4"/>
  <c r="DV45" i="4"/>
  <c r="EA45" i="4"/>
  <c r="DD45" i="4"/>
  <c r="EF45" i="4"/>
  <c r="EH45" i="4"/>
  <c r="DX45" i="4"/>
  <c r="DZ45" i="4"/>
  <c r="DU45" i="4"/>
  <c r="DJ45" i="4"/>
  <c r="DR45" i="4"/>
  <c r="DG45" i="4"/>
  <c r="DC45" i="4"/>
  <c r="DP45" i="4"/>
  <c r="K45" i="4"/>
  <c r="DE45" i="4"/>
  <c r="DF45" i="4"/>
  <c r="DH45" i="4"/>
  <c r="DK45" i="4"/>
  <c r="DM45" i="4"/>
  <c r="DN45" i="4"/>
  <c r="DB45" i="4"/>
  <c r="DO45" i="4"/>
  <c r="J45" i="4"/>
  <c r="I45" i="4"/>
  <c r="EI65" i="4"/>
  <c r="DQ65" i="4"/>
  <c r="DY65" i="4"/>
  <c r="EG65" i="4"/>
  <c r="DR65" i="4"/>
  <c r="EA65" i="4"/>
  <c r="DS65" i="4"/>
  <c r="EC65" i="4"/>
  <c r="DZ65" i="4"/>
  <c r="EB65" i="4"/>
  <c r="DW65" i="4"/>
  <c r="DX65" i="4"/>
  <c r="ED65" i="4"/>
  <c r="DU65" i="4"/>
  <c r="DV65" i="4"/>
  <c r="DC65" i="4"/>
  <c r="DK65" i="4"/>
  <c r="EF65" i="4"/>
  <c r="DG65" i="4"/>
  <c r="DP65" i="4"/>
  <c r="K65" i="4"/>
  <c r="DH65" i="4"/>
  <c r="DT65" i="4"/>
  <c r="EE65" i="4"/>
  <c r="EH65" i="4"/>
  <c r="DE65" i="4"/>
  <c r="DN65" i="4"/>
  <c r="DF65" i="4"/>
  <c r="DO65" i="4"/>
  <c r="J65" i="4"/>
  <c r="DB65" i="4"/>
  <c r="DJ65" i="4"/>
  <c r="DD65" i="4"/>
  <c r="DM65" i="4"/>
  <c r="I65" i="4"/>
  <c r="DQ57" i="4"/>
  <c r="DY57" i="4"/>
  <c r="EG57" i="4"/>
  <c r="DZ57" i="4"/>
  <c r="DR57" i="4"/>
  <c r="EA57" i="4"/>
  <c r="DV57" i="4"/>
  <c r="EH57" i="4"/>
  <c r="EI57" i="4"/>
  <c r="EC57" i="4"/>
  <c r="DX57" i="4"/>
  <c r="DH57" i="4"/>
  <c r="DP57" i="4"/>
  <c r="DU57" i="4"/>
  <c r="DW57" i="4"/>
  <c r="DT57" i="4"/>
  <c r="EB57" i="4"/>
  <c r="ED57" i="4"/>
  <c r="DG57" i="4"/>
  <c r="DS57" i="4"/>
  <c r="DB57" i="4"/>
  <c r="DD57" i="4"/>
  <c r="DN57" i="4"/>
  <c r="EF57" i="4"/>
  <c r="K57" i="4"/>
  <c r="EE57" i="4"/>
  <c r="DJ57" i="4"/>
  <c r="DE57" i="4"/>
  <c r="DF57" i="4"/>
  <c r="J57" i="4"/>
  <c r="DM57" i="4"/>
  <c r="DO57" i="4"/>
  <c r="I57" i="4"/>
  <c r="DC57" i="4"/>
  <c r="DK57" i="4"/>
  <c r="DQ49" i="4"/>
  <c r="DY49" i="4"/>
  <c r="EG49" i="4"/>
  <c r="EI49" i="4"/>
  <c r="DW49" i="4"/>
  <c r="EF49" i="4"/>
  <c r="DX49" i="4"/>
  <c r="EH49" i="4"/>
  <c r="DT49" i="4"/>
  <c r="EE49" i="4"/>
  <c r="EA49" i="4"/>
  <c r="DV49" i="4"/>
  <c r="DH49" i="4"/>
  <c r="DP49" i="4"/>
  <c r="DZ49" i="4"/>
  <c r="EB49" i="4"/>
  <c r="DS49" i="4"/>
  <c r="DU49" i="4"/>
  <c r="ED49" i="4"/>
  <c r="DF49" i="4"/>
  <c r="DO49" i="4"/>
  <c r="EC49" i="4"/>
  <c r="DB49" i="4"/>
  <c r="DD49" i="4"/>
  <c r="DN49" i="4"/>
  <c r="DE49" i="4"/>
  <c r="K49" i="4"/>
  <c r="DG49" i="4"/>
  <c r="DR49" i="4"/>
  <c r="DC49" i="4"/>
  <c r="J49" i="4"/>
  <c r="DJ49" i="4"/>
  <c r="DK49" i="4"/>
  <c r="DM49" i="4"/>
  <c r="I49" i="4"/>
  <c r="EI72" i="4"/>
  <c r="DU72" i="4"/>
  <c r="EC72" i="4"/>
  <c r="DT72" i="4"/>
  <c r="ED72" i="4"/>
  <c r="DR72" i="4"/>
  <c r="EA72" i="4"/>
  <c r="DQ72" i="4"/>
  <c r="EE72" i="4"/>
  <c r="DS72" i="4"/>
  <c r="EF72" i="4"/>
  <c r="DV72" i="4"/>
  <c r="EG72" i="4"/>
  <c r="DZ72" i="4"/>
  <c r="EB72" i="4"/>
  <c r="EH72" i="4"/>
  <c r="DX72" i="4"/>
  <c r="DB72" i="4"/>
  <c r="DJ72" i="4"/>
  <c r="DW72" i="4"/>
  <c r="DY72" i="4"/>
  <c r="DH72" i="4"/>
  <c r="DP72" i="4"/>
  <c r="DG72" i="4"/>
  <c r="DK72" i="4"/>
  <c r="DD72" i="4"/>
  <c r="DO72" i="4"/>
  <c r="J72" i="4"/>
  <c r="DE72" i="4"/>
  <c r="K72" i="4"/>
  <c r="DC72" i="4"/>
  <c r="DF72" i="4"/>
  <c r="DM72" i="4"/>
  <c r="DN72" i="4"/>
  <c r="I72" i="4"/>
  <c r="EI64" i="4"/>
  <c r="DS64" i="4"/>
  <c r="EA64" i="4"/>
  <c r="DQ64" i="4"/>
  <c r="DZ64" i="4"/>
  <c r="DY64" i="4"/>
  <c r="DW64" i="4"/>
  <c r="EG64" i="4"/>
  <c r="DX64" i="4"/>
  <c r="EH64" i="4"/>
  <c r="EB64" i="4"/>
  <c r="EC64" i="4"/>
  <c r="ED64" i="4"/>
  <c r="DU64" i="4"/>
  <c r="DV64" i="4"/>
  <c r="DR64" i="4"/>
  <c r="DD64" i="4"/>
  <c r="DT64" i="4"/>
  <c r="EE64" i="4"/>
  <c r="DF64" i="4"/>
  <c r="DO64" i="4"/>
  <c r="DG64" i="4"/>
  <c r="DP64" i="4"/>
  <c r="EF64" i="4"/>
  <c r="DC64" i="4"/>
  <c r="DM64" i="4"/>
  <c r="DE64" i="4"/>
  <c r="DN64" i="4"/>
  <c r="DJ64" i="4"/>
  <c r="DH64" i="4"/>
  <c r="DK64" i="4"/>
  <c r="J64" i="4"/>
  <c r="I64" i="4"/>
  <c r="DB64" i="4"/>
  <c r="K64" i="4"/>
  <c r="EI56" i="4"/>
  <c r="DS56" i="4"/>
  <c r="EA56" i="4"/>
  <c r="DY56" i="4"/>
  <c r="EH56" i="4"/>
  <c r="DQ56" i="4"/>
  <c r="DZ56" i="4"/>
  <c r="EC56" i="4"/>
  <c r="DV56" i="4"/>
  <c r="EG56" i="4"/>
  <c r="EB56" i="4"/>
  <c r="DW56" i="4"/>
  <c r="DX56" i="4"/>
  <c r="DR56" i="4"/>
  <c r="DT56" i="4"/>
  <c r="EF56" i="4"/>
  <c r="DF56" i="4"/>
  <c r="DO56" i="4"/>
  <c r="DH56" i="4"/>
  <c r="DU56" i="4"/>
  <c r="DK56" i="4"/>
  <c r="EE56" i="4"/>
  <c r="DM56" i="4"/>
  <c r="DG56" i="4"/>
  <c r="ED56" i="4"/>
  <c r="DJ56" i="4"/>
  <c r="DN56" i="4"/>
  <c r="DP56" i="4"/>
  <c r="DC56" i="4"/>
  <c r="J56" i="4"/>
  <c r="I56" i="4"/>
  <c r="DD56" i="4"/>
  <c r="K56" i="4"/>
  <c r="DB56" i="4"/>
  <c r="DE56" i="4"/>
  <c r="EI48" i="4"/>
  <c r="DS48" i="4"/>
  <c r="EA48" i="4"/>
  <c r="DW48" i="4"/>
  <c r="EF48" i="4"/>
  <c r="DX48" i="4"/>
  <c r="EG48" i="4"/>
  <c r="DZ48" i="4"/>
  <c r="DT48" i="4"/>
  <c r="EE48" i="4"/>
  <c r="DY48" i="4"/>
  <c r="EB48" i="4"/>
  <c r="EC48" i="4"/>
  <c r="DU48" i="4"/>
  <c r="DV48" i="4"/>
  <c r="DQ48" i="4"/>
  <c r="DR48" i="4"/>
  <c r="ED48" i="4"/>
  <c r="DE48" i="4"/>
  <c r="DN48" i="4"/>
  <c r="DH48" i="4"/>
  <c r="DK48" i="4"/>
  <c r="EH48" i="4"/>
  <c r="DG48" i="4"/>
  <c r="I48" i="4"/>
  <c r="DJ48" i="4"/>
  <c r="DD48" i="4"/>
  <c r="DF48" i="4"/>
  <c r="DM48" i="4"/>
  <c r="DO48" i="4"/>
  <c r="DB48" i="4"/>
  <c r="DC48" i="4"/>
  <c r="DP48" i="4"/>
  <c r="K48" i="4"/>
  <c r="J48" i="4"/>
  <c r="DR19" i="4"/>
  <c r="DZ19" i="4"/>
  <c r="EH19" i="4"/>
  <c r="EI19" i="4"/>
  <c r="DU19" i="4"/>
  <c r="EC19" i="4"/>
  <c r="DY19" i="4"/>
  <c r="DS19" i="4"/>
  <c r="DW19" i="4"/>
  <c r="EG19" i="4"/>
  <c r="EB19" i="4"/>
  <c r="ED19" i="4"/>
  <c r="DX19" i="4"/>
  <c r="EA19" i="4"/>
  <c r="EF19" i="4"/>
  <c r="DD19" i="4"/>
  <c r="DQ19" i="4"/>
  <c r="DB19" i="4"/>
  <c r="DK19" i="4"/>
  <c r="DT19" i="4"/>
  <c r="DN19" i="4"/>
  <c r="DV19" i="4"/>
  <c r="DC19" i="4"/>
  <c r="DO19" i="4"/>
  <c r="EE19" i="4"/>
  <c r="DJ19" i="4"/>
  <c r="DM19" i="4"/>
  <c r="DF19" i="4"/>
  <c r="DH19" i="4"/>
  <c r="DE19" i="4"/>
  <c r="DG19" i="4"/>
  <c r="DP19" i="4"/>
  <c r="J19" i="4"/>
  <c r="K19" i="4"/>
  <c r="I19" i="4"/>
  <c r="DT6" i="4"/>
  <c r="EB6" i="4"/>
  <c r="DW6" i="4"/>
  <c r="EE6" i="4"/>
  <c r="EI6" i="4"/>
  <c r="DR6" i="4"/>
  <c r="DY6" i="4"/>
  <c r="DQ6" i="4"/>
  <c r="EC6" i="4"/>
  <c r="DV6" i="4"/>
  <c r="EG6" i="4"/>
  <c r="DX6" i="4"/>
  <c r="DZ6" i="4"/>
  <c r="DS6" i="4"/>
  <c r="DU6" i="4"/>
  <c r="ED6" i="4"/>
  <c r="EF6" i="4"/>
  <c r="DD6" i="4"/>
  <c r="DM6" i="4"/>
  <c r="DB6" i="4"/>
  <c r="DK6" i="4"/>
  <c r="DC6" i="4"/>
  <c r="DO6" i="4"/>
  <c r="DE6" i="4"/>
  <c r="DP6" i="4"/>
  <c r="EH6" i="4"/>
  <c r="DN6" i="4"/>
  <c r="DG6" i="4"/>
  <c r="DJ6" i="4"/>
  <c r="DF6" i="4"/>
  <c r="EA6" i="4"/>
  <c r="DH6" i="4"/>
  <c r="I6" i="4"/>
  <c r="K6" i="4"/>
  <c r="J6" i="4"/>
  <c r="DR3" i="4"/>
  <c r="DZ3" i="4"/>
  <c r="EH3" i="4"/>
  <c r="EI3" i="4"/>
  <c r="DU3" i="4"/>
  <c r="EC3" i="4"/>
  <c r="DX3" i="4"/>
  <c r="EF3" i="4"/>
  <c r="EB3" i="4"/>
  <c r="DT3" i="4"/>
  <c r="EG3" i="4"/>
  <c r="DY3" i="4"/>
  <c r="DQ3" i="4"/>
  <c r="DS3" i="4"/>
  <c r="EE3" i="4"/>
  <c r="DD3" i="4"/>
  <c r="DW3" i="4"/>
  <c r="ED3" i="4"/>
  <c r="EA3" i="4"/>
  <c r="DG3" i="4"/>
  <c r="DP3" i="4"/>
  <c r="DE3" i="4"/>
  <c r="DF3" i="4"/>
  <c r="DB3" i="4"/>
  <c r="DN3" i="4"/>
  <c r="DC3" i="4"/>
  <c r="DO3" i="4"/>
  <c r="DJ3" i="4"/>
  <c r="DM3" i="4"/>
  <c r="DH3" i="4"/>
  <c r="DK3" i="4"/>
  <c r="DV3" i="4"/>
  <c r="J3" i="4"/>
  <c r="K3" i="4"/>
  <c r="I3" i="4"/>
  <c r="EI31" i="4"/>
  <c r="DU31" i="4"/>
  <c r="EC31" i="4"/>
  <c r="DS31" i="4"/>
  <c r="EA31" i="4"/>
  <c r="DY31" i="4"/>
  <c r="DZ31" i="4"/>
  <c r="DW31" i="4"/>
  <c r="EG31" i="4"/>
  <c r="DX31" i="4"/>
  <c r="EB31" i="4"/>
  <c r="DQ31" i="4"/>
  <c r="EF31" i="4"/>
  <c r="DB31" i="4"/>
  <c r="DJ31" i="4"/>
  <c r="DR31" i="4"/>
  <c r="EE31" i="4"/>
  <c r="DH31" i="4"/>
  <c r="DP31" i="4"/>
  <c r="EH31" i="4"/>
  <c r="DT31" i="4"/>
  <c r="DV31" i="4"/>
  <c r="DC31" i="4"/>
  <c r="DM31" i="4"/>
  <c r="ED31" i="4"/>
  <c r="DF31" i="4"/>
  <c r="DK31" i="4"/>
  <c r="DD31" i="4"/>
  <c r="DE31" i="4"/>
  <c r="DG31" i="4"/>
  <c r="DN31" i="4"/>
  <c r="DO31" i="4"/>
  <c r="I31" i="4"/>
  <c r="K31" i="4"/>
  <c r="J31" i="4"/>
  <c r="EI30" i="4"/>
  <c r="DW30" i="4"/>
  <c r="EE30" i="4"/>
  <c r="DU30" i="4"/>
  <c r="EC30" i="4"/>
  <c r="DV30" i="4"/>
  <c r="EG30" i="4"/>
  <c r="DX30" i="4"/>
  <c r="EH30" i="4"/>
  <c r="DS30" i="4"/>
  <c r="ED30" i="4"/>
  <c r="DT30" i="4"/>
  <c r="DZ30" i="4"/>
  <c r="EA30" i="4"/>
  <c r="EB30" i="4"/>
  <c r="DC30" i="4"/>
  <c r="DK30" i="4"/>
  <c r="EF30" i="4"/>
  <c r="DR30" i="4"/>
  <c r="DY30" i="4"/>
  <c r="DG30" i="4"/>
  <c r="DH30" i="4"/>
  <c r="DE30" i="4"/>
  <c r="DO30" i="4"/>
  <c r="DQ30" i="4"/>
  <c r="DF30" i="4"/>
  <c r="DM30" i="4"/>
  <c r="DN30" i="4"/>
  <c r="DP30" i="4"/>
  <c r="DB30" i="4"/>
  <c r="DD30" i="4"/>
  <c r="DJ30" i="4"/>
  <c r="J30" i="4"/>
  <c r="K30" i="4"/>
  <c r="I30" i="4"/>
  <c r="DR15" i="4"/>
  <c r="DZ15" i="4"/>
  <c r="EH15" i="4"/>
  <c r="DU15" i="4"/>
  <c r="EC15" i="4"/>
  <c r="EI15" i="4"/>
  <c r="DW15" i="4"/>
  <c r="EG15" i="4"/>
  <c r="EA15" i="4"/>
  <c r="DT15" i="4"/>
  <c r="EE15" i="4"/>
  <c r="EF15" i="4"/>
  <c r="DQ15" i="4"/>
  <c r="EB15" i="4"/>
  <c r="ED15" i="4"/>
  <c r="DH15" i="4"/>
  <c r="DP15" i="4"/>
  <c r="DV15" i="4"/>
  <c r="DX15" i="4"/>
  <c r="DF15" i="4"/>
  <c r="DO15" i="4"/>
  <c r="DY15" i="4"/>
  <c r="DD15" i="4"/>
  <c r="DM15" i="4"/>
  <c r="DS15" i="4"/>
  <c r="DJ15" i="4"/>
  <c r="DE15" i="4"/>
  <c r="DG15" i="4"/>
  <c r="DC15" i="4"/>
  <c r="DB15" i="4"/>
  <c r="DK15" i="4"/>
  <c r="DN15" i="4"/>
  <c r="I15" i="4"/>
  <c r="K15" i="4"/>
  <c r="J15" i="4"/>
  <c r="EI47" i="4"/>
  <c r="DU47" i="4"/>
  <c r="EC47" i="4"/>
  <c r="DW47" i="4"/>
  <c r="EF47" i="4"/>
  <c r="DX47" i="4"/>
  <c r="EG47" i="4"/>
  <c r="DS47" i="4"/>
  <c r="EE47" i="4"/>
  <c r="DZ47" i="4"/>
  <c r="EA47" i="4"/>
  <c r="DB47" i="4"/>
  <c r="DJ47" i="4"/>
  <c r="EB47" i="4"/>
  <c r="ED47" i="4"/>
  <c r="DV47" i="4"/>
  <c r="DY47" i="4"/>
  <c r="DT47" i="4"/>
  <c r="DD47" i="4"/>
  <c r="DM47" i="4"/>
  <c r="EH47" i="4"/>
  <c r="DE47" i="4"/>
  <c r="DO47" i="4"/>
  <c r="DG47" i="4"/>
  <c r="DQ47" i="4"/>
  <c r="DK47" i="4"/>
  <c r="DR47" i="4"/>
  <c r="DH47" i="4"/>
  <c r="I47" i="4"/>
  <c r="K47" i="4"/>
  <c r="DC47" i="4"/>
  <c r="DP47" i="4"/>
  <c r="J47" i="4"/>
  <c r="DF47" i="4"/>
  <c r="DN47" i="4"/>
  <c r="EI87" i="4"/>
  <c r="DW87" i="4"/>
  <c r="EE87" i="4"/>
  <c r="DY87" i="4"/>
  <c r="EH87" i="4"/>
  <c r="DV87" i="4"/>
  <c r="EF87" i="4"/>
  <c r="DQ87" i="4"/>
  <c r="EB87" i="4"/>
  <c r="DR87" i="4"/>
  <c r="EC87" i="4"/>
  <c r="DZ87" i="4"/>
  <c r="EA87" i="4"/>
  <c r="DU87" i="4"/>
  <c r="ED87" i="4"/>
  <c r="DS87" i="4"/>
  <c r="DC87" i="4"/>
  <c r="DK87" i="4"/>
  <c r="I87" i="4"/>
  <c r="DT87" i="4"/>
  <c r="DX87" i="4"/>
  <c r="EG87" i="4"/>
  <c r="DB87" i="4"/>
  <c r="DJ87" i="4"/>
  <c r="DF87" i="4"/>
  <c r="DP87" i="4"/>
  <c r="DG87" i="4"/>
  <c r="DM87" i="4"/>
  <c r="DN87" i="4"/>
  <c r="DO87" i="4"/>
  <c r="J87" i="4"/>
  <c r="K87" i="4"/>
  <c r="DD87" i="4"/>
  <c r="DH87" i="4"/>
  <c r="DE87" i="4"/>
  <c r="DR27" i="4"/>
  <c r="DZ27" i="4"/>
  <c r="EH27" i="4"/>
  <c r="EI27" i="4"/>
  <c r="DU27" i="4"/>
  <c r="EC27" i="4"/>
  <c r="DT27" i="4"/>
  <c r="EE27" i="4"/>
  <c r="DQ27" i="4"/>
  <c r="EB27" i="4"/>
  <c r="DY27" i="4"/>
  <c r="EA27" i="4"/>
  <c r="DW27" i="4"/>
  <c r="DX27" i="4"/>
  <c r="EF27" i="4"/>
  <c r="EG27" i="4"/>
  <c r="DF27" i="4"/>
  <c r="DN27" i="4"/>
  <c r="DD27" i="4"/>
  <c r="DE27" i="4"/>
  <c r="DP27" i="4"/>
  <c r="DG27" i="4"/>
  <c r="DS27" i="4"/>
  <c r="DB27" i="4"/>
  <c r="DM27" i="4"/>
  <c r="DH27" i="4"/>
  <c r="DJ27" i="4"/>
  <c r="DV27" i="4"/>
  <c r="ED27" i="4"/>
  <c r="DC27" i="4"/>
  <c r="DK27" i="4"/>
  <c r="DO27" i="4"/>
  <c r="J27" i="4"/>
  <c r="K27" i="4"/>
  <c r="I27" i="4"/>
  <c r="EI36" i="4"/>
  <c r="DS36" i="4"/>
  <c r="EA36" i="4"/>
  <c r="DQ36" i="4"/>
  <c r="DY36" i="4"/>
  <c r="EG36" i="4"/>
  <c r="DU36" i="4"/>
  <c r="EE36" i="4"/>
  <c r="DV36" i="4"/>
  <c r="EF36" i="4"/>
  <c r="DR36" i="4"/>
  <c r="EC36" i="4"/>
  <c r="DT36" i="4"/>
  <c r="DW36" i="4"/>
  <c r="EB36" i="4"/>
  <c r="ED36" i="4"/>
  <c r="DE36" i="4"/>
  <c r="DM36" i="4"/>
  <c r="EH36" i="4"/>
  <c r="DX36" i="4"/>
  <c r="DC36" i="4"/>
  <c r="DK36" i="4"/>
  <c r="DZ36" i="4"/>
  <c r="DB36" i="4"/>
  <c r="DN36" i="4"/>
  <c r="DG36" i="4"/>
  <c r="DJ36" i="4"/>
  <c r="DD36" i="4"/>
  <c r="DF36" i="4"/>
  <c r="DH36" i="4"/>
  <c r="DO36" i="4"/>
  <c r="DP36" i="4"/>
  <c r="K36" i="4"/>
  <c r="I36" i="4"/>
  <c r="J36" i="4"/>
  <c r="EI63" i="4"/>
  <c r="DU63" i="4"/>
  <c r="EC63" i="4"/>
  <c r="DQ63" i="4"/>
  <c r="DZ63" i="4"/>
  <c r="DW63" i="4"/>
  <c r="EG63" i="4"/>
  <c r="DB63" i="4"/>
  <c r="DT63" i="4"/>
  <c r="EE63" i="4"/>
  <c r="DV63" i="4"/>
  <c r="EF63" i="4"/>
  <c r="EA63" i="4"/>
  <c r="EB63" i="4"/>
  <c r="ED63" i="4"/>
  <c r="DX63" i="4"/>
  <c r="DF63" i="4"/>
  <c r="DY63" i="4"/>
  <c r="DD63" i="4"/>
  <c r="DM63" i="4"/>
  <c r="DS63" i="4"/>
  <c r="DC63" i="4"/>
  <c r="DN63" i="4"/>
  <c r="I63" i="4"/>
  <c r="DR63" i="4"/>
  <c r="DE63" i="4"/>
  <c r="DO63" i="4"/>
  <c r="EH63" i="4"/>
  <c r="DK63" i="4"/>
  <c r="DP63" i="4"/>
  <c r="K63" i="4"/>
  <c r="DH63" i="4"/>
  <c r="J63" i="4"/>
  <c r="DJ63" i="4"/>
  <c r="DG63" i="4"/>
  <c r="EI55" i="4"/>
  <c r="DU55" i="4"/>
  <c r="EC55" i="4"/>
  <c r="DY55" i="4"/>
  <c r="EH55" i="4"/>
  <c r="DQ55" i="4"/>
  <c r="DZ55" i="4"/>
  <c r="DV55" i="4"/>
  <c r="EG55" i="4"/>
  <c r="EB55" i="4"/>
  <c r="ED55" i="4"/>
  <c r="DB55" i="4"/>
  <c r="DJ55" i="4"/>
  <c r="DR55" i="4"/>
  <c r="EF55" i="4"/>
  <c r="DX55" i="4"/>
  <c r="EA55" i="4"/>
  <c r="EE55" i="4"/>
  <c r="DT55" i="4"/>
  <c r="DE55" i="4"/>
  <c r="DN55" i="4"/>
  <c r="DW55" i="4"/>
  <c r="DD55" i="4"/>
  <c r="DO55" i="4"/>
  <c r="DS55" i="4"/>
  <c r="DG55" i="4"/>
  <c r="DM55" i="4"/>
  <c r="I55" i="4"/>
  <c r="DP55" i="4"/>
  <c r="DK55" i="4"/>
  <c r="DC55" i="4"/>
  <c r="DF55" i="4"/>
  <c r="DH55" i="4"/>
  <c r="J55" i="4"/>
  <c r="K55" i="4"/>
  <c r="DV25" i="4"/>
  <c r="ED25" i="4"/>
  <c r="DQ25" i="4"/>
  <c r="DY25" i="4"/>
  <c r="EG25" i="4"/>
  <c r="DX25" i="4"/>
  <c r="EI25" i="4"/>
  <c r="DU25" i="4"/>
  <c r="EF25" i="4"/>
  <c r="DS25" i="4"/>
  <c r="EH25" i="4"/>
  <c r="DT25" i="4"/>
  <c r="EC25" i="4"/>
  <c r="DR25" i="4"/>
  <c r="EE25" i="4"/>
  <c r="DZ25" i="4"/>
  <c r="DH25" i="4"/>
  <c r="DP25" i="4"/>
  <c r="EA25" i="4"/>
  <c r="DF25" i="4"/>
  <c r="DN25" i="4"/>
  <c r="EB25" i="4"/>
  <c r="DG25" i="4"/>
  <c r="DW25" i="4"/>
  <c r="DD25" i="4"/>
  <c r="DO25" i="4"/>
  <c r="DE25" i="4"/>
  <c r="DK25" i="4"/>
  <c r="DB25" i="4"/>
  <c r="K25" i="4"/>
  <c r="DC25" i="4"/>
  <c r="DJ25" i="4"/>
  <c r="DM25" i="4"/>
  <c r="J25" i="4"/>
  <c r="I25" i="4"/>
  <c r="DX12" i="4"/>
  <c r="EF12" i="4"/>
  <c r="DS12" i="4"/>
  <c r="EA12" i="4"/>
  <c r="EI12" i="4"/>
  <c r="DW12" i="4"/>
  <c r="EH12" i="4"/>
  <c r="DQ12" i="4"/>
  <c r="EB12" i="4"/>
  <c r="DU12" i="4"/>
  <c r="EE12" i="4"/>
  <c r="DR12" i="4"/>
  <c r="DT12" i="4"/>
  <c r="ED12" i="4"/>
  <c r="EG12" i="4"/>
  <c r="DY12" i="4"/>
  <c r="DC12" i="4"/>
  <c r="DK12" i="4"/>
  <c r="DZ12" i="4"/>
  <c r="DV12" i="4"/>
  <c r="DB12" i="4"/>
  <c r="EC12" i="4"/>
  <c r="DJ12" i="4"/>
  <c r="DM12" i="4"/>
  <c r="DG12" i="4"/>
  <c r="DH12" i="4"/>
  <c r="DD12" i="4"/>
  <c r="DF12" i="4"/>
  <c r="DE12" i="4"/>
  <c r="DN12" i="4"/>
  <c r="DO12" i="4"/>
  <c r="DP12" i="4"/>
  <c r="I12" i="4"/>
  <c r="J12" i="4"/>
  <c r="K12" i="4"/>
  <c r="EI35" i="4"/>
  <c r="DU35" i="4"/>
  <c r="EC35" i="4"/>
  <c r="DS35" i="4"/>
  <c r="EA35" i="4"/>
  <c r="DQ35" i="4"/>
  <c r="EB35" i="4"/>
  <c r="DR35" i="4"/>
  <c r="ED35" i="4"/>
  <c r="DY35" i="4"/>
  <c r="DV35" i="4"/>
  <c r="DW35" i="4"/>
  <c r="EE35" i="4"/>
  <c r="DT35" i="4"/>
  <c r="DF35" i="4"/>
  <c r="DN35" i="4"/>
  <c r="DX35" i="4"/>
  <c r="DZ35" i="4"/>
  <c r="DD35" i="4"/>
  <c r="DH35" i="4"/>
  <c r="EF35" i="4"/>
  <c r="EG35" i="4"/>
  <c r="DE35" i="4"/>
  <c r="DP35" i="4"/>
  <c r="DG35" i="4"/>
  <c r="EH35" i="4"/>
  <c r="DK35" i="4"/>
  <c r="DB35" i="4"/>
  <c r="DC35" i="4"/>
  <c r="DJ35" i="4"/>
  <c r="DM35" i="4"/>
  <c r="DO35" i="4"/>
  <c r="J35" i="4"/>
  <c r="K35" i="4"/>
  <c r="I35" i="4"/>
  <c r="DQ41" i="4"/>
  <c r="DY41" i="4"/>
  <c r="EG41" i="4"/>
  <c r="DW41" i="4"/>
  <c r="EE41" i="4"/>
  <c r="EA41" i="4"/>
  <c r="DR41" i="4"/>
  <c r="EB41" i="4"/>
  <c r="ED41" i="4"/>
  <c r="DS41" i="4"/>
  <c r="EF41" i="4"/>
  <c r="DV41" i="4"/>
  <c r="DU41" i="4"/>
  <c r="DH41" i="4"/>
  <c r="DP41" i="4"/>
  <c r="EI41" i="4"/>
  <c r="DX41" i="4"/>
  <c r="DZ41" i="4"/>
  <c r="DT41" i="4"/>
  <c r="EH41" i="4"/>
  <c r="DE41" i="4"/>
  <c r="DN41" i="4"/>
  <c r="DJ41" i="4"/>
  <c r="DM41" i="4"/>
  <c r="K41" i="4"/>
  <c r="DO41" i="4"/>
  <c r="DB41" i="4"/>
  <c r="DC41" i="4"/>
  <c r="DD41" i="4"/>
  <c r="DF41" i="4"/>
  <c r="EC41" i="4"/>
  <c r="DG41" i="4"/>
  <c r="DK41" i="4"/>
  <c r="J41" i="4"/>
  <c r="I41" i="4"/>
  <c r="EI70" i="4"/>
  <c r="DQ70" i="4"/>
  <c r="DY70" i="4"/>
  <c r="EG70" i="4"/>
  <c r="DT70" i="4"/>
  <c r="EC70" i="4"/>
  <c r="DR70" i="4"/>
  <c r="EA70" i="4"/>
  <c r="DS70" i="4"/>
  <c r="ED70" i="4"/>
  <c r="EE70" i="4"/>
  <c r="DU70" i="4"/>
  <c r="EF70" i="4"/>
  <c r="DZ70" i="4"/>
  <c r="EB70" i="4"/>
  <c r="DX70" i="4"/>
  <c r="DD70" i="4"/>
  <c r="DV70" i="4"/>
  <c r="DW70" i="4"/>
  <c r="EH70" i="4"/>
  <c r="DB70" i="4"/>
  <c r="DJ70" i="4"/>
  <c r="DC70" i="4"/>
  <c r="DK70" i="4"/>
  <c r="I70" i="4"/>
  <c r="DE70" i="4"/>
  <c r="DP70" i="4"/>
  <c r="DF70" i="4"/>
  <c r="DG70" i="4"/>
  <c r="DM70" i="4"/>
  <c r="DN70" i="4"/>
  <c r="DH70" i="4"/>
  <c r="J70" i="4"/>
  <c r="K70" i="4"/>
  <c r="DO70" i="4"/>
  <c r="EI62" i="4"/>
  <c r="DW62" i="4"/>
  <c r="EE62" i="4"/>
  <c r="DQ62" i="4"/>
  <c r="DZ62" i="4"/>
  <c r="DT62" i="4"/>
  <c r="ED62" i="4"/>
  <c r="DC62" i="4"/>
  <c r="DK62" i="4"/>
  <c r="DR62" i="4"/>
  <c r="EB62" i="4"/>
  <c r="DS62" i="4"/>
  <c r="EC62" i="4"/>
  <c r="EA62" i="4"/>
  <c r="EF62" i="4"/>
  <c r="EG62" i="4"/>
  <c r="DX62" i="4"/>
  <c r="DE62" i="4"/>
  <c r="DN62" i="4"/>
  <c r="DY62" i="4"/>
  <c r="DJ62" i="4"/>
  <c r="DU62" i="4"/>
  <c r="EH62" i="4"/>
  <c r="DH62" i="4"/>
  <c r="DF62" i="4"/>
  <c r="DV62" i="4"/>
  <c r="DG62" i="4"/>
  <c r="I62" i="4"/>
  <c r="DM62" i="4"/>
  <c r="DO62" i="4"/>
  <c r="J62" i="4"/>
  <c r="DB62" i="4"/>
  <c r="K62" i="4"/>
  <c r="DD62" i="4"/>
  <c r="DP62" i="4"/>
  <c r="EI54" i="4"/>
  <c r="DW54" i="4"/>
  <c r="EE54" i="4"/>
  <c r="DY54" i="4"/>
  <c r="EH54" i="4"/>
  <c r="DQ54" i="4"/>
  <c r="DZ54" i="4"/>
  <c r="EB54" i="4"/>
  <c r="DU54" i="4"/>
  <c r="EG54" i="4"/>
  <c r="ED54" i="4"/>
  <c r="DC54" i="4"/>
  <c r="DK54" i="4"/>
  <c r="DS54" i="4"/>
  <c r="EA54" i="4"/>
  <c r="EC54" i="4"/>
  <c r="DR54" i="4"/>
  <c r="DT54" i="4"/>
  <c r="DV54" i="4"/>
  <c r="DD54" i="4"/>
  <c r="DM54" i="4"/>
  <c r="EF54" i="4"/>
  <c r="DJ54" i="4"/>
  <c r="DB54" i="4"/>
  <c r="DN54" i="4"/>
  <c r="DE54" i="4"/>
  <c r="DF54" i="4"/>
  <c r="DX54" i="4"/>
  <c r="DO54" i="4"/>
  <c r="DP54" i="4"/>
  <c r="I54" i="4"/>
  <c r="DH54" i="4"/>
  <c r="J54" i="4"/>
  <c r="DG54" i="4"/>
  <c r="K54" i="4"/>
  <c r="EI46" i="4"/>
  <c r="DW46" i="4"/>
  <c r="EE46" i="4"/>
  <c r="DU46" i="4"/>
  <c r="DV46" i="4"/>
  <c r="EF46" i="4"/>
  <c r="DX46" i="4"/>
  <c r="EG46" i="4"/>
  <c r="DZ46" i="4"/>
  <c r="DR46" i="4"/>
  <c r="ED46" i="4"/>
  <c r="EB46" i="4"/>
  <c r="DC46" i="4"/>
  <c r="DK46" i="4"/>
  <c r="EC46" i="4"/>
  <c r="EH46" i="4"/>
  <c r="DY46" i="4"/>
  <c r="EA46" i="4"/>
  <c r="DQ46" i="4"/>
  <c r="DS46" i="4"/>
  <c r="DB46" i="4"/>
  <c r="DJ46" i="4"/>
  <c r="DD46" i="4"/>
  <c r="DN46" i="4"/>
  <c r="DO46" i="4"/>
  <c r="DP46" i="4"/>
  <c r="DT46" i="4"/>
  <c r="DM46" i="4"/>
  <c r="I46" i="4"/>
  <c r="DF46" i="4"/>
  <c r="J46" i="4"/>
  <c r="DG46" i="4"/>
  <c r="K46" i="4"/>
  <c r="DE46" i="4"/>
  <c r="DH46" i="4"/>
  <c r="L72" i="4"/>
  <c r="M72" i="4"/>
  <c r="L87" i="4"/>
  <c r="M87" i="4"/>
  <c r="L6" i="4"/>
  <c r="M6" i="4"/>
  <c r="L38" i="4"/>
  <c r="M38" i="4"/>
  <c r="L15" i="4"/>
  <c r="M15" i="4"/>
  <c r="L41" i="4"/>
  <c r="M41" i="4"/>
  <c r="L34" i="4"/>
  <c r="M34" i="4"/>
  <c r="L7" i="4"/>
  <c r="M7" i="4"/>
  <c r="L37" i="4"/>
  <c r="M37" i="4"/>
  <c r="L29" i="4"/>
  <c r="M29" i="4"/>
  <c r="L43" i="4"/>
  <c r="M43" i="4"/>
  <c r="M69" i="4"/>
  <c r="L61" i="4"/>
  <c r="M61" i="4"/>
  <c r="L53" i="4"/>
  <c r="M53" i="4"/>
  <c r="L27" i="4"/>
  <c r="M27" i="4"/>
  <c r="L14" i="4"/>
  <c r="M14" i="4"/>
  <c r="L36" i="4"/>
  <c r="M36" i="4"/>
  <c r="L42" i="4"/>
  <c r="M42" i="4"/>
  <c r="M68" i="4"/>
  <c r="L60" i="4"/>
  <c r="M60" i="4"/>
  <c r="L52" i="4"/>
  <c r="M52" i="4"/>
  <c r="L73" i="4"/>
  <c r="M73" i="4"/>
  <c r="L67" i="4"/>
  <c r="M67" i="4"/>
  <c r="L59" i="4"/>
  <c r="M59" i="4"/>
  <c r="L51" i="4"/>
  <c r="M51" i="4"/>
  <c r="L25" i="4"/>
  <c r="M25" i="4"/>
  <c r="L40" i="4"/>
  <c r="M40" i="4"/>
  <c r="L66" i="4"/>
  <c r="M66" i="4"/>
  <c r="L58" i="4"/>
  <c r="M58" i="4"/>
  <c r="L50" i="4"/>
  <c r="M50" i="4"/>
  <c r="L79" i="4"/>
  <c r="M79" i="4"/>
  <c r="M65" i="4"/>
  <c r="M57" i="4"/>
  <c r="L49" i="4"/>
  <c r="M49" i="4"/>
  <c r="L12" i="4"/>
  <c r="M12" i="4"/>
  <c r="L22" i="4"/>
  <c r="M22" i="4"/>
  <c r="L21" i="4"/>
  <c r="M21" i="4"/>
  <c r="M64" i="4"/>
  <c r="L56" i="4"/>
  <c r="M56" i="4"/>
  <c r="L48" i="4"/>
  <c r="M48" i="4"/>
  <c r="L81" i="4"/>
  <c r="M81" i="4"/>
  <c r="L33" i="4"/>
  <c r="M33" i="4"/>
  <c r="L71" i="4"/>
  <c r="M71" i="4"/>
  <c r="L47" i="4"/>
  <c r="M47" i="4"/>
  <c r="L35" i="4"/>
  <c r="M35" i="4"/>
  <c r="L8" i="4"/>
  <c r="M8" i="4"/>
  <c r="L39" i="4"/>
  <c r="M39" i="4"/>
  <c r="L19" i="4"/>
  <c r="M19" i="4"/>
  <c r="L32" i="4"/>
  <c r="M32" i="4"/>
  <c r="L18" i="4"/>
  <c r="M18" i="4"/>
  <c r="L3" i="4"/>
  <c r="M3" i="4"/>
  <c r="L31" i="4"/>
  <c r="M31" i="4"/>
  <c r="L45" i="4"/>
  <c r="M45" i="4"/>
  <c r="L63" i="4"/>
  <c r="M63" i="4"/>
  <c r="L55" i="4"/>
  <c r="M55" i="4"/>
  <c r="L16" i="4"/>
  <c r="M16" i="4"/>
  <c r="L2" i="4"/>
  <c r="M2" i="4"/>
  <c r="L30" i="4"/>
  <c r="M30" i="4"/>
  <c r="L44" i="4"/>
  <c r="M44" i="4"/>
  <c r="L70" i="4"/>
  <c r="M70" i="4"/>
  <c r="L62" i="4"/>
  <c r="M62" i="4"/>
  <c r="L54" i="4"/>
  <c r="M54" i="4"/>
  <c r="L46" i="4"/>
  <c r="M46" i="4"/>
  <c r="L68" i="4"/>
  <c r="L65" i="4"/>
  <c r="L57" i="4"/>
  <c r="L64" i="4"/>
  <c r="L69" i="4"/>
  <c r="B26" i="4"/>
  <c r="B85" i="4"/>
  <c r="D85" i="4"/>
  <c r="H85" i="4"/>
  <c r="G85" i="4"/>
  <c r="F85" i="4"/>
  <c r="E85" i="4"/>
  <c r="B77" i="4"/>
  <c r="D77" i="4"/>
  <c r="H77" i="4"/>
  <c r="G77" i="4"/>
  <c r="F77" i="4"/>
  <c r="E77" i="4"/>
  <c r="H74" i="4"/>
  <c r="G74" i="4"/>
  <c r="F74" i="4"/>
  <c r="E74" i="4"/>
  <c r="D74" i="4"/>
  <c r="H87" i="4"/>
  <c r="G87" i="4"/>
  <c r="F87" i="4"/>
  <c r="E87" i="4"/>
  <c r="D87" i="4"/>
  <c r="H79" i="4"/>
  <c r="G79" i="4"/>
  <c r="F79" i="4"/>
  <c r="E79" i="4"/>
  <c r="D79" i="4"/>
  <c r="H73" i="4"/>
  <c r="G73" i="4"/>
  <c r="F73" i="4"/>
  <c r="E73" i="4"/>
  <c r="D73" i="4"/>
  <c r="B86" i="4"/>
  <c r="G86" i="4"/>
  <c r="F86" i="4"/>
  <c r="E86" i="4"/>
  <c r="D86" i="4"/>
  <c r="H86" i="4"/>
  <c r="G78" i="4"/>
  <c r="F78" i="4"/>
  <c r="E78" i="4"/>
  <c r="D78" i="4"/>
  <c r="H78" i="4"/>
  <c r="E72" i="4"/>
  <c r="D72" i="4"/>
  <c r="H72" i="4"/>
  <c r="G72" i="4"/>
  <c r="F72" i="4"/>
  <c r="H89" i="4"/>
  <c r="G89" i="4"/>
  <c r="F89" i="4"/>
  <c r="E89" i="4"/>
  <c r="D89" i="4"/>
  <c r="B82" i="4"/>
  <c r="H82" i="4"/>
  <c r="G82" i="4"/>
  <c r="F82" i="4"/>
  <c r="E82" i="4"/>
  <c r="D82" i="4"/>
  <c r="H81" i="4"/>
  <c r="G81" i="4"/>
  <c r="F81" i="4"/>
  <c r="E81" i="4"/>
  <c r="D81" i="4"/>
  <c r="B76" i="4"/>
  <c r="H76" i="4"/>
  <c r="G76" i="4"/>
  <c r="F76" i="4"/>
  <c r="E76" i="4"/>
  <c r="D76" i="4"/>
  <c r="H90" i="4"/>
  <c r="G90" i="4"/>
  <c r="F90" i="4"/>
  <c r="E90" i="4"/>
  <c r="D90" i="4"/>
  <c r="B84" i="4"/>
  <c r="H84" i="4"/>
  <c r="G84" i="4"/>
  <c r="F84" i="4"/>
  <c r="E84" i="4"/>
  <c r="D84" i="4"/>
  <c r="B83" i="4"/>
  <c r="F83" i="4"/>
  <c r="E83" i="4"/>
  <c r="D83" i="4"/>
  <c r="H83" i="4"/>
  <c r="G83" i="4"/>
  <c r="E88" i="4"/>
  <c r="D88" i="4"/>
  <c r="H88" i="4"/>
  <c r="G88" i="4"/>
  <c r="F88" i="4"/>
  <c r="E80" i="4"/>
  <c r="D80" i="4"/>
  <c r="H80" i="4"/>
  <c r="G80" i="4"/>
  <c r="F80" i="4"/>
  <c r="B75" i="4"/>
  <c r="F75" i="4"/>
  <c r="E75" i="4"/>
  <c r="D75" i="4"/>
  <c r="H75" i="4"/>
  <c r="G75" i="4"/>
  <c r="B4" i="4"/>
  <c r="B24" i="4"/>
  <c r="B5" i="4"/>
  <c r="B20" i="4"/>
  <c r="B17" i="4"/>
  <c r="C75" i="4"/>
  <c r="B23" i="4"/>
  <c r="B13" i="4"/>
  <c r="B9" i="4"/>
  <c r="B11" i="4"/>
  <c r="B28" i="4"/>
  <c r="B10" i="4"/>
  <c r="C86" i="4"/>
  <c r="C82" i="4"/>
  <c r="B89" i="4"/>
  <c r="C89" i="4"/>
  <c r="B90" i="4"/>
  <c r="C90" i="4"/>
  <c r="C84" i="4"/>
  <c r="C83" i="4"/>
  <c r="C77" i="4"/>
  <c r="C81" i="4"/>
  <c r="B74" i="4"/>
  <c r="C74" i="4"/>
  <c r="B88" i="4"/>
  <c r="C88" i="4"/>
  <c r="C87" i="4"/>
  <c r="B80" i="4"/>
  <c r="C80" i="4"/>
  <c r="C79" i="4"/>
  <c r="C72" i="4"/>
  <c r="C73" i="4"/>
  <c r="C85" i="4"/>
  <c r="B78" i="4"/>
  <c r="C78" i="4"/>
  <c r="C76" i="4"/>
  <c r="N84" i="4" l="1"/>
  <c r="V84" i="4"/>
  <c r="AD84" i="4"/>
  <c r="AL84" i="4"/>
  <c r="AT84" i="4"/>
  <c r="BB84" i="4"/>
  <c r="BJ84" i="4"/>
  <c r="BR84" i="4"/>
  <c r="BZ84" i="4"/>
  <c r="CH84" i="4"/>
  <c r="CX84" i="4"/>
  <c r="T84" i="4"/>
  <c r="AB84" i="4"/>
  <c r="AJ84" i="4"/>
  <c r="AR84" i="4"/>
  <c r="AZ84" i="4"/>
  <c r="BH84" i="4"/>
  <c r="BP84" i="4"/>
  <c r="BX84" i="4"/>
  <c r="CF84" i="4"/>
  <c r="CN84" i="4"/>
  <c r="CV84" i="4"/>
  <c r="P84" i="4"/>
  <c r="Z84" i="4"/>
  <c r="AK84" i="4"/>
  <c r="AV84" i="4"/>
  <c r="BF84" i="4"/>
  <c r="BQ84" i="4"/>
  <c r="CB84" i="4"/>
  <c r="CW84" i="4"/>
  <c r="Q84" i="4"/>
  <c r="AA84" i="4"/>
  <c r="AM84" i="4"/>
  <c r="AW84" i="4"/>
  <c r="BG84" i="4"/>
  <c r="BS84" i="4"/>
  <c r="CC84" i="4"/>
  <c r="CM84" i="4"/>
  <c r="CY84" i="4"/>
  <c r="R84" i="4"/>
  <c r="AC84" i="4"/>
  <c r="AN84" i="4"/>
  <c r="AX84" i="4"/>
  <c r="BI84" i="4"/>
  <c r="BT84" i="4"/>
  <c r="CD84" i="4"/>
  <c r="CO84" i="4"/>
  <c r="CZ84" i="4"/>
  <c r="W84" i="4"/>
  <c r="AG84" i="4"/>
  <c r="AQ84" i="4"/>
  <c r="BC84" i="4"/>
  <c r="BM84" i="4"/>
  <c r="BW84" i="4"/>
  <c r="CI84" i="4"/>
  <c r="CS84" i="4"/>
  <c r="X84" i="4"/>
  <c r="AH84" i="4"/>
  <c r="AS84" i="4"/>
  <c r="BD84" i="4"/>
  <c r="BN84" i="4"/>
  <c r="BY84" i="4"/>
  <c r="CJ84" i="4"/>
  <c r="CT84" i="4"/>
  <c r="S84" i="4"/>
  <c r="AU84" i="4"/>
  <c r="BV84" i="4"/>
  <c r="DA84" i="4"/>
  <c r="U84" i="4"/>
  <c r="AY84" i="4"/>
  <c r="CA84" i="4"/>
  <c r="BA84" i="4"/>
  <c r="AE84" i="4"/>
  <c r="CG84" i="4"/>
  <c r="BK84" i="4"/>
  <c r="BL84" i="4"/>
  <c r="AO84" i="4"/>
  <c r="BO84" i="4"/>
  <c r="CR84" i="4"/>
  <c r="O84" i="4"/>
  <c r="AP84" i="4"/>
  <c r="BU84" i="4"/>
  <c r="CU84" i="4"/>
  <c r="Y84" i="4"/>
  <c r="CE84" i="4"/>
  <c r="BE84" i="4"/>
  <c r="AF84" i="4"/>
  <c r="CK84" i="4"/>
  <c r="AI84" i="4"/>
  <c r="CQ84" i="4"/>
  <c r="R80" i="4"/>
  <c r="Z80" i="4"/>
  <c r="AH80" i="4"/>
  <c r="AP80" i="4"/>
  <c r="AX80" i="4"/>
  <c r="BF80" i="4"/>
  <c r="BN80" i="4"/>
  <c r="BV80" i="4"/>
  <c r="CD80" i="4"/>
  <c r="CT80" i="4"/>
  <c r="S80" i="4"/>
  <c r="AA80" i="4"/>
  <c r="AI80" i="4"/>
  <c r="AQ80" i="4"/>
  <c r="AY80" i="4"/>
  <c r="BG80" i="4"/>
  <c r="BO80" i="4"/>
  <c r="BW80" i="4"/>
  <c r="CE80" i="4"/>
  <c r="CM80" i="4"/>
  <c r="CU80" i="4"/>
  <c r="O80" i="4"/>
  <c r="Y80" i="4"/>
  <c r="AK80" i="4"/>
  <c r="AU80" i="4"/>
  <c r="BE80" i="4"/>
  <c r="BQ80" i="4"/>
  <c r="CA80" i="4"/>
  <c r="CK80" i="4"/>
  <c r="CW80" i="4"/>
  <c r="P80" i="4"/>
  <c r="AB80" i="4"/>
  <c r="AL80" i="4"/>
  <c r="AV80" i="4"/>
  <c r="BH80" i="4"/>
  <c r="BR80" i="4"/>
  <c r="CB80" i="4"/>
  <c r="CN80" i="4"/>
  <c r="CX80" i="4"/>
  <c r="V80" i="4"/>
  <c r="AF80" i="4"/>
  <c r="AR80" i="4"/>
  <c r="BB80" i="4"/>
  <c r="BL80" i="4"/>
  <c r="BX80" i="4"/>
  <c r="CH80" i="4"/>
  <c r="CR80" i="4"/>
  <c r="W80" i="4"/>
  <c r="AG80" i="4"/>
  <c r="AS80" i="4"/>
  <c r="BC80" i="4"/>
  <c r="BM80" i="4"/>
  <c r="BY80" i="4"/>
  <c r="CI80" i="4"/>
  <c r="CS80" i="4"/>
  <c r="T80" i="4"/>
  <c r="AN80" i="4"/>
  <c r="BJ80" i="4"/>
  <c r="CF80" i="4"/>
  <c r="CZ80" i="4"/>
  <c r="X80" i="4"/>
  <c r="AT80" i="4"/>
  <c r="BP80" i="4"/>
  <c r="CJ80" i="4"/>
  <c r="U80" i="4"/>
  <c r="AO80" i="4"/>
  <c r="BK80" i="4"/>
  <c r="CG80" i="4"/>
  <c r="DA80" i="4"/>
  <c r="AE80" i="4"/>
  <c r="BA80" i="4"/>
  <c r="BU80" i="4"/>
  <c r="CQ80" i="4"/>
  <c r="N80" i="4"/>
  <c r="AJ80" i="4"/>
  <c r="BD80" i="4"/>
  <c r="BZ80" i="4"/>
  <c r="CV80" i="4"/>
  <c r="AD80" i="4"/>
  <c r="CO80" i="4"/>
  <c r="AM80" i="4"/>
  <c r="AW80" i="4"/>
  <c r="CY80" i="4"/>
  <c r="Q80" i="4"/>
  <c r="BT80" i="4"/>
  <c r="AC80" i="4"/>
  <c r="CC80" i="4"/>
  <c r="AZ80" i="4"/>
  <c r="BI80" i="4"/>
  <c r="BS80" i="4"/>
  <c r="P10" i="4"/>
  <c r="X10" i="4"/>
  <c r="AF10" i="4"/>
  <c r="AN10" i="4"/>
  <c r="AV10" i="4"/>
  <c r="BD10" i="4"/>
  <c r="BL10" i="4"/>
  <c r="BT10" i="4"/>
  <c r="CB10" i="4"/>
  <c r="CJ10" i="4"/>
  <c r="CR10" i="4"/>
  <c r="CZ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N10" i="4"/>
  <c r="Z10" i="4"/>
  <c r="AJ10" i="4"/>
  <c r="AT10" i="4"/>
  <c r="BF10" i="4"/>
  <c r="BP10" i="4"/>
  <c r="BZ10" i="4"/>
  <c r="CV10" i="4"/>
  <c r="O10" i="4"/>
  <c r="AA10" i="4"/>
  <c r="AK10" i="4"/>
  <c r="AU10" i="4"/>
  <c r="BG10" i="4"/>
  <c r="BQ10" i="4"/>
  <c r="CA10" i="4"/>
  <c r="CM10" i="4"/>
  <c r="CW10" i="4"/>
  <c r="V10" i="4"/>
  <c r="AH10" i="4"/>
  <c r="AR10" i="4"/>
  <c r="BB10" i="4"/>
  <c r="BN10" i="4"/>
  <c r="BX10" i="4"/>
  <c r="CH10" i="4"/>
  <c r="CT10" i="4"/>
  <c r="T10" i="4"/>
  <c r="AL10" i="4"/>
  <c r="BA10" i="4"/>
  <c r="BS10" i="4"/>
  <c r="CI10" i="4"/>
  <c r="W10" i="4"/>
  <c r="AP10" i="4"/>
  <c r="BH10" i="4"/>
  <c r="BW10" i="4"/>
  <c r="CO10" i="4"/>
  <c r="R10" i="4"/>
  <c r="AE10" i="4"/>
  <c r="AY10" i="4"/>
  <c r="BO10" i="4"/>
  <c r="CF10" i="4"/>
  <c r="CX10" i="4"/>
  <c r="AC10" i="4"/>
  <c r="BC10" i="4"/>
  <c r="CE10" i="4"/>
  <c r="AD10" i="4"/>
  <c r="BI10" i="4"/>
  <c r="CG10" i="4"/>
  <c r="AI10" i="4"/>
  <c r="BJ10" i="4"/>
  <c r="CN10" i="4"/>
  <c r="U10" i="4"/>
  <c r="AX10" i="4"/>
  <c r="BY10" i="4"/>
  <c r="CY10" i="4"/>
  <c r="BK10" i="4"/>
  <c r="BR10" i="4"/>
  <c r="AZ10" i="4"/>
  <c r="AQ10" i="4"/>
  <c r="S10" i="4"/>
  <c r="CQ10" i="4"/>
  <c r="AB10" i="4"/>
  <c r="CU10" i="4"/>
  <c r="AM10" i="4"/>
  <c r="BV10" i="4"/>
  <c r="CD10" i="4"/>
  <c r="AS10" i="4"/>
  <c r="U20" i="4"/>
  <c r="AC20" i="4"/>
  <c r="AK20" i="4"/>
  <c r="AS20" i="4"/>
  <c r="BA20" i="4"/>
  <c r="BI20" i="4"/>
  <c r="BQ20" i="4"/>
  <c r="BY20" i="4"/>
  <c r="CG20" i="4"/>
  <c r="CO20" i="4"/>
  <c r="CW20" i="4"/>
  <c r="O20" i="4"/>
  <c r="W20" i="4"/>
  <c r="AE20" i="4"/>
  <c r="AM20" i="4"/>
  <c r="AU20" i="4"/>
  <c r="BC20" i="4"/>
  <c r="BK20" i="4"/>
  <c r="BS20" i="4"/>
  <c r="CA20" i="4"/>
  <c r="CI20" i="4"/>
  <c r="CQ20" i="4"/>
  <c r="CY20" i="4"/>
  <c r="S20" i="4"/>
  <c r="AA20" i="4"/>
  <c r="AI20" i="4"/>
  <c r="AQ20" i="4"/>
  <c r="AY20" i="4"/>
  <c r="BG20" i="4"/>
  <c r="BO20" i="4"/>
  <c r="BW20" i="4"/>
  <c r="CE20" i="4"/>
  <c r="CM20" i="4"/>
  <c r="CU20" i="4"/>
  <c r="R20" i="4"/>
  <c r="AF20" i="4"/>
  <c r="AR20" i="4"/>
  <c r="BE20" i="4"/>
  <c r="BR20" i="4"/>
  <c r="CD20" i="4"/>
  <c r="CR20" i="4"/>
  <c r="T20" i="4"/>
  <c r="AG20" i="4"/>
  <c r="AT20" i="4"/>
  <c r="BF20" i="4"/>
  <c r="BT20" i="4"/>
  <c r="CF20" i="4"/>
  <c r="CS20" i="4"/>
  <c r="N20" i="4"/>
  <c r="Z20" i="4"/>
  <c r="AN20" i="4"/>
  <c r="AZ20" i="4"/>
  <c r="BM20" i="4"/>
  <c r="BZ20" i="4"/>
  <c r="CZ20" i="4"/>
  <c r="X20" i="4"/>
  <c r="AP20" i="4"/>
  <c r="BL20" i="4"/>
  <c r="CH20" i="4"/>
  <c r="DA20" i="4"/>
  <c r="Y20" i="4"/>
  <c r="AV20" i="4"/>
  <c r="BN20" i="4"/>
  <c r="CJ20" i="4"/>
  <c r="V20" i="4"/>
  <c r="AO20" i="4"/>
  <c r="BJ20" i="4"/>
  <c r="CC20" i="4"/>
  <c r="CX20" i="4"/>
  <c r="AD20" i="4"/>
  <c r="BH20" i="4"/>
  <c r="P20" i="4"/>
  <c r="AX20" i="4"/>
  <c r="CB20" i="4"/>
  <c r="Q20" i="4"/>
  <c r="BB20" i="4"/>
  <c r="CK20" i="4"/>
  <c r="BP20" i="4"/>
  <c r="BU20" i="4"/>
  <c r="AB20" i="4"/>
  <c r="BV20" i="4"/>
  <c r="AH20" i="4"/>
  <c r="BX20" i="4"/>
  <c r="AL20" i="4"/>
  <c r="CT20" i="4"/>
  <c r="AW20" i="4"/>
  <c r="CV20" i="4"/>
  <c r="BD20" i="4"/>
  <c r="AJ20" i="4"/>
  <c r="CN20" i="4"/>
  <c r="N83" i="4"/>
  <c r="R83" i="4"/>
  <c r="Z83" i="4"/>
  <c r="AH83" i="4"/>
  <c r="AP83" i="4"/>
  <c r="AX83" i="4"/>
  <c r="BF83" i="4"/>
  <c r="BN83" i="4"/>
  <c r="BV83" i="4"/>
  <c r="CD83" i="4"/>
  <c r="CT83" i="4"/>
  <c r="P83" i="4"/>
  <c r="X83" i="4"/>
  <c r="AF83" i="4"/>
  <c r="AN83" i="4"/>
  <c r="AV83" i="4"/>
  <c r="BD83" i="4"/>
  <c r="BL83" i="4"/>
  <c r="BT83" i="4"/>
  <c r="CB83" i="4"/>
  <c r="CJ83" i="4"/>
  <c r="CR83" i="4"/>
  <c r="CZ83" i="4"/>
  <c r="V83" i="4"/>
  <c r="AG83" i="4"/>
  <c r="AR83" i="4"/>
  <c r="BB83" i="4"/>
  <c r="BM83" i="4"/>
  <c r="BX83" i="4"/>
  <c r="CH83" i="4"/>
  <c r="CS83" i="4"/>
  <c r="CI83" i="4"/>
  <c r="CU83" i="4"/>
  <c r="Y83" i="4"/>
  <c r="AJ83" i="4"/>
  <c r="AT83" i="4"/>
  <c r="BE83" i="4"/>
  <c r="BP83" i="4"/>
  <c r="BZ83" i="4"/>
  <c r="CK83" i="4"/>
  <c r="CV83" i="4"/>
  <c r="W83" i="4"/>
  <c r="AI83" i="4"/>
  <c r="AS83" i="4"/>
  <c r="BC83" i="4"/>
  <c r="BO83" i="4"/>
  <c r="BY83" i="4"/>
  <c r="S83" i="4"/>
  <c r="AC83" i="4"/>
  <c r="AM83" i="4"/>
  <c r="AY83" i="4"/>
  <c r="BI83" i="4"/>
  <c r="BS83" i="4"/>
  <c r="CE83" i="4"/>
  <c r="CO83" i="4"/>
  <c r="CY83" i="4"/>
  <c r="T83" i="4"/>
  <c r="AD83" i="4"/>
  <c r="AO83" i="4"/>
  <c r="AZ83" i="4"/>
  <c r="BJ83" i="4"/>
  <c r="BU83" i="4"/>
  <c r="CF83" i="4"/>
  <c r="DA83" i="4"/>
  <c r="AA83" i="4"/>
  <c r="BA83" i="4"/>
  <c r="CC83" i="4"/>
  <c r="AK83" i="4"/>
  <c r="AB83" i="4"/>
  <c r="BG83" i="4"/>
  <c r="CG83" i="4"/>
  <c r="AE83" i="4"/>
  <c r="CM83" i="4"/>
  <c r="BK83" i="4"/>
  <c r="AL83" i="4"/>
  <c r="CQ83" i="4"/>
  <c r="AQ83" i="4"/>
  <c r="CW83" i="4"/>
  <c r="Q83" i="4"/>
  <c r="AU83" i="4"/>
  <c r="BW83" i="4"/>
  <c r="CX83" i="4"/>
  <c r="U83" i="4"/>
  <c r="AW83" i="4"/>
  <c r="CA83" i="4"/>
  <c r="BH83" i="4"/>
  <c r="CN83" i="4"/>
  <c r="BQ83" i="4"/>
  <c r="O83" i="4"/>
  <c r="BR83" i="4"/>
  <c r="R85" i="4"/>
  <c r="Z85" i="4"/>
  <c r="AH85" i="4"/>
  <c r="AP85" i="4"/>
  <c r="AX85" i="4"/>
  <c r="BF85" i="4"/>
  <c r="BN85" i="4"/>
  <c r="BV85" i="4"/>
  <c r="CD85" i="4"/>
  <c r="CT85" i="4"/>
  <c r="P85" i="4"/>
  <c r="X85" i="4"/>
  <c r="AF85" i="4"/>
  <c r="AN85" i="4"/>
  <c r="AV85" i="4"/>
  <c r="BD85" i="4"/>
  <c r="BL85" i="4"/>
  <c r="BT85" i="4"/>
  <c r="CB85" i="4"/>
  <c r="CJ85" i="4"/>
  <c r="CR85" i="4"/>
  <c r="CZ85" i="4"/>
  <c r="T85" i="4"/>
  <c r="AD85" i="4"/>
  <c r="AO85" i="4"/>
  <c r="AZ85" i="4"/>
  <c r="BJ85" i="4"/>
  <c r="BU85" i="4"/>
  <c r="CF85" i="4"/>
  <c r="DA85" i="4"/>
  <c r="U85" i="4"/>
  <c r="AE85" i="4"/>
  <c r="AQ85" i="4"/>
  <c r="BA85" i="4"/>
  <c r="BK85" i="4"/>
  <c r="BW85" i="4"/>
  <c r="CG85" i="4"/>
  <c r="CQ85" i="4"/>
  <c r="V85" i="4"/>
  <c r="AG85" i="4"/>
  <c r="AR85" i="4"/>
  <c r="BB85" i="4"/>
  <c r="BM85" i="4"/>
  <c r="BX85" i="4"/>
  <c r="CH85" i="4"/>
  <c r="CS85" i="4"/>
  <c r="O85" i="4"/>
  <c r="AA85" i="4"/>
  <c r="AK85" i="4"/>
  <c r="AU85" i="4"/>
  <c r="BG85" i="4"/>
  <c r="BQ85" i="4"/>
  <c r="CA85" i="4"/>
  <c r="CM85" i="4"/>
  <c r="CW85" i="4"/>
  <c r="Q85" i="4"/>
  <c r="AB85" i="4"/>
  <c r="AL85" i="4"/>
  <c r="AW85" i="4"/>
  <c r="BH85" i="4"/>
  <c r="BR85" i="4"/>
  <c r="CC85" i="4"/>
  <c r="CN85" i="4"/>
  <c r="CX85" i="4"/>
  <c r="AM85" i="4"/>
  <c r="BP85" i="4"/>
  <c r="CU85" i="4"/>
  <c r="N85" i="4"/>
  <c r="AS85" i="4"/>
  <c r="BS85" i="4"/>
  <c r="CV85" i="4"/>
  <c r="S85" i="4"/>
  <c r="BY85" i="4"/>
  <c r="AY85" i="4"/>
  <c r="Y85" i="4"/>
  <c r="CE85" i="4"/>
  <c r="AC85" i="4"/>
  <c r="CI85" i="4"/>
  <c r="AI85" i="4"/>
  <c r="BI85" i="4"/>
  <c r="CK85" i="4"/>
  <c r="AJ85" i="4"/>
  <c r="BO85" i="4"/>
  <c r="CO85" i="4"/>
  <c r="AT85" i="4"/>
  <c r="CY85" i="4"/>
  <c r="W85" i="4"/>
  <c r="BZ85" i="4"/>
  <c r="BC85" i="4"/>
  <c r="BE85" i="4"/>
  <c r="N90" i="4"/>
  <c r="V90" i="4"/>
  <c r="AD90" i="4"/>
  <c r="AL90" i="4"/>
  <c r="AT90" i="4"/>
  <c r="BB90" i="4"/>
  <c r="BJ90" i="4"/>
  <c r="BR90" i="4"/>
  <c r="BZ90" i="4"/>
  <c r="CH90" i="4"/>
  <c r="CX90" i="4"/>
  <c r="T90" i="4"/>
  <c r="AB90" i="4"/>
  <c r="AJ90" i="4"/>
  <c r="AR90" i="4"/>
  <c r="AZ90" i="4"/>
  <c r="BH90" i="4"/>
  <c r="BP90" i="4"/>
  <c r="BX90" i="4"/>
  <c r="CF90" i="4"/>
  <c r="CN90" i="4"/>
  <c r="CV90" i="4"/>
  <c r="R90" i="4"/>
  <c r="AC90" i="4"/>
  <c r="AN90" i="4"/>
  <c r="AX90" i="4"/>
  <c r="BI90" i="4"/>
  <c r="BT90" i="4"/>
  <c r="CD90" i="4"/>
  <c r="CO90" i="4"/>
  <c r="CZ90" i="4"/>
  <c r="S90" i="4"/>
  <c r="AE90" i="4"/>
  <c r="AO90" i="4"/>
  <c r="AY90" i="4"/>
  <c r="BK90" i="4"/>
  <c r="BU90" i="4"/>
  <c r="CE90" i="4"/>
  <c r="CQ90" i="4"/>
  <c r="DA90" i="4"/>
  <c r="O90" i="4"/>
  <c r="Y90" i="4"/>
  <c r="AI90" i="4"/>
  <c r="AU90" i="4"/>
  <c r="BE90" i="4"/>
  <c r="BO90" i="4"/>
  <c r="CA90" i="4"/>
  <c r="CK90" i="4"/>
  <c r="CU90" i="4"/>
  <c r="P90" i="4"/>
  <c r="Z90" i="4"/>
  <c r="AK90" i="4"/>
  <c r="AV90" i="4"/>
  <c r="BF90" i="4"/>
  <c r="BQ90" i="4"/>
  <c r="CB90" i="4"/>
  <c r="CW90" i="4"/>
  <c r="AF90" i="4"/>
  <c r="BA90" i="4"/>
  <c r="BV90" i="4"/>
  <c r="CR90" i="4"/>
  <c r="AG90" i="4"/>
  <c r="BC90" i="4"/>
  <c r="CS90" i="4"/>
  <c r="AM90" i="4"/>
  <c r="CY90" i="4"/>
  <c r="BW90" i="4"/>
  <c r="BY90" i="4"/>
  <c r="BG90" i="4"/>
  <c r="U90" i="4"/>
  <c r="BL90" i="4"/>
  <c r="W90" i="4"/>
  <c r="BM90" i="4"/>
  <c r="X90" i="4"/>
  <c r="AS90" i="4"/>
  <c r="BN90" i="4"/>
  <c r="CJ90" i="4"/>
  <c r="AA90" i="4"/>
  <c r="AW90" i="4"/>
  <c r="BS90" i="4"/>
  <c r="CM90" i="4"/>
  <c r="AH90" i="4"/>
  <c r="BD90" i="4"/>
  <c r="CT90" i="4"/>
  <c r="Q90" i="4"/>
  <c r="CC90" i="4"/>
  <c r="AP90" i="4"/>
  <c r="CG90" i="4"/>
  <c r="AQ90" i="4"/>
  <c r="CI90" i="4"/>
  <c r="R9" i="4"/>
  <c r="Z9" i="4"/>
  <c r="AH9" i="4"/>
  <c r="AP9" i="4"/>
  <c r="S9" i="4"/>
  <c r="O9" i="4"/>
  <c r="Y9" i="4"/>
  <c r="AI9" i="4"/>
  <c r="AR9" i="4"/>
  <c r="AZ9" i="4"/>
  <c r="BH9" i="4"/>
  <c r="BP9" i="4"/>
  <c r="BX9" i="4"/>
  <c r="CF9" i="4"/>
  <c r="CN9" i="4"/>
  <c r="CV9" i="4"/>
  <c r="P9" i="4"/>
  <c r="AA9" i="4"/>
  <c r="AJ9" i="4"/>
  <c r="AS9" i="4"/>
  <c r="BA9" i="4"/>
  <c r="BI9" i="4"/>
  <c r="BQ9" i="4"/>
  <c r="BY9" i="4"/>
  <c r="CG9" i="4"/>
  <c r="CO9" i="4"/>
  <c r="CW9" i="4"/>
  <c r="V9" i="4"/>
  <c r="AE9" i="4"/>
  <c r="AN9" i="4"/>
  <c r="AW9" i="4"/>
  <c r="BE9" i="4"/>
  <c r="BM9" i="4"/>
  <c r="BU9" i="4"/>
  <c r="CC9" i="4"/>
  <c r="CK9" i="4"/>
  <c r="CS9" i="4"/>
  <c r="AC9" i="4"/>
  <c r="AQ9" i="4"/>
  <c r="BD9" i="4"/>
  <c r="BR9" i="4"/>
  <c r="CD9" i="4"/>
  <c r="CQ9" i="4"/>
  <c r="N9" i="4"/>
  <c r="AD9" i="4"/>
  <c r="AT9" i="4"/>
  <c r="BF9" i="4"/>
  <c r="BS9" i="4"/>
  <c r="CE9" i="4"/>
  <c r="CR9" i="4"/>
  <c r="X9" i="4"/>
  <c r="AM9" i="4"/>
  <c r="BB9" i="4"/>
  <c r="BN9" i="4"/>
  <c r="CA9" i="4"/>
  <c r="CM9" i="4"/>
  <c r="CZ9" i="4"/>
  <c r="AF9" i="4"/>
  <c r="AY9" i="4"/>
  <c r="BV9" i="4"/>
  <c r="AK9" i="4"/>
  <c r="BG9" i="4"/>
  <c r="BZ9" i="4"/>
  <c r="CU9" i="4"/>
  <c r="W9" i="4"/>
  <c r="AV9" i="4"/>
  <c r="BO9" i="4"/>
  <c r="CJ9" i="4"/>
  <c r="U9" i="4"/>
  <c r="BJ9" i="4"/>
  <c r="AB9" i="4"/>
  <c r="BK9" i="4"/>
  <c r="CT9" i="4"/>
  <c r="AG9" i="4"/>
  <c r="BL9" i="4"/>
  <c r="CX9" i="4"/>
  <c r="Q9" i="4"/>
  <c r="AX9" i="4"/>
  <c r="CH9" i="4"/>
  <c r="AL9" i="4"/>
  <c r="CY9" i="4"/>
  <c r="AO9" i="4"/>
  <c r="DA9" i="4"/>
  <c r="T9" i="4"/>
  <c r="CI9" i="4"/>
  <c r="AU9" i="4"/>
  <c r="BC9" i="4"/>
  <c r="BW9" i="4"/>
  <c r="CB9" i="4"/>
  <c r="BT9" i="4"/>
  <c r="N4" i="4"/>
  <c r="V4" i="4"/>
  <c r="AD4" i="4"/>
  <c r="AL4" i="4"/>
  <c r="AT4" i="4"/>
  <c r="BB4" i="4"/>
  <c r="BJ4" i="4"/>
  <c r="BR4" i="4"/>
  <c r="BZ4" i="4"/>
  <c r="CH4" i="4"/>
  <c r="CX4" i="4"/>
  <c r="O4" i="4"/>
  <c r="W4" i="4"/>
  <c r="AE4" i="4"/>
  <c r="AM4" i="4"/>
  <c r="AU4" i="4"/>
  <c r="BC4" i="4"/>
  <c r="BK4" i="4"/>
  <c r="BS4" i="4"/>
  <c r="CA4" i="4"/>
  <c r="CI4" i="4"/>
  <c r="CQ4" i="4"/>
  <c r="CY4" i="4"/>
  <c r="T4" i="4"/>
  <c r="AB4" i="4"/>
  <c r="AJ4" i="4"/>
  <c r="AR4" i="4"/>
  <c r="AZ4" i="4"/>
  <c r="BH4" i="4"/>
  <c r="BP4" i="4"/>
  <c r="BX4" i="4"/>
  <c r="CF4" i="4"/>
  <c r="CN4" i="4"/>
  <c r="CV4" i="4"/>
  <c r="S4" i="4"/>
  <c r="AG4" i="4"/>
  <c r="AS4" i="4"/>
  <c r="BF4" i="4"/>
  <c r="BT4" i="4"/>
  <c r="CE4" i="4"/>
  <c r="CS4" i="4"/>
  <c r="U4" i="4"/>
  <c r="AH4" i="4"/>
  <c r="AV4" i="4"/>
  <c r="BG4" i="4"/>
  <c r="BU4" i="4"/>
  <c r="CG4" i="4"/>
  <c r="CT4" i="4"/>
  <c r="P4" i="4"/>
  <c r="AA4" i="4"/>
  <c r="AO4" i="4"/>
  <c r="BA4" i="4"/>
  <c r="BN4" i="4"/>
  <c r="CB4" i="4"/>
  <c r="CM4" i="4"/>
  <c r="DA4" i="4"/>
  <c r="R4" i="4"/>
  <c r="AN4" i="4"/>
  <c r="BI4" i="4"/>
  <c r="CC4" i="4"/>
  <c r="CW4" i="4"/>
  <c r="X4" i="4"/>
  <c r="AP4" i="4"/>
  <c r="BL4" i="4"/>
  <c r="CD4" i="4"/>
  <c r="CZ4" i="4"/>
  <c r="AI4" i="4"/>
  <c r="BD4" i="4"/>
  <c r="BW4" i="4"/>
  <c r="CR4" i="4"/>
  <c r="Y4" i="4"/>
  <c r="AY4" i="4"/>
  <c r="CK4" i="4"/>
  <c r="AC4" i="4"/>
  <c r="BM4" i="4"/>
  <c r="CO4" i="4"/>
  <c r="AW4" i="4"/>
  <c r="BY4" i="4"/>
  <c r="Q4" i="4"/>
  <c r="AX4" i="4"/>
  <c r="CJ4" i="4"/>
  <c r="BO4" i="4"/>
  <c r="BQ4" i="4"/>
  <c r="BV4" i="4"/>
  <c r="AQ4" i="4"/>
  <c r="Z4" i="4"/>
  <c r="AF4" i="4"/>
  <c r="BE4" i="4"/>
  <c r="CU4" i="4"/>
  <c r="AK4" i="4"/>
  <c r="N26" i="4"/>
  <c r="V26" i="4"/>
  <c r="AD26" i="4"/>
  <c r="AL26" i="4"/>
  <c r="AT26" i="4"/>
  <c r="BB26" i="4"/>
  <c r="BJ26" i="4"/>
  <c r="BR26" i="4"/>
  <c r="BZ26" i="4"/>
  <c r="CH26" i="4"/>
  <c r="CX26" i="4"/>
  <c r="O26" i="4"/>
  <c r="W26" i="4"/>
  <c r="AE26" i="4"/>
  <c r="AM26" i="4"/>
  <c r="AU26" i="4"/>
  <c r="BC26" i="4"/>
  <c r="BK26" i="4"/>
  <c r="BS26" i="4"/>
  <c r="CA26" i="4"/>
  <c r="CI26" i="4"/>
  <c r="CQ26" i="4"/>
  <c r="CY26" i="4"/>
  <c r="S26" i="4"/>
  <c r="AA26" i="4"/>
  <c r="AI26" i="4"/>
  <c r="AQ26" i="4"/>
  <c r="AY26" i="4"/>
  <c r="BG26" i="4"/>
  <c r="BO26" i="4"/>
  <c r="BW26" i="4"/>
  <c r="CE26" i="4"/>
  <c r="CM26" i="4"/>
  <c r="CU26" i="4"/>
  <c r="U26" i="4"/>
  <c r="AH26" i="4"/>
  <c r="AV26" i="4"/>
  <c r="BH26" i="4"/>
  <c r="BU26" i="4"/>
  <c r="CG26" i="4"/>
  <c r="CT26" i="4"/>
  <c r="X26" i="4"/>
  <c r="AJ26" i="4"/>
  <c r="AW26" i="4"/>
  <c r="BI26" i="4"/>
  <c r="BV26" i="4"/>
  <c r="CJ26" i="4"/>
  <c r="CV26" i="4"/>
  <c r="T26" i="4"/>
  <c r="AG26" i="4"/>
  <c r="AS26" i="4"/>
  <c r="BF26" i="4"/>
  <c r="BT26" i="4"/>
  <c r="CF26" i="4"/>
  <c r="CS26" i="4"/>
  <c r="Q26" i="4"/>
  <c r="AN26" i="4"/>
  <c r="BE26" i="4"/>
  <c r="CB26" i="4"/>
  <c r="CW26" i="4"/>
  <c r="AC26" i="4"/>
  <c r="AZ26" i="4"/>
  <c r="BQ26" i="4"/>
  <c r="CN26" i="4"/>
  <c r="AB26" i="4"/>
  <c r="BD26" i="4"/>
  <c r="CD26" i="4"/>
  <c r="AF26" i="4"/>
  <c r="AK26" i="4"/>
  <c r="AO26" i="4"/>
  <c r="R26" i="4"/>
  <c r="AR26" i="4"/>
  <c r="BX26" i="4"/>
  <c r="CZ26" i="4"/>
  <c r="Y26" i="4"/>
  <c r="AX26" i="4"/>
  <c r="BY26" i="4"/>
  <c r="DA26" i="4"/>
  <c r="Z26" i="4"/>
  <c r="BA26" i="4"/>
  <c r="CC26" i="4"/>
  <c r="CK26" i="4"/>
  <c r="P26" i="4"/>
  <c r="CO26" i="4"/>
  <c r="AP26" i="4"/>
  <c r="CR26" i="4"/>
  <c r="BM26" i="4"/>
  <c r="BN26" i="4"/>
  <c r="BP26" i="4"/>
  <c r="BL26" i="4"/>
  <c r="Q17" i="4"/>
  <c r="Y17" i="4"/>
  <c r="AG17" i="4"/>
  <c r="AO17" i="4"/>
  <c r="AW17" i="4"/>
  <c r="BE17" i="4"/>
  <c r="BM17" i="4"/>
  <c r="BU17" i="4"/>
  <c r="CC17" i="4"/>
  <c r="CK17" i="4"/>
  <c r="CS17" i="4"/>
  <c r="DA17" i="4"/>
  <c r="S17" i="4"/>
  <c r="AA17" i="4"/>
  <c r="AI17" i="4"/>
  <c r="AQ17" i="4"/>
  <c r="AY17" i="4"/>
  <c r="BG17" i="4"/>
  <c r="BO17" i="4"/>
  <c r="BW17" i="4"/>
  <c r="CE17" i="4"/>
  <c r="CM17" i="4"/>
  <c r="CU17" i="4"/>
  <c r="O17" i="4"/>
  <c r="W17" i="4"/>
  <c r="AE17" i="4"/>
  <c r="AM17" i="4"/>
  <c r="AU17" i="4"/>
  <c r="BC17" i="4"/>
  <c r="BK17" i="4"/>
  <c r="BS17" i="4"/>
  <c r="CA17" i="4"/>
  <c r="CI17" i="4"/>
  <c r="CQ17" i="4"/>
  <c r="CY17" i="4"/>
  <c r="Z17" i="4"/>
  <c r="AL17" i="4"/>
  <c r="AZ17" i="4"/>
  <c r="BL17" i="4"/>
  <c r="BY17" i="4"/>
  <c r="CX17" i="4"/>
  <c r="N17" i="4"/>
  <c r="AB17" i="4"/>
  <c r="AN17" i="4"/>
  <c r="BA17" i="4"/>
  <c r="BN17" i="4"/>
  <c r="BZ17" i="4"/>
  <c r="CN17" i="4"/>
  <c r="CZ17" i="4"/>
  <c r="U17" i="4"/>
  <c r="AH17" i="4"/>
  <c r="AT17" i="4"/>
  <c r="BH17" i="4"/>
  <c r="BT17" i="4"/>
  <c r="CG17" i="4"/>
  <c r="CT17" i="4"/>
  <c r="AF17" i="4"/>
  <c r="BB17" i="4"/>
  <c r="BV17" i="4"/>
  <c r="P17" i="4"/>
  <c r="AJ17" i="4"/>
  <c r="BD17" i="4"/>
  <c r="BX17" i="4"/>
  <c r="CR17" i="4"/>
  <c r="AD17" i="4"/>
  <c r="AX17" i="4"/>
  <c r="BR17" i="4"/>
  <c r="CO17" i="4"/>
  <c r="AR17" i="4"/>
  <c r="CB17" i="4"/>
  <c r="AC17" i="4"/>
  <c r="BJ17" i="4"/>
  <c r="CV17" i="4"/>
  <c r="AK17" i="4"/>
  <c r="BP17" i="4"/>
  <c r="CW17" i="4"/>
  <c r="AP17" i="4"/>
  <c r="T17" i="4"/>
  <c r="CD17" i="4"/>
  <c r="V17" i="4"/>
  <c r="CF17" i="4"/>
  <c r="X17" i="4"/>
  <c r="CH17" i="4"/>
  <c r="AS17" i="4"/>
  <c r="CJ17" i="4"/>
  <c r="BF17" i="4"/>
  <c r="BI17" i="4"/>
  <c r="R17" i="4"/>
  <c r="BQ17" i="4"/>
  <c r="AV17" i="4"/>
  <c r="N28" i="4"/>
  <c r="V28" i="4"/>
  <c r="AD28" i="4"/>
  <c r="AL28" i="4"/>
  <c r="AT28" i="4"/>
  <c r="BB28" i="4"/>
  <c r="BJ28" i="4"/>
  <c r="BR28" i="4"/>
  <c r="BZ28" i="4"/>
  <c r="CH28" i="4"/>
  <c r="CX28" i="4"/>
  <c r="O28" i="4"/>
  <c r="W28" i="4"/>
  <c r="AE28" i="4"/>
  <c r="AM28" i="4"/>
  <c r="AU28" i="4"/>
  <c r="BC28" i="4"/>
  <c r="BK28" i="4"/>
  <c r="BS28" i="4"/>
  <c r="CA28" i="4"/>
  <c r="CI28" i="4"/>
  <c r="CQ28" i="4"/>
  <c r="CY28" i="4"/>
  <c r="S28" i="4"/>
  <c r="AA28" i="4"/>
  <c r="AI28" i="4"/>
  <c r="AQ28" i="4"/>
  <c r="AY28" i="4"/>
  <c r="BG28" i="4"/>
  <c r="BO28" i="4"/>
  <c r="BW28" i="4"/>
  <c r="CE28" i="4"/>
  <c r="CM28" i="4"/>
  <c r="CU28" i="4"/>
  <c r="Q28" i="4"/>
  <c r="AC28" i="4"/>
  <c r="AP28" i="4"/>
  <c r="BD28" i="4"/>
  <c r="BP28" i="4"/>
  <c r="CC28" i="4"/>
  <c r="CO28" i="4"/>
  <c r="R28" i="4"/>
  <c r="AF28" i="4"/>
  <c r="AR28" i="4"/>
  <c r="BE28" i="4"/>
  <c r="BQ28" i="4"/>
  <c r="CD28" i="4"/>
  <c r="CR28" i="4"/>
  <c r="P28" i="4"/>
  <c r="T28" i="4"/>
  <c r="AJ28" i="4"/>
  <c r="AZ28" i="4"/>
  <c r="BT28" i="4"/>
  <c r="CJ28" i="4"/>
  <c r="CZ28" i="4"/>
  <c r="AB28" i="4"/>
  <c r="AV28" i="4"/>
  <c r="BL28" i="4"/>
  <c r="CB28" i="4"/>
  <c r="CT28" i="4"/>
  <c r="AH28" i="4"/>
  <c r="BF28" i="4"/>
  <c r="BY28" i="4"/>
  <c r="CW28" i="4"/>
  <c r="Y28" i="4"/>
  <c r="AW28" i="4"/>
  <c r="BU28" i="4"/>
  <c r="CN28" i="4"/>
  <c r="Z28" i="4"/>
  <c r="AX28" i="4"/>
  <c r="BV28" i="4"/>
  <c r="CS28" i="4"/>
  <c r="AG28" i="4"/>
  <c r="BA28" i="4"/>
  <c r="BX28" i="4"/>
  <c r="CV28" i="4"/>
  <c r="BH28" i="4"/>
  <c r="DA28" i="4"/>
  <c r="BI28" i="4"/>
  <c r="U28" i="4"/>
  <c r="BM28" i="4"/>
  <c r="X28" i="4"/>
  <c r="BN28" i="4"/>
  <c r="AN28" i="4"/>
  <c r="CG28" i="4"/>
  <c r="AO28" i="4"/>
  <c r="CK28" i="4"/>
  <c r="AS28" i="4"/>
  <c r="AK28" i="4"/>
  <c r="CF28" i="4"/>
  <c r="R5" i="4"/>
  <c r="Z5" i="4"/>
  <c r="AH5" i="4"/>
  <c r="AP5" i="4"/>
  <c r="AX5" i="4"/>
  <c r="BF5" i="4"/>
  <c r="BN5" i="4"/>
  <c r="BV5" i="4"/>
  <c r="CD5" i="4"/>
  <c r="CT5" i="4"/>
  <c r="S5" i="4"/>
  <c r="AA5" i="4"/>
  <c r="AI5" i="4"/>
  <c r="AQ5" i="4"/>
  <c r="AY5" i="4"/>
  <c r="BG5" i="4"/>
  <c r="BO5" i="4"/>
  <c r="BW5" i="4"/>
  <c r="CE5" i="4"/>
  <c r="CM5" i="4"/>
  <c r="CU5" i="4"/>
  <c r="P5" i="4"/>
  <c r="X5" i="4"/>
  <c r="AF5" i="4"/>
  <c r="AN5" i="4"/>
  <c r="AV5" i="4"/>
  <c r="BD5" i="4"/>
  <c r="BL5" i="4"/>
  <c r="BT5" i="4"/>
  <c r="CB5" i="4"/>
  <c r="CJ5" i="4"/>
  <c r="CR5" i="4"/>
  <c r="CZ5" i="4"/>
  <c r="Q5" i="4"/>
  <c r="AD5" i="4"/>
  <c r="AR5" i="4"/>
  <c r="BC5" i="4"/>
  <c r="BQ5" i="4"/>
  <c r="CC5" i="4"/>
  <c r="T5" i="4"/>
  <c r="AE5" i="4"/>
  <c r="AS5" i="4"/>
  <c r="BE5" i="4"/>
  <c r="BR5" i="4"/>
  <c r="CF5" i="4"/>
  <c r="CQ5" i="4"/>
  <c r="Y5" i="4"/>
  <c r="AL5" i="4"/>
  <c r="AZ5" i="4"/>
  <c r="BK5" i="4"/>
  <c r="BY5" i="4"/>
  <c r="CK5" i="4"/>
  <c r="CX5" i="4"/>
  <c r="AC5" i="4"/>
  <c r="AW5" i="4"/>
  <c r="BS5" i="4"/>
  <c r="CN5" i="4"/>
  <c r="AG5" i="4"/>
  <c r="BA5" i="4"/>
  <c r="BU5" i="4"/>
  <c r="CO5" i="4"/>
  <c r="W5" i="4"/>
  <c r="AT5" i="4"/>
  <c r="BM5" i="4"/>
  <c r="CH5" i="4"/>
  <c r="DA5" i="4"/>
  <c r="AB5" i="4"/>
  <c r="BI5" i="4"/>
  <c r="CS5" i="4"/>
  <c r="AK5" i="4"/>
  <c r="BP5" i="4"/>
  <c r="CW5" i="4"/>
  <c r="U5" i="4"/>
  <c r="BB5" i="4"/>
  <c r="CG5" i="4"/>
  <c r="V5" i="4"/>
  <c r="BH5" i="4"/>
  <c r="CI5" i="4"/>
  <c r="AM5" i="4"/>
  <c r="CY5" i="4"/>
  <c r="AO5" i="4"/>
  <c r="AU5" i="4"/>
  <c r="O5" i="4"/>
  <c r="CA5" i="4"/>
  <c r="BJ5" i="4"/>
  <c r="BX5" i="4"/>
  <c r="AJ5" i="4"/>
  <c r="N5" i="4"/>
  <c r="BZ5" i="4"/>
  <c r="CV5" i="4"/>
  <c r="N75" i="4"/>
  <c r="V75" i="4"/>
  <c r="AD75" i="4"/>
  <c r="AL75" i="4"/>
  <c r="AT75" i="4"/>
  <c r="BB75" i="4"/>
  <c r="BJ75" i="4"/>
  <c r="BR75" i="4"/>
  <c r="BZ75" i="4"/>
  <c r="CH75" i="4"/>
  <c r="CX75" i="4"/>
  <c r="O75" i="4"/>
  <c r="W75" i="4"/>
  <c r="AE75" i="4"/>
  <c r="AM75" i="4"/>
  <c r="AU75" i="4"/>
  <c r="BC75" i="4"/>
  <c r="BK75" i="4"/>
  <c r="BS75" i="4"/>
  <c r="CA75" i="4"/>
  <c r="CI75" i="4"/>
  <c r="CQ75" i="4"/>
  <c r="CY75" i="4"/>
  <c r="S75" i="4"/>
  <c r="AA75" i="4"/>
  <c r="AI75" i="4"/>
  <c r="AQ75" i="4"/>
  <c r="AY75" i="4"/>
  <c r="BG75" i="4"/>
  <c r="BO75" i="4"/>
  <c r="BW75" i="4"/>
  <c r="CE75" i="4"/>
  <c r="CM75" i="4"/>
  <c r="CU75" i="4"/>
  <c r="Q75" i="4"/>
  <c r="AC75" i="4"/>
  <c r="AP75" i="4"/>
  <c r="BD75" i="4"/>
  <c r="BP75" i="4"/>
  <c r="CC75" i="4"/>
  <c r="CO75" i="4"/>
  <c r="R75" i="4"/>
  <c r="AF75" i="4"/>
  <c r="AR75" i="4"/>
  <c r="BE75" i="4"/>
  <c r="BQ75" i="4"/>
  <c r="CD75" i="4"/>
  <c r="CR75" i="4"/>
  <c r="Y75" i="4"/>
  <c r="AK75" i="4"/>
  <c r="AX75" i="4"/>
  <c r="BL75" i="4"/>
  <c r="BX75" i="4"/>
  <c r="CK75" i="4"/>
  <c r="CW75" i="4"/>
  <c r="Z75" i="4"/>
  <c r="AN75" i="4"/>
  <c r="AZ75" i="4"/>
  <c r="BM75" i="4"/>
  <c r="BY75" i="4"/>
  <c r="CZ75" i="4"/>
  <c r="U75" i="4"/>
  <c r="AV75" i="4"/>
  <c r="BU75" i="4"/>
  <c r="CT75" i="4"/>
  <c r="AB75" i="4"/>
  <c r="BA75" i="4"/>
  <c r="CB75" i="4"/>
  <c r="DA75" i="4"/>
  <c r="X75" i="4"/>
  <c r="AW75" i="4"/>
  <c r="BV75" i="4"/>
  <c r="CV75" i="4"/>
  <c r="AJ75" i="4"/>
  <c r="BI75" i="4"/>
  <c r="CJ75" i="4"/>
  <c r="P75" i="4"/>
  <c r="AO75" i="4"/>
  <c r="BN75" i="4"/>
  <c r="CN75" i="4"/>
  <c r="AS75" i="4"/>
  <c r="BF75" i="4"/>
  <c r="BH75" i="4"/>
  <c r="CF75" i="4"/>
  <c r="CG75" i="4"/>
  <c r="AG75" i="4"/>
  <c r="CS75" i="4"/>
  <c r="AH75" i="4"/>
  <c r="BT75" i="4"/>
  <c r="T75" i="4"/>
  <c r="R78" i="4"/>
  <c r="Z78" i="4"/>
  <c r="AH78" i="4"/>
  <c r="AP78" i="4"/>
  <c r="AX78" i="4"/>
  <c r="BF78" i="4"/>
  <c r="BN78" i="4"/>
  <c r="BV78" i="4"/>
  <c r="CD78" i="4"/>
  <c r="CT78" i="4"/>
  <c r="S78" i="4"/>
  <c r="AA78" i="4"/>
  <c r="AI78" i="4"/>
  <c r="AQ78" i="4"/>
  <c r="AY78" i="4"/>
  <c r="BG78" i="4"/>
  <c r="BO78" i="4"/>
  <c r="BW78" i="4"/>
  <c r="CE78" i="4"/>
  <c r="CM78" i="4"/>
  <c r="CU78" i="4"/>
  <c r="O78" i="4"/>
  <c r="W78" i="4"/>
  <c r="AE78" i="4"/>
  <c r="AM78" i="4"/>
  <c r="AU78" i="4"/>
  <c r="BC78" i="4"/>
  <c r="V78" i="4"/>
  <c r="AJ78" i="4"/>
  <c r="AV78" i="4"/>
  <c r="BI78" i="4"/>
  <c r="BS78" i="4"/>
  <c r="CC78" i="4"/>
  <c r="CO78" i="4"/>
  <c r="CY78" i="4"/>
  <c r="X78" i="4"/>
  <c r="AK78" i="4"/>
  <c r="AW78" i="4"/>
  <c r="BJ78" i="4"/>
  <c r="BT78" i="4"/>
  <c r="CF78" i="4"/>
  <c r="CZ78" i="4"/>
  <c r="Q78" i="4"/>
  <c r="AD78" i="4"/>
  <c r="AR78" i="4"/>
  <c r="BD78" i="4"/>
  <c r="BP78" i="4"/>
  <c r="BZ78" i="4"/>
  <c r="CJ78" i="4"/>
  <c r="CV78" i="4"/>
  <c r="T78" i="4"/>
  <c r="AF78" i="4"/>
  <c r="AS78" i="4"/>
  <c r="BE78" i="4"/>
  <c r="BQ78" i="4"/>
  <c r="CA78" i="4"/>
  <c r="CK78" i="4"/>
  <c r="CW78" i="4"/>
  <c r="AB78" i="4"/>
  <c r="BA78" i="4"/>
  <c r="BX78" i="4"/>
  <c r="CR78" i="4"/>
  <c r="AG78" i="4"/>
  <c r="BH78" i="4"/>
  <c r="CB78" i="4"/>
  <c r="CX78" i="4"/>
  <c r="AC78" i="4"/>
  <c r="BB78" i="4"/>
  <c r="BY78" i="4"/>
  <c r="CS78" i="4"/>
  <c r="P78" i="4"/>
  <c r="AO78" i="4"/>
  <c r="BM78" i="4"/>
  <c r="CI78" i="4"/>
  <c r="U78" i="4"/>
  <c r="AT78" i="4"/>
  <c r="BR78" i="4"/>
  <c r="CN78" i="4"/>
  <c r="AN78" i="4"/>
  <c r="DA78" i="4"/>
  <c r="AZ78" i="4"/>
  <c r="BK78" i="4"/>
  <c r="BL78" i="4"/>
  <c r="BU78" i="4"/>
  <c r="CG78" i="4"/>
  <c r="Y78" i="4"/>
  <c r="CH78" i="4"/>
  <c r="AL78" i="4"/>
  <c r="CQ78" i="4"/>
  <c r="N78" i="4"/>
  <c r="T11" i="4"/>
  <c r="AB11" i="4"/>
  <c r="AJ11" i="4"/>
  <c r="AR11" i="4"/>
  <c r="AZ11" i="4"/>
  <c r="BH11" i="4"/>
  <c r="BP11" i="4"/>
  <c r="BX11" i="4"/>
  <c r="CF11" i="4"/>
  <c r="CN11" i="4"/>
  <c r="CV11" i="4"/>
  <c r="U11" i="4"/>
  <c r="AC11" i="4"/>
  <c r="AK11" i="4"/>
  <c r="AS11" i="4"/>
  <c r="BA11" i="4"/>
  <c r="BI11" i="4"/>
  <c r="BQ11" i="4"/>
  <c r="BY11" i="4"/>
  <c r="CG11" i="4"/>
  <c r="CO11" i="4"/>
  <c r="CW11" i="4"/>
  <c r="R11" i="4"/>
  <c r="AD11" i="4"/>
  <c r="AN11" i="4"/>
  <c r="AX11" i="4"/>
  <c r="BJ11" i="4"/>
  <c r="BT11" i="4"/>
  <c r="CD11" i="4"/>
  <c r="CZ11" i="4"/>
  <c r="S11" i="4"/>
  <c r="AE11" i="4"/>
  <c r="AO11" i="4"/>
  <c r="AY11" i="4"/>
  <c r="BK11" i="4"/>
  <c r="BU11" i="4"/>
  <c r="CE11" i="4"/>
  <c r="CQ11" i="4"/>
  <c r="DA11" i="4"/>
  <c r="P11" i="4"/>
  <c r="Z11" i="4"/>
  <c r="AL11" i="4"/>
  <c r="AV11" i="4"/>
  <c r="BF11" i="4"/>
  <c r="BR11" i="4"/>
  <c r="CB11" i="4"/>
  <c r="CX11" i="4"/>
  <c r="N11" i="4"/>
  <c r="AF11" i="4"/>
  <c r="AU11" i="4"/>
  <c r="BM11" i="4"/>
  <c r="CC11" i="4"/>
  <c r="CT11" i="4"/>
  <c r="Q11" i="4"/>
  <c r="AH11" i="4"/>
  <c r="BB11" i="4"/>
  <c r="BO11" i="4"/>
  <c r="CI11" i="4"/>
  <c r="CY11" i="4"/>
  <c r="Y11" i="4"/>
  <c r="AQ11" i="4"/>
  <c r="BG11" i="4"/>
  <c r="BZ11" i="4"/>
  <c r="CR11" i="4"/>
  <c r="V11" i="4"/>
  <c r="AT11" i="4"/>
  <c r="BV11" i="4"/>
  <c r="CU11" i="4"/>
  <c r="W11" i="4"/>
  <c r="AW11" i="4"/>
  <c r="BW11" i="4"/>
  <c r="X11" i="4"/>
  <c r="BC11" i="4"/>
  <c r="CA11" i="4"/>
  <c r="AM11" i="4"/>
  <c r="BN11" i="4"/>
  <c r="CM11" i="4"/>
  <c r="AA11" i="4"/>
  <c r="CH11" i="4"/>
  <c r="AG11" i="4"/>
  <c r="CJ11" i="4"/>
  <c r="O11" i="4"/>
  <c r="BS11" i="4"/>
  <c r="AP11" i="4"/>
  <c r="CS11" i="4"/>
  <c r="AI11" i="4"/>
  <c r="BD11" i="4"/>
  <c r="BL11" i="4"/>
  <c r="CK11" i="4"/>
  <c r="BE11" i="4"/>
  <c r="U24" i="4"/>
  <c r="AC24" i="4"/>
  <c r="AK24" i="4"/>
  <c r="AS24" i="4"/>
  <c r="BA24" i="4"/>
  <c r="BI24" i="4"/>
  <c r="BQ24" i="4"/>
  <c r="BY24" i="4"/>
  <c r="CG24" i="4"/>
  <c r="CO24" i="4"/>
  <c r="CW24" i="4"/>
  <c r="S24" i="4"/>
  <c r="AA24" i="4"/>
  <c r="AI24" i="4"/>
  <c r="AQ24" i="4"/>
  <c r="AY24" i="4"/>
  <c r="BG24" i="4"/>
  <c r="BO24" i="4"/>
  <c r="BW24" i="4"/>
  <c r="CE24" i="4"/>
  <c r="CM24" i="4"/>
  <c r="CU24" i="4"/>
  <c r="P24" i="4"/>
  <c r="Z24" i="4"/>
  <c r="AL24" i="4"/>
  <c r="AV24" i="4"/>
  <c r="BF24" i="4"/>
  <c r="BR24" i="4"/>
  <c r="CB24" i="4"/>
  <c r="CX24" i="4"/>
  <c r="Q24" i="4"/>
  <c r="AB24" i="4"/>
  <c r="AM24" i="4"/>
  <c r="AW24" i="4"/>
  <c r="BH24" i="4"/>
  <c r="BS24" i="4"/>
  <c r="CC24" i="4"/>
  <c r="CN24" i="4"/>
  <c r="CY24" i="4"/>
  <c r="W24" i="4"/>
  <c r="AG24" i="4"/>
  <c r="AR24" i="4"/>
  <c r="BC24" i="4"/>
  <c r="BM24" i="4"/>
  <c r="BX24" i="4"/>
  <c r="CI24" i="4"/>
  <c r="CS24" i="4"/>
  <c r="R24" i="4"/>
  <c r="AH24" i="4"/>
  <c r="AZ24" i="4"/>
  <c r="BP24" i="4"/>
  <c r="CH24" i="4"/>
  <c r="CZ24" i="4"/>
  <c r="T24" i="4"/>
  <c r="AJ24" i="4"/>
  <c r="BB24" i="4"/>
  <c r="BT24" i="4"/>
  <c r="CJ24" i="4"/>
  <c r="DA24" i="4"/>
  <c r="O24" i="4"/>
  <c r="AF24" i="4"/>
  <c r="AX24" i="4"/>
  <c r="BN24" i="4"/>
  <c r="CF24" i="4"/>
  <c r="CV24" i="4"/>
  <c r="N24" i="4"/>
  <c r="AP24" i="4"/>
  <c r="BU24" i="4"/>
  <c r="CR24" i="4"/>
  <c r="AE24" i="4"/>
  <c r="BJ24" i="4"/>
  <c r="CK24" i="4"/>
  <c r="AD24" i="4"/>
  <c r="BL24" i="4"/>
  <c r="AN24" i="4"/>
  <c r="BV24" i="4"/>
  <c r="AO24" i="4"/>
  <c r="BZ24" i="4"/>
  <c r="AT24" i="4"/>
  <c r="CA24" i="4"/>
  <c r="V24" i="4"/>
  <c r="BD24" i="4"/>
  <c r="X24" i="4"/>
  <c r="BE24" i="4"/>
  <c r="CQ24" i="4"/>
  <c r="Y24" i="4"/>
  <c r="BK24" i="4"/>
  <c r="CT24" i="4"/>
  <c r="AU24" i="4"/>
  <c r="CD24" i="4"/>
  <c r="R76" i="4"/>
  <c r="Z76" i="4"/>
  <c r="AH76" i="4"/>
  <c r="AP76" i="4"/>
  <c r="AX76" i="4"/>
  <c r="BF76" i="4"/>
  <c r="BN76" i="4"/>
  <c r="BV76" i="4"/>
  <c r="CD76" i="4"/>
  <c r="CT76" i="4"/>
  <c r="S76" i="4"/>
  <c r="AA76" i="4"/>
  <c r="AI76" i="4"/>
  <c r="AQ76" i="4"/>
  <c r="AY76" i="4"/>
  <c r="BG76" i="4"/>
  <c r="BO76" i="4"/>
  <c r="BW76" i="4"/>
  <c r="CE76" i="4"/>
  <c r="CM76" i="4"/>
  <c r="CU76" i="4"/>
  <c r="O76" i="4"/>
  <c r="W76" i="4"/>
  <c r="AE76" i="4"/>
  <c r="AM76" i="4"/>
  <c r="AU76" i="4"/>
  <c r="BC76" i="4"/>
  <c r="BK76" i="4"/>
  <c r="BS76" i="4"/>
  <c r="CA76" i="4"/>
  <c r="CI76" i="4"/>
  <c r="CQ76" i="4"/>
  <c r="CY76" i="4"/>
  <c r="N76" i="4"/>
  <c r="AB76" i="4"/>
  <c r="AN76" i="4"/>
  <c r="BA76" i="4"/>
  <c r="BM76" i="4"/>
  <c r="BZ76" i="4"/>
  <c r="CN76" i="4"/>
  <c r="CZ76" i="4"/>
  <c r="P76" i="4"/>
  <c r="AC76" i="4"/>
  <c r="AO76" i="4"/>
  <c r="BB76" i="4"/>
  <c r="BP76" i="4"/>
  <c r="CB76" i="4"/>
  <c r="CO76" i="4"/>
  <c r="DA76" i="4"/>
  <c r="V76" i="4"/>
  <c r="AJ76" i="4"/>
  <c r="AV76" i="4"/>
  <c r="BI76" i="4"/>
  <c r="BU76" i="4"/>
  <c r="CH76" i="4"/>
  <c r="CV76" i="4"/>
  <c r="X76" i="4"/>
  <c r="AK76" i="4"/>
  <c r="AW76" i="4"/>
  <c r="BJ76" i="4"/>
  <c r="BX76" i="4"/>
  <c r="CJ76" i="4"/>
  <c r="CW76" i="4"/>
  <c r="AF76" i="4"/>
  <c r="BE76" i="4"/>
  <c r="CF76" i="4"/>
  <c r="AL76" i="4"/>
  <c r="BL76" i="4"/>
  <c r="CK76" i="4"/>
  <c r="AG76" i="4"/>
  <c r="BH76" i="4"/>
  <c r="CG76" i="4"/>
  <c r="U76" i="4"/>
  <c r="AT76" i="4"/>
  <c r="BT76" i="4"/>
  <c r="CS76" i="4"/>
  <c r="Y76" i="4"/>
  <c r="AZ76" i="4"/>
  <c r="BY76" i="4"/>
  <c r="CX76" i="4"/>
  <c r="T76" i="4"/>
  <c r="AD76" i="4"/>
  <c r="CR76" i="4"/>
  <c r="AR76" i="4"/>
  <c r="AS76" i="4"/>
  <c r="BR76" i="4"/>
  <c r="Q76" i="4"/>
  <c r="CC76" i="4"/>
  <c r="BD76" i="4"/>
  <c r="BQ76" i="4"/>
  <c r="N86" i="4"/>
  <c r="V86" i="4"/>
  <c r="AD86" i="4"/>
  <c r="AL86" i="4"/>
  <c r="AT86" i="4"/>
  <c r="BB86" i="4"/>
  <c r="BJ86" i="4"/>
  <c r="BR86" i="4"/>
  <c r="BZ86" i="4"/>
  <c r="CH86" i="4"/>
  <c r="CX86" i="4"/>
  <c r="T86" i="4"/>
  <c r="AB86" i="4"/>
  <c r="AJ86" i="4"/>
  <c r="AR86" i="4"/>
  <c r="AZ86" i="4"/>
  <c r="BH86" i="4"/>
  <c r="BP86" i="4"/>
  <c r="BX86" i="4"/>
  <c r="CF86" i="4"/>
  <c r="CN86" i="4"/>
  <c r="CV86" i="4"/>
  <c r="X86" i="4"/>
  <c r="AH86" i="4"/>
  <c r="AS86" i="4"/>
  <c r="BD86" i="4"/>
  <c r="BN86" i="4"/>
  <c r="BY86" i="4"/>
  <c r="CJ86" i="4"/>
  <c r="CT86" i="4"/>
  <c r="O86" i="4"/>
  <c r="Y86" i="4"/>
  <c r="AI86" i="4"/>
  <c r="AU86" i="4"/>
  <c r="BE86" i="4"/>
  <c r="BO86" i="4"/>
  <c r="CA86" i="4"/>
  <c r="CK86" i="4"/>
  <c r="CU86" i="4"/>
  <c r="P86" i="4"/>
  <c r="Z86" i="4"/>
  <c r="AK86" i="4"/>
  <c r="AV86" i="4"/>
  <c r="BF86" i="4"/>
  <c r="BQ86" i="4"/>
  <c r="CB86" i="4"/>
  <c r="CW86" i="4"/>
  <c r="S86" i="4"/>
  <c r="AE86" i="4"/>
  <c r="AO86" i="4"/>
  <c r="AY86" i="4"/>
  <c r="BK86" i="4"/>
  <c r="BU86" i="4"/>
  <c r="CE86" i="4"/>
  <c r="CQ86" i="4"/>
  <c r="DA86" i="4"/>
  <c r="U86" i="4"/>
  <c r="AF86" i="4"/>
  <c r="AP86" i="4"/>
  <c r="BA86" i="4"/>
  <c r="BL86" i="4"/>
  <c r="BV86" i="4"/>
  <c r="CG86" i="4"/>
  <c r="CR86" i="4"/>
  <c r="AG86" i="4"/>
  <c r="BI86" i="4"/>
  <c r="CM86" i="4"/>
  <c r="AQ86" i="4"/>
  <c r="AM86" i="4"/>
  <c r="BM86" i="4"/>
  <c r="CO86" i="4"/>
  <c r="AN86" i="4"/>
  <c r="CS86" i="4"/>
  <c r="Q86" i="4"/>
  <c r="CY86" i="4"/>
  <c r="AW86" i="4"/>
  <c r="CZ86" i="4"/>
  <c r="AX86" i="4"/>
  <c r="AA86" i="4"/>
  <c r="BC86" i="4"/>
  <c r="CD86" i="4"/>
  <c r="AC86" i="4"/>
  <c r="BG86" i="4"/>
  <c r="CI86" i="4"/>
  <c r="BS86" i="4"/>
  <c r="BT86" i="4"/>
  <c r="R86" i="4"/>
  <c r="BW86" i="4"/>
  <c r="W86" i="4"/>
  <c r="CC86" i="4"/>
  <c r="N88" i="4"/>
  <c r="V88" i="4"/>
  <c r="AD88" i="4"/>
  <c r="AL88" i="4"/>
  <c r="AT88" i="4"/>
  <c r="BB88" i="4"/>
  <c r="BJ88" i="4"/>
  <c r="BR88" i="4"/>
  <c r="BZ88" i="4"/>
  <c r="CH88" i="4"/>
  <c r="CX88" i="4"/>
  <c r="T88" i="4"/>
  <c r="AB88" i="4"/>
  <c r="AJ88" i="4"/>
  <c r="AR88" i="4"/>
  <c r="AZ88" i="4"/>
  <c r="BH88" i="4"/>
  <c r="BP88" i="4"/>
  <c r="BX88" i="4"/>
  <c r="CF88" i="4"/>
  <c r="CN88" i="4"/>
  <c r="CV88" i="4"/>
  <c r="U88" i="4"/>
  <c r="AF88" i="4"/>
  <c r="AP88" i="4"/>
  <c r="BA88" i="4"/>
  <c r="BL88" i="4"/>
  <c r="BV88" i="4"/>
  <c r="CG88" i="4"/>
  <c r="CR88" i="4"/>
  <c r="W88" i="4"/>
  <c r="AG88" i="4"/>
  <c r="AQ88" i="4"/>
  <c r="BC88" i="4"/>
  <c r="BM88" i="4"/>
  <c r="BW88" i="4"/>
  <c r="CI88" i="4"/>
  <c r="CS88" i="4"/>
  <c r="X88" i="4"/>
  <c r="AH88" i="4"/>
  <c r="Q88" i="4"/>
  <c r="AA88" i="4"/>
  <c r="AM88" i="4"/>
  <c r="AW88" i="4"/>
  <c r="BG88" i="4"/>
  <c r="BS88" i="4"/>
  <c r="CC88" i="4"/>
  <c r="CM88" i="4"/>
  <c r="CY88" i="4"/>
  <c r="R88" i="4"/>
  <c r="AC88" i="4"/>
  <c r="AN88" i="4"/>
  <c r="AX88" i="4"/>
  <c r="BI88" i="4"/>
  <c r="BT88" i="4"/>
  <c r="CD88" i="4"/>
  <c r="CO88" i="4"/>
  <c r="CZ88" i="4"/>
  <c r="P88" i="4"/>
  <c r="AS88" i="4"/>
  <c r="BN88" i="4"/>
  <c r="CJ88" i="4"/>
  <c r="BO88" i="4"/>
  <c r="AY88" i="4"/>
  <c r="S88" i="4"/>
  <c r="AU88" i="4"/>
  <c r="CK88" i="4"/>
  <c r="Y88" i="4"/>
  <c r="BQ88" i="4"/>
  <c r="CQ88" i="4"/>
  <c r="AE88" i="4"/>
  <c r="BY88" i="4"/>
  <c r="AI88" i="4"/>
  <c r="CA88" i="4"/>
  <c r="AK88" i="4"/>
  <c r="BF88" i="4"/>
  <c r="CB88" i="4"/>
  <c r="CW88" i="4"/>
  <c r="O88" i="4"/>
  <c r="AO88" i="4"/>
  <c r="BK88" i="4"/>
  <c r="CE88" i="4"/>
  <c r="DA88" i="4"/>
  <c r="AV88" i="4"/>
  <c r="Z88" i="4"/>
  <c r="BU88" i="4"/>
  <c r="BD88" i="4"/>
  <c r="CT88" i="4"/>
  <c r="BE88" i="4"/>
  <c r="CU88" i="4"/>
  <c r="P13" i="4"/>
  <c r="X13" i="4"/>
  <c r="AF13" i="4"/>
  <c r="AN13" i="4"/>
  <c r="AV13" i="4"/>
  <c r="BD13" i="4"/>
  <c r="BL13" i="4"/>
  <c r="BT13" i="4"/>
  <c r="CB13" i="4"/>
  <c r="CJ13" i="4"/>
  <c r="CR13" i="4"/>
  <c r="CZ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N13" i="4"/>
  <c r="V13" i="4"/>
  <c r="AD13" i="4"/>
  <c r="AL13" i="4"/>
  <c r="AT13" i="4"/>
  <c r="BB13" i="4"/>
  <c r="BJ13" i="4"/>
  <c r="BR13" i="4"/>
  <c r="BZ13" i="4"/>
  <c r="CH13" i="4"/>
  <c r="CX13" i="4"/>
  <c r="S13" i="4"/>
  <c r="AE13" i="4"/>
  <c r="AR13" i="4"/>
  <c r="BF13" i="4"/>
  <c r="BQ13" i="4"/>
  <c r="CE13" i="4"/>
  <c r="CQ13" i="4"/>
  <c r="U13" i="4"/>
  <c r="AI13" i="4"/>
  <c r="AU13" i="4"/>
  <c r="BH13" i="4"/>
  <c r="BV13" i="4"/>
  <c r="CG13" i="4"/>
  <c r="CU13" i="4"/>
  <c r="O13" i="4"/>
  <c r="AB13" i="4"/>
  <c r="AP13" i="4"/>
  <c r="BA13" i="4"/>
  <c r="BO13" i="4"/>
  <c r="CA13" i="4"/>
  <c r="CN13" i="4"/>
  <c r="W13" i="4"/>
  <c r="AQ13" i="4"/>
  <c r="BK13" i="4"/>
  <c r="CF13" i="4"/>
  <c r="CY13" i="4"/>
  <c r="Z13" i="4"/>
  <c r="AS13" i="4"/>
  <c r="BN13" i="4"/>
  <c r="CI13" i="4"/>
  <c r="AJ13" i="4"/>
  <c r="BC13" i="4"/>
  <c r="BX13" i="4"/>
  <c r="CT13" i="4"/>
  <c r="AX13" i="4"/>
  <c r="BY13" i="4"/>
  <c r="R13" i="4"/>
  <c r="AY13" i="4"/>
  <c r="CD13" i="4"/>
  <c r="AM13" i="4"/>
  <c r="BW13" i="4"/>
  <c r="AZ13" i="4"/>
  <c r="CV13" i="4"/>
  <c r="AC13" i="4"/>
  <c r="AH13" i="4"/>
  <c r="CM13" i="4"/>
  <c r="AK13" i="4"/>
  <c r="CO13" i="4"/>
  <c r="BI13" i="4"/>
  <c r="BP13" i="4"/>
  <c r="BS13" i="4"/>
  <c r="CW13" i="4"/>
  <c r="T13" i="4"/>
  <c r="AA13" i="4"/>
  <c r="BG13" i="4"/>
  <c r="N77" i="4"/>
  <c r="V77" i="4"/>
  <c r="AD77" i="4"/>
  <c r="AL77" i="4"/>
  <c r="AT77" i="4"/>
  <c r="BB77" i="4"/>
  <c r="BJ77" i="4"/>
  <c r="BR77" i="4"/>
  <c r="BZ77" i="4"/>
  <c r="CH77" i="4"/>
  <c r="CX77" i="4"/>
  <c r="O77" i="4"/>
  <c r="W77" i="4"/>
  <c r="AE77" i="4"/>
  <c r="AM77" i="4"/>
  <c r="AU77" i="4"/>
  <c r="BC77" i="4"/>
  <c r="BK77" i="4"/>
  <c r="BS77" i="4"/>
  <c r="CA77" i="4"/>
  <c r="CI77" i="4"/>
  <c r="CQ77" i="4"/>
  <c r="CY77" i="4"/>
  <c r="S77" i="4"/>
  <c r="AA77" i="4"/>
  <c r="AI77" i="4"/>
  <c r="AQ77" i="4"/>
  <c r="AY77" i="4"/>
  <c r="BG77" i="4"/>
  <c r="BO77" i="4"/>
  <c r="BW77" i="4"/>
  <c r="CE77" i="4"/>
  <c r="CM77" i="4"/>
  <c r="CU77" i="4"/>
  <c r="Y77" i="4"/>
  <c r="AK77" i="4"/>
  <c r="AX77" i="4"/>
  <c r="BL77" i="4"/>
  <c r="BX77" i="4"/>
  <c r="CK77" i="4"/>
  <c r="CW77" i="4"/>
  <c r="Z77" i="4"/>
  <c r="AN77" i="4"/>
  <c r="AZ77" i="4"/>
  <c r="BM77" i="4"/>
  <c r="BY77" i="4"/>
  <c r="CZ77" i="4"/>
  <c r="T77" i="4"/>
  <c r="AG77" i="4"/>
  <c r="AS77" i="4"/>
  <c r="BF77" i="4"/>
  <c r="BT77" i="4"/>
  <c r="CF77" i="4"/>
  <c r="CS77" i="4"/>
  <c r="U77" i="4"/>
  <c r="AH77" i="4"/>
  <c r="AV77" i="4"/>
  <c r="BH77" i="4"/>
  <c r="BU77" i="4"/>
  <c r="CG77" i="4"/>
  <c r="CT77" i="4"/>
  <c r="Q77" i="4"/>
  <c r="AP77" i="4"/>
  <c r="BP77" i="4"/>
  <c r="CO77" i="4"/>
  <c r="X77" i="4"/>
  <c r="AW77" i="4"/>
  <c r="BV77" i="4"/>
  <c r="CV77" i="4"/>
  <c r="R77" i="4"/>
  <c r="AR77" i="4"/>
  <c r="BQ77" i="4"/>
  <c r="CR77" i="4"/>
  <c r="AF77" i="4"/>
  <c r="BE77" i="4"/>
  <c r="CD77" i="4"/>
  <c r="AJ77" i="4"/>
  <c r="BI77" i="4"/>
  <c r="CJ77" i="4"/>
  <c r="BN77" i="4"/>
  <c r="CB77" i="4"/>
  <c r="P77" i="4"/>
  <c r="CC77" i="4"/>
  <c r="AC77" i="4"/>
  <c r="AO77" i="4"/>
  <c r="BA77" i="4"/>
  <c r="BD77" i="4"/>
  <c r="AB77" i="4"/>
  <c r="CN77" i="4"/>
  <c r="DA77" i="4"/>
  <c r="R74" i="4"/>
  <c r="Z74" i="4"/>
  <c r="AH74" i="4"/>
  <c r="AP74" i="4"/>
  <c r="AX74" i="4"/>
  <c r="BF74" i="4"/>
  <c r="BN74" i="4"/>
  <c r="BV74" i="4"/>
  <c r="CD74" i="4"/>
  <c r="CT74" i="4"/>
  <c r="S74" i="4"/>
  <c r="AA74" i="4"/>
  <c r="AI74" i="4"/>
  <c r="AQ74" i="4"/>
  <c r="AY74" i="4"/>
  <c r="BG74" i="4"/>
  <c r="BO74" i="4"/>
  <c r="BW74" i="4"/>
  <c r="CE74" i="4"/>
  <c r="CM74" i="4"/>
  <c r="CU74" i="4"/>
  <c r="O74" i="4"/>
  <c r="W74" i="4"/>
  <c r="AE74" i="4"/>
  <c r="AM74" i="4"/>
  <c r="AU74" i="4"/>
  <c r="BC74" i="4"/>
  <c r="BK74" i="4"/>
  <c r="BS74" i="4"/>
  <c r="CA74" i="4"/>
  <c r="CI74" i="4"/>
  <c r="CQ74" i="4"/>
  <c r="CY74" i="4"/>
  <c r="T74" i="4"/>
  <c r="AF74" i="4"/>
  <c r="AS74" i="4"/>
  <c r="BE74" i="4"/>
  <c r="BR74" i="4"/>
  <c r="CF74" i="4"/>
  <c r="CR74" i="4"/>
  <c r="U74" i="4"/>
  <c r="AG74" i="4"/>
  <c r="AT74" i="4"/>
  <c r="BH74" i="4"/>
  <c r="BT74" i="4"/>
  <c r="CG74" i="4"/>
  <c r="CS74" i="4"/>
  <c r="N74" i="4"/>
  <c r="AB74" i="4"/>
  <c r="AN74" i="4"/>
  <c r="BA74" i="4"/>
  <c r="BM74" i="4"/>
  <c r="BZ74" i="4"/>
  <c r="CN74" i="4"/>
  <c r="CZ74" i="4"/>
  <c r="P74" i="4"/>
  <c r="AC74" i="4"/>
  <c r="AO74" i="4"/>
  <c r="BB74" i="4"/>
  <c r="BP74" i="4"/>
  <c r="CB74" i="4"/>
  <c r="CO74" i="4"/>
  <c r="DA74" i="4"/>
  <c r="AK74" i="4"/>
  <c r="BJ74" i="4"/>
  <c r="CJ74" i="4"/>
  <c r="Q74" i="4"/>
  <c r="AR74" i="4"/>
  <c r="BQ74" i="4"/>
  <c r="AL74" i="4"/>
  <c r="BL74" i="4"/>
  <c r="CK74" i="4"/>
  <c r="Y74" i="4"/>
  <c r="AZ74" i="4"/>
  <c r="BY74" i="4"/>
  <c r="CX74" i="4"/>
  <c r="AD74" i="4"/>
  <c r="BD74" i="4"/>
  <c r="CC74" i="4"/>
  <c r="BU74" i="4"/>
  <c r="BX74" i="4"/>
  <c r="V74" i="4"/>
  <c r="CH74" i="4"/>
  <c r="CV74" i="4"/>
  <c r="AJ74" i="4"/>
  <c r="AV74" i="4"/>
  <c r="AW74" i="4"/>
  <c r="BI74" i="4"/>
  <c r="X74" i="4"/>
  <c r="CW74" i="4"/>
  <c r="R89" i="4"/>
  <c r="Z89" i="4"/>
  <c r="AH89" i="4"/>
  <c r="AP89" i="4"/>
  <c r="AX89" i="4"/>
  <c r="BF89" i="4"/>
  <c r="BN89" i="4"/>
  <c r="BV89" i="4"/>
  <c r="CD89" i="4"/>
  <c r="CT89" i="4"/>
  <c r="P89" i="4"/>
  <c r="X89" i="4"/>
  <c r="AF89" i="4"/>
  <c r="AN89" i="4"/>
  <c r="AV89" i="4"/>
  <c r="BD89" i="4"/>
  <c r="BL89" i="4"/>
  <c r="BT89" i="4"/>
  <c r="CB89" i="4"/>
  <c r="CJ89" i="4"/>
  <c r="CR89" i="4"/>
  <c r="CZ89" i="4"/>
  <c r="N89" i="4"/>
  <c r="Y89" i="4"/>
  <c r="AJ89" i="4"/>
  <c r="AT89" i="4"/>
  <c r="BE89" i="4"/>
  <c r="BP89" i="4"/>
  <c r="BZ89" i="4"/>
  <c r="CK89" i="4"/>
  <c r="CV89" i="4"/>
  <c r="O89" i="4"/>
  <c r="AA89" i="4"/>
  <c r="AK89" i="4"/>
  <c r="AU89" i="4"/>
  <c r="BG89" i="4"/>
  <c r="BQ89" i="4"/>
  <c r="CA89" i="4"/>
  <c r="CM89" i="4"/>
  <c r="CW89" i="4"/>
  <c r="U89" i="4"/>
  <c r="AE89" i="4"/>
  <c r="AQ89" i="4"/>
  <c r="BA89" i="4"/>
  <c r="BK89" i="4"/>
  <c r="BW89" i="4"/>
  <c r="CG89" i="4"/>
  <c r="CQ89" i="4"/>
  <c r="V89" i="4"/>
  <c r="AG89" i="4"/>
  <c r="AR89" i="4"/>
  <c r="BB89" i="4"/>
  <c r="BM89" i="4"/>
  <c r="BX89" i="4"/>
  <c r="CH89" i="4"/>
  <c r="CS89" i="4"/>
  <c r="Q89" i="4"/>
  <c r="AL89" i="4"/>
  <c r="BH89" i="4"/>
  <c r="CC89" i="4"/>
  <c r="CX89" i="4"/>
  <c r="S89" i="4"/>
  <c r="AM89" i="4"/>
  <c r="CE89" i="4"/>
  <c r="CY89" i="4"/>
  <c r="T89" i="4"/>
  <c r="W89" i="4"/>
  <c r="BO89" i="4"/>
  <c r="BI89" i="4"/>
  <c r="AO89" i="4"/>
  <c r="DA89" i="4"/>
  <c r="CI89" i="4"/>
  <c r="AB89" i="4"/>
  <c r="BR89" i="4"/>
  <c r="AC89" i="4"/>
  <c r="BS89" i="4"/>
  <c r="AD89" i="4"/>
  <c r="AZ89" i="4"/>
  <c r="BU89" i="4"/>
  <c r="AI89" i="4"/>
  <c r="BC89" i="4"/>
  <c r="BY89" i="4"/>
  <c r="CU89" i="4"/>
  <c r="BJ89" i="4"/>
  <c r="CF89" i="4"/>
  <c r="AS89" i="4"/>
  <c r="AW89" i="4"/>
  <c r="CN89" i="4"/>
  <c r="AY89" i="4"/>
  <c r="CO89" i="4"/>
  <c r="Q23" i="4"/>
  <c r="Y23" i="4"/>
  <c r="AG23" i="4"/>
  <c r="AO23" i="4"/>
  <c r="AW23" i="4"/>
  <c r="BE23" i="4"/>
  <c r="BM23" i="4"/>
  <c r="BU23" i="4"/>
  <c r="CC23" i="4"/>
  <c r="CK23" i="4"/>
  <c r="CS23" i="4"/>
  <c r="DA23" i="4"/>
  <c r="S23" i="4"/>
  <c r="AA23" i="4"/>
  <c r="AI23" i="4"/>
  <c r="AQ23" i="4"/>
  <c r="AY23" i="4"/>
  <c r="BG23" i="4"/>
  <c r="BO23" i="4"/>
  <c r="BW23" i="4"/>
  <c r="O23" i="4"/>
  <c r="W23" i="4"/>
  <c r="AE23" i="4"/>
  <c r="AM23" i="4"/>
  <c r="AU23" i="4"/>
  <c r="BC23" i="4"/>
  <c r="BK23" i="4"/>
  <c r="BS23" i="4"/>
  <c r="CA23" i="4"/>
  <c r="CI23" i="4"/>
  <c r="CQ23" i="4"/>
  <c r="CY23" i="4"/>
  <c r="X23" i="4"/>
  <c r="AK23" i="4"/>
  <c r="AX23" i="4"/>
  <c r="BJ23" i="4"/>
  <c r="BX23" i="4"/>
  <c r="CH23" i="4"/>
  <c r="CT23" i="4"/>
  <c r="Z23" i="4"/>
  <c r="AL23" i="4"/>
  <c r="AZ23" i="4"/>
  <c r="BL23" i="4"/>
  <c r="BY23" i="4"/>
  <c r="CJ23" i="4"/>
  <c r="CU23" i="4"/>
  <c r="T23" i="4"/>
  <c r="AF23" i="4"/>
  <c r="AS23" i="4"/>
  <c r="BF23" i="4"/>
  <c r="BR23" i="4"/>
  <c r="CE23" i="4"/>
  <c r="CO23" i="4"/>
  <c r="CZ23" i="4"/>
  <c r="N23" i="4"/>
  <c r="AH23" i="4"/>
  <c r="BB23" i="4"/>
  <c r="BV23" i="4"/>
  <c r="CN23" i="4"/>
  <c r="P23" i="4"/>
  <c r="AJ23" i="4"/>
  <c r="BD23" i="4"/>
  <c r="BZ23" i="4"/>
  <c r="AD23" i="4"/>
  <c r="BA23" i="4"/>
  <c r="BT23" i="4"/>
  <c r="CM23" i="4"/>
  <c r="R23" i="4"/>
  <c r="AT23" i="4"/>
  <c r="CD23" i="4"/>
  <c r="AN23" i="4"/>
  <c r="BP23" i="4"/>
  <c r="CV23" i="4"/>
  <c r="AR23" i="4"/>
  <c r="CG23" i="4"/>
  <c r="AV23" i="4"/>
  <c r="BH23" i="4"/>
  <c r="CR23" i="4"/>
  <c r="U23" i="4"/>
  <c r="BI23" i="4"/>
  <c r="CW23" i="4"/>
  <c r="AB23" i="4"/>
  <c r="BQ23" i="4"/>
  <c r="AC23" i="4"/>
  <c r="CB23" i="4"/>
  <c r="AP23" i="4"/>
  <c r="CF23" i="4"/>
  <c r="V23" i="4"/>
  <c r="BN23" i="4"/>
  <c r="CX23" i="4"/>
  <c r="R82" i="4"/>
  <c r="Z82" i="4"/>
  <c r="AH82" i="4"/>
  <c r="AP82" i="4"/>
  <c r="AX82" i="4"/>
  <c r="BF82" i="4"/>
  <c r="BN82" i="4"/>
  <c r="BV82" i="4"/>
  <c r="CD82" i="4"/>
  <c r="CT82" i="4"/>
  <c r="S82" i="4"/>
  <c r="AB82" i="4"/>
  <c r="AK82" i="4"/>
  <c r="AT82" i="4"/>
  <c r="BC82" i="4"/>
  <c r="BL82" i="4"/>
  <c r="BU82" i="4"/>
  <c r="CE82" i="4"/>
  <c r="CN82" i="4"/>
  <c r="CW82" i="4"/>
  <c r="P82" i="4"/>
  <c r="Y82" i="4"/>
  <c r="AI82" i="4"/>
  <c r="AR82" i="4"/>
  <c r="BA82" i="4"/>
  <c r="BJ82" i="4"/>
  <c r="BS82" i="4"/>
  <c r="CB82" i="4"/>
  <c r="CK82" i="4"/>
  <c r="CU82" i="4"/>
  <c r="Q82" i="4"/>
  <c r="AD82" i="4"/>
  <c r="AO82" i="4"/>
  <c r="BB82" i="4"/>
  <c r="BO82" i="4"/>
  <c r="BZ82" i="4"/>
  <c r="CM82" i="4"/>
  <c r="CY82" i="4"/>
  <c r="U82" i="4"/>
  <c r="AF82" i="4"/>
  <c r="AS82" i="4"/>
  <c r="BE82" i="4"/>
  <c r="BQ82" i="4"/>
  <c r="CC82" i="4"/>
  <c r="DA82" i="4"/>
  <c r="T82" i="4"/>
  <c r="AE82" i="4"/>
  <c r="AQ82" i="4"/>
  <c r="BD82" i="4"/>
  <c r="BP82" i="4"/>
  <c r="CA82" i="4"/>
  <c r="CO82" i="4"/>
  <c r="CZ82" i="4"/>
  <c r="X82" i="4"/>
  <c r="AL82" i="4"/>
  <c r="AW82" i="4"/>
  <c r="BI82" i="4"/>
  <c r="BW82" i="4"/>
  <c r="CH82" i="4"/>
  <c r="CS82" i="4"/>
  <c r="N82" i="4"/>
  <c r="AA82" i="4"/>
  <c r="AM82" i="4"/>
  <c r="AY82" i="4"/>
  <c r="BK82" i="4"/>
  <c r="BX82" i="4"/>
  <c r="CI82" i="4"/>
  <c r="CV82" i="4"/>
  <c r="V82" i="4"/>
  <c r="AZ82" i="4"/>
  <c r="CG82" i="4"/>
  <c r="W82" i="4"/>
  <c r="BG82" i="4"/>
  <c r="CJ82" i="4"/>
  <c r="BH82" i="4"/>
  <c r="BM82" i="4"/>
  <c r="BR82" i="4"/>
  <c r="BT82" i="4"/>
  <c r="AU82" i="4"/>
  <c r="BY82" i="4"/>
  <c r="O82" i="4"/>
  <c r="AV82" i="4"/>
  <c r="CF82" i="4"/>
  <c r="AC82" i="4"/>
  <c r="CQ82" i="4"/>
  <c r="AG82" i="4"/>
  <c r="CR82" i="4"/>
  <c r="AJ82" i="4"/>
  <c r="CX82" i="4"/>
  <c r="AN82" i="4"/>
  <c r="EI78" i="4"/>
  <c r="DQ78" i="4"/>
  <c r="DY78" i="4"/>
  <c r="EG78" i="4"/>
  <c r="DV78" i="4"/>
  <c r="EE78" i="4"/>
  <c r="DT78" i="4"/>
  <c r="EC78" i="4"/>
  <c r="DS78" i="4"/>
  <c r="EF78" i="4"/>
  <c r="DU78" i="4"/>
  <c r="EH78" i="4"/>
  <c r="EB78" i="4"/>
  <c r="DR78" i="4"/>
  <c r="ED78" i="4"/>
  <c r="DW78" i="4"/>
  <c r="DZ78" i="4"/>
  <c r="DD78" i="4"/>
  <c r="EA78" i="4"/>
  <c r="DB78" i="4"/>
  <c r="DJ78" i="4"/>
  <c r="DX78" i="4"/>
  <c r="DC78" i="4"/>
  <c r="DK78" i="4"/>
  <c r="I78" i="4"/>
  <c r="DH78" i="4"/>
  <c r="DM78" i="4"/>
  <c r="DE78" i="4"/>
  <c r="DP78" i="4"/>
  <c r="J78" i="4"/>
  <c r="DF78" i="4"/>
  <c r="K78" i="4"/>
  <c r="DG78" i="4"/>
  <c r="DN78" i="4"/>
  <c r="DO78" i="4"/>
  <c r="DR11" i="4"/>
  <c r="DZ11" i="4"/>
  <c r="EH11" i="4"/>
  <c r="EI11" i="4"/>
  <c r="DU11" i="4"/>
  <c r="EC11" i="4"/>
  <c r="DT11" i="4"/>
  <c r="EE11" i="4"/>
  <c r="DX11" i="4"/>
  <c r="DQ11" i="4"/>
  <c r="EB11" i="4"/>
  <c r="DS11" i="4"/>
  <c r="DV11" i="4"/>
  <c r="EF11" i="4"/>
  <c r="EG11" i="4"/>
  <c r="DD11" i="4"/>
  <c r="DY11" i="4"/>
  <c r="DJ11" i="4"/>
  <c r="EA11" i="4"/>
  <c r="DH11" i="4"/>
  <c r="ED11" i="4"/>
  <c r="DC11" i="4"/>
  <c r="DO11" i="4"/>
  <c r="DE11" i="4"/>
  <c r="DP11" i="4"/>
  <c r="DW11" i="4"/>
  <c r="DM11" i="4"/>
  <c r="DB11" i="4"/>
  <c r="DN11" i="4"/>
  <c r="DK11" i="4"/>
  <c r="DF11" i="4"/>
  <c r="DG11" i="4"/>
  <c r="I11" i="4"/>
  <c r="J11" i="4"/>
  <c r="K11" i="4"/>
  <c r="EI24" i="4"/>
  <c r="DX24" i="4"/>
  <c r="EF24" i="4"/>
  <c r="DS24" i="4"/>
  <c r="EA24" i="4"/>
  <c r="DU24" i="4"/>
  <c r="EE24" i="4"/>
  <c r="DR24" i="4"/>
  <c r="EC24" i="4"/>
  <c r="DW24" i="4"/>
  <c r="DY24" i="4"/>
  <c r="DT24" i="4"/>
  <c r="EH24" i="4"/>
  <c r="DV24" i="4"/>
  <c r="EB24" i="4"/>
  <c r="DG24" i="4"/>
  <c r="ED24" i="4"/>
  <c r="DQ24" i="4"/>
  <c r="DF24" i="4"/>
  <c r="DO24" i="4"/>
  <c r="EG24" i="4"/>
  <c r="DB24" i="4"/>
  <c r="DM24" i="4"/>
  <c r="DC24" i="4"/>
  <c r="DN24" i="4"/>
  <c r="DK24" i="4"/>
  <c r="DZ24" i="4"/>
  <c r="DE24" i="4"/>
  <c r="DJ24" i="4"/>
  <c r="DP24" i="4"/>
  <c r="I24" i="4"/>
  <c r="DD24" i="4"/>
  <c r="DH24" i="4"/>
  <c r="J24" i="4"/>
  <c r="K24" i="4"/>
  <c r="EI76" i="4"/>
  <c r="DU76" i="4"/>
  <c r="EC76" i="4"/>
  <c r="DV76" i="4"/>
  <c r="EE76" i="4"/>
  <c r="DS76" i="4"/>
  <c r="EB76" i="4"/>
  <c r="DR76" i="4"/>
  <c r="EF76" i="4"/>
  <c r="DT76" i="4"/>
  <c r="EG76" i="4"/>
  <c r="DW76" i="4"/>
  <c r="EA76" i="4"/>
  <c r="DQ76" i="4"/>
  <c r="ED76" i="4"/>
  <c r="DY76" i="4"/>
  <c r="DZ76" i="4"/>
  <c r="EH76" i="4"/>
  <c r="DF76" i="4"/>
  <c r="DN76" i="4"/>
  <c r="DX76" i="4"/>
  <c r="DD76" i="4"/>
  <c r="DE76" i="4"/>
  <c r="DM76" i="4"/>
  <c r="DC76" i="4"/>
  <c r="DG76" i="4"/>
  <c r="DH76" i="4"/>
  <c r="DK76" i="4"/>
  <c r="I76" i="4"/>
  <c r="DO76" i="4"/>
  <c r="DB76" i="4"/>
  <c r="J76" i="4"/>
  <c r="K76" i="4"/>
  <c r="DJ76" i="4"/>
  <c r="DP76" i="4"/>
  <c r="DV13" i="4"/>
  <c r="ED13" i="4"/>
  <c r="DQ13" i="4"/>
  <c r="DY13" i="4"/>
  <c r="EG13" i="4"/>
  <c r="EI13" i="4"/>
  <c r="EA13" i="4"/>
  <c r="DT13" i="4"/>
  <c r="EE13" i="4"/>
  <c r="DX13" i="4"/>
  <c r="DR13" i="4"/>
  <c r="EH13" i="4"/>
  <c r="DS13" i="4"/>
  <c r="EC13" i="4"/>
  <c r="EF13" i="4"/>
  <c r="DB13" i="4"/>
  <c r="DJ13" i="4"/>
  <c r="DW13" i="4"/>
  <c r="DD13" i="4"/>
  <c r="DM13" i="4"/>
  <c r="DU13" i="4"/>
  <c r="DK13" i="4"/>
  <c r="DF13" i="4"/>
  <c r="DG13" i="4"/>
  <c r="DC13" i="4"/>
  <c r="DO13" i="4"/>
  <c r="DE13" i="4"/>
  <c r="DP13" i="4"/>
  <c r="DN13" i="4"/>
  <c r="DZ13" i="4"/>
  <c r="K13" i="4"/>
  <c r="DH13" i="4"/>
  <c r="EB13" i="4"/>
  <c r="J13" i="4"/>
  <c r="I13" i="4"/>
  <c r="EI74" i="4"/>
  <c r="DQ74" i="4"/>
  <c r="DY74" i="4"/>
  <c r="EG74" i="4"/>
  <c r="DU74" i="4"/>
  <c r="ED74" i="4"/>
  <c r="DS74" i="4"/>
  <c r="EB74" i="4"/>
  <c r="DR74" i="4"/>
  <c r="EE74" i="4"/>
  <c r="DT74" i="4"/>
  <c r="EF74" i="4"/>
  <c r="DV74" i="4"/>
  <c r="EH74" i="4"/>
  <c r="EA74" i="4"/>
  <c r="EC74" i="4"/>
  <c r="DZ74" i="4"/>
  <c r="DW74" i="4"/>
  <c r="DH74" i="4"/>
  <c r="DP74" i="4"/>
  <c r="DX74" i="4"/>
  <c r="DF74" i="4"/>
  <c r="DN74" i="4"/>
  <c r="DG74" i="4"/>
  <c r="DO74" i="4"/>
  <c r="K74" i="4"/>
  <c r="DB74" i="4"/>
  <c r="DM74" i="4"/>
  <c r="DC74" i="4"/>
  <c r="DJ74" i="4"/>
  <c r="DD74" i="4"/>
  <c r="DE74" i="4"/>
  <c r="I74" i="4"/>
  <c r="DK74" i="4"/>
  <c r="J74" i="4"/>
  <c r="EI89" i="4"/>
  <c r="DS89" i="4"/>
  <c r="EA89" i="4"/>
  <c r="DY89" i="4"/>
  <c r="EH89" i="4"/>
  <c r="DW89" i="4"/>
  <c r="EF89" i="4"/>
  <c r="DQ89" i="4"/>
  <c r="EC89" i="4"/>
  <c r="DR89" i="4"/>
  <c r="ED89" i="4"/>
  <c r="DZ89" i="4"/>
  <c r="EB89" i="4"/>
  <c r="DT89" i="4"/>
  <c r="EE89" i="4"/>
  <c r="K89" i="4"/>
  <c r="DU89" i="4"/>
  <c r="DV89" i="4"/>
  <c r="DX89" i="4"/>
  <c r="EG89" i="4"/>
  <c r="DH89" i="4"/>
  <c r="DP89" i="4"/>
  <c r="J89" i="4"/>
  <c r="DG89" i="4"/>
  <c r="DD89" i="4"/>
  <c r="DN89" i="4"/>
  <c r="DE89" i="4"/>
  <c r="DO89" i="4"/>
  <c r="I89" i="4"/>
  <c r="DM89" i="4"/>
  <c r="DB89" i="4"/>
  <c r="DC89" i="4"/>
  <c r="DJ89" i="4"/>
  <c r="DK89" i="4"/>
  <c r="DF89" i="4"/>
  <c r="DR23" i="4"/>
  <c r="DZ23" i="4"/>
  <c r="EH23" i="4"/>
  <c r="DU23" i="4"/>
  <c r="EC23" i="4"/>
  <c r="EI23" i="4"/>
  <c r="DQ23" i="4"/>
  <c r="EB23" i="4"/>
  <c r="DY23" i="4"/>
  <c r="EA23" i="4"/>
  <c r="ED23" i="4"/>
  <c r="DW23" i="4"/>
  <c r="DX23" i="4"/>
  <c r="DS23" i="4"/>
  <c r="DH23" i="4"/>
  <c r="DP23" i="4"/>
  <c r="DT23" i="4"/>
  <c r="EF23" i="4"/>
  <c r="EE23" i="4"/>
  <c r="DG23" i="4"/>
  <c r="EG23" i="4"/>
  <c r="DE23" i="4"/>
  <c r="DN23" i="4"/>
  <c r="DV23" i="4"/>
  <c r="DF23" i="4"/>
  <c r="DC23" i="4"/>
  <c r="DO23" i="4"/>
  <c r="DB23" i="4"/>
  <c r="DJ23" i="4"/>
  <c r="DD23" i="4"/>
  <c r="DK23" i="4"/>
  <c r="DM23" i="4"/>
  <c r="I23" i="4"/>
  <c r="J23" i="4"/>
  <c r="K23" i="4"/>
  <c r="EI82" i="4"/>
  <c r="DQ82" i="4"/>
  <c r="DY82" i="4"/>
  <c r="EG82" i="4"/>
  <c r="DW82" i="4"/>
  <c r="EF82" i="4"/>
  <c r="DU82" i="4"/>
  <c r="ED82" i="4"/>
  <c r="DT82" i="4"/>
  <c r="EH82" i="4"/>
  <c r="DV82" i="4"/>
  <c r="DR82" i="4"/>
  <c r="EC82" i="4"/>
  <c r="DS82" i="4"/>
  <c r="EE82" i="4"/>
  <c r="DX82" i="4"/>
  <c r="DH82" i="4"/>
  <c r="DP82" i="4"/>
  <c r="DZ82" i="4"/>
  <c r="EA82" i="4"/>
  <c r="EB82" i="4"/>
  <c r="DF82" i="4"/>
  <c r="DN82" i="4"/>
  <c r="DG82" i="4"/>
  <c r="DO82" i="4"/>
  <c r="DD82" i="4"/>
  <c r="DE82" i="4"/>
  <c r="DB82" i="4"/>
  <c r="DM82" i="4"/>
  <c r="DC82" i="4"/>
  <c r="I82" i="4"/>
  <c r="DJ82" i="4"/>
  <c r="K82" i="4"/>
  <c r="DK82" i="4"/>
  <c r="J82" i="4"/>
  <c r="DV17" i="4"/>
  <c r="ED17" i="4"/>
  <c r="DQ17" i="4"/>
  <c r="DY17" i="4"/>
  <c r="EG17" i="4"/>
  <c r="DS17" i="4"/>
  <c r="EC17" i="4"/>
  <c r="DW17" i="4"/>
  <c r="EH17" i="4"/>
  <c r="EA17" i="4"/>
  <c r="EE17" i="4"/>
  <c r="EF17" i="4"/>
  <c r="DZ17" i="4"/>
  <c r="EB17" i="4"/>
  <c r="DF17" i="4"/>
  <c r="DN17" i="4"/>
  <c r="EI17" i="4"/>
  <c r="DT17" i="4"/>
  <c r="DX17" i="4"/>
  <c r="DG17" i="4"/>
  <c r="DP17" i="4"/>
  <c r="DU17" i="4"/>
  <c r="DK17" i="4"/>
  <c r="DH17" i="4"/>
  <c r="DR17" i="4"/>
  <c r="DJ17" i="4"/>
  <c r="DO17" i="4"/>
  <c r="DE17" i="4"/>
  <c r="K17" i="4"/>
  <c r="DB17" i="4"/>
  <c r="DC17" i="4"/>
  <c r="DD17" i="4"/>
  <c r="DM17" i="4"/>
  <c r="J17" i="4"/>
  <c r="I17" i="4"/>
  <c r="EI84" i="4"/>
  <c r="DU84" i="4"/>
  <c r="EC84" i="4"/>
  <c r="DX84" i="4"/>
  <c r="EG84" i="4"/>
  <c r="DV84" i="4"/>
  <c r="EE84" i="4"/>
  <c r="DT84" i="4"/>
  <c r="EH84" i="4"/>
  <c r="DW84" i="4"/>
  <c r="DR84" i="4"/>
  <c r="ED84" i="4"/>
  <c r="DS84" i="4"/>
  <c r="EF84" i="4"/>
  <c r="EA84" i="4"/>
  <c r="DY84" i="4"/>
  <c r="DF84" i="4"/>
  <c r="DN84" i="4"/>
  <c r="DQ84" i="4"/>
  <c r="DZ84" i="4"/>
  <c r="EB84" i="4"/>
  <c r="DE84" i="4"/>
  <c r="DM84" i="4"/>
  <c r="DH84" i="4"/>
  <c r="K84" i="4"/>
  <c r="DC84" i="4"/>
  <c r="DO84" i="4"/>
  <c r="DD84" i="4"/>
  <c r="DP84" i="4"/>
  <c r="DG84" i="4"/>
  <c r="DJ84" i="4"/>
  <c r="DK84" i="4"/>
  <c r="I84" i="4"/>
  <c r="DB84" i="4"/>
  <c r="J84" i="4"/>
  <c r="DX20" i="4"/>
  <c r="EF20" i="4"/>
  <c r="DS20" i="4"/>
  <c r="EA20" i="4"/>
  <c r="EI20" i="4"/>
  <c r="DR20" i="4"/>
  <c r="EC20" i="4"/>
  <c r="DZ20" i="4"/>
  <c r="DW20" i="4"/>
  <c r="DY20" i="4"/>
  <c r="DU20" i="4"/>
  <c r="EH20" i="4"/>
  <c r="DV20" i="4"/>
  <c r="DC20" i="4"/>
  <c r="DK20" i="4"/>
  <c r="DQ20" i="4"/>
  <c r="ED20" i="4"/>
  <c r="EG20" i="4"/>
  <c r="DD20" i="4"/>
  <c r="DM20" i="4"/>
  <c r="EB20" i="4"/>
  <c r="DJ20" i="4"/>
  <c r="EE20" i="4"/>
  <c r="DH20" i="4"/>
  <c r="DF20" i="4"/>
  <c r="DG20" i="4"/>
  <c r="DN20" i="4"/>
  <c r="DT20" i="4"/>
  <c r="DP20" i="4"/>
  <c r="DE20" i="4"/>
  <c r="DB20" i="4"/>
  <c r="DO20" i="4"/>
  <c r="K20" i="4"/>
  <c r="I20" i="4"/>
  <c r="J20" i="4"/>
  <c r="DX28" i="4"/>
  <c r="EF28" i="4"/>
  <c r="DS28" i="4"/>
  <c r="EA28" i="4"/>
  <c r="EI28" i="4"/>
  <c r="DW28" i="4"/>
  <c r="EH28" i="4"/>
  <c r="DU28" i="4"/>
  <c r="EE28" i="4"/>
  <c r="DV28" i="4"/>
  <c r="DY28" i="4"/>
  <c r="DR28" i="4"/>
  <c r="EG28" i="4"/>
  <c r="DT28" i="4"/>
  <c r="EB28" i="4"/>
  <c r="EC28" i="4"/>
  <c r="DE28" i="4"/>
  <c r="DM28" i="4"/>
  <c r="ED28" i="4"/>
  <c r="DQ28" i="4"/>
  <c r="DC28" i="4"/>
  <c r="DK28" i="4"/>
  <c r="DZ28" i="4"/>
  <c r="DJ28" i="4"/>
  <c r="DG28" i="4"/>
  <c r="DF28" i="4"/>
  <c r="DB28" i="4"/>
  <c r="DD28" i="4"/>
  <c r="DH28" i="4"/>
  <c r="DN28" i="4"/>
  <c r="DO28" i="4"/>
  <c r="DP28" i="4"/>
  <c r="J28" i="4"/>
  <c r="K28" i="4"/>
  <c r="I28" i="4"/>
  <c r="DV5" i="4"/>
  <c r="ED5" i="4"/>
  <c r="DQ5" i="4"/>
  <c r="DY5" i="4"/>
  <c r="EG5" i="4"/>
  <c r="EI5" i="4"/>
  <c r="DT5" i="4"/>
  <c r="EB5" i="4"/>
  <c r="DR5" i="4"/>
  <c r="EE5" i="4"/>
  <c r="DW5" i="4"/>
  <c r="EA5" i="4"/>
  <c r="DU5" i="4"/>
  <c r="DX5" i="4"/>
  <c r="DS5" i="4"/>
  <c r="DB5" i="4"/>
  <c r="DJ5" i="4"/>
  <c r="EC5" i="4"/>
  <c r="EH5" i="4"/>
  <c r="DC5" i="4"/>
  <c r="DZ5" i="4"/>
  <c r="EF5" i="4"/>
  <c r="DG5" i="4"/>
  <c r="DH5" i="4"/>
  <c r="DE5" i="4"/>
  <c r="DP5" i="4"/>
  <c r="DF5" i="4"/>
  <c r="DD5" i="4"/>
  <c r="DO5" i="4"/>
  <c r="K5" i="4"/>
  <c r="DK5" i="4"/>
  <c r="DM5" i="4"/>
  <c r="DN5" i="4"/>
  <c r="J5" i="4"/>
  <c r="I5" i="4"/>
  <c r="EI75" i="4"/>
  <c r="DW75" i="4"/>
  <c r="EE75" i="4"/>
  <c r="DU75" i="4"/>
  <c r="ED75" i="4"/>
  <c r="DS75" i="4"/>
  <c r="EB75" i="4"/>
  <c r="DY75" i="4"/>
  <c r="DZ75" i="4"/>
  <c r="EA75" i="4"/>
  <c r="DV75" i="4"/>
  <c r="EH75" i="4"/>
  <c r="DX75" i="4"/>
  <c r="DQ75" i="4"/>
  <c r="DR75" i="4"/>
  <c r="EG75" i="4"/>
  <c r="EC75" i="4"/>
  <c r="DG75" i="4"/>
  <c r="DO75" i="4"/>
  <c r="EF75" i="4"/>
  <c r="DE75" i="4"/>
  <c r="DM75" i="4"/>
  <c r="DT75" i="4"/>
  <c r="DF75" i="4"/>
  <c r="DN75" i="4"/>
  <c r="DJ75" i="4"/>
  <c r="DK75" i="4"/>
  <c r="DC75" i="4"/>
  <c r="DD75" i="4"/>
  <c r="I75" i="4"/>
  <c r="DB75" i="4"/>
  <c r="J75" i="4"/>
  <c r="DP75" i="4"/>
  <c r="K75" i="4"/>
  <c r="DH75" i="4"/>
  <c r="EI83" i="4"/>
  <c r="DW83" i="4"/>
  <c r="EE83" i="4"/>
  <c r="DX83" i="4"/>
  <c r="EG83" i="4"/>
  <c r="DU83" i="4"/>
  <c r="ED83" i="4"/>
  <c r="EA83" i="4"/>
  <c r="DQ83" i="4"/>
  <c r="EB83" i="4"/>
  <c r="DY83" i="4"/>
  <c r="DZ83" i="4"/>
  <c r="DT83" i="4"/>
  <c r="EC83" i="4"/>
  <c r="DR83" i="4"/>
  <c r="EF83" i="4"/>
  <c r="DG83" i="4"/>
  <c r="DO83" i="4"/>
  <c r="EH83" i="4"/>
  <c r="DS83" i="4"/>
  <c r="DE83" i="4"/>
  <c r="DM83" i="4"/>
  <c r="DV83" i="4"/>
  <c r="DF83" i="4"/>
  <c r="DN83" i="4"/>
  <c r="DB83" i="4"/>
  <c r="DP83" i="4"/>
  <c r="J83" i="4"/>
  <c r="DJ83" i="4"/>
  <c r="K83" i="4"/>
  <c r="DC83" i="4"/>
  <c r="DD83" i="4"/>
  <c r="DH83" i="4"/>
  <c r="DK83" i="4"/>
  <c r="I83" i="4"/>
  <c r="EI86" i="4"/>
  <c r="DQ86" i="4"/>
  <c r="DY86" i="4"/>
  <c r="EG86" i="4"/>
  <c r="DX86" i="4"/>
  <c r="EH86" i="4"/>
  <c r="DV86" i="4"/>
  <c r="EE86" i="4"/>
  <c r="DU86" i="4"/>
  <c r="DW86" i="4"/>
  <c r="DS86" i="4"/>
  <c r="ED86" i="4"/>
  <c r="DT86" i="4"/>
  <c r="EF86" i="4"/>
  <c r="DZ86" i="4"/>
  <c r="DD86" i="4"/>
  <c r="DR86" i="4"/>
  <c r="EA86" i="4"/>
  <c r="EB86" i="4"/>
  <c r="EC86" i="4"/>
  <c r="DC86" i="4"/>
  <c r="DK86" i="4"/>
  <c r="I86" i="4"/>
  <c r="DF86" i="4"/>
  <c r="DP86" i="4"/>
  <c r="DM86" i="4"/>
  <c r="DB86" i="4"/>
  <c r="DN86" i="4"/>
  <c r="DJ86" i="4"/>
  <c r="J86" i="4"/>
  <c r="DO86" i="4"/>
  <c r="K86" i="4"/>
  <c r="DE86" i="4"/>
  <c r="DH86" i="4"/>
  <c r="DG86" i="4"/>
  <c r="EI85" i="4"/>
  <c r="DS85" i="4"/>
  <c r="EA85" i="4"/>
  <c r="DX85" i="4"/>
  <c r="EG85" i="4"/>
  <c r="DV85" i="4"/>
  <c r="EE85" i="4"/>
  <c r="EB85" i="4"/>
  <c r="DQ85" i="4"/>
  <c r="EC85" i="4"/>
  <c r="DY85" i="4"/>
  <c r="DZ85" i="4"/>
  <c r="EH85" i="4"/>
  <c r="DR85" i="4"/>
  <c r="ED85" i="4"/>
  <c r="EF85" i="4"/>
  <c r="DE85" i="4"/>
  <c r="DM85" i="4"/>
  <c r="K85" i="4"/>
  <c r="DT85" i="4"/>
  <c r="DU85" i="4"/>
  <c r="DW85" i="4"/>
  <c r="DD85" i="4"/>
  <c r="J85" i="4"/>
  <c r="DK85" i="4"/>
  <c r="DB85" i="4"/>
  <c r="DN85" i="4"/>
  <c r="DH85" i="4"/>
  <c r="DJ85" i="4"/>
  <c r="DO85" i="4"/>
  <c r="DP85" i="4"/>
  <c r="DF85" i="4"/>
  <c r="DG85" i="4"/>
  <c r="I85" i="4"/>
  <c r="DC85" i="4"/>
  <c r="EI88" i="4"/>
  <c r="DU88" i="4"/>
  <c r="EC88" i="4"/>
  <c r="DY88" i="4"/>
  <c r="EH88" i="4"/>
  <c r="DW88" i="4"/>
  <c r="EF88" i="4"/>
  <c r="DV88" i="4"/>
  <c r="DX88" i="4"/>
  <c r="DS88" i="4"/>
  <c r="EE88" i="4"/>
  <c r="DT88" i="4"/>
  <c r="EG88" i="4"/>
  <c r="EB88" i="4"/>
  <c r="DZ88" i="4"/>
  <c r="DQ88" i="4"/>
  <c r="DB88" i="4"/>
  <c r="DJ88" i="4"/>
  <c r="DR88" i="4"/>
  <c r="EA88" i="4"/>
  <c r="ED88" i="4"/>
  <c r="DD88" i="4"/>
  <c r="DN88" i="4"/>
  <c r="DK88" i="4"/>
  <c r="J88" i="4"/>
  <c r="I88" i="4"/>
  <c r="K88" i="4"/>
  <c r="DM88" i="4"/>
  <c r="DO88" i="4"/>
  <c r="DP88" i="4"/>
  <c r="DC88" i="4"/>
  <c r="DE88" i="4"/>
  <c r="DG88" i="4"/>
  <c r="DH88" i="4"/>
  <c r="DF88" i="4"/>
  <c r="EI90" i="4"/>
  <c r="DQ90" i="4"/>
  <c r="DY90" i="4"/>
  <c r="EG90" i="4"/>
  <c r="DZ90" i="4"/>
  <c r="DW90" i="4"/>
  <c r="EF90" i="4"/>
  <c r="DV90" i="4"/>
  <c r="DX90" i="4"/>
  <c r="DT90" i="4"/>
  <c r="EE90" i="4"/>
  <c r="DU90" i="4"/>
  <c r="EH90" i="4"/>
  <c r="DR90" i="4"/>
  <c r="EA90" i="4"/>
  <c r="DS90" i="4"/>
  <c r="DH90" i="4"/>
  <c r="DP90" i="4"/>
  <c r="EB90" i="4"/>
  <c r="EC90" i="4"/>
  <c r="ED90" i="4"/>
  <c r="DG90" i="4"/>
  <c r="DO90" i="4"/>
  <c r="DB90" i="4"/>
  <c r="K90" i="4"/>
  <c r="DJ90" i="4"/>
  <c r="DM90" i="4"/>
  <c r="DN90" i="4"/>
  <c r="DC90" i="4"/>
  <c r="DD90" i="4"/>
  <c r="J90" i="4"/>
  <c r="DF90" i="4"/>
  <c r="DK90" i="4"/>
  <c r="DE90" i="4"/>
  <c r="I90" i="4"/>
  <c r="DV9" i="4"/>
  <c r="ED9" i="4"/>
  <c r="DQ9" i="4"/>
  <c r="DY9" i="4"/>
  <c r="EG9" i="4"/>
  <c r="DX9" i="4"/>
  <c r="DR9" i="4"/>
  <c r="EB9" i="4"/>
  <c r="DU9" i="4"/>
  <c r="EF9" i="4"/>
  <c r="DT9" i="4"/>
  <c r="EI9" i="4"/>
  <c r="DW9" i="4"/>
  <c r="EH9" i="4"/>
  <c r="DS9" i="4"/>
  <c r="DF9" i="4"/>
  <c r="DN9" i="4"/>
  <c r="EA9" i="4"/>
  <c r="EE9" i="4"/>
  <c r="DH9" i="4"/>
  <c r="DZ9" i="4"/>
  <c r="EC9" i="4"/>
  <c r="DE9" i="4"/>
  <c r="DO9" i="4"/>
  <c r="DB9" i="4"/>
  <c r="DM9" i="4"/>
  <c r="DJ9" i="4"/>
  <c r="DK9" i="4"/>
  <c r="DD9" i="4"/>
  <c r="DP9" i="4"/>
  <c r="K9" i="4"/>
  <c r="DC9" i="4"/>
  <c r="DG9" i="4"/>
  <c r="J9" i="4"/>
  <c r="I9" i="4"/>
  <c r="DX4" i="4"/>
  <c r="EF4" i="4"/>
  <c r="DS4" i="4"/>
  <c r="EA4" i="4"/>
  <c r="EI4" i="4"/>
  <c r="DV4" i="4"/>
  <c r="ED4" i="4"/>
  <c r="DW4" i="4"/>
  <c r="EB4" i="4"/>
  <c r="DT4" i="4"/>
  <c r="EG4" i="4"/>
  <c r="DR4" i="4"/>
  <c r="DU4" i="4"/>
  <c r="EH4" i="4"/>
  <c r="DQ4" i="4"/>
  <c r="DZ4" i="4"/>
  <c r="DC4" i="4"/>
  <c r="DK4" i="4"/>
  <c r="EC4" i="4"/>
  <c r="EE4" i="4"/>
  <c r="DJ4" i="4"/>
  <c r="DH4" i="4"/>
  <c r="DY4" i="4"/>
  <c r="DM4" i="4"/>
  <c r="DB4" i="4"/>
  <c r="DN4" i="4"/>
  <c r="DP4" i="4"/>
  <c r="DG4" i="4"/>
  <c r="DD4" i="4"/>
  <c r="DE4" i="4"/>
  <c r="DF4" i="4"/>
  <c r="DO4" i="4"/>
  <c r="K4" i="4"/>
  <c r="I4" i="4"/>
  <c r="J4" i="4"/>
  <c r="DT26" i="4"/>
  <c r="EB26" i="4"/>
  <c r="EI26" i="4"/>
  <c r="DW26" i="4"/>
  <c r="EE26" i="4"/>
  <c r="DQ26" i="4"/>
  <c r="EA26" i="4"/>
  <c r="DY26" i="4"/>
  <c r="ED26" i="4"/>
  <c r="DR26" i="4"/>
  <c r="EF26" i="4"/>
  <c r="DZ26" i="4"/>
  <c r="EC26" i="4"/>
  <c r="DU26" i="4"/>
  <c r="DV26" i="4"/>
  <c r="EH26" i="4"/>
  <c r="DS26" i="4"/>
  <c r="DG26" i="4"/>
  <c r="DO26" i="4"/>
  <c r="DX26" i="4"/>
  <c r="EG26" i="4"/>
  <c r="DE26" i="4"/>
  <c r="DM26" i="4"/>
  <c r="DK26" i="4"/>
  <c r="DB26" i="4"/>
  <c r="DF26" i="4"/>
  <c r="DJ26" i="4"/>
  <c r="DC26" i="4"/>
  <c r="DH26" i="4"/>
  <c r="DN26" i="4"/>
  <c r="DP26" i="4"/>
  <c r="DD26" i="4"/>
  <c r="K26" i="4"/>
  <c r="I26" i="4"/>
  <c r="J26" i="4"/>
  <c r="EI77" i="4"/>
  <c r="DS77" i="4"/>
  <c r="EA77" i="4"/>
  <c r="DV77" i="4"/>
  <c r="EE77" i="4"/>
  <c r="DT77" i="4"/>
  <c r="EC77" i="4"/>
  <c r="DY77" i="4"/>
  <c r="DZ77" i="4"/>
  <c r="DW77" i="4"/>
  <c r="EH77" i="4"/>
  <c r="DX77" i="4"/>
  <c r="EF77" i="4"/>
  <c r="EG77" i="4"/>
  <c r="EB77" i="4"/>
  <c r="DE77" i="4"/>
  <c r="DM77" i="4"/>
  <c r="K77" i="4"/>
  <c r="DQ77" i="4"/>
  <c r="DR77" i="4"/>
  <c r="DU77" i="4"/>
  <c r="ED77" i="4"/>
  <c r="DC77" i="4"/>
  <c r="DK77" i="4"/>
  <c r="DD77" i="4"/>
  <c r="J77" i="4"/>
  <c r="DN77" i="4"/>
  <c r="DO77" i="4"/>
  <c r="DB77" i="4"/>
  <c r="DP77" i="4"/>
  <c r="DH77" i="4"/>
  <c r="I77" i="4"/>
  <c r="DF77" i="4"/>
  <c r="DJ77" i="4"/>
  <c r="DG77" i="4"/>
  <c r="EI80" i="4"/>
  <c r="DU80" i="4"/>
  <c r="EC80" i="4"/>
  <c r="DW80" i="4"/>
  <c r="EF80" i="4"/>
  <c r="DT80" i="4"/>
  <c r="ED80" i="4"/>
  <c r="DS80" i="4"/>
  <c r="EG80" i="4"/>
  <c r="DV80" i="4"/>
  <c r="EH80" i="4"/>
  <c r="DQ80" i="4"/>
  <c r="EB80" i="4"/>
  <c r="DR80" i="4"/>
  <c r="EE80" i="4"/>
  <c r="DZ80" i="4"/>
  <c r="EA80" i="4"/>
  <c r="DX80" i="4"/>
  <c r="DB80" i="4"/>
  <c r="DJ80" i="4"/>
  <c r="DY80" i="4"/>
  <c r="DH80" i="4"/>
  <c r="DP80" i="4"/>
  <c r="DM80" i="4"/>
  <c r="DC80" i="4"/>
  <c r="DN80" i="4"/>
  <c r="DG80" i="4"/>
  <c r="DK80" i="4"/>
  <c r="DD80" i="4"/>
  <c r="DE80" i="4"/>
  <c r="DF80" i="4"/>
  <c r="J80" i="4"/>
  <c r="I80" i="4"/>
  <c r="K80" i="4"/>
  <c r="DO80" i="4"/>
  <c r="DT10" i="4"/>
  <c r="EB10" i="4"/>
  <c r="EI10" i="4"/>
  <c r="DW10" i="4"/>
  <c r="EE10" i="4"/>
  <c r="DQ10" i="4"/>
  <c r="EA10" i="4"/>
  <c r="DU10" i="4"/>
  <c r="EF10" i="4"/>
  <c r="DY10" i="4"/>
  <c r="DS10" i="4"/>
  <c r="DV10" i="4"/>
  <c r="EG10" i="4"/>
  <c r="DR10" i="4"/>
  <c r="EH10" i="4"/>
  <c r="DZ10" i="4"/>
  <c r="DE10" i="4"/>
  <c r="DM10" i="4"/>
  <c r="EC10" i="4"/>
  <c r="DG10" i="4"/>
  <c r="DP10" i="4"/>
  <c r="DX10" i="4"/>
  <c r="DH10" i="4"/>
  <c r="ED10" i="4"/>
  <c r="DJ10" i="4"/>
  <c r="DD10" i="4"/>
  <c r="DF10" i="4"/>
  <c r="DO10" i="4"/>
  <c r="DC10" i="4"/>
  <c r="DB10" i="4"/>
  <c r="DK10" i="4"/>
  <c r="DN10" i="4"/>
  <c r="K10" i="4"/>
  <c r="J10" i="4"/>
  <c r="I10" i="4"/>
  <c r="M78" i="4"/>
  <c r="L90" i="4"/>
  <c r="M90" i="4"/>
  <c r="L10" i="4"/>
  <c r="M10" i="4"/>
  <c r="L20" i="4"/>
  <c r="M20" i="4"/>
  <c r="L74" i="4"/>
  <c r="M74" i="4"/>
  <c r="L28" i="4"/>
  <c r="M28" i="4"/>
  <c r="L5" i="4"/>
  <c r="M5" i="4"/>
  <c r="L84" i="4"/>
  <c r="M84" i="4"/>
  <c r="L26" i="4"/>
  <c r="M26" i="4"/>
  <c r="M76" i="4"/>
  <c r="L89" i="4"/>
  <c r="M89" i="4"/>
  <c r="L24" i="4"/>
  <c r="M24" i="4"/>
  <c r="M80" i="4"/>
  <c r="L13" i="4"/>
  <c r="M13" i="4"/>
  <c r="L86" i="4"/>
  <c r="M86" i="4"/>
  <c r="L88" i="4"/>
  <c r="M88" i="4"/>
  <c r="L17" i="4"/>
  <c r="M17" i="4"/>
  <c r="L11" i="4"/>
  <c r="M11" i="4"/>
  <c r="L75" i="4"/>
  <c r="M75" i="4"/>
  <c r="L9" i="4"/>
  <c r="M9" i="4"/>
  <c r="L4" i="4"/>
  <c r="M4" i="4"/>
  <c r="L83" i="4"/>
  <c r="M83" i="4"/>
  <c r="L82" i="4"/>
  <c r="M82" i="4"/>
  <c r="L23" i="4"/>
  <c r="M23" i="4"/>
  <c r="M77" i="4"/>
  <c r="M85" i="4"/>
  <c r="L85" i="4"/>
  <c r="L76" i="4"/>
  <c r="L77" i="4"/>
  <c r="L78" i="4"/>
  <c r="L80" i="4"/>
</calcChain>
</file>

<file path=xl/sharedStrings.xml><?xml version="1.0" encoding="utf-8"?>
<sst xmlns="http://schemas.openxmlformats.org/spreadsheetml/2006/main" count="2255" uniqueCount="342">
  <si>
    <t>sub</t>
  </si>
  <si>
    <t>computer_defect</t>
  </si>
  <si>
    <t>computer_recip</t>
  </si>
  <si>
    <t>stranger_defect</t>
  </si>
  <si>
    <t>stranger_recip</t>
  </si>
  <si>
    <t>friend_defect</t>
  </si>
  <si>
    <t>friend_recip</t>
  </si>
  <si>
    <t>sub_id</t>
  </si>
  <si>
    <t>tania_subid</t>
  </si>
  <si>
    <t>screener_date</t>
  </si>
  <si>
    <t>dob</t>
  </si>
  <si>
    <t>age_mo</t>
  </si>
  <si>
    <t>race</t>
  </si>
  <si>
    <t>gender</t>
  </si>
  <si>
    <t>audit_sum</t>
  </si>
  <si>
    <t>dudit_sum</t>
  </si>
  <si>
    <t>usi_sum</t>
  </si>
  <si>
    <t>fevs_sum</t>
  </si>
  <si>
    <t>pmas_sum</t>
  </si>
  <si>
    <t>pam_total_sum</t>
  </si>
  <si>
    <t>pam_adult_duration</t>
  </si>
  <si>
    <t>pam_adult_interaction</t>
  </si>
  <si>
    <t>pam_adult_knowledge</t>
  </si>
  <si>
    <t>pam_adult_intimate</t>
  </si>
  <si>
    <t>pam_adult_disclose</t>
  </si>
  <si>
    <t>pam_adult_social</t>
  </si>
  <si>
    <t>mspss_sum</t>
  </si>
  <si>
    <t>ses_2</t>
  </si>
  <si>
    <t>ses_03</t>
  </si>
  <si>
    <t>ses_4</t>
  </si>
  <si>
    <t>ses_score_1</t>
  </si>
  <si>
    <t>ses_score_2</t>
  </si>
  <si>
    <t>ses_score_3</t>
  </si>
  <si>
    <t>ses_score_4</t>
  </si>
  <si>
    <t>ses_score_5</t>
  </si>
  <si>
    <t>ses_score_6</t>
  </si>
  <si>
    <t>ses_score_7</t>
  </si>
  <si>
    <t>fraud_score_1</t>
  </si>
  <si>
    <t>fraud_score_2</t>
  </si>
  <si>
    <t>fraud_score_3</t>
  </si>
  <si>
    <t>fraud_score_4</t>
  </si>
  <si>
    <t>dospert_score_e</t>
  </si>
  <si>
    <t>dospert_score_fi_fg</t>
  </si>
  <si>
    <t>dospert_score_hs</t>
  </si>
  <si>
    <t>dospert_score_r</t>
  </si>
  <si>
    <t>dospert_score_s</t>
  </si>
  <si>
    <t>faq_score</t>
  </si>
  <si>
    <t>ecog_score</t>
  </si>
  <si>
    <t>sub_dob</t>
  </si>
  <si>
    <t>sub_age</t>
  </si>
  <si>
    <t>sub_gender</t>
  </si>
  <si>
    <t>eros_o_score</t>
  </si>
  <si>
    <t>eros_s_score</t>
  </si>
  <si>
    <t>susd_adult_mania</t>
  </si>
  <si>
    <t>susd_adult_depression</t>
  </si>
  <si>
    <t>sogs_total</t>
  </si>
  <si>
    <t>score_tei_wellbeing</t>
  </si>
  <si>
    <t>score_tei_selfcontrol</t>
  </si>
  <si>
    <t>score_tei_emotionality</t>
  </si>
  <si>
    <t>score_tei_sociability</t>
  </si>
  <si>
    <t>score_tei_globaltrait</t>
  </si>
  <si>
    <t>scaared_adult_total</t>
  </si>
  <si>
    <t>scaared_adult_panic</t>
  </si>
  <si>
    <t>scaared_adult_gad</t>
  </si>
  <si>
    <t>scaared_adult_separation</t>
  </si>
  <si>
    <t>scaared_adult_socanx</t>
  </si>
  <si>
    <t>score_aq_socialskill</t>
  </si>
  <si>
    <t>score_aq_attnswitch</t>
  </si>
  <si>
    <t>score_aq_attndetail</t>
  </si>
  <si>
    <t>score_aq_communication</t>
  </si>
  <si>
    <t>score_aq_imagination</t>
  </si>
  <si>
    <t>score_aq_total</t>
  </si>
  <si>
    <t>panas_p_prescan_total</t>
  </si>
  <si>
    <t>panas_n_prescan_total</t>
  </si>
  <si>
    <t>norc_lifetime_total</t>
  </si>
  <si>
    <t>norc_year_total</t>
  </si>
  <si>
    <t>mspss_retest_scoring</t>
  </si>
  <si>
    <t>mspss_retest_friends</t>
  </si>
  <si>
    <t>mspss_retest_family</t>
  </si>
  <si>
    <t>mspss_retest_sig_other</t>
  </si>
  <si>
    <t>nbs_adult_sum</t>
  </si>
  <si>
    <t>bsmas_total</t>
  </si>
  <si>
    <t>gs_short_form_total</t>
  </si>
  <si>
    <t>oafem_total</t>
  </si>
  <si>
    <t>gti_score</t>
  </si>
  <si>
    <t>gs_total</t>
  </si>
  <si>
    <t>crt_score_total</t>
  </si>
  <si>
    <t>iat_total</t>
  </si>
  <si>
    <t>bsas_salience_score</t>
  </si>
  <si>
    <t>bsas_mood_score</t>
  </si>
  <si>
    <t>bsas_conflict_score</t>
  </si>
  <si>
    <t>bsas_tolerance_score</t>
  </si>
  <si>
    <t>bsas_relapse_score</t>
  </si>
  <si>
    <t>bsas_withdrawl_score</t>
  </si>
  <si>
    <t>bsas_problems_score</t>
  </si>
  <si>
    <t>bsas_total_score</t>
  </si>
  <si>
    <t>mach_iv_total</t>
  </si>
  <si>
    <t>mach_iv_sum</t>
  </si>
  <si>
    <t>bpaqsf_total_sum</t>
  </si>
  <si>
    <t>bpaqsf_physical_sum</t>
  </si>
  <si>
    <t>bpaqsf_anger_sum</t>
  </si>
  <si>
    <t>bpaqsf_verbal_sum</t>
  </si>
  <si>
    <t>bpaqsf_hostile_sum</t>
  </si>
  <si>
    <t>pnr_p_total</t>
  </si>
  <si>
    <t>pnr_n_total</t>
  </si>
  <si>
    <t>quic_adult_scoring_parent_involve</t>
  </si>
  <si>
    <t>quic_adult_scoring_parent_predictability</t>
  </si>
  <si>
    <t>quic_adult_scoring_parent_enviornment</t>
  </si>
  <si>
    <t>quic_adult_scoring_parent_physicalenviro</t>
  </si>
  <si>
    <t>quic_adult_scoring_parent_safety</t>
  </si>
  <si>
    <t>plan_score_mf</t>
  </si>
  <si>
    <t>plan_score_to</t>
  </si>
  <si>
    <t>plan_score_cs</t>
  </si>
  <si>
    <t>plan_score_total</t>
  </si>
  <si>
    <t>ctb_1_score</t>
  </si>
  <si>
    <t>ctb_2_score</t>
  </si>
  <si>
    <t>ctb_3_score</t>
  </si>
  <si>
    <t>ctb_4_score</t>
  </si>
  <si>
    <t>scd_score_total</t>
  </si>
  <si>
    <t>nih_sum</t>
  </si>
  <si>
    <t>nih_score_yn</t>
  </si>
  <si>
    <t>hvltimm_equation</t>
  </si>
  <si>
    <t>hvlt_delaytime_equation</t>
  </si>
  <si>
    <t>hvlt_delay_score</t>
  </si>
  <si>
    <t>hvlt_retention</t>
  </si>
  <si>
    <t>hvlt_rec_dis</t>
  </si>
  <si>
    <t>salthouse_let_score</t>
  </si>
  <si>
    <t>salthouse_pat_score</t>
  </si>
  <si>
    <t>har_score</t>
  </si>
  <si>
    <t>kbit_score</t>
  </si>
  <si>
    <t>math_addition_score</t>
  </si>
  <si>
    <t>math_addition_time</t>
  </si>
  <si>
    <t>math_subtraction_score</t>
  </si>
  <si>
    <t>math_subtraction_time</t>
  </si>
  <si>
    <t>math_multiplication_score</t>
  </si>
  <si>
    <t>math_multiplication_time</t>
  </si>
  <si>
    <t>ios_sr_score</t>
  </si>
  <si>
    <t>ios_invest_score</t>
  </si>
  <si>
    <t>ios_friend_score</t>
  </si>
  <si>
    <t>ios_computer_score</t>
  </si>
  <si>
    <t>White</t>
  </si>
  <si>
    <t>Female</t>
  </si>
  <si>
    <t>Male</t>
  </si>
  <si>
    <t>Black or African American</t>
  </si>
  <si>
    <t>Asian</t>
  </si>
  <si>
    <t xml:space="preserve">White </t>
  </si>
  <si>
    <t xml:space="preserve">Female </t>
  </si>
  <si>
    <t>Two or more races</t>
  </si>
  <si>
    <t>Non-Binary</t>
  </si>
  <si>
    <t>American Indian/Alaska Native</t>
  </si>
  <si>
    <t>Prefer not to respond</t>
  </si>
  <si>
    <t>RF1_10103_BE</t>
  </si>
  <si>
    <t>RF1_10348</t>
  </si>
  <si>
    <t>RF1_10369a</t>
  </si>
  <si>
    <t>RF1_10374</t>
  </si>
  <si>
    <t>RF1_10377</t>
  </si>
  <si>
    <t>RF1_10391a</t>
  </si>
  <si>
    <t>RF1_10402</t>
  </si>
  <si>
    <t>RF1_10418</t>
  </si>
  <si>
    <t>RF1_10460a</t>
  </si>
  <si>
    <t>RF1_10462a</t>
  </si>
  <si>
    <t>RF1_10478a</t>
  </si>
  <si>
    <t>RF1_10479a</t>
  </si>
  <si>
    <t>RF1_10486</t>
  </si>
  <si>
    <t>RF1_10496</t>
  </si>
  <si>
    <t>RF1_10512</t>
  </si>
  <si>
    <t>RF1_10529a</t>
  </si>
  <si>
    <t>RF1_10531</t>
  </si>
  <si>
    <t>RF1_10541</t>
  </si>
  <si>
    <t>RF1_10555a</t>
  </si>
  <si>
    <t>RF1_10570</t>
  </si>
  <si>
    <t>RF1_10572</t>
  </si>
  <si>
    <t>RF1_10581</t>
  </si>
  <si>
    <t>RF1_10582a</t>
  </si>
  <si>
    <t>RF1_10584</t>
  </si>
  <si>
    <t>RF1_10585</t>
  </si>
  <si>
    <t>RF1_10589a</t>
  </si>
  <si>
    <t>RF1_10596a</t>
  </si>
  <si>
    <t>RF1_10603</t>
  </si>
  <si>
    <t>RF1_10606a</t>
  </si>
  <si>
    <t>RF1_10608</t>
  </si>
  <si>
    <t>RF1_10559</t>
  </si>
  <si>
    <t>RF1_10317</t>
  </si>
  <si>
    <t>RF1_10716</t>
  </si>
  <si>
    <t>RF1_10770</t>
  </si>
  <si>
    <t>ios_stranger_score</t>
  </si>
  <si>
    <t>ethnicity</t>
  </si>
  <si>
    <t>Not Hispanic or Latino</t>
  </si>
  <si>
    <t>Hispanic or Latino</t>
  </si>
  <si>
    <t>Ethnicity not described (Other)</t>
  </si>
  <si>
    <t>Examinee_Identifier</t>
  </si>
  <si>
    <t>Encounter_StartDate</t>
  </si>
  <si>
    <t>Encounter_StartTime</t>
  </si>
  <si>
    <t>Encounter_FinishDate</t>
  </si>
  <si>
    <t>Encounter_FinishTime</t>
  </si>
  <si>
    <t>Encounter_SyncDate</t>
  </si>
  <si>
    <t>Encounter_SyncTime</t>
  </si>
  <si>
    <t>Encounter_ID</t>
  </si>
  <si>
    <t>Encounter_RealmName</t>
  </si>
  <si>
    <t>Encounter_RealmID</t>
  </si>
  <si>
    <t>Encounter_StudyName</t>
  </si>
  <si>
    <t>Encounter_StudyID</t>
  </si>
  <si>
    <t>Encounter_SiteName</t>
  </si>
  <si>
    <t>Encounter_SiteID</t>
  </si>
  <si>
    <t>Encounter_ExaminerName</t>
  </si>
  <si>
    <t>Encounter_ExaminerID</t>
  </si>
  <si>
    <t>Encounter_ExaminerEmail</t>
  </si>
  <si>
    <t>Encounter_DataValidity</t>
  </si>
  <si>
    <t>Encounter_DataValidityIssues</t>
  </si>
  <si>
    <t>Encounter_Notes</t>
  </si>
  <si>
    <t>Encounter_AppVersion</t>
  </si>
  <si>
    <t>Encounter_IsArchived</t>
  </si>
  <si>
    <t>Examinee_FirstName</t>
  </si>
  <si>
    <t>Examinee_LastName</t>
  </si>
  <si>
    <t>Examinee_DOB</t>
  </si>
  <si>
    <t>Examinee_AgeAtEncounterStart</t>
  </si>
  <si>
    <t>Examinee_NativeLanguage</t>
  </si>
  <si>
    <t>Examinee_Gender</t>
  </si>
  <si>
    <t>Examinee_Education</t>
  </si>
  <si>
    <t>Examinee_Handedness</t>
  </si>
  <si>
    <t>Examinee_Notes</t>
  </si>
  <si>
    <t>Informant_FirstName</t>
  </si>
  <si>
    <t>Informant_LastName</t>
  </si>
  <si>
    <t>Informant_Relationship</t>
  </si>
  <si>
    <t>Informant_Age</t>
  </si>
  <si>
    <t>Informant_Gender</t>
  </si>
  <si>
    <t>Informant_YearsKnown</t>
  </si>
  <si>
    <t>Informant_LivingWith</t>
  </si>
  <si>
    <t>Informant_ContactFrequency</t>
  </si>
  <si>
    <t>Informant_Notes</t>
  </si>
  <si>
    <t>Composite_BHA-CS-Short</t>
  </si>
  <si>
    <t>Composite_BHA-CS-Full</t>
  </si>
  <si>
    <t>Composite_BHA-GS-Short</t>
  </si>
  <si>
    <t>Composite_BHA-GS-Full</t>
  </si>
  <si>
    <t>Flanker_TaskVersion</t>
  </si>
  <si>
    <t>Flanker_TaskLanguage</t>
  </si>
  <si>
    <t>Flanker_TaskDuration</t>
  </si>
  <si>
    <t>Flanker_PracticeTrialSuccess</t>
  </si>
  <si>
    <t>Flanker_PTSet1_TotalCorrect</t>
  </si>
  <si>
    <t>Flanker_PTSet2_TotalCorrect</t>
  </si>
  <si>
    <t>Flanker_TotalScore</t>
  </si>
  <si>
    <t>Flanker_Correct_Total</t>
  </si>
  <si>
    <t>Flanker_Correct_MedianRT</t>
  </si>
  <si>
    <t>Flanker_Correct_StDevRT</t>
  </si>
  <si>
    <t>Flanker_CongrCorrect_Total</t>
  </si>
  <si>
    <t>Flanker_CongrCorrect_MedianRT</t>
  </si>
  <si>
    <t>Flanker_IncongrCorrect_Total</t>
  </si>
  <si>
    <t>Flanker_IncongrCorrect_MedianRT</t>
  </si>
  <si>
    <t>Flanker_TotalScore_Z</t>
  </si>
  <si>
    <t>RunningDots_TaskVersion</t>
  </si>
  <si>
    <t>RunningDots_TaskLanguage</t>
  </si>
  <si>
    <t>RunningDots_TaskDuration</t>
  </si>
  <si>
    <t>RunningDots_PracticeTrialSuccess</t>
  </si>
  <si>
    <t>RunningDots_2Dot_TotalCorrect</t>
  </si>
  <si>
    <t>RunningDots_2Dot_PercentCorrect</t>
  </si>
  <si>
    <t>RunningDots_2Dot_TrialScore</t>
  </si>
  <si>
    <t>RunningDots_3Dot_TotalCorrect</t>
  </si>
  <si>
    <t>RunningDots_3Dot_PercentCorrect</t>
  </si>
  <si>
    <t>RunningDots_3Dot_TrialScore</t>
  </si>
  <si>
    <t>RunningDots_4Dot_TotalCorrect</t>
  </si>
  <si>
    <t>RunningDots_4Dot_PercentCorrect</t>
  </si>
  <si>
    <t>RunningDots_4Dot_TrialScore</t>
  </si>
  <si>
    <t>RunningDots_5Dot_TotalCorrect</t>
  </si>
  <si>
    <t>RunningDots_5Dot_PercentCorrect</t>
  </si>
  <si>
    <t>RunningDots_5Dot_TrialScore</t>
  </si>
  <si>
    <t>RunningDots_TotalCorrect</t>
  </si>
  <si>
    <t>RunningDots_PercentCorrect</t>
  </si>
  <si>
    <t>RunningDots_TrialScore</t>
  </si>
  <si>
    <t>SetShifting_TaskVersion</t>
  </si>
  <si>
    <t>SetShifting_TaskLanguage</t>
  </si>
  <si>
    <t>SetShifting_TaskDuration</t>
  </si>
  <si>
    <t>SetShifting_PracticeTrialSuccess</t>
  </si>
  <si>
    <t>SetShifting_PTSet1_TotalCorrect</t>
  </si>
  <si>
    <t>SetShifting_PTSet2_TotalCorrect</t>
  </si>
  <si>
    <t>SetShifting_TotalScore</t>
  </si>
  <si>
    <t>SetShifting_ColorCorrect_Total</t>
  </si>
  <si>
    <t>SetShifting_ColorCorrect_MedianRT</t>
  </si>
  <si>
    <t>SetShifting_ShapeCorrect_Total</t>
  </si>
  <si>
    <t>SetShifting_ShapeCorrect_MedianRT</t>
  </si>
  <si>
    <t>SetShifting_ShiftCorrect_Total</t>
  </si>
  <si>
    <t>SetShifting_ShiftCorrect_MedianRT</t>
  </si>
  <si>
    <t>SetShifting_ShiftedCorrect_Total</t>
  </si>
  <si>
    <t>SetShifting_ShiftedCorrect_MedianRT</t>
  </si>
  <si>
    <t>SetShifting_ShiftedCorrect_StDevRT</t>
  </si>
  <si>
    <t>SetShifting_NonshiftedCorrect_Total</t>
  </si>
  <si>
    <t>SetShifting_NonshiftedCorrect_MedianRT</t>
  </si>
  <si>
    <t>SetShifting_TotalScore_Z</t>
  </si>
  <si>
    <t>Smith Neuroeconomics Lab</t>
  </si>
  <si>
    <t>RF1 - Social Reward Processing Across the Lifespan</t>
  </si>
  <si>
    <t>Cooper Sharp</t>
  </si>
  <si>
    <t>auth0|6400fd26753bada341c3f93d</t>
  </si>
  <si>
    <t>cooper.sharp@temple.edu</t>
  </si>
  <si>
    <t>This was a real encounter with no data validity issues.</t>
  </si>
  <si>
    <t>None</t>
  </si>
  <si>
    <t>3.6.1 (64)</t>
  </si>
  <si>
    <t>O</t>
  </si>
  <si>
    <t>Z</t>
  </si>
  <si>
    <t>Right</t>
  </si>
  <si>
    <t>NA</t>
  </si>
  <si>
    <t>3.1.0</t>
  </si>
  <si>
    <t>English</t>
  </si>
  <si>
    <t>3.0.0</t>
  </si>
  <si>
    <t>This was a practice encounter and does not contain real data.</t>
  </si>
  <si>
    <t>A</t>
  </si>
  <si>
    <t>D</t>
  </si>
  <si>
    <t>Ori Zaff</t>
  </si>
  <si>
    <t>auth0|6400fa4e225a1fc07c071caa</t>
  </si>
  <si>
    <t>ori.zaff@temple.edu</t>
  </si>
  <si>
    <t>CS</t>
  </si>
  <si>
    <t>E</t>
  </si>
  <si>
    <t>L</t>
  </si>
  <si>
    <t>NaN</t>
  </si>
  <si>
    <t>This was a real encounter with data validity issues.</t>
  </si>
  <si>
    <t>M</t>
  </si>
  <si>
    <t>I</t>
  </si>
  <si>
    <t>C</t>
  </si>
  <si>
    <t>S</t>
  </si>
  <si>
    <t>Participant could not complete running dots</t>
  </si>
  <si>
    <t>T</t>
  </si>
  <si>
    <t>Cs TEST FOR NAN</t>
  </si>
  <si>
    <t>Technical/Administration Factor</t>
  </si>
  <si>
    <t>Duplicate</t>
  </si>
  <si>
    <t>Left</t>
  </si>
  <si>
    <t>Encounter was automatically closed after inactivity and authentication by Ori Zaff</t>
  </si>
  <si>
    <t>R</t>
  </si>
  <si>
    <t>K</t>
  </si>
  <si>
    <t>B</t>
  </si>
  <si>
    <t>3.12.0 (88)</t>
  </si>
  <si>
    <t>N</t>
  </si>
  <si>
    <t>F</t>
  </si>
  <si>
    <t>Thai</t>
  </si>
  <si>
    <t>Tia Tropea</t>
  </si>
  <si>
    <t>auth0|6400fd69bedd949b48249fee</t>
  </si>
  <si>
    <t>tia.tropea@temple.edu</t>
  </si>
  <si>
    <t>Y</t>
  </si>
  <si>
    <t>Mandarin, Traditional</t>
  </si>
  <si>
    <t>Ashley Hawk</t>
  </si>
  <si>
    <t>auth0|64cd39732426af0da2621531</t>
  </si>
  <si>
    <t>ashley.hawk@temple.edu</t>
  </si>
  <si>
    <t>G</t>
  </si>
  <si>
    <t>H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</si>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</sst>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C767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0" fontId="0" fillId="4" borderId="0" xfId="0" applyFill="1"/>
    <xf numFmtId="6" fontId="0" fillId="0" borderId="0" xfId="0" applyNumberFormat="1"/>
    <xf numFmtId="21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767B"/>
      <color rgb="FFBF57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FE6A-9F9C-044B-9892-7C3CC554F92E}">
  <dimension ref="A1:GH90"/>
  <sheetViews>
    <sheetView tabSelected="1" zoomScale="125" zoomScaleNormal="68" workbookViewId="0">
      <pane xSplit="1" ySplit="1" topLeftCell="CD27" activePane="bottomRight" state="frozen"/>
      <selection pane="topRight" activeCell="B1" sqref="B1"/>
      <selection pane="bottomLeft" activeCell="A2" sqref="A2"/>
      <selection pane="bottomRight" activeCell="CL39" sqref="CL39"/>
    </sheetView>
  </sheetViews>
  <sheetFormatPr baseColWidth="10" defaultRowHeight="16" x14ac:dyDescent="0.2"/>
  <cols>
    <col min="3" max="8" width="10.83203125" style="2"/>
    <col min="9" max="9" width="16.1640625" style="3" customWidth="1"/>
    <col min="10" max="11" width="10.83203125" style="4"/>
    <col min="12" max="105" width="10.83203125" style="5"/>
    <col min="106" max="110" width="10.83203125" style="4"/>
    <col min="111" max="111" width="13.33203125" style="4" customWidth="1"/>
    <col min="112" max="112" width="10.83203125" style="4"/>
    <col min="113" max="113" width="9.6640625" style="4" customWidth="1"/>
    <col min="114" max="139" width="10.83203125" style="4"/>
    <col min="140" max="140" width="19.83203125" style="8" customWidth="1"/>
    <col min="141" max="141" width="19.33203125" style="8" customWidth="1"/>
    <col min="142" max="190" width="10.83203125" style="8"/>
  </cols>
  <sheetData>
    <row r="1" spans="1:190" x14ac:dyDescent="0.2">
      <c r="A1" t="str">
        <f>trust!A1</f>
        <v>sub</v>
      </c>
      <c r="B1" t="s">
        <v>8</v>
      </c>
      <c r="C1" s="2" t="str">
        <f>trust!B1</f>
        <v>computer_defect</v>
      </c>
      <c r="D1" s="2" t="str">
        <f>trust!C1</f>
        <v>computer_recip</v>
      </c>
      <c r="E1" s="2" t="str">
        <f>trust!D1</f>
        <v>stranger_defect</v>
      </c>
      <c r="F1" s="2" t="str">
        <f>trust!E1</f>
        <v>stranger_recip</v>
      </c>
      <c r="G1" s="2" t="str">
        <f>trust!F1</f>
        <v>friend_defect</v>
      </c>
      <c r="H1" s="2" t="str">
        <f>trust!G1</f>
        <v>friend_recip</v>
      </c>
      <c r="I1" s="3" t="str">
        <f>island_data!C1</f>
        <v>screener_date</v>
      </c>
      <c r="J1" s="3" t="str">
        <f>island_data!D1</f>
        <v>dob</v>
      </c>
      <c r="K1" s="4" t="str">
        <f>island_data!E1</f>
        <v>age_mo</v>
      </c>
      <c r="L1" s="5" t="str">
        <f>rf1_data!D1</f>
        <v>sub_age</v>
      </c>
      <c r="M1" s="5" t="str">
        <f>rf1_data!E1</f>
        <v>race</v>
      </c>
      <c r="N1" s="5" t="str">
        <f>rf1_data!F1</f>
        <v>ethnicity</v>
      </c>
      <c r="O1" s="5" t="str">
        <f>rf1_data!G1</f>
        <v>sub_gender</v>
      </c>
      <c r="P1" s="5" t="str">
        <f>rf1_data!H1</f>
        <v>eros_o_score</v>
      </c>
      <c r="Q1" s="5" t="str">
        <f>rf1_data!I1</f>
        <v>eros_s_score</v>
      </c>
      <c r="R1" s="5" t="str">
        <f>rf1_data!J1</f>
        <v>susd_adult_mania</v>
      </c>
      <c r="S1" s="5" t="str">
        <f>rf1_data!K1</f>
        <v>susd_adult_depression</v>
      </c>
      <c r="T1" s="5" t="str">
        <f>rf1_data!L1</f>
        <v>sogs_total</v>
      </c>
      <c r="U1" s="5" t="str">
        <f>rf1_data!M1</f>
        <v>score_tei_wellbeing</v>
      </c>
      <c r="V1" s="5" t="str">
        <f>rf1_data!N1</f>
        <v>score_tei_selfcontrol</v>
      </c>
      <c r="W1" s="5" t="str">
        <f>rf1_data!O1</f>
        <v>score_tei_emotionality</v>
      </c>
      <c r="X1" s="5" t="str">
        <f>rf1_data!P1</f>
        <v>score_tei_sociability</v>
      </c>
      <c r="Y1" s="5" t="str">
        <f>rf1_data!Q1</f>
        <v>score_tei_globaltrait</v>
      </c>
      <c r="Z1" s="5" t="str">
        <f>rf1_data!R1</f>
        <v>scaared_adult_total</v>
      </c>
      <c r="AA1" s="5" t="str">
        <f>rf1_data!S1</f>
        <v>scaared_adult_panic</v>
      </c>
      <c r="AB1" s="5" t="str">
        <f>rf1_data!T1</f>
        <v>scaared_adult_gad</v>
      </c>
      <c r="AC1" s="5" t="str">
        <f>rf1_data!U1</f>
        <v>scaared_adult_separation</v>
      </c>
      <c r="AD1" s="5" t="str">
        <f>rf1_data!V1</f>
        <v>scaared_adult_socanx</v>
      </c>
      <c r="AE1" s="5" t="str">
        <f>rf1_data!W1</f>
        <v>score_aq_socialskill</v>
      </c>
      <c r="AF1" s="5" t="str">
        <f>rf1_data!X1</f>
        <v>score_aq_attnswitch</v>
      </c>
      <c r="AG1" s="5" t="str">
        <f>rf1_data!Y1</f>
        <v>score_aq_attndetail</v>
      </c>
      <c r="AH1" s="5" t="str">
        <f>rf1_data!Z1</f>
        <v>score_aq_communication</v>
      </c>
      <c r="AI1" s="5" t="str">
        <f>rf1_data!AA1</f>
        <v>score_aq_imagination</v>
      </c>
      <c r="AJ1" s="5" t="str">
        <f>rf1_data!AB1</f>
        <v>score_aq_total</v>
      </c>
      <c r="AK1" s="5" t="str">
        <f>rf1_data!AC1</f>
        <v>panas_p_prescan_total</v>
      </c>
      <c r="AL1" s="5" t="str">
        <f>rf1_data!AD1</f>
        <v>panas_n_prescan_total</v>
      </c>
      <c r="AM1" s="5" t="str">
        <f>rf1_data!AE1</f>
        <v>norc_lifetime_total</v>
      </c>
      <c r="AN1" s="5" t="str">
        <f>rf1_data!AF1</f>
        <v>norc_year_total</v>
      </c>
      <c r="AO1" s="5" t="str">
        <f>rf1_data!AG1</f>
        <v>mspss_retest_scoring</v>
      </c>
      <c r="AP1" s="5" t="str">
        <f>rf1_data!AH1</f>
        <v>mspss_retest_friends</v>
      </c>
      <c r="AQ1" s="5" t="str">
        <f>rf1_data!AI1</f>
        <v>mspss_retest_family</v>
      </c>
      <c r="AR1" s="5" t="str">
        <f>rf1_data!AJ1</f>
        <v>mspss_retest_sig_other</v>
      </c>
      <c r="AS1" s="5" t="str">
        <f>rf1_data!AK1</f>
        <v>nbs_adult_sum</v>
      </c>
      <c r="AT1" s="5" t="str">
        <f>rf1_data!AL1</f>
        <v>bsmas_total</v>
      </c>
      <c r="AU1" s="5" t="str">
        <f>rf1_data!AM1</f>
        <v>gs_short_form_total</v>
      </c>
      <c r="AV1" s="5" t="str">
        <f>rf1_data!AN1</f>
        <v>oafem_total</v>
      </c>
      <c r="AW1" s="5" t="str">
        <f>rf1_data!AO1</f>
        <v>gti_score</v>
      </c>
      <c r="AX1" s="5" t="str">
        <f>rf1_data!AP1</f>
        <v>gs_total</v>
      </c>
      <c r="AY1" s="5" t="str">
        <f>rf1_data!AQ1</f>
        <v>crt_score_total</v>
      </c>
      <c r="AZ1" s="5" t="str">
        <f>rf1_data!AR1</f>
        <v>iat_total</v>
      </c>
      <c r="BA1" s="5" t="str">
        <f>rf1_data!AS1</f>
        <v>bsas_salience_score</v>
      </c>
      <c r="BB1" s="5" t="str">
        <f>rf1_data!AT1</f>
        <v>bsas_mood_score</v>
      </c>
      <c r="BC1" s="5" t="str">
        <f>rf1_data!AU1</f>
        <v>bsas_conflict_score</v>
      </c>
      <c r="BD1" s="5" t="str">
        <f>rf1_data!AV1</f>
        <v>bsas_tolerance_score</v>
      </c>
      <c r="BE1" s="5" t="str">
        <f>rf1_data!AW1</f>
        <v>bsas_relapse_score</v>
      </c>
      <c r="BF1" s="5" t="str">
        <f>rf1_data!AX1</f>
        <v>bsas_withdrawl_score</v>
      </c>
      <c r="BG1" s="5" t="str">
        <f>rf1_data!AY1</f>
        <v>bsas_problems_score</v>
      </c>
      <c r="BH1" s="5" t="str">
        <f>rf1_data!AZ1</f>
        <v>bsas_total_score</v>
      </c>
      <c r="BI1" s="5" t="str">
        <f>rf1_data!BA1</f>
        <v>mach_iv_total</v>
      </c>
      <c r="BJ1" s="5" t="str">
        <f>rf1_data!BB1</f>
        <v>mach_iv_sum</v>
      </c>
      <c r="BK1" s="5" t="str">
        <f>rf1_data!BC1</f>
        <v>bpaqsf_total_sum</v>
      </c>
      <c r="BL1" s="5" t="str">
        <f>rf1_data!BD1</f>
        <v>bpaqsf_physical_sum</v>
      </c>
      <c r="BM1" s="5" t="str">
        <f>rf1_data!BE1</f>
        <v>bpaqsf_anger_sum</v>
      </c>
      <c r="BN1" s="5" t="str">
        <f>rf1_data!BF1</f>
        <v>bpaqsf_verbal_sum</v>
      </c>
      <c r="BO1" s="5" t="str">
        <f>rf1_data!BG1</f>
        <v>bpaqsf_hostile_sum</v>
      </c>
      <c r="BP1" s="5" t="str">
        <f>rf1_data!BH1</f>
        <v>pnr_p_total</v>
      </c>
      <c r="BQ1" s="5" t="str">
        <f>rf1_data!BI1</f>
        <v>pnr_n_total</v>
      </c>
      <c r="BR1" s="5" t="str">
        <f>rf1_data!BJ1</f>
        <v>quic_adult_scoring_parent_involve</v>
      </c>
      <c r="BS1" s="5" t="str">
        <f>rf1_data!BK1</f>
        <v>quic_adult_scoring_parent_predictability</v>
      </c>
      <c r="BT1" s="5" t="str">
        <f>rf1_data!BL1</f>
        <v>quic_adult_scoring_parent_enviornment</v>
      </c>
      <c r="BU1" s="5" t="str">
        <f>rf1_data!BM1</f>
        <v>quic_adult_scoring_parent_physicalenviro</v>
      </c>
      <c r="BV1" s="5" t="str">
        <f>rf1_data!BN1</f>
        <v>quic_adult_scoring_parent_safety</v>
      </c>
      <c r="BW1" s="5" t="str">
        <f>rf1_data!BO1</f>
        <v>plan_score_mf</v>
      </c>
      <c r="BX1" s="5" t="str">
        <f>rf1_data!BP1</f>
        <v>plan_score_to</v>
      </c>
      <c r="BY1" s="5" t="str">
        <f>rf1_data!BQ1</f>
        <v>plan_score_cs</v>
      </c>
      <c r="BZ1" s="5" t="str">
        <f>rf1_data!BR1</f>
        <v>plan_score_total</v>
      </c>
      <c r="CA1" s="5" t="str">
        <f>rf1_data!BS1</f>
        <v>ctb_1_score</v>
      </c>
      <c r="CB1" s="5" t="str">
        <f>rf1_data!BT1</f>
        <v>ctb_2_score</v>
      </c>
      <c r="CC1" s="5" t="str">
        <f>rf1_data!BU1</f>
        <v>ctb_3_score</v>
      </c>
      <c r="CD1" s="5" t="str">
        <f>rf1_data!BV1</f>
        <v>ctb_4_score</v>
      </c>
      <c r="CE1" s="5" t="str">
        <f>rf1_data!BW1</f>
        <v>scd_score_total</v>
      </c>
      <c r="CF1" s="5" t="str">
        <f>rf1_data!BX1</f>
        <v>nih_sum</v>
      </c>
      <c r="CG1" s="5" t="str">
        <f>rf1_data!BY1</f>
        <v>nih_score_yn</v>
      </c>
      <c r="CH1" s="5" t="str">
        <f>rf1_data!BZ1</f>
        <v>hvltimm_equation</v>
      </c>
      <c r="CI1" s="5" t="str">
        <f>rf1_data!CA1</f>
        <v>hvlt_delaytime_equation</v>
      </c>
      <c r="CJ1" s="5" t="str">
        <f>rf1_data!CB1</f>
        <v>hvlt_delay_score</v>
      </c>
      <c r="CK1" s="5" t="str">
        <f>rf1_data!CC1</f>
        <v>hvlt_retention</v>
      </c>
      <c r="CL1" s="5" t="str">
        <f>rf1_data!CD1</f>
        <v>hvlt_rec_dis</v>
      </c>
      <c r="CM1" s="5" t="str">
        <f>rf1_data!CE1</f>
        <v>salthouse_let_score</v>
      </c>
      <c r="CN1" s="5" t="str">
        <f>rf1_data!CF1</f>
        <v>salthouse_pat_score</v>
      </c>
      <c r="CO1" s="5" t="str">
        <f>rf1_data!CG1</f>
        <v>har_score</v>
      </c>
      <c r="CP1" s="5" t="str">
        <f>rf1_data!CH1</f>
        <v>kbit_score</v>
      </c>
      <c r="CQ1" s="5" t="str">
        <f>rf1_data!CI1</f>
        <v>math_addition_score</v>
      </c>
      <c r="CR1" s="5" t="str">
        <f>rf1_data!CJ1</f>
        <v>math_addition_time</v>
      </c>
      <c r="CS1" s="5" t="str">
        <f>rf1_data!CK1</f>
        <v>math_subtraction_score</v>
      </c>
      <c r="CT1" s="5" t="str">
        <f>rf1_data!CL1</f>
        <v>math_subtraction_time</v>
      </c>
      <c r="CU1" s="5" t="str">
        <f>rf1_data!CM1</f>
        <v>math_multiplication_score</v>
      </c>
      <c r="CV1" s="5" t="str">
        <f>rf1_data!CN1</f>
        <v>math_multiplication_time</v>
      </c>
      <c r="CW1" s="5" t="str">
        <f>rf1_data!CO1</f>
        <v>ios_sr_score</v>
      </c>
      <c r="CX1" s="5" t="str">
        <f>rf1_data!CP1</f>
        <v>ios_invest_score</v>
      </c>
      <c r="CY1" s="5" t="str">
        <f>rf1_data!CQ1</f>
        <v>ios_friend_score</v>
      </c>
      <c r="CZ1" s="5" t="str">
        <f>rf1_data!CR1</f>
        <v>ios_computer_score</v>
      </c>
      <c r="DA1" s="5" t="str">
        <f>rf1_data!CS1</f>
        <v>ios_stranger_score</v>
      </c>
      <c r="DB1" s="4" t="str">
        <f>island_data!H1</f>
        <v>audit_sum</v>
      </c>
      <c r="DC1" s="4" t="str">
        <f>island_data!I1</f>
        <v>dudit_sum</v>
      </c>
      <c r="DD1" s="4" t="str">
        <f>island_data!J1</f>
        <v>usi_sum</v>
      </c>
      <c r="DE1" s="4" t="str">
        <f>island_data!K1</f>
        <v>fevs_sum</v>
      </c>
      <c r="DF1" s="4" t="str">
        <f>island_data!L1</f>
        <v>pmas_sum</v>
      </c>
      <c r="DG1" s="4" t="str">
        <f>island_data!M1</f>
        <v>pam_total_sum</v>
      </c>
      <c r="DH1" s="4" t="str">
        <f>island_data!N1</f>
        <v>pam_adult_duration</v>
      </c>
      <c r="DI1" s="4" t="str">
        <f>island_data!O1</f>
        <v>pam_adult_interaction</v>
      </c>
      <c r="DJ1" s="4" t="str">
        <f>island_data!P1</f>
        <v>pam_adult_knowledge</v>
      </c>
      <c r="DK1" s="4" t="str">
        <f>island_data!Q1</f>
        <v>pam_adult_intimate</v>
      </c>
      <c r="DL1" s="4" t="str">
        <f>island_data!R1</f>
        <v>pam_adult_disclose</v>
      </c>
      <c r="DM1" s="4" t="str">
        <f>island_data!S1</f>
        <v>pam_adult_social</v>
      </c>
      <c r="DN1" s="4" t="str">
        <f>island_data!T1</f>
        <v>mspss_sum</v>
      </c>
      <c r="DO1" s="4" t="str">
        <f>island_data!U1</f>
        <v>ses_2</v>
      </c>
      <c r="DP1" s="4" t="str">
        <f>island_data!V1</f>
        <v>ses_03</v>
      </c>
      <c r="DQ1" s="4" t="str">
        <f>island_data!W1</f>
        <v>ses_4</v>
      </c>
      <c r="DR1" s="4" t="str">
        <f>island_data!X1</f>
        <v>ses_score_1</v>
      </c>
      <c r="DS1" s="4" t="str">
        <f>island_data!Y1</f>
        <v>ses_score_2</v>
      </c>
      <c r="DT1" s="4" t="str">
        <f>island_data!Z1</f>
        <v>ses_score_3</v>
      </c>
      <c r="DU1" s="4" t="str">
        <f>island_data!AA1</f>
        <v>ses_score_4</v>
      </c>
      <c r="DV1" s="4" t="str">
        <f>island_data!AB1</f>
        <v>ses_score_5</v>
      </c>
      <c r="DW1" s="4" t="str">
        <f>island_data!AC1</f>
        <v>ses_score_6</v>
      </c>
      <c r="DX1" s="4" t="str">
        <f>island_data!AD1</f>
        <v>ses_score_7</v>
      </c>
      <c r="DY1" s="4" t="str">
        <f>island_data!AE1</f>
        <v>fraud_score_1</v>
      </c>
      <c r="DZ1" s="4" t="str">
        <f>island_data!AF1</f>
        <v>fraud_score_2</v>
      </c>
      <c r="EA1" s="4" t="str">
        <f>island_data!AG1</f>
        <v>fraud_score_3</v>
      </c>
      <c r="EB1" s="4" t="str">
        <f>island_data!AH1</f>
        <v>fraud_score_4</v>
      </c>
      <c r="EC1" s="4" t="str">
        <f>island_data!AI1</f>
        <v>dospert_score_e</v>
      </c>
      <c r="ED1" s="4" t="str">
        <f>island_data!AJ1</f>
        <v>dospert_score_fi_fg</v>
      </c>
      <c r="EE1" s="4" t="str">
        <f>island_data!AK1</f>
        <v>dospert_score_hs</v>
      </c>
      <c r="EF1" s="4" t="str">
        <f>island_data!AL1</f>
        <v>dospert_score_r</v>
      </c>
      <c r="EG1" s="4" t="str">
        <f>island_data!AM1</f>
        <v>dospert_score_s</v>
      </c>
      <c r="EH1" s="4" t="str">
        <f>island_data!AN1</f>
        <v>faq_score</v>
      </c>
      <c r="EI1" s="4" t="str">
        <f>island_data!AO1</f>
        <v>ecog_score</v>
      </c>
      <c r="EJ1" s="8" t="str">
        <f>TabCAT!AU1</f>
        <v>Flanker_TaskDuration</v>
      </c>
      <c r="EK1" s="8" t="str">
        <f>TabCAT!AV1</f>
        <v>Flanker_PracticeTrialSuccess</v>
      </c>
      <c r="EL1" s="8" t="str">
        <f>TabCAT!AW1</f>
        <v>Flanker_PTSet1_TotalCorrect</v>
      </c>
      <c r="EM1" s="8" t="str">
        <f>TabCAT!AX1</f>
        <v>Flanker_PTSet2_TotalCorrect</v>
      </c>
      <c r="EN1" s="8" t="str">
        <f>TabCAT!AY1</f>
        <v>Flanker_TotalScore</v>
      </c>
      <c r="EO1" s="8" t="str">
        <f>TabCAT!AZ1</f>
        <v>Flanker_Correct_Total</v>
      </c>
      <c r="EP1" s="8" t="str">
        <f>TabCAT!BA1</f>
        <v>Flanker_Correct_MedianRT</v>
      </c>
      <c r="EQ1" s="8" t="str">
        <f>TabCAT!BB1</f>
        <v>Flanker_Correct_StDevRT</v>
      </c>
      <c r="ER1" s="8" t="str">
        <f>TabCAT!BC1</f>
        <v>Flanker_CongrCorrect_Total</v>
      </c>
      <c r="ES1" s="8" t="str">
        <f>TabCAT!BD1</f>
        <v>Flanker_CongrCorrect_MedianRT</v>
      </c>
      <c r="ET1" s="8" t="str">
        <f>TabCAT!BE1</f>
        <v>Flanker_IncongrCorrect_Total</v>
      </c>
      <c r="EU1" s="8" t="str">
        <f>TabCAT!BF1</f>
        <v>Flanker_IncongrCorrect_MedianRT</v>
      </c>
      <c r="EV1" s="8" t="str">
        <f>TabCAT!BG1</f>
        <v>Flanker_TotalScore_Z</v>
      </c>
      <c r="EW1" s="8" t="str">
        <f>TabCAT!BH1</f>
        <v>RunningDots_TaskVersion</v>
      </c>
      <c r="EX1" s="8" t="str">
        <f>TabCAT!BI1</f>
        <v>RunningDots_TaskLanguage</v>
      </c>
      <c r="EY1" s="8" t="str">
        <f>TabCAT!BJ1</f>
        <v>RunningDots_TaskDuration</v>
      </c>
      <c r="EZ1" s="8" t="str">
        <f>TabCAT!BK1</f>
        <v>RunningDots_PracticeTrialSuccess</v>
      </c>
      <c r="FA1" s="8" t="str">
        <f>TabCAT!BL1</f>
        <v>RunningDots_2Dot_TotalCorrect</v>
      </c>
      <c r="FB1" s="8" t="str">
        <f>TabCAT!BM1</f>
        <v>RunningDots_2Dot_PercentCorrect</v>
      </c>
      <c r="FC1" s="8" t="str">
        <f>TabCAT!BN1</f>
        <v>RunningDots_2Dot_TrialScore</v>
      </c>
      <c r="FD1" s="8" t="str">
        <f>TabCAT!BO1</f>
        <v>RunningDots_3Dot_TotalCorrect</v>
      </c>
      <c r="FE1" s="8" t="str">
        <f>TabCAT!BP1</f>
        <v>RunningDots_3Dot_PercentCorrect</v>
      </c>
      <c r="FF1" s="8" t="str">
        <f>TabCAT!BQ1</f>
        <v>RunningDots_3Dot_TrialScore</v>
      </c>
      <c r="FG1" s="8" t="str">
        <f>TabCAT!BR1</f>
        <v>RunningDots_4Dot_TotalCorrect</v>
      </c>
      <c r="FH1" s="8" t="str">
        <f>TabCAT!BS1</f>
        <v>RunningDots_4Dot_PercentCorrect</v>
      </c>
      <c r="FI1" s="8" t="str">
        <f>TabCAT!BT1</f>
        <v>RunningDots_4Dot_TrialScore</v>
      </c>
      <c r="FJ1" s="8" t="str">
        <f>TabCAT!BU1</f>
        <v>RunningDots_5Dot_TotalCorrect</v>
      </c>
      <c r="FK1" s="8" t="str">
        <f>TabCAT!BV1</f>
        <v>RunningDots_5Dot_PercentCorrect</v>
      </c>
      <c r="FL1" s="8" t="str">
        <f>TabCAT!BW1</f>
        <v>RunningDots_5Dot_TrialScore</v>
      </c>
      <c r="FM1" s="8" t="str">
        <f>TabCAT!BX1</f>
        <v>RunningDots_TotalCorrect</v>
      </c>
      <c r="FN1" s="8" t="str">
        <f>TabCAT!BY1</f>
        <v>RunningDots_PercentCorrect</v>
      </c>
      <c r="FO1" s="8" t="str">
        <f>TabCAT!BZ1</f>
        <v>RunningDots_TrialScore</v>
      </c>
      <c r="FP1" s="8" t="str">
        <f>TabCAT!CA1</f>
        <v>SetShifting_TaskVersion</v>
      </c>
      <c r="FQ1" s="8" t="str">
        <f>TabCAT!CB1</f>
        <v>SetShifting_TaskLanguage</v>
      </c>
      <c r="FR1" s="8" t="str">
        <f>TabCAT!CC1</f>
        <v>SetShifting_TaskDuration</v>
      </c>
      <c r="FS1" s="8" t="str">
        <f>TabCAT!CD1</f>
        <v>SetShifting_PracticeTrialSuccess</v>
      </c>
      <c r="FT1" s="8" t="str">
        <f>TabCAT!CE1</f>
        <v>SetShifting_PTSet1_TotalCorrect</v>
      </c>
      <c r="FU1" s="8" t="str">
        <f>TabCAT!CF1</f>
        <v>SetShifting_PTSet2_TotalCorrect</v>
      </c>
      <c r="FV1" s="8" t="str">
        <f>TabCAT!CG1</f>
        <v>SetShifting_TotalScore</v>
      </c>
      <c r="FW1" s="8" t="str">
        <f>TabCAT!CH1</f>
        <v>SetShifting_ColorCorrect_Total</v>
      </c>
      <c r="FX1" s="8" t="str">
        <f>TabCAT!CI1</f>
        <v>SetShifting_ColorCorrect_MedianRT</v>
      </c>
      <c r="FY1" s="8" t="str">
        <f>TabCAT!CJ1</f>
        <v>SetShifting_ShapeCorrect_Total</v>
      </c>
      <c r="FZ1" s="8" t="str">
        <f>TabCAT!CK1</f>
        <v>SetShifting_ShapeCorrect_MedianRT</v>
      </c>
      <c r="GA1" s="8" t="str">
        <f>TabCAT!CL1</f>
        <v>SetShifting_ShiftCorrect_Total</v>
      </c>
      <c r="GB1" s="8" t="str">
        <f>TabCAT!CM1</f>
        <v>SetShifting_ShiftCorrect_MedianRT</v>
      </c>
      <c r="GC1" s="8" t="str">
        <f>TabCAT!CN1</f>
        <v>SetShifting_ShiftedCorrect_Total</v>
      </c>
      <c r="GD1" s="8" t="str">
        <f>TabCAT!CO1</f>
        <v>SetShifting_ShiftedCorrect_MedianRT</v>
      </c>
      <c r="GE1" s="8" t="str">
        <f>TabCAT!CP1</f>
        <v>SetShifting_ShiftedCorrect_StDevRT</v>
      </c>
      <c r="GF1" s="8" t="str">
        <f>TabCAT!CQ1</f>
        <v>SetShifting_NonshiftedCorrect_Total</v>
      </c>
      <c r="GG1" s="8" t="str">
        <f>TabCAT!CR1</f>
        <v>SetShifting_NonshiftedCorrect_MedianRT</v>
      </c>
      <c r="GH1" s="8" t="str">
        <f>TabCAT!CS1</f>
        <v>SetShifting_TotalScore_Z</v>
      </c>
    </row>
    <row r="2" spans="1:190" x14ac:dyDescent="0.2">
      <c r="A2">
        <v>10317</v>
      </c>
      <c r="B2">
        <f>_xlfn.XLOOKUP(bippity_poppity_boo!A2,rf1_data!A:A,rf1_data!B:B)</f>
        <v>191960</v>
      </c>
      <c r="C2" s="2">
        <f>(_xlfn.XLOOKUP($A2,trust!$A:$A,trust!B:B,"NaN"))</f>
        <v>2.8</v>
      </c>
      <c r="D2" s="2">
        <f>(_xlfn.XLOOKUP($A2,trust!$A:$A,trust!C:C,"NaN"))</f>
        <v>4</v>
      </c>
      <c r="E2" s="2">
        <f>(_xlfn.XLOOKUP($A2,trust!$A:$A,trust!D:D,"NaN"))</f>
        <v>2.8</v>
      </c>
      <c r="F2" s="2">
        <f>(_xlfn.XLOOKUP($A2,trust!$A:$A,trust!E:E,"NaN"))</f>
        <v>5.2</v>
      </c>
      <c r="G2" s="2">
        <f>(_xlfn.XLOOKUP($A2,trust!$A:$A,trust!F:F,"NaN"))</f>
        <v>6.8571429999999998</v>
      </c>
      <c r="H2" s="2">
        <f>(_xlfn.XLOOKUP($A2,trust!$A:$A,trust!G:G,"NaN"))</f>
        <v>4.6666670000000003</v>
      </c>
      <c r="I2" s="3" t="str">
        <f>IF(_xlfn.XLOOKUP($B2,island_data!$B:$B,island_data!C:C,"NaN")="","NaN",_xlfn.XLOOKUP($B2,island_data!$B:$B,island_data!C:C,"NaN"))</f>
        <v>NaN</v>
      </c>
      <c r="J2" s="3" t="str">
        <f>IF(_xlfn.XLOOKUP($B2,island_data!$B:$B,island_data!D:D,"NaN")="","NaN",_xlfn.XLOOKUP($B2,island_data!$B:$B,island_data!D:D,"NaN"))</f>
        <v>NaN</v>
      </c>
      <c r="K2" s="4" t="str">
        <f>IF(_xlfn.XLOOKUP($B2,island_data!$B:$B,island_data!E:E,"NaN")="","NaN",_xlfn.XLOOKUP($B2,island_data!$B:$B,island_data!E:E,"NaN"))</f>
        <v>NaN</v>
      </c>
      <c r="L2" s="5">
        <f>IF(_xlfn.XLOOKUP($B2,rf1_data!$B:$B,rf1_data!D:D,"NaN")="","NaN",(_xlfn.XLOOKUP($B2,rf1_data!$B:$B,rf1_data!D:D,"NaN")))</f>
        <v>62.96</v>
      </c>
      <c r="M2" s="5" t="str">
        <f>IF(_xlfn.XLOOKUP($B2,rf1_data!$B:$B,rf1_data!E:E,"NaN")="","NaN",(_xlfn.XLOOKUP($B2,rf1_data!$B:$B,rf1_data!E:E,"NaN")))</f>
        <v>White</v>
      </c>
      <c r="N2" s="5" t="str">
        <f>IF(_xlfn.XLOOKUP($B2,rf1_data!$B:$B,rf1_data!F:F,"NaN")="","NaN",(_xlfn.XLOOKUP($B2,rf1_data!$B:$B,rf1_data!F:F,"NaN")))</f>
        <v>Not Hispanic or Latino</v>
      </c>
      <c r="O2" s="5" t="str">
        <f>IF(_xlfn.XLOOKUP($B2,rf1_data!$B:$B,rf1_data!G:G,"NaN")="","NaN",(_xlfn.XLOOKUP($B2,rf1_data!$B:$B,rf1_data!G:G,"NaN")))</f>
        <v>Female</v>
      </c>
      <c r="P2" s="5">
        <f>IF(_xlfn.XLOOKUP($B2,rf1_data!$B:$B,rf1_data!H:H,"NaN")="","NaN",(_xlfn.XLOOKUP($B2,rf1_data!$B:$B,rf1_data!H:H,"NaN")))</f>
        <v>4.22</v>
      </c>
      <c r="Q2" s="5">
        <f>IF(_xlfn.XLOOKUP($B2,rf1_data!$B:$B,rf1_data!I:I,"NaN")="","NaN",(_xlfn.XLOOKUP($B2,rf1_data!$B:$B,rf1_data!I:I,"NaN")))</f>
        <v>4.3</v>
      </c>
      <c r="R2" s="5">
        <f>IF(_xlfn.XLOOKUP($B2,rf1_data!$B:$B,rf1_data!J:J,"NaN")="","NaN",(_xlfn.XLOOKUP($B2,rf1_data!$B:$B,rf1_data!J:J,"NaN")))</f>
        <v>0</v>
      </c>
      <c r="S2" s="5">
        <f>IF(_xlfn.XLOOKUP($B2,rf1_data!$B:$B,rf1_data!K:K,"NaN")="","NaN",(_xlfn.XLOOKUP($B2,rf1_data!$B:$B,rf1_data!K:K,"NaN")))</f>
        <v>6</v>
      </c>
      <c r="T2" s="5">
        <f>IF(_xlfn.XLOOKUP($B2,rf1_data!$B:$B,rf1_data!L:L,"NaN")="","NaN",(_xlfn.XLOOKUP($B2,rf1_data!$B:$B,rf1_data!L:L,"NaN")))</f>
        <v>0</v>
      </c>
      <c r="U2" s="5">
        <f>IF(_xlfn.XLOOKUP($B2,rf1_data!$B:$B,rf1_data!M:M,"NaN")="","NaN",(_xlfn.XLOOKUP($B2,rf1_data!$B:$B,rf1_data!M:M,"NaN")))</f>
        <v>4.83</v>
      </c>
      <c r="V2" s="5">
        <f>IF(_xlfn.XLOOKUP($B2,rf1_data!$B:$B,rf1_data!N:N,"NaN")="","NaN",(_xlfn.XLOOKUP($B2,rf1_data!$B:$B,rf1_data!N:N,"NaN")))</f>
        <v>4.83</v>
      </c>
      <c r="W2" s="5">
        <f>IF(_xlfn.XLOOKUP($B2,rf1_data!$B:$B,rf1_data!O:O,"NaN")="","NaN",(_xlfn.XLOOKUP($B2,rf1_data!$B:$B,rf1_data!O:O,"NaN")))</f>
        <v>5.38</v>
      </c>
      <c r="X2" s="5">
        <f>IF(_xlfn.XLOOKUP($B2,rf1_data!$B:$B,rf1_data!P:P,"NaN")="","NaN",(_xlfn.XLOOKUP($B2,rf1_data!$B:$B,rf1_data!P:P,"NaN")))</f>
        <v>4.5</v>
      </c>
      <c r="Y2" s="5">
        <f>IF(_xlfn.XLOOKUP($B2,rf1_data!$B:$B,rf1_data!Q:Q,"NaN")="","NaN",(_xlfn.XLOOKUP($B2,rf1_data!$B:$B,rf1_data!Q:Q,"NaN")))</f>
        <v>4.97</v>
      </c>
      <c r="Z2" s="5">
        <f>IF(_xlfn.XLOOKUP($B2,rf1_data!$B:$B,rf1_data!R:R,"NaN")="","NaN",(_xlfn.XLOOKUP($B2,rf1_data!$B:$B,rf1_data!R:R,"NaN")))</f>
        <v>21</v>
      </c>
      <c r="AA2" s="5">
        <f>IF(_xlfn.XLOOKUP($B2,rf1_data!$B:$B,rf1_data!S:S,"NaN")="","NaN",(_xlfn.XLOOKUP($B2,rf1_data!$B:$B,rf1_data!S:S,"NaN")))</f>
        <v>3</v>
      </c>
      <c r="AB2" s="5">
        <f>IF(_xlfn.XLOOKUP($B2,rf1_data!$B:$B,rf1_data!T:T,"NaN")="","NaN",(_xlfn.XLOOKUP($B2,rf1_data!$B:$B,rf1_data!T:T,"NaN")))</f>
        <v>11</v>
      </c>
      <c r="AC2" s="5">
        <f>IF(_xlfn.XLOOKUP($B2,rf1_data!$B:$B,rf1_data!U:U,"NaN")="","NaN",(_xlfn.XLOOKUP($B2,rf1_data!$B:$B,rf1_data!U:U,"NaN")))</f>
        <v>1</v>
      </c>
      <c r="AD2" s="5">
        <f>IF(_xlfn.XLOOKUP($B2,rf1_data!$B:$B,rf1_data!V:V,"NaN")="","NaN",(_xlfn.XLOOKUP($B2,rf1_data!$B:$B,rf1_data!V:V,"NaN")))</f>
        <v>6</v>
      </c>
      <c r="AE2" s="5">
        <f>IF(_xlfn.XLOOKUP($B2,rf1_data!$B:$B,rf1_data!W:W,"NaN")="","NaN",(_xlfn.XLOOKUP($B2,rf1_data!$B:$B,rf1_data!W:W,"NaN")))</f>
        <v>3</v>
      </c>
      <c r="AF2" s="5">
        <f>IF(_xlfn.XLOOKUP($B2,rf1_data!$B:$B,rf1_data!X:X,"NaN")="","NaN",(_xlfn.XLOOKUP($B2,rf1_data!$B:$B,rf1_data!X:X,"NaN")))</f>
        <v>7</v>
      </c>
      <c r="AG2" s="5">
        <f>IF(_xlfn.XLOOKUP($B2,rf1_data!$B:$B,rf1_data!Y:Y,"NaN")="","NaN",(_xlfn.XLOOKUP($B2,rf1_data!$B:$B,rf1_data!Y:Y,"NaN")))</f>
        <v>2</v>
      </c>
      <c r="AH2" s="5">
        <f>IF(_xlfn.XLOOKUP($B2,rf1_data!$B:$B,rf1_data!Z:Z,"NaN")="","NaN",(_xlfn.XLOOKUP($B2,rf1_data!$B:$B,rf1_data!Z:Z,"NaN")))</f>
        <v>5</v>
      </c>
      <c r="AI2" s="5">
        <f>IF(_xlfn.XLOOKUP($B2,rf1_data!$B:$B,rf1_data!AA:AA,"NaN")="","NaN",(_xlfn.XLOOKUP($B2,rf1_data!$B:$B,rf1_data!AA:AA,"NaN")))</f>
        <v>2</v>
      </c>
      <c r="AJ2" s="5">
        <f>IF(_xlfn.XLOOKUP($B2,rf1_data!$B:$B,rf1_data!AB:AB,"NaN")="","NaN",(_xlfn.XLOOKUP($B2,rf1_data!$B:$B,rf1_data!AB:AB,"NaN")))</f>
        <v>19</v>
      </c>
      <c r="AK2" s="5">
        <f>IF(_xlfn.XLOOKUP($B2,rf1_data!$B:$B,rf1_data!AC:AC,"NaN")="","NaN",(_xlfn.XLOOKUP($B2,rf1_data!$B:$B,rf1_data!AC:AC,"NaN")))</f>
        <v>30</v>
      </c>
      <c r="AL2" s="5">
        <f>IF(_xlfn.XLOOKUP($B2,rf1_data!$B:$B,rf1_data!AD:AD,"NaN")="","NaN",(_xlfn.XLOOKUP($B2,rf1_data!$B:$B,rf1_data!AD:AD,"NaN")))</f>
        <v>8</v>
      </c>
      <c r="AM2" s="5">
        <f>IF(_xlfn.XLOOKUP($B2,rf1_data!$B:$B,rf1_data!AE:AE,"NaN")="","NaN",(_xlfn.XLOOKUP($B2,rf1_data!$B:$B,rf1_data!AE:AE,"NaN")))</f>
        <v>0</v>
      </c>
      <c r="AN2" s="5">
        <f>IF(_xlfn.XLOOKUP($B2,rf1_data!$B:$B,rf1_data!AF:AF,"NaN")="","NaN",(_xlfn.XLOOKUP($B2,rf1_data!$B:$B,rf1_data!AF:AF,"NaN")))</f>
        <v>0</v>
      </c>
      <c r="AO2" s="5">
        <f>IF(_xlfn.XLOOKUP($B2,rf1_data!$B:$B,rf1_data!AG:AG,"NaN")="","NaN",(_xlfn.XLOOKUP($B2,rf1_data!$B:$B,rf1_data!AG:AG,"NaN")))</f>
        <v>3.83</v>
      </c>
      <c r="AP2" s="5">
        <f>IF(_xlfn.XLOOKUP($B2,rf1_data!$B:$B,rf1_data!AH:AH,"NaN")="","NaN",(_xlfn.XLOOKUP($B2,rf1_data!$B:$B,rf1_data!AH:AH,"NaN")))</f>
        <v>6.5</v>
      </c>
      <c r="AQ2" s="5">
        <f>IF(_xlfn.XLOOKUP($B2,rf1_data!$B:$B,rf1_data!AI:AI,"NaN")="","NaN",(_xlfn.XLOOKUP($B2,rf1_data!$B:$B,rf1_data!AI:AI,"NaN")))</f>
        <v>1</v>
      </c>
      <c r="AR2" s="5">
        <f>IF(_xlfn.XLOOKUP($B2,rf1_data!$B:$B,rf1_data!AJ:AJ,"NaN")="","NaN",(_xlfn.XLOOKUP($B2,rf1_data!$B:$B,rf1_data!AJ:AJ,"NaN")))</f>
        <v>4</v>
      </c>
      <c r="AS2" s="5">
        <f>IF(_xlfn.XLOOKUP($B2,rf1_data!$B:$B,rf1_data!AK:AK,"NaN")="","NaN",(_xlfn.XLOOKUP($B2,rf1_data!$B:$B,rf1_data!AK:AK,"NaN")))</f>
        <v>3</v>
      </c>
      <c r="AT2" s="5">
        <f>IF(_xlfn.XLOOKUP($B2,rf1_data!$B:$B,rf1_data!AL:AL,"NaN")="","NaN",(_xlfn.XLOOKUP($B2,rf1_data!$B:$B,rf1_data!AL:AL,"NaN")))</f>
        <v>17</v>
      </c>
      <c r="AU2" s="5">
        <f>IF(_xlfn.XLOOKUP($B2,rf1_data!$B:$B,rf1_data!AM:AM,"NaN")="","NaN",(_xlfn.XLOOKUP($B2,rf1_data!$B:$B,rf1_data!AM:AM,"NaN")))</f>
        <v>1.58</v>
      </c>
      <c r="AV2" s="5">
        <f>IF(_xlfn.XLOOKUP($B2,rf1_data!$B:$B,rf1_data!AN:AN,"NaN")="","NaN",(_xlfn.XLOOKUP($B2,rf1_data!$B:$B,rf1_data!AN:AN,"NaN")))</f>
        <v>0</v>
      </c>
      <c r="AW2" s="5">
        <f>IF(_xlfn.XLOOKUP($B2,rf1_data!$B:$B,rf1_data!AO:AO,"NaN")="","NaN",(_xlfn.XLOOKUP($B2,rf1_data!$B:$B,rf1_data!AO:AO,"NaN")))</f>
        <v>3</v>
      </c>
      <c r="AX2" s="5">
        <f>IF(_xlfn.XLOOKUP($B2,rf1_data!$B:$B,rf1_data!AP:AP,"NaN")="","NaN",(_xlfn.XLOOKUP($B2,rf1_data!$B:$B,rf1_data!AP:AP,"NaN")))</f>
        <v>2.66</v>
      </c>
      <c r="AY2" s="5">
        <f>IF(_xlfn.XLOOKUP($B2,rf1_data!$B:$B,rf1_data!AQ:AQ,"NaN")="","NaN",(_xlfn.XLOOKUP($B2,rf1_data!$B:$B,rf1_data!AQ:AQ,"NaN")))</f>
        <v>120.1</v>
      </c>
      <c r="AZ2" s="5" t="str">
        <f>IF(_xlfn.XLOOKUP($B2,rf1_data!$B:$B,rf1_data!AR:AR,"NaN")="","NaN",(_xlfn.XLOOKUP($B2,rf1_data!$B:$B,rf1_data!AR:AR,"NaN")))</f>
        <v>NaN</v>
      </c>
      <c r="BA2" s="5" t="str">
        <f>IF(_xlfn.XLOOKUP($B2,rf1_data!$B:$B,rf1_data!AS:AS,"NaN")="","NaN",(_xlfn.XLOOKUP($B2,rf1_data!$B:$B,rf1_data!AS:AS,"NaN")))</f>
        <v>NaN</v>
      </c>
      <c r="BB2" s="5" t="str">
        <f>IF(_xlfn.XLOOKUP($B2,rf1_data!$B:$B,rf1_data!AT:AT,"NaN")="","NaN",(_xlfn.XLOOKUP($B2,rf1_data!$B:$B,rf1_data!AT:AT,"NaN")))</f>
        <v>NaN</v>
      </c>
      <c r="BC2" s="5" t="str">
        <f>IF(_xlfn.XLOOKUP($B2,rf1_data!$B:$B,rf1_data!AU:AU,"NaN")="","NaN",(_xlfn.XLOOKUP($B2,rf1_data!$B:$B,rf1_data!AU:AU,"NaN")))</f>
        <v>NaN</v>
      </c>
      <c r="BD2" s="5" t="str">
        <f>IF(_xlfn.XLOOKUP($B2,rf1_data!$B:$B,rf1_data!AV:AV,"NaN")="","NaN",(_xlfn.XLOOKUP($B2,rf1_data!$B:$B,rf1_data!AV:AV,"NaN")))</f>
        <v>NaN</v>
      </c>
      <c r="BE2" s="5" t="str">
        <f>IF(_xlfn.XLOOKUP($B2,rf1_data!$B:$B,rf1_data!AW:AW,"NaN")="","NaN",(_xlfn.XLOOKUP($B2,rf1_data!$B:$B,rf1_data!AW:AW,"NaN")))</f>
        <v>NaN</v>
      </c>
      <c r="BF2" s="5" t="str">
        <f>IF(_xlfn.XLOOKUP($B2,rf1_data!$B:$B,rf1_data!AX:AX,"NaN")="","NaN",(_xlfn.XLOOKUP($B2,rf1_data!$B:$B,rf1_data!AX:AX,"NaN")))</f>
        <v>NaN</v>
      </c>
      <c r="BG2" s="5" t="str">
        <f>IF(_xlfn.XLOOKUP($B2,rf1_data!$B:$B,rf1_data!AY:AY,"NaN")="","NaN",(_xlfn.XLOOKUP($B2,rf1_data!$B:$B,rf1_data!AY:AY,"NaN")))</f>
        <v>NaN</v>
      </c>
      <c r="BH2" s="5" t="str">
        <f>IF(_xlfn.XLOOKUP($B2,rf1_data!$B:$B,rf1_data!AZ:AZ,"NaN")="","NaN",(_xlfn.XLOOKUP($B2,rf1_data!$B:$B,rf1_data!AZ:AZ,"NaN")))</f>
        <v>NaN</v>
      </c>
      <c r="BI2" s="5">
        <f>IF(_xlfn.XLOOKUP($B2,rf1_data!$B:$B,rf1_data!BA:BA,"NaN")="","NaN",(_xlfn.XLOOKUP($B2,rf1_data!$B:$B,rf1_data!BA:BA,"NaN")))</f>
        <v>20</v>
      </c>
      <c r="BJ2" s="5" t="str">
        <f>IF(_xlfn.XLOOKUP($B2,rf1_data!$B:$B,rf1_data!BB:BB,"NaN")="","NaN",(_xlfn.XLOOKUP($B2,rf1_data!$B:$B,rf1_data!BB:BB,"NaN")))</f>
        <v>NaN</v>
      </c>
      <c r="BK2" s="5" t="str">
        <f>IF(_xlfn.XLOOKUP($B2,rf1_data!$B:$B,rf1_data!BC:BC,"NaN")="","NaN",(_xlfn.XLOOKUP($B2,rf1_data!$B:$B,rf1_data!BC:BC,"NaN")))</f>
        <v>NaN</v>
      </c>
      <c r="BL2" s="5" t="str">
        <f>IF(_xlfn.XLOOKUP($B2,rf1_data!$B:$B,rf1_data!BD:BD,"NaN")="","NaN",(_xlfn.XLOOKUP($B2,rf1_data!$B:$B,rf1_data!BD:BD,"NaN")))</f>
        <v>NaN</v>
      </c>
      <c r="BM2" s="5" t="str">
        <f>IF(_xlfn.XLOOKUP($B2,rf1_data!$B:$B,rf1_data!BE:BE,"NaN")="","NaN",(_xlfn.XLOOKUP($B2,rf1_data!$B:$B,rf1_data!BE:BE,"NaN")))</f>
        <v>NaN</v>
      </c>
      <c r="BN2" s="5" t="str">
        <f>IF(_xlfn.XLOOKUP($B2,rf1_data!$B:$B,rf1_data!BF:BF,"NaN")="","NaN",(_xlfn.XLOOKUP($B2,rf1_data!$B:$B,rf1_data!BF:BF,"NaN")))</f>
        <v>NaN</v>
      </c>
      <c r="BO2" s="5" t="str">
        <f>IF(_xlfn.XLOOKUP($B2,rf1_data!$B:$B,rf1_data!BG:BG,"NaN")="","NaN",(_xlfn.XLOOKUP($B2,rf1_data!$B:$B,rf1_data!BG:BG,"NaN")))</f>
        <v>NaN</v>
      </c>
      <c r="BP2" s="5" t="str">
        <f>IF(_xlfn.XLOOKUP($B2,rf1_data!$B:$B,rf1_data!BH:BH,"NaN")="","NaN",(_xlfn.XLOOKUP($B2,rf1_data!$B:$B,rf1_data!BH:BH,"NaN")))</f>
        <v>NaN</v>
      </c>
      <c r="BQ2" s="5" t="str">
        <f>IF(_xlfn.XLOOKUP($B2,rf1_data!$B:$B,rf1_data!BI:BI,"NaN")="","NaN",(_xlfn.XLOOKUP($B2,rf1_data!$B:$B,rf1_data!BI:BI,"NaN")))</f>
        <v>NaN</v>
      </c>
      <c r="BR2" s="5">
        <f>IF(_xlfn.XLOOKUP($B2,rf1_data!$B:$B,rf1_data!BJ:BJ,"NaN")="","NaN",(_xlfn.XLOOKUP($B2,rf1_data!$B:$B,rf1_data!BJ:BJ,"NaN")))</f>
        <v>8991</v>
      </c>
      <c r="BS2" s="5" t="str">
        <f>IF(_xlfn.XLOOKUP($B2,rf1_data!$B:$B,rf1_data!BK:BK,"NaN")="","NaN",(_xlfn.XLOOKUP($B2,rf1_data!$B:$B,rf1_data!BK:BK,"NaN")))</f>
        <v>NaN</v>
      </c>
      <c r="BT2" s="5" t="str">
        <f>IF(_xlfn.XLOOKUP($B2,rf1_data!$B:$B,rf1_data!BL:BL,"NaN")="","NaN",(_xlfn.XLOOKUP($B2,rf1_data!$B:$B,rf1_data!BL:BL,"NaN")))</f>
        <v>NaN</v>
      </c>
      <c r="BU2" s="5" t="str">
        <f>IF(_xlfn.XLOOKUP($B2,rf1_data!$B:$B,rf1_data!BM:BM,"NaN")="","NaN",(_xlfn.XLOOKUP($B2,rf1_data!$B:$B,rf1_data!BM:BM,"NaN")))</f>
        <v>NaN</v>
      </c>
      <c r="BV2" s="5" t="str">
        <f>IF(_xlfn.XLOOKUP($B2,rf1_data!$B:$B,rf1_data!BN:BN,"NaN")="","NaN",(_xlfn.XLOOKUP($B2,rf1_data!$B:$B,rf1_data!BN:BN,"NaN")))</f>
        <v>NaN</v>
      </c>
      <c r="BW2" s="5">
        <f>IF(_xlfn.XLOOKUP($B2,rf1_data!$B:$B,rf1_data!BO:BO,"NaN")="","NaN",(_xlfn.XLOOKUP($B2,rf1_data!$B:$B,rf1_data!BO:BO,"NaN")))</f>
        <v>4</v>
      </c>
      <c r="BX2" s="5">
        <f>IF(_xlfn.XLOOKUP($B2,rf1_data!$B:$B,rf1_data!BP:BP,"NaN")="","NaN",(_xlfn.XLOOKUP($B2,rf1_data!$B:$B,rf1_data!BP:BP,"NaN")))</f>
        <v>4.4000000000000004</v>
      </c>
      <c r="BY2" s="5">
        <f>IF(_xlfn.XLOOKUP($B2,rf1_data!$B:$B,rf1_data!BQ:BQ,"NaN")="","NaN",(_xlfn.XLOOKUP($B2,rf1_data!$B:$B,rf1_data!BQ:BQ,"NaN")))</f>
        <v>4.4000000000000004</v>
      </c>
      <c r="BZ2" s="5">
        <f>IF(_xlfn.XLOOKUP($B2,rf1_data!$B:$B,rf1_data!BR:BR,"NaN")="","NaN",(_xlfn.XLOOKUP($B2,rf1_data!$B:$B,rf1_data!BR:BR,"NaN")))</f>
        <v>4.2699999999999996</v>
      </c>
      <c r="CA2" s="5">
        <f>IF(_xlfn.XLOOKUP($B2,rf1_data!$B:$B,rf1_data!BS:BS,"NaN")="","NaN",(_xlfn.XLOOKUP($B2,rf1_data!$B:$B,rf1_data!BS:BS,"NaN")))</f>
        <v>6</v>
      </c>
      <c r="CB2" s="5">
        <f>IF(_xlfn.XLOOKUP($B2,rf1_data!$B:$B,rf1_data!BT:BT,"NaN")="","NaN",(_xlfn.XLOOKUP($B2,rf1_data!$B:$B,rf1_data!BT:BT,"NaN")))</f>
        <v>5.1666666666666599</v>
      </c>
      <c r="CC2" s="5">
        <f>IF(_xlfn.XLOOKUP($B2,rf1_data!$B:$B,rf1_data!BU:BU,"NaN")="","NaN",(_xlfn.XLOOKUP($B2,rf1_data!$B:$B,rf1_data!BU:BU,"NaN")))</f>
        <v>6</v>
      </c>
      <c r="CD2" s="5">
        <f>IF(_xlfn.XLOOKUP($B2,rf1_data!$B:$B,rf1_data!BV:BV,"NaN")="","NaN",(_xlfn.XLOOKUP($B2,rf1_data!$B:$B,rf1_data!BV:BV,"NaN")))</f>
        <v>5.1666666666666599</v>
      </c>
      <c r="CE2" s="5">
        <f>IF(_xlfn.XLOOKUP($B2,rf1_data!$B:$B,rf1_data!BW:BW,"NaN")="","NaN",(_xlfn.XLOOKUP($B2,rf1_data!$B:$B,rf1_data!BW:BW,"NaN")))</f>
        <v>2.75</v>
      </c>
      <c r="CF2" s="5">
        <f>IF(_xlfn.XLOOKUP($B2,rf1_data!$B:$B,rf1_data!BX:BX,"NaN")="","NaN",(_xlfn.XLOOKUP($B2,rf1_data!$B:$B,rf1_data!BX:BX,"NaN")))</f>
        <v>0</v>
      </c>
      <c r="CG2" s="5">
        <f>IF(_xlfn.XLOOKUP($B2,rf1_data!$B:$B,rf1_data!BY:BY,"NaN")="","NaN",(_xlfn.XLOOKUP($B2,rf1_data!$B:$B,rf1_data!BY:BY,"NaN")))</f>
        <v>0</v>
      </c>
      <c r="CH2" s="5">
        <f>IF(_xlfn.XLOOKUP($B2,rf1_data!$B:$B,rf1_data!BZ:BZ,"NaN")="","NaN",(_xlfn.XLOOKUP($B2,rf1_data!$B:$B,rf1_data!BZ:BZ,"NaN")))</f>
        <v>28</v>
      </c>
      <c r="CI2" s="5">
        <f>IF(_xlfn.XLOOKUP($B2,rf1_data!$B:$B,rf1_data!CA:CA,"NaN")="","NaN",(_xlfn.XLOOKUP($B2,rf1_data!$B:$B,rf1_data!CA:CA,"NaN")))</f>
        <v>26</v>
      </c>
      <c r="CJ2" s="5">
        <f>IF(_xlfn.XLOOKUP($B2,rf1_data!$B:$B,rf1_data!CB:CB,"NaN")="","NaN",(_xlfn.XLOOKUP($B2,rf1_data!$B:$B,rf1_data!CB:CB,"NaN")))</f>
        <v>12</v>
      </c>
      <c r="CK2" s="5">
        <f>IF(_xlfn.XLOOKUP($B2,rf1_data!$B:$B,rf1_data!CC:CC,"NaN")="","NaN",(_xlfn.XLOOKUP($B2,rf1_data!$B:$B,rf1_data!CC:CC,"NaN")))</f>
        <v>1.2</v>
      </c>
      <c r="CL2" s="5">
        <f>IF(_xlfn.XLOOKUP($B2,rf1_data!$B:$B,rf1_data!CD:CD,"NaN")=0,"NaN",(_xlfn.XLOOKUP($B2,rf1_data!$B:$B,rf1_data!CD:CD,"NaN")))</f>
        <v>40</v>
      </c>
      <c r="CM2" s="5">
        <f>IF(_xlfn.XLOOKUP($B2,rf1_data!$B:$B,rf1_data!CE:CE,"NaN")="","NaN",(_xlfn.XLOOKUP($B2,rf1_data!$B:$B,rf1_data!CE:CE,"NaN")))</f>
        <v>45</v>
      </c>
      <c r="CN2" s="5">
        <f>IF(_xlfn.XLOOKUP($B2,rf1_data!$B:$B,rf1_data!CF:CF,"NaN")="","NaN",(_xlfn.XLOOKUP($B2,rf1_data!$B:$B,rf1_data!CF:CF,"NaN")))</f>
        <v>47</v>
      </c>
      <c r="CO2" s="5">
        <f>IF(_xlfn.XLOOKUP($B2,rf1_data!$B:$B,rf1_data!CG:CG,"NaN")="","NaN",(_xlfn.XLOOKUP($B2,rf1_data!$B:$B,rf1_data!CG:CG,"NaN")))</f>
        <v>26</v>
      </c>
      <c r="CP2" s="5">
        <f>IF(_xlfn.XLOOKUP($B2,rf1_data!$B:$B,rf1_data!CH:CH,"NaN")=0,"NaN",(_xlfn.XLOOKUP($B2,rf1_data!$B:$B,rf1_data!CH:CH,"NaN")))</f>
        <v>29</v>
      </c>
      <c r="CQ2" s="5">
        <f>IF(_xlfn.XLOOKUP($B2,rf1_data!$B:$B,rf1_data!CI:CI,"NaN")="","NaN",(_xlfn.XLOOKUP($B2,rf1_data!$B:$B,rf1_data!CI:CI,"NaN")))</f>
        <v>43</v>
      </c>
      <c r="CR2" s="5">
        <f>IF(_xlfn.XLOOKUP($B2,rf1_data!$B:$B,rf1_data!CJ:CJ,"NaN")="","NaN",(_xlfn.XLOOKUP($B2,rf1_data!$B:$B,rf1_data!CJ:CJ,"NaN")))</f>
        <v>60</v>
      </c>
      <c r="CS2" s="5">
        <f>IF(_xlfn.XLOOKUP($B2,rf1_data!$B:$B,rf1_data!CK:CK,"NaN")="","NaN",(_xlfn.XLOOKUP($B2,rf1_data!$B:$B,rf1_data!CK:CK,"NaN")))</f>
        <v>34</v>
      </c>
      <c r="CT2" s="5">
        <f>IF(_xlfn.XLOOKUP($B2,rf1_data!$B:$B,rf1_data!CL:CL,"NaN")="","NaN",(_xlfn.XLOOKUP($B2,rf1_data!$B:$B,rf1_data!CL:CL,"NaN")))</f>
        <v>60</v>
      </c>
      <c r="CU2" s="5">
        <f>IF(_xlfn.XLOOKUP($B2,rf1_data!$B:$B,rf1_data!CM:CM,"NaN")="","NaN",(_xlfn.XLOOKUP($B2,rf1_data!$B:$B,rf1_data!CM:CM,"NaN")))</f>
        <v>27</v>
      </c>
      <c r="CV2" s="5">
        <f>IF(_xlfn.XLOOKUP($B2,rf1_data!$B:$B,rf1_data!CN:CN,"NaN")="","NaN",(_xlfn.XLOOKUP($B2,rf1_data!$B:$B,rf1_data!CN:CN,"NaN")))</f>
        <v>60</v>
      </c>
      <c r="CW2" s="5" t="str">
        <f>IF(_xlfn.XLOOKUP($B2,rf1_data!$B:$B,rf1_data!CO:CO,"NaN")="","NaN",(_xlfn.XLOOKUP($B2,rf1_data!$B:$B,rf1_data!CO:CO,"NaN")))</f>
        <v>NaN</v>
      </c>
      <c r="CX2" s="5" t="str">
        <f>IF(_xlfn.XLOOKUP($B2,rf1_data!$B:$B,rf1_data!CP:CP,"NaN")="","NaN",(_xlfn.XLOOKUP($B2,rf1_data!$B:$B,rf1_data!CP:CP,"NaN")))</f>
        <v>NaN</v>
      </c>
      <c r="CY2" s="5">
        <f>IF(_xlfn.XLOOKUP($B2,rf1_data!$B:$B,rf1_data!CQ:CQ,"NaN")="","NaN",(_xlfn.XLOOKUP($B2,rf1_data!$B:$B,rf1_data!CQ:CQ,"NaN")))</f>
        <v>3</v>
      </c>
      <c r="CZ2" s="5">
        <f>IF(_xlfn.XLOOKUP($B2,rf1_data!$B:$B,rf1_data!CR:CR,"NaN")="","NaN",(_xlfn.XLOOKUP($B2,rf1_data!$B:$B,rf1_data!CR:CR,"NaN")))</f>
        <v>1</v>
      </c>
      <c r="DA2" s="5">
        <f>IF(_xlfn.XLOOKUP($B2,rf1_data!$B:$B,rf1_data!CS:CS,"NaN")="","NaN",(_xlfn.XLOOKUP($B2,rf1_data!$B:$B,rf1_data!CS:CS,"NaN")))</f>
        <v>2</v>
      </c>
      <c r="DB2" s="4" t="str">
        <f>IF(_xlfn.XLOOKUP($B2,island_data!$B:$B,island_data!H:H,"NaN")="","NaN",_xlfn.XLOOKUP($B2,island_data!$B:$B,island_data!H:H,"NaN"))</f>
        <v>NaN</v>
      </c>
      <c r="DC2" s="4" t="str">
        <f>IF(_xlfn.XLOOKUP($B2,island_data!$B:$B,island_data!I:I,"NaN")="","NaN",_xlfn.XLOOKUP($B2,island_data!$B:$B,island_data!I:I,"NaN"))</f>
        <v>NaN</v>
      </c>
      <c r="DD2" s="4" t="str">
        <f>IF(_xlfn.XLOOKUP($B2,island_data!$B:$B,island_data!J:J,"NaN")="","NaN",_xlfn.XLOOKUP($B2,island_data!$B:$B,island_data!J:J,"NaN"))</f>
        <v>NaN</v>
      </c>
      <c r="DE2" s="4">
        <f>IF(_xlfn.XLOOKUP($B2,island_data!$B:$B,island_data!K:K,"NaN")="","NaN",_xlfn.XLOOKUP($B2,island_data!$B:$B,island_data!K:K,"NaN"))</f>
        <v>7</v>
      </c>
      <c r="DF2" s="4" t="str">
        <f>IF(_xlfn.XLOOKUP($B2,island_data!$B:$B,island_data!L:L,"NaN")="","NaN",_xlfn.XLOOKUP($B2,island_data!$B:$B,island_data!L:L,"NaN"))</f>
        <v>NaN</v>
      </c>
      <c r="DG2" s="4" t="str">
        <f>IF(_xlfn.XLOOKUP($B2,island_data!$B:$B,island_data!M:M,"NaN")="","NaN",_xlfn.XLOOKUP($B2,island_data!$B:$B,island_data!M:M,"NaN"))</f>
        <v>NaN</v>
      </c>
      <c r="DH2" s="4" t="str">
        <f>IF(_xlfn.XLOOKUP($B2,island_data!$B:$B,island_data!N:N,"NaN")="","NaN",_xlfn.XLOOKUP($B2,island_data!$B:$B,island_data!N:N,"NaN"))</f>
        <v>NaN</v>
      </c>
      <c r="DI2" s="4" t="str">
        <f>IF(_xlfn.XLOOKUP($B2,island_data!$B:$B,island_data!O:O,"NaN")=999,"NaN",_xlfn.XLOOKUP($B2,island_data!$B:$B,island_data!O:O,"NaN"))</f>
        <v>NaN</v>
      </c>
      <c r="DJ2" s="4" t="str">
        <f>IF(_xlfn.XLOOKUP($B2,island_data!$B:$B,island_data!P:P,"NaN")="","NaN",_xlfn.XLOOKUP($B2,island_data!$B:$B,island_data!P:P,"NaN"))</f>
        <v>NaN</v>
      </c>
      <c r="DK2" s="4" t="str">
        <f>IF(_xlfn.XLOOKUP($B2,island_data!$B:$B,island_data!Q:Q,"NaN")="","NaN",_xlfn.XLOOKUP($B2,island_data!$B:$B,island_data!Q:Q,"NaN"))</f>
        <v>NaN</v>
      </c>
      <c r="DL2" s="4" t="str">
        <f>IF(_xlfn.XLOOKUP($B2,island_data!$B:$B,island_data!R:R,"NaN")=999,"NaN",_xlfn.XLOOKUP($B2,island_data!$B:$B,island_data!R:R,"NaN"))</f>
        <v>NaN</v>
      </c>
      <c r="DM2" s="4" t="str">
        <f>IF(_xlfn.XLOOKUP($B2,island_data!$B:$B,island_data!S:S,"NaN")="","NaN",_xlfn.XLOOKUP($B2,island_data!$B:$B,island_data!S:S,"NaN"))</f>
        <v>NaN</v>
      </c>
      <c r="DN2" s="4" t="str">
        <f>IF(_xlfn.XLOOKUP($B2,island_data!$B:$B,island_data!T:T,"NaN")="","NaN",_xlfn.XLOOKUP($B2,island_data!$B:$B,island_data!T:T,"NaN"))</f>
        <v>NaN</v>
      </c>
      <c r="DO2" s="4">
        <f>IF(_xlfn.XLOOKUP($B2,island_data!$B:$B,island_data!U:U,"NaN")="","NaN",_xlfn.XLOOKUP($B2,island_data!$B:$B,island_data!U:U,"NaN"))</f>
        <v>4</v>
      </c>
      <c r="DP2" s="4">
        <f>IF(_xlfn.XLOOKUP($B2,island_data!$B:$B,island_data!V:V,"NaN")="","NaN",_xlfn.XLOOKUP($B2,island_data!$B:$B,island_data!V:V,"NaN"))</f>
        <v>0</v>
      </c>
      <c r="DQ2" s="4" t="str">
        <f>IF(_xlfn.XLOOKUP($B2,island_data!$B:$B,island_data!W:W,"NaN")="","NaN",_xlfn.XLOOKUP($B2,island_data!$B:$B,island_data!W:W,"NaN"))</f>
        <v>NaN</v>
      </c>
      <c r="DR2" s="4">
        <f>IF(_xlfn.XLOOKUP($B2,island_data!$B:$B,island_data!X:X,"NaN")="","NaN",_xlfn.XLOOKUP($B2,island_data!$B:$B,island_data!X:X,"NaN"))</f>
        <v>4</v>
      </c>
      <c r="DS2" s="4" t="str">
        <f>IF(_xlfn.XLOOKUP($B2,island_data!$B:$B,island_data!Y:Y,"NaN")="","NaN",_xlfn.XLOOKUP($B2,island_data!$B:$B,island_data!Y:Y,"NaN"))</f>
        <v>NaN</v>
      </c>
      <c r="DT2" s="4" t="str">
        <f>IF(_xlfn.XLOOKUP($B2,island_data!$B:$B,island_data!Z:Z,"NaN")="","NaN",_xlfn.XLOOKUP($B2,island_data!$B:$B,island_data!Z:Z,"NaN"))</f>
        <v>NaN</v>
      </c>
      <c r="DU2" s="4" t="str">
        <f>IF(_xlfn.XLOOKUP($B2,island_data!$B:$B,island_data!AA:AA,"NaN")="","NaN",_xlfn.XLOOKUP($B2,island_data!$B:$B,island_data!AA:AA,"NaN"))</f>
        <v>NaN</v>
      </c>
      <c r="DV2" s="4">
        <f>IF(_xlfn.XLOOKUP($B2,island_data!$B:$B,island_data!AB:AB,"NaN")="","NaN",_xlfn.XLOOKUP($B2,island_data!$B:$B,island_data!AB:AB,"NaN"))</f>
        <v>0</v>
      </c>
      <c r="DW2" s="4">
        <f>IF(_xlfn.XLOOKUP($B2,island_data!$B:$B,island_data!AC:AC,"NaN")="","NaN",_xlfn.XLOOKUP($B2,island_data!$B:$B,island_data!AC:AC,"NaN"))</f>
        <v>19810</v>
      </c>
      <c r="DX2" s="4" t="str">
        <f>IF(_xlfn.XLOOKUP($B2,island_data!$B:$B,island_data!AD:AD,"NaN")="","NaN",_xlfn.XLOOKUP($B2,island_data!$B:$B,island_data!AD:AD,"NaN"))</f>
        <v>NaN</v>
      </c>
      <c r="DY2" s="4">
        <f>IF(_xlfn.XLOOKUP($B2,island_data!$B:$B,island_data!AE:AE,"NaN")="","NaN",_xlfn.XLOOKUP($B2,island_data!$B:$B,island_data!AE:AE,"NaN"))</f>
        <v>1</v>
      </c>
      <c r="DZ2" s="4" t="str">
        <f>IF(_xlfn.XLOOKUP($B2,island_data!$B:$B,island_data!AF:AF,"NaN")="","NaN",_xlfn.XLOOKUP($B2,island_data!$B:$B,island_data!AF:AF,"NaN"))</f>
        <v>NaN</v>
      </c>
      <c r="EA2" s="4" t="str">
        <f>IF(_xlfn.XLOOKUP($B2,island_data!$B:$B,island_data!AG:AG,"NaN")="","NaN",_xlfn.XLOOKUP($B2,island_data!$B:$B,island_data!AG:AG,"NaN"))</f>
        <v>NaN</v>
      </c>
      <c r="EB2" s="4" t="str">
        <f>IF(_xlfn.XLOOKUP($B2,island_data!$B:$B,island_data!AH:AH,"NaN")="","NaN",_xlfn.XLOOKUP($B2,island_data!$B:$B,island_data!AH:AH,"NaN"))</f>
        <v>NaN</v>
      </c>
      <c r="EC2" s="4" t="str">
        <f>IF(_xlfn.XLOOKUP($B2,island_data!$B:$B,island_data!AI:AI,"NaN")="","NaN",_xlfn.XLOOKUP($B2,island_data!$B:$B,island_data!AI:AI,"NaN"))</f>
        <v>NaN</v>
      </c>
      <c r="ED2" s="4" t="str">
        <f>IF(_xlfn.XLOOKUP($B2,island_data!$B:$B,island_data!AJ:AJ,"NaN")="","NaN",_xlfn.XLOOKUP($B2,island_data!$B:$B,island_data!AJ:AJ,"NaN"))</f>
        <v>NaN</v>
      </c>
      <c r="EE2" s="4" t="str">
        <f>IF(_xlfn.XLOOKUP($B2,island_data!$B:$B,island_data!AK:AK,"NaN")="","NaN",_xlfn.XLOOKUP($B2,island_data!$B:$B,island_data!AK:AK,"NaN"))</f>
        <v>NaN</v>
      </c>
      <c r="EF2" s="4" t="str">
        <f>IF(_xlfn.XLOOKUP($B2,island_data!$B:$B,island_data!AL:AL,"NaN")="","NaN",_xlfn.XLOOKUP($B2,island_data!$B:$B,island_data!AL:AL,"NaN"))</f>
        <v>NaN</v>
      </c>
      <c r="EG2" s="4" t="str">
        <f>IF(_xlfn.XLOOKUP($B2,island_data!$B:$B,island_data!AM:AM,"NaN")="","NaN",_xlfn.XLOOKUP($B2,island_data!$B:$B,island_data!AM:AM,"NaN"))</f>
        <v>NaN</v>
      </c>
      <c r="EH2" s="4" t="str">
        <f>IF(_xlfn.XLOOKUP($B2,island_data!$B:$B,island_data!AN:AN,"NaN")="","NaN",_xlfn.XLOOKUP($B2,island_data!$B:$B,island_data!AN:AN,"NaN"))</f>
        <v>NaN</v>
      </c>
      <c r="EI2" s="4" t="str">
        <f>IF(_xlfn.XLOOKUP($B2,island_data!$B:$B,island_data!AO:AO,"NaN")="","NaN",_xlfn.XLOOKUP($B2,island_data!$B:$B,island_data!AO:AO,"NaN"))</f>
        <v>NaN</v>
      </c>
      <c r="EJ2" s="8">
        <f>IF(_xlfn.XLOOKUP($A2,TabCAT!$A:$A,TabCAT!AU:AU,"NaN")="","NaN",(_xlfn.XLOOKUP($A2,TabCAT!$A:$A,TabCAT!AU:AU,"NaN")))</f>
        <v>217</v>
      </c>
      <c r="EK2" s="8" t="b">
        <f>IF(_xlfn.XLOOKUP($A2,TabCAT!$A:$A,TabCAT!AV:AV,"NaN")="","NaN",(_xlfn.XLOOKUP($A2,TabCAT!$A:$A,TabCAT!AV:AV,"NaN")))</f>
        <v>1</v>
      </c>
      <c r="EL2" s="8">
        <f>IF(_xlfn.XLOOKUP($A2,TabCAT!$A:$A,TabCAT!AW:AW,"NaN")="","NaN",(_xlfn.XLOOKUP($A2,TabCAT!$A:$A,TabCAT!AW:AW,"NaN")))</f>
        <v>4</v>
      </c>
      <c r="EM2" s="8">
        <f>IF(_xlfn.XLOOKUP($A2,TabCAT!$A:$A,TabCAT!AX:AX,"NaN")="","NaN",(_xlfn.XLOOKUP($A2,TabCAT!$A:$A,TabCAT!AX:AX,"NaN")))</f>
        <v>6</v>
      </c>
      <c r="EN2" s="8">
        <f>IF(_xlfn.XLOOKUP($A2,TabCAT!$A:$A,TabCAT!AY:AY,"NaN")="","NaN",(_xlfn.XLOOKUP($A2,TabCAT!$A:$A,TabCAT!AY:AY,"NaN")))</f>
        <v>7.4</v>
      </c>
      <c r="EO2" s="8">
        <f>IF(_xlfn.XLOOKUP($A2,TabCAT!$A:$A,TabCAT!AZ:AZ,"NaN")="","NaN",(_xlfn.XLOOKUP($A2,TabCAT!$A:$A,TabCAT!AZ:AZ,"NaN")))</f>
        <v>32</v>
      </c>
      <c r="EP2" s="8">
        <f>IF(_xlfn.XLOOKUP($A2,TabCAT!$A:$A,TabCAT!BA:BA,"NaN")="","NaN",(_xlfn.XLOOKUP($A2,TabCAT!$A:$A,TabCAT!BA:BA,"NaN")))</f>
        <v>0.80411449999999995</v>
      </c>
      <c r="EQ2" s="8">
        <f>IF(_xlfn.XLOOKUP($A2,TabCAT!$A:$A,TabCAT!BB:BB,"NaN")="","NaN",(_xlfn.XLOOKUP($A2,TabCAT!$A:$A,TabCAT!BB:BB,"NaN")))</f>
        <v>0.28349804387160599</v>
      </c>
      <c r="ER2" s="8">
        <f>IF(_xlfn.XLOOKUP($A2,TabCAT!$A:$A,TabCAT!BC:BC,"NaN")="","NaN",(_xlfn.XLOOKUP($A2,TabCAT!$A:$A,TabCAT!BC:BC,"NaN")))</f>
        <v>16</v>
      </c>
      <c r="ES2" s="8">
        <f>IF(_xlfn.XLOOKUP($A2,TabCAT!$A:$A,TabCAT!BD:BD,"NaN")="","NaN",(_xlfn.XLOOKUP($A2,TabCAT!$A:$A,TabCAT!BD:BD,"NaN")))</f>
        <v>0.73750499999999997</v>
      </c>
      <c r="ET2" s="8">
        <f>IF(_xlfn.XLOOKUP($A2,TabCAT!$A:$A,TabCAT!BE:BE,"NaN")="","NaN",(_xlfn.XLOOKUP($A2,TabCAT!$A:$A,TabCAT!BE:BE,"NaN")))</f>
        <v>16</v>
      </c>
      <c r="EU2" s="8">
        <f>IF(_xlfn.XLOOKUP($A2,TabCAT!$A:$A,TabCAT!BF:BF,"NaN")="","NaN",(_xlfn.XLOOKUP($A2,TabCAT!$A:$A,TabCAT!BF:BF,"NaN")))</f>
        <v>1.0709495</v>
      </c>
      <c r="EV2" s="8" t="str">
        <f>IF(_xlfn.XLOOKUP($A2,TabCAT!$A:$A,TabCAT!BG:BG,"NaN")="","NaN",(_xlfn.XLOOKUP($A2,TabCAT!$A:$A,TabCAT!BG:BG,"NaN")))</f>
        <v>NaN</v>
      </c>
      <c r="EW2" s="8" t="str">
        <f>IF(_xlfn.XLOOKUP($A2,TabCAT!$A:$A,TabCAT!BH:BH,"NaN")="","NaN",(_xlfn.XLOOKUP($A2,TabCAT!$A:$A,TabCAT!BH:BH,"NaN")))</f>
        <v>3.0.0</v>
      </c>
      <c r="EX2" s="8" t="str">
        <f>IF(_xlfn.XLOOKUP($A2,TabCAT!$A:$A,TabCAT!BI:BI,"NaN")="","NaN",(_xlfn.XLOOKUP($A2,TabCAT!$A:$A,TabCAT!BI:BI,"NaN")))</f>
        <v>English</v>
      </c>
      <c r="EY2" s="8">
        <f>IF(_xlfn.XLOOKUP($A2,TabCAT!$A:$A,TabCAT!BJ:BJ,"NaN")="","NaN",(_xlfn.XLOOKUP($A2,TabCAT!$A:$A,TabCAT!BJ:BJ,"NaN")))</f>
        <v>234</v>
      </c>
      <c r="EZ2" s="8">
        <f>IF(_xlfn.XLOOKUP($A2,TabCAT!$A:$A,TabCAT!BK:BK,"NaN")="","NaN",(_xlfn.XLOOKUP($A2,TabCAT!$A:$A,TabCAT!BK:BK,"NaN")))</f>
        <v>1</v>
      </c>
      <c r="FA2" s="8">
        <f>IF(_xlfn.XLOOKUP($A2,TabCAT!$A:$A,TabCAT!BL:BL,"NaN")="","NaN",(_xlfn.XLOOKUP($A2,TabCAT!$A:$A,TabCAT!BL:BL,"NaN")))</f>
        <v>6</v>
      </c>
      <c r="FB2" s="8">
        <f>IF(_xlfn.XLOOKUP($A2,TabCAT!$A:$A,TabCAT!BM:BM,"NaN")="","NaN",(_xlfn.XLOOKUP($A2,TabCAT!$A:$A,TabCAT!BM:BM,"NaN")))</f>
        <v>1</v>
      </c>
      <c r="FC2" s="8">
        <f>IF(_xlfn.XLOOKUP($A2,TabCAT!$A:$A,TabCAT!BN:BN,"NaN")="","NaN",(_xlfn.XLOOKUP($A2,TabCAT!$A:$A,TabCAT!BN:BN,"NaN")))</f>
        <v>6</v>
      </c>
      <c r="FD2" s="8">
        <f>IF(_xlfn.XLOOKUP($A2,TabCAT!$A:$A,TabCAT!BO:BO,"NaN")="","NaN",(_xlfn.XLOOKUP($A2,TabCAT!$A:$A,TabCAT!BO:BO,"NaN")))</f>
        <v>9</v>
      </c>
      <c r="FE2" s="8">
        <f>IF(_xlfn.XLOOKUP($A2,TabCAT!$A:$A,TabCAT!BP:BP,"NaN")="","NaN",(_xlfn.XLOOKUP($A2,TabCAT!$A:$A,TabCAT!BP:BP,"NaN")))</f>
        <v>1</v>
      </c>
      <c r="FF2" s="8">
        <f>IF(_xlfn.XLOOKUP($A2,TabCAT!$A:$A,TabCAT!BQ:BQ,"NaN")="","NaN",(_xlfn.XLOOKUP($A2,TabCAT!$A:$A,TabCAT!BQ:BQ,"NaN")))</f>
        <v>9</v>
      </c>
      <c r="FG2" s="8">
        <f>IF(_xlfn.XLOOKUP($A2,TabCAT!$A:$A,TabCAT!BR:BR,"NaN")="","NaN",(_xlfn.XLOOKUP($A2,TabCAT!$A:$A,TabCAT!BR:BR,"NaN")))</f>
        <v>10</v>
      </c>
      <c r="FH2" s="8">
        <f>IF(_xlfn.XLOOKUP($A2,TabCAT!$A:$A,TabCAT!BS:BS,"NaN")="","NaN",(_xlfn.XLOOKUP($A2,TabCAT!$A:$A,TabCAT!BS:BS,"NaN")))</f>
        <v>0.83333333333333304</v>
      </c>
      <c r="FI2" s="8">
        <f>IF(_xlfn.XLOOKUP($A2,TabCAT!$A:$A,TabCAT!BT:BT,"NaN")="","NaN",(_xlfn.XLOOKUP($A2,TabCAT!$A:$A,TabCAT!BT:BT,"NaN")))</f>
        <v>10</v>
      </c>
      <c r="FJ2" s="8">
        <f>IF(_xlfn.XLOOKUP($A2,TabCAT!$A:$A,TabCAT!BU:BU,"NaN")="","NaN",(_xlfn.XLOOKUP($A2,TabCAT!$A:$A,TabCAT!BU:BU,"NaN")))</f>
        <v>11</v>
      </c>
      <c r="FK2" s="8">
        <f>IF(_xlfn.XLOOKUP($A2,TabCAT!$A:$A,TabCAT!BV:BV,"NaN")="","NaN",(_xlfn.XLOOKUP($A2,TabCAT!$A:$A,TabCAT!BV:BV,"NaN")))</f>
        <v>0.73333333333333295</v>
      </c>
      <c r="FL2" s="8">
        <f>IF(_xlfn.XLOOKUP($A2,TabCAT!$A:$A,TabCAT!BW:BW,"NaN")="","NaN",(_xlfn.XLOOKUP($A2,TabCAT!$A:$A,TabCAT!BW:BW,"NaN")))</f>
        <v>8.5</v>
      </c>
      <c r="FM2" s="8">
        <f>IF(_xlfn.XLOOKUP($A2,TabCAT!$A:$A,TabCAT!BX:BX,"NaN")="","NaN",(_xlfn.XLOOKUP($A2,TabCAT!$A:$A,TabCAT!BX:BX,"NaN")))</f>
        <v>36</v>
      </c>
      <c r="FN2" s="8">
        <f>IF(_xlfn.XLOOKUP($A2,TabCAT!$A:$A,TabCAT!BY:BY,"NaN")="","NaN",(_xlfn.XLOOKUP($A2,TabCAT!$A:$A,TabCAT!BY:BY,"NaN")))</f>
        <v>0.85714285714285698</v>
      </c>
      <c r="FO2" s="8">
        <f>IF(_xlfn.XLOOKUP($A2,TabCAT!$A:$A,TabCAT!BZ:BZ,"NaN")="","NaN",(_xlfn.XLOOKUP($A2,TabCAT!$A:$A,TabCAT!BZ:BZ,"NaN")))</f>
        <v>33.5</v>
      </c>
      <c r="FP2" s="8" t="str">
        <f>IF(_xlfn.XLOOKUP($A2,TabCAT!$A:$A,TabCAT!CA:CA,"NaN")="","NaN",(_xlfn.XLOOKUP($A2,TabCAT!$A:$A,TabCAT!CA:CA,"NaN")))</f>
        <v>3.0.0</v>
      </c>
      <c r="FQ2" s="8" t="str">
        <f>IF(_xlfn.XLOOKUP($A2,TabCAT!$A:$A,TabCAT!CB:CB,"NaN")="","NaN",(_xlfn.XLOOKUP($A2,TabCAT!$A:$A,TabCAT!CB:CB,"NaN")))</f>
        <v>English</v>
      </c>
      <c r="FR2" s="8">
        <f>IF(_xlfn.XLOOKUP($A2,TabCAT!$A:$A,TabCAT!CC:CC,"NaN")="","NaN",(_xlfn.XLOOKUP($A2,TabCAT!$A:$A,TabCAT!CC:CC,"NaN")))</f>
        <v>235</v>
      </c>
      <c r="FS2" s="8" t="b">
        <f>IF(_xlfn.XLOOKUP($A2,TabCAT!$A:$A,TabCAT!CD:CD,"NaN")="","NaN",(_xlfn.XLOOKUP($A2,TabCAT!$A:$A,TabCAT!CD:CD,"NaN")))</f>
        <v>1</v>
      </c>
      <c r="FT2" s="8">
        <f>IF(_xlfn.XLOOKUP($A2,TabCAT!$A:$A,TabCAT!CE:CE,"NaN")="","NaN",(_xlfn.XLOOKUP($A2,TabCAT!$A:$A,TabCAT!CE:CE,"NaN")))</f>
        <v>8</v>
      </c>
      <c r="FU2" s="8">
        <f>IF(_xlfn.XLOOKUP($A2,TabCAT!$A:$A,TabCAT!CF:CF,"NaN")="","NaN",(_xlfn.XLOOKUP($A2,TabCAT!$A:$A,TabCAT!CF:CF,"NaN")))</f>
        <v>0</v>
      </c>
      <c r="FV2" s="8">
        <f>IF(_xlfn.XLOOKUP($A2,TabCAT!$A:$A,TabCAT!CG:CG,"NaN")="","NaN",(_xlfn.XLOOKUP($A2,TabCAT!$A:$A,TabCAT!CG:CG,"NaN")))</f>
        <v>7.54</v>
      </c>
      <c r="FW2" s="8">
        <f>IF(_xlfn.XLOOKUP($A2,TabCAT!$A:$A,TabCAT!CH:CH,"NaN")="","NaN",(_xlfn.XLOOKUP($A2,TabCAT!$A:$A,TabCAT!CH:CH,"NaN")))</f>
        <v>16</v>
      </c>
      <c r="FX2" s="8">
        <f>IF(_xlfn.XLOOKUP($A2,TabCAT!$A:$A,TabCAT!CI:CI,"NaN")="","NaN",(_xlfn.XLOOKUP($A2,TabCAT!$A:$A,TabCAT!CI:CI,"NaN")))</f>
        <v>0.66296999999999995</v>
      </c>
      <c r="FY2" s="8">
        <f>IF(_xlfn.XLOOKUP($A2,TabCAT!$A:$A,TabCAT!CJ:CJ,"NaN")="","NaN",(_xlfn.XLOOKUP($A2,TabCAT!$A:$A,TabCAT!CJ:CJ,"NaN")))</f>
        <v>16</v>
      </c>
      <c r="FZ2" s="8">
        <f>IF(_xlfn.XLOOKUP($A2,TabCAT!$A:$A,TabCAT!CK:CK,"NaN")="","NaN",(_xlfn.XLOOKUP($A2,TabCAT!$A:$A,TabCAT!CK:CK,"NaN")))</f>
        <v>0.59224349999999903</v>
      </c>
      <c r="GA2" s="8">
        <f>IF(_xlfn.XLOOKUP($A2,TabCAT!$A:$A,TabCAT!CL:CL,"NaN")="","NaN",(_xlfn.XLOOKUP($A2,TabCAT!$A:$A,TabCAT!CL:CL,"NaN")))</f>
        <v>31</v>
      </c>
      <c r="GB2" s="8">
        <f>IF(_xlfn.XLOOKUP($A2,TabCAT!$A:$A,TabCAT!CM:CM,"NaN")="","NaN",(_xlfn.XLOOKUP($A2,TabCAT!$A:$A,TabCAT!CM:CM,"NaN")))</f>
        <v>0.90447500000000003</v>
      </c>
      <c r="GC2" s="8">
        <f>IF(_xlfn.XLOOKUP($A2,TabCAT!$A:$A,TabCAT!CN:CN,"NaN")="","NaN",(_xlfn.XLOOKUP($A2,TabCAT!$A:$A,TabCAT!CN:CN,"NaN")))</f>
        <v>18</v>
      </c>
      <c r="GD2" s="8">
        <f>IF(_xlfn.XLOOKUP($A2,TabCAT!$A:$A,TabCAT!CO:CO,"NaN")="","NaN",(_xlfn.XLOOKUP($A2,TabCAT!$A:$A,TabCAT!CO:CO,"NaN")))</f>
        <v>0.86717650000000002</v>
      </c>
      <c r="GE2" s="8">
        <f>IF(_xlfn.XLOOKUP($A2,TabCAT!$A:$A,TabCAT!CP:CP,"NaN")="","NaN",(_xlfn.XLOOKUP($A2,TabCAT!$A:$A,TabCAT!CP:CP,"NaN")))</f>
        <v>0.237942226612364</v>
      </c>
      <c r="GF2" s="8">
        <f>IF(_xlfn.XLOOKUP($A2,TabCAT!$A:$A,TabCAT!CQ:CQ,"NaN")="","NaN",(_xlfn.XLOOKUP($A2,TabCAT!$A:$A,TabCAT!CQ:CQ,"NaN")))</f>
        <v>55</v>
      </c>
      <c r="GG2" s="8">
        <f>IF(_xlfn.XLOOKUP($A2,TabCAT!$A:$A,TabCAT!CR:CR,"NaN")="","NaN",(_xlfn.XLOOKUP($A2,TabCAT!$A:$A,TabCAT!CR:CR,"NaN")))</f>
        <v>0.72984800000000005</v>
      </c>
      <c r="GH2" s="8" t="str">
        <f>IF(_xlfn.XLOOKUP($A2,TabCAT!$A:$A,TabCAT!CS:CS,"NaN")="","NaN",(_xlfn.XLOOKUP($A2,TabCAT!$A:$A,TabCAT!CS:CS,"NaN")))</f>
        <v>NaN</v>
      </c>
    </row>
    <row r="3" spans="1:190" x14ac:dyDescent="0.2">
      <c r="A3">
        <v>10369</v>
      </c>
      <c r="B3">
        <f>_xlfn.XLOOKUP(bippity_poppity_boo!A3,rf1_data!A:A,rf1_data!B:B)</f>
        <v>30791</v>
      </c>
      <c r="C3" s="2">
        <f>(_xlfn.XLOOKUP($A3,trust!$A:$A,trust!B:B,"NaN"))</f>
        <v>4.5</v>
      </c>
      <c r="D3" s="2">
        <f>(_xlfn.XLOOKUP($A3,trust!$A:$A,trust!C:C,"NaN"))</f>
        <v>4.2857139999999996</v>
      </c>
      <c r="E3" s="2">
        <f>(_xlfn.XLOOKUP($A3,trust!$A:$A,trust!D:D,"NaN"))</f>
        <v>3</v>
      </c>
      <c r="F3" s="2">
        <f>(_xlfn.XLOOKUP($A3,trust!$A:$A,trust!E:E,"NaN"))</f>
        <v>4.8</v>
      </c>
      <c r="G3" s="2">
        <f>(_xlfn.XLOOKUP($A3,trust!$A:$A,trust!F:F,"NaN"))</f>
        <v>5.4285709999999998</v>
      </c>
      <c r="H3" s="2">
        <f>(_xlfn.XLOOKUP($A3,trust!$A:$A,trust!G:G,"NaN"))</f>
        <v>4.6666670000000003</v>
      </c>
      <c r="I3" s="3">
        <f>IF(_xlfn.XLOOKUP($B3,island_data!$B:$B,island_data!C:C,"NaN")="","NaN",_xlfn.XLOOKUP($B3,island_data!$B:$B,island_data!C:C,"NaN"))</f>
        <v>45105</v>
      </c>
      <c r="J3" s="3">
        <f>IF(_xlfn.XLOOKUP($B3,island_data!$B:$B,island_data!D:D,"NaN")="","NaN",_xlfn.XLOOKUP($B3,island_data!$B:$B,island_data!D:D,"NaN"))</f>
        <v>33288</v>
      </c>
      <c r="K3" s="4">
        <f>IF(_xlfn.XLOOKUP($B3,island_data!$B:$B,island_data!E:E,"NaN")="","NaN",_xlfn.XLOOKUP($B3,island_data!$B:$B,island_data!E:E,"NaN"))</f>
        <v>32.35</v>
      </c>
      <c r="L3" s="5">
        <f>IF(_xlfn.XLOOKUP($B3,rf1_data!$B:$B,rf1_data!D:D,"NaN")="","NaN",(_xlfn.XLOOKUP($B3,rf1_data!$B:$B,rf1_data!D:D,"NaN")))</f>
        <v>31.95</v>
      </c>
      <c r="M3" s="5" t="str">
        <f>IF(_xlfn.XLOOKUP($B3,rf1_data!$B:$B,rf1_data!E:E,"NaN")="","NaN",(_xlfn.XLOOKUP($B3,rf1_data!$B:$B,rf1_data!E:E,"NaN")))</f>
        <v>White</v>
      </c>
      <c r="N3" s="5" t="str">
        <f>IF(_xlfn.XLOOKUP($B3,rf1_data!$B:$B,rf1_data!F:F,"NaN")="","NaN",(_xlfn.XLOOKUP($B3,rf1_data!$B:$B,rf1_data!F:F,"NaN")))</f>
        <v>Not Hispanic or Latino</v>
      </c>
      <c r="O3" s="5" t="str">
        <f>IF(_xlfn.XLOOKUP($B3,rf1_data!$B:$B,rf1_data!G:G,"NaN")="","NaN",(_xlfn.XLOOKUP($B3,rf1_data!$B:$B,rf1_data!G:G,"NaN")))</f>
        <v>Male</v>
      </c>
      <c r="P3" s="5">
        <f>IF(_xlfn.XLOOKUP($B3,rf1_data!$B:$B,rf1_data!H:H,"NaN")="","NaN",(_xlfn.XLOOKUP($B3,rf1_data!$B:$B,rf1_data!H:H,"NaN")))</f>
        <v>4.5599999999999996</v>
      </c>
      <c r="Q3" s="5">
        <f>IF(_xlfn.XLOOKUP($B3,rf1_data!$B:$B,rf1_data!I:I,"NaN")="","NaN",(_xlfn.XLOOKUP($B3,rf1_data!$B:$B,rf1_data!I:I,"NaN")))</f>
        <v>3.44</v>
      </c>
      <c r="R3" s="5">
        <f>IF(_xlfn.XLOOKUP($B3,rf1_data!$B:$B,rf1_data!J:J,"NaN")="","NaN",(_xlfn.XLOOKUP($B3,rf1_data!$B:$B,rf1_data!J:J,"NaN")))</f>
        <v>0</v>
      </c>
      <c r="S3" s="5">
        <f>IF(_xlfn.XLOOKUP($B3,rf1_data!$B:$B,rf1_data!K:K,"NaN")="","NaN",(_xlfn.XLOOKUP($B3,rf1_data!$B:$B,rf1_data!K:K,"NaN")))</f>
        <v>8</v>
      </c>
      <c r="T3" s="5">
        <f>IF(_xlfn.XLOOKUP($B3,rf1_data!$B:$B,rf1_data!L:L,"NaN")="","NaN",(_xlfn.XLOOKUP($B3,rf1_data!$B:$B,rf1_data!L:L,"NaN")))</f>
        <v>1</v>
      </c>
      <c r="U3" s="5">
        <f>IF(_xlfn.XLOOKUP($B3,rf1_data!$B:$B,rf1_data!M:M,"NaN")="","NaN",(_xlfn.XLOOKUP($B3,rf1_data!$B:$B,rf1_data!M:M,"NaN")))</f>
        <v>3.5</v>
      </c>
      <c r="V3" s="5">
        <f>IF(_xlfn.XLOOKUP($B3,rf1_data!$B:$B,rf1_data!N:N,"NaN")="","NaN",(_xlfn.XLOOKUP($B3,rf1_data!$B:$B,rf1_data!N:N,"NaN")))</f>
        <v>3.83</v>
      </c>
      <c r="W3" s="5">
        <f>IF(_xlfn.XLOOKUP($B3,rf1_data!$B:$B,rf1_data!O:O,"NaN")="","NaN",(_xlfn.XLOOKUP($B3,rf1_data!$B:$B,rf1_data!O:O,"NaN")))</f>
        <v>5.13</v>
      </c>
      <c r="X3" s="5">
        <f>IF(_xlfn.XLOOKUP($B3,rf1_data!$B:$B,rf1_data!P:P,"NaN")="","NaN",(_xlfn.XLOOKUP($B3,rf1_data!$B:$B,rf1_data!P:P,"NaN")))</f>
        <v>4.67</v>
      </c>
      <c r="Y3" s="5">
        <f>IF(_xlfn.XLOOKUP($B3,rf1_data!$B:$B,rf1_data!Q:Q,"NaN")="","NaN",(_xlfn.XLOOKUP($B3,rf1_data!$B:$B,rf1_data!Q:Q,"NaN")))</f>
        <v>4.3</v>
      </c>
      <c r="Z3" s="5">
        <f>IF(_xlfn.XLOOKUP($B3,rf1_data!$B:$B,rf1_data!R:R,"NaN")="","NaN",(_xlfn.XLOOKUP($B3,rf1_data!$B:$B,rf1_data!R:R,"NaN")))</f>
        <v>18</v>
      </c>
      <c r="AA3" s="5">
        <f>IF(_xlfn.XLOOKUP($B3,rf1_data!$B:$B,rf1_data!S:S,"NaN")="","NaN",(_xlfn.XLOOKUP($B3,rf1_data!$B:$B,rf1_data!S:S,"NaN")))</f>
        <v>5</v>
      </c>
      <c r="AB3" s="5">
        <f>IF(_xlfn.XLOOKUP($B3,rf1_data!$B:$B,rf1_data!T:T,"NaN")="","NaN",(_xlfn.XLOOKUP($B3,rf1_data!$B:$B,rf1_data!T:T,"NaN")))</f>
        <v>10</v>
      </c>
      <c r="AC3" s="5">
        <f>IF(_xlfn.XLOOKUP($B3,rf1_data!$B:$B,rf1_data!U:U,"NaN")="","NaN",(_xlfn.XLOOKUP($B3,rf1_data!$B:$B,rf1_data!U:U,"NaN")))</f>
        <v>0</v>
      </c>
      <c r="AD3" s="5">
        <f>IF(_xlfn.XLOOKUP($B3,rf1_data!$B:$B,rf1_data!V:V,"NaN")="","NaN",(_xlfn.XLOOKUP($B3,rf1_data!$B:$B,rf1_data!V:V,"NaN")))</f>
        <v>3</v>
      </c>
      <c r="AE3" s="5">
        <f>IF(_xlfn.XLOOKUP($B3,rf1_data!$B:$B,rf1_data!W:W,"NaN")="","NaN",(_xlfn.XLOOKUP($B3,rf1_data!$B:$B,rf1_data!W:W,"NaN")))</f>
        <v>2</v>
      </c>
      <c r="AF3" s="5">
        <f>IF(_xlfn.XLOOKUP($B3,rf1_data!$B:$B,rf1_data!X:X,"NaN")="","NaN",(_xlfn.XLOOKUP($B3,rf1_data!$B:$B,rf1_data!X:X,"NaN")))</f>
        <v>7</v>
      </c>
      <c r="AG3" s="5">
        <f>IF(_xlfn.XLOOKUP($B3,rf1_data!$B:$B,rf1_data!Y:Y,"NaN")="","NaN",(_xlfn.XLOOKUP($B3,rf1_data!$B:$B,rf1_data!Y:Y,"NaN")))</f>
        <v>5</v>
      </c>
      <c r="AH3" s="5">
        <f>IF(_xlfn.XLOOKUP($B3,rf1_data!$B:$B,rf1_data!Z:Z,"NaN")="","NaN",(_xlfn.XLOOKUP($B3,rf1_data!$B:$B,rf1_data!Z:Z,"NaN")))</f>
        <v>5</v>
      </c>
      <c r="AI3" s="5">
        <f>IF(_xlfn.XLOOKUP($B3,rf1_data!$B:$B,rf1_data!AA:AA,"NaN")="","NaN",(_xlfn.XLOOKUP($B3,rf1_data!$B:$B,rf1_data!AA:AA,"NaN")))</f>
        <v>2</v>
      </c>
      <c r="AJ3" s="5">
        <f>IF(_xlfn.XLOOKUP($B3,rf1_data!$B:$B,rf1_data!AB:AB,"NaN")="","NaN",(_xlfn.XLOOKUP($B3,rf1_data!$B:$B,rf1_data!AB:AB,"NaN")))</f>
        <v>21</v>
      </c>
      <c r="AK3" s="5">
        <f>IF(_xlfn.XLOOKUP($B3,rf1_data!$B:$B,rf1_data!AC:AC,"NaN")="","NaN",(_xlfn.XLOOKUP($B3,rf1_data!$B:$B,rf1_data!AC:AC,"NaN")))</f>
        <v>26</v>
      </c>
      <c r="AL3" s="5">
        <f>IF(_xlfn.XLOOKUP($B3,rf1_data!$B:$B,rf1_data!AD:AD,"NaN")="","NaN",(_xlfn.XLOOKUP($B3,rf1_data!$B:$B,rf1_data!AD:AD,"NaN")))</f>
        <v>10</v>
      </c>
      <c r="AM3" s="5">
        <f>IF(_xlfn.XLOOKUP($B3,rf1_data!$B:$B,rf1_data!AE:AE,"NaN")="","NaN",(_xlfn.XLOOKUP($B3,rf1_data!$B:$B,rf1_data!AE:AE,"NaN")))</f>
        <v>0</v>
      </c>
      <c r="AN3" s="5">
        <f>IF(_xlfn.XLOOKUP($B3,rf1_data!$B:$B,rf1_data!AF:AF,"NaN")="","NaN",(_xlfn.XLOOKUP($B3,rf1_data!$B:$B,rf1_data!AF:AF,"NaN")))</f>
        <v>0</v>
      </c>
      <c r="AO3" s="5" t="str">
        <f>IF(_xlfn.XLOOKUP($B3,rf1_data!$B:$B,rf1_data!AG:AG,"NaN")="","NaN",(_xlfn.XLOOKUP($B3,rf1_data!$B:$B,rf1_data!AG:AG,"NaN")))</f>
        <v>NaN</v>
      </c>
      <c r="AP3" s="5" t="str">
        <f>IF(_xlfn.XLOOKUP($B3,rf1_data!$B:$B,rf1_data!AH:AH,"NaN")="","NaN",(_xlfn.XLOOKUP($B3,rf1_data!$B:$B,rf1_data!AH:AH,"NaN")))</f>
        <v>NaN</v>
      </c>
      <c r="AQ3" s="5" t="str">
        <f>IF(_xlfn.XLOOKUP($B3,rf1_data!$B:$B,rf1_data!AI:AI,"NaN")="","NaN",(_xlfn.XLOOKUP($B3,rf1_data!$B:$B,rf1_data!AI:AI,"NaN")))</f>
        <v>NaN</v>
      </c>
      <c r="AR3" s="5" t="str">
        <f>IF(_xlfn.XLOOKUP($B3,rf1_data!$B:$B,rf1_data!AJ:AJ,"NaN")="","NaN",(_xlfn.XLOOKUP($B3,rf1_data!$B:$B,rf1_data!AJ:AJ,"NaN")))</f>
        <v>NaN</v>
      </c>
      <c r="AS3" s="5">
        <f>IF(_xlfn.XLOOKUP($B3,rf1_data!$B:$B,rf1_data!AK:AK,"NaN")="","NaN",(_xlfn.XLOOKUP($B3,rf1_data!$B:$B,rf1_data!AK:AK,"NaN")))</f>
        <v>2.7</v>
      </c>
      <c r="AT3" s="5">
        <f>IF(_xlfn.XLOOKUP($B3,rf1_data!$B:$B,rf1_data!AL:AL,"NaN")="","NaN",(_xlfn.XLOOKUP($B3,rf1_data!$B:$B,rf1_data!AL:AL,"NaN")))</f>
        <v>13</v>
      </c>
      <c r="AU3" s="5">
        <f>IF(_xlfn.XLOOKUP($B3,rf1_data!$B:$B,rf1_data!AM:AM,"NaN")="","NaN",(_xlfn.XLOOKUP($B3,rf1_data!$B:$B,rf1_data!AM:AM,"NaN")))</f>
        <v>2.25</v>
      </c>
      <c r="AV3" s="5">
        <f>IF(_xlfn.XLOOKUP($B3,rf1_data!$B:$B,rf1_data!AN:AN,"NaN")="","NaN",(_xlfn.XLOOKUP($B3,rf1_data!$B:$B,rf1_data!AN:AN,"NaN")))</f>
        <v>0</v>
      </c>
      <c r="AW3" s="5" t="str">
        <f>IF(_xlfn.XLOOKUP($B3,rf1_data!$B:$B,rf1_data!AO:AO,"NaN")="","NaN",(_xlfn.XLOOKUP($B3,rf1_data!$B:$B,rf1_data!AO:AO,"NaN")))</f>
        <v>NaN</v>
      </c>
      <c r="AX3" s="5">
        <f>IF(_xlfn.XLOOKUP($B3,rf1_data!$B:$B,rf1_data!AP:AP,"NaN")="","NaN",(_xlfn.XLOOKUP($B3,rf1_data!$B:$B,rf1_data!AP:AP,"NaN")))</f>
        <v>2.63</v>
      </c>
      <c r="AY3" s="5">
        <f>IF(_xlfn.XLOOKUP($B3,rf1_data!$B:$B,rf1_data!AQ:AQ,"NaN")="","NaN",(_xlfn.XLOOKUP($B3,rf1_data!$B:$B,rf1_data!AQ:AQ,"NaN")))</f>
        <v>44.05</v>
      </c>
      <c r="AZ3" s="5" t="str">
        <f>IF(_xlfn.XLOOKUP($B3,rf1_data!$B:$B,rf1_data!AR:AR,"NaN")="","NaN",(_xlfn.XLOOKUP($B3,rf1_data!$B:$B,rf1_data!AR:AR,"NaN")))</f>
        <v>NaN</v>
      </c>
      <c r="BA3" s="5" t="str">
        <f>IF(_xlfn.XLOOKUP($B3,rf1_data!$B:$B,rf1_data!AS:AS,"NaN")="","NaN",(_xlfn.XLOOKUP($B3,rf1_data!$B:$B,rf1_data!AS:AS,"NaN")))</f>
        <v>NaN</v>
      </c>
      <c r="BB3" s="5" t="str">
        <f>IF(_xlfn.XLOOKUP($B3,rf1_data!$B:$B,rf1_data!AT:AT,"NaN")="","NaN",(_xlfn.XLOOKUP($B3,rf1_data!$B:$B,rf1_data!AT:AT,"NaN")))</f>
        <v>NaN</v>
      </c>
      <c r="BC3" s="5" t="str">
        <f>IF(_xlfn.XLOOKUP($B3,rf1_data!$B:$B,rf1_data!AU:AU,"NaN")="","NaN",(_xlfn.XLOOKUP($B3,rf1_data!$B:$B,rf1_data!AU:AU,"NaN")))</f>
        <v>NaN</v>
      </c>
      <c r="BD3" s="5" t="str">
        <f>IF(_xlfn.XLOOKUP($B3,rf1_data!$B:$B,rf1_data!AV:AV,"NaN")="","NaN",(_xlfn.XLOOKUP($B3,rf1_data!$B:$B,rf1_data!AV:AV,"NaN")))</f>
        <v>NaN</v>
      </c>
      <c r="BE3" s="5" t="str">
        <f>IF(_xlfn.XLOOKUP($B3,rf1_data!$B:$B,rf1_data!AW:AW,"NaN")="","NaN",(_xlfn.XLOOKUP($B3,rf1_data!$B:$B,rf1_data!AW:AW,"NaN")))</f>
        <v>NaN</v>
      </c>
      <c r="BF3" s="5" t="str">
        <f>IF(_xlfn.XLOOKUP($B3,rf1_data!$B:$B,rf1_data!AX:AX,"NaN")="","NaN",(_xlfn.XLOOKUP($B3,rf1_data!$B:$B,rf1_data!AX:AX,"NaN")))</f>
        <v>NaN</v>
      </c>
      <c r="BG3" s="5" t="str">
        <f>IF(_xlfn.XLOOKUP($B3,rf1_data!$B:$B,rf1_data!AY:AY,"NaN")="","NaN",(_xlfn.XLOOKUP($B3,rf1_data!$B:$B,rf1_data!AY:AY,"NaN")))</f>
        <v>NaN</v>
      </c>
      <c r="BH3" s="5" t="str">
        <f>IF(_xlfn.XLOOKUP($B3,rf1_data!$B:$B,rf1_data!AZ:AZ,"NaN")="","NaN",(_xlfn.XLOOKUP($B3,rf1_data!$B:$B,rf1_data!AZ:AZ,"NaN")))</f>
        <v>NaN</v>
      </c>
      <c r="BI3" s="5">
        <f>IF(_xlfn.XLOOKUP($B3,rf1_data!$B:$B,rf1_data!BA:BA,"NaN")="","NaN",(_xlfn.XLOOKUP($B3,rf1_data!$B:$B,rf1_data!BA:BA,"NaN")))</f>
        <v>20</v>
      </c>
      <c r="BJ3" s="5" t="str">
        <f>IF(_xlfn.XLOOKUP($B3,rf1_data!$B:$B,rf1_data!BB:BB,"NaN")="","NaN",(_xlfn.XLOOKUP($B3,rf1_data!$B:$B,rf1_data!BB:BB,"NaN")))</f>
        <v>NaN</v>
      </c>
      <c r="BK3" s="5" t="str">
        <f>IF(_xlfn.XLOOKUP($B3,rf1_data!$B:$B,rf1_data!BC:BC,"NaN")="","NaN",(_xlfn.XLOOKUP($B3,rf1_data!$B:$B,rf1_data!BC:BC,"NaN")))</f>
        <v>NaN</v>
      </c>
      <c r="BL3" s="5" t="str">
        <f>IF(_xlfn.XLOOKUP($B3,rf1_data!$B:$B,rf1_data!BD:BD,"NaN")="","NaN",(_xlfn.XLOOKUP($B3,rf1_data!$B:$B,rf1_data!BD:BD,"NaN")))</f>
        <v>NaN</v>
      </c>
      <c r="BM3" s="5" t="str">
        <f>IF(_xlfn.XLOOKUP($B3,rf1_data!$B:$B,rf1_data!BE:BE,"NaN")="","NaN",(_xlfn.XLOOKUP($B3,rf1_data!$B:$B,rf1_data!BE:BE,"NaN")))</f>
        <v>NaN</v>
      </c>
      <c r="BN3" s="5" t="str">
        <f>IF(_xlfn.XLOOKUP($B3,rf1_data!$B:$B,rf1_data!BF:BF,"NaN")="","NaN",(_xlfn.XLOOKUP($B3,rf1_data!$B:$B,rf1_data!BF:BF,"NaN")))</f>
        <v>NaN</v>
      </c>
      <c r="BO3" s="5" t="str">
        <f>IF(_xlfn.XLOOKUP($B3,rf1_data!$B:$B,rf1_data!BG:BG,"NaN")="","NaN",(_xlfn.XLOOKUP($B3,rf1_data!$B:$B,rf1_data!BG:BG,"NaN")))</f>
        <v>NaN</v>
      </c>
      <c r="BP3" s="5" t="str">
        <f>IF(_xlfn.XLOOKUP($B3,rf1_data!$B:$B,rf1_data!BH:BH,"NaN")="","NaN",(_xlfn.XLOOKUP($B3,rf1_data!$B:$B,rf1_data!BH:BH,"NaN")))</f>
        <v>NaN</v>
      </c>
      <c r="BQ3" s="5" t="str">
        <f>IF(_xlfn.XLOOKUP($B3,rf1_data!$B:$B,rf1_data!BI:BI,"NaN")="","NaN",(_xlfn.XLOOKUP($B3,rf1_data!$B:$B,rf1_data!BI:BI,"NaN")))</f>
        <v>NaN</v>
      </c>
      <c r="BR3" s="5">
        <f>IF(_xlfn.XLOOKUP($B3,rf1_data!$B:$B,rf1_data!BJ:BJ,"NaN")="","NaN",(_xlfn.XLOOKUP($B3,rf1_data!$B:$B,rf1_data!BJ:BJ,"NaN")))</f>
        <v>8991</v>
      </c>
      <c r="BS3" s="5" t="str">
        <f>IF(_xlfn.XLOOKUP($B3,rf1_data!$B:$B,rf1_data!BK:BK,"NaN")="","NaN",(_xlfn.XLOOKUP($B3,rf1_data!$B:$B,rf1_data!BK:BK,"NaN")))</f>
        <v>NaN</v>
      </c>
      <c r="BT3" s="5" t="str">
        <f>IF(_xlfn.XLOOKUP($B3,rf1_data!$B:$B,rf1_data!BL:BL,"NaN")="","NaN",(_xlfn.XLOOKUP($B3,rf1_data!$B:$B,rf1_data!BL:BL,"NaN")))</f>
        <v>NaN</v>
      </c>
      <c r="BU3" s="5" t="str">
        <f>IF(_xlfn.XLOOKUP($B3,rf1_data!$B:$B,rf1_data!BM:BM,"NaN")="","NaN",(_xlfn.XLOOKUP($B3,rf1_data!$B:$B,rf1_data!BM:BM,"NaN")))</f>
        <v>NaN</v>
      </c>
      <c r="BV3" s="5" t="str">
        <f>IF(_xlfn.XLOOKUP($B3,rf1_data!$B:$B,rf1_data!BN:BN,"NaN")="","NaN",(_xlfn.XLOOKUP($B3,rf1_data!$B:$B,rf1_data!BN:BN,"NaN")))</f>
        <v>NaN</v>
      </c>
      <c r="BW3" s="5">
        <f>IF(_xlfn.XLOOKUP($B3,rf1_data!$B:$B,rf1_data!BO:BO,"NaN")="","NaN",(_xlfn.XLOOKUP($B3,rf1_data!$B:$B,rf1_data!BO:BO,"NaN")))</f>
        <v>3.6</v>
      </c>
      <c r="BX3" s="5">
        <f>IF(_xlfn.XLOOKUP($B3,rf1_data!$B:$B,rf1_data!BP:BP,"NaN")="","NaN",(_xlfn.XLOOKUP($B3,rf1_data!$B:$B,rf1_data!BP:BP,"NaN")))</f>
        <v>3.9</v>
      </c>
      <c r="BY3" s="5">
        <f>IF(_xlfn.XLOOKUP($B3,rf1_data!$B:$B,rf1_data!BQ:BQ,"NaN")="","NaN",(_xlfn.XLOOKUP($B3,rf1_data!$B:$B,rf1_data!BQ:BQ,"NaN")))</f>
        <v>3.5</v>
      </c>
      <c r="BZ3" s="5">
        <f>IF(_xlfn.XLOOKUP($B3,rf1_data!$B:$B,rf1_data!BR:BR,"NaN")="","NaN",(_xlfn.XLOOKUP($B3,rf1_data!$B:$B,rf1_data!BR:BR,"NaN")))</f>
        <v>3.67</v>
      </c>
      <c r="CA3" s="5">
        <f>IF(_xlfn.XLOOKUP($B3,rf1_data!$B:$B,rf1_data!BS:BS,"NaN")="","NaN",(_xlfn.XLOOKUP($B3,rf1_data!$B:$B,rf1_data!BS:BS,"NaN")))</f>
        <v>6</v>
      </c>
      <c r="CB3" s="5">
        <f>IF(_xlfn.XLOOKUP($B3,rf1_data!$B:$B,rf1_data!BT:BT,"NaN")="","NaN",(_xlfn.XLOOKUP($B3,rf1_data!$B:$B,rf1_data!BT:BT,"NaN")))</f>
        <v>5.6666666666666599</v>
      </c>
      <c r="CC3" s="5">
        <f>IF(_xlfn.XLOOKUP($B3,rf1_data!$B:$B,rf1_data!BU:BU,"NaN")="","NaN",(_xlfn.XLOOKUP($B3,rf1_data!$B:$B,rf1_data!BU:BU,"NaN")))</f>
        <v>6</v>
      </c>
      <c r="CD3" s="5">
        <f>IF(_xlfn.XLOOKUP($B3,rf1_data!$B:$B,rf1_data!BV:BV,"NaN")="","NaN",(_xlfn.XLOOKUP($B3,rf1_data!$B:$B,rf1_data!BV:BV,"NaN")))</f>
        <v>5.6666666666666599</v>
      </c>
      <c r="CE3" s="5">
        <f>IF(_xlfn.XLOOKUP($B3,rf1_data!$B:$B,rf1_data!BW:BW,"NaN")="","NaN",(_xlfn.XLOOKUP($B3,rf1_data!$B:$B,rf1_data!BW:BW,"NaN")))</f>
        <v>0.75</v>
      </c>
      <c r="CF3" s="5">
        <f>IF(_xlfn.XLOOKUP($B3,rf1_data!$B:$B,rf1_data!BX:BX,"NaN")="","NaN",(_xlfn.XLOOKUP($B3,rf1_data!$B:$B,rf1_data!BX:BX,"NaN")))</f>
        <v>0</v>
      </c>
      <c r="CG3" s="5">
        <f>IF(_xlfn.XLOOKUP($B3,rf1_data!$B:$B,rf1_data!BY:BY,"NaN")="","NaN",(_xlfn.XLOOKUP($B3,rf1_data!$B:$B,rf1_data!BY:BY,"NaN")))</f>
        <v>0</v>
      </c>
      <c r="CH3" s="5">
        <f>IF(_xlfn.XLOOKUP($B3,rf1_data!$B:$B,rf1_data!BZ:BZ,"NaN")="","NaN",(_xlfn.XLOOKUP($B3,rf1_data!$B:$B,rf1_data!BZ:BZ,"NaN")))</f>
        <v>18</v>
      </c>
      <c r="CI3" s="5">
        <f>IF(_xlfn.XLOOKUP($B3,rf1_data!$B:$B,rf1_data!CA:CA,"NaN")="","NaN",(_xlfn.XLOOKUP($B3,rf1_data!$B:$B,rf1_data!CA:CA,"NaN")))</f>
        <v>25</v>
      </c>
      <c r="CJ3" s="5">
        <f>IF(_xlfn.XLOOKUP($B3,rf1_data!$B:$B,rf1_data!CB:CB,"NaN")="","NaN",(_xlfn.XLOOKUP($B3,rf1_data!$B:$B,rf1_data!CB:CB,"NaN")))</f>
        <v>4</v>
      </c>
      <c r="CK3" s="5">
        <f>IF(_xlfn.XLOOKUP($B3,rf1_data!$B:$B,rf1_data!CC:CC,"NaN")="","NaN",(_xlfn.XLOOKUP($B3,rf1_data!$B:$B,rf1_data!CC:CC,"NaN")))</f>
        <v>0.57142857142856995</v>
      </c>
      <c r="CL3" s="5">
        <f>IF(_xlfn.XLOOKUP($B3,rf1_data!$B:$B,rf1_data!CD:CD,"NaN")=0,"NaN",(_xlfn.XLOOKUP($B3,rf1_data!$B:$B,rf1_data!CD:CD,"NaN")))</f>
        <v>18</v>
      </c>
      <c r="CM3" s="5">
        <f>IF(_xlfn.XLOOKUP($B3,rf1_data!$B:$B,rf1_data!CE:CE,"NaN")="","NaN",(_xlfn.XLOOKUP($B3,rf1_data!$B:$B,rf1_data!CE:CE,"NaN")))</f>
        <v>42</v>
      </c>
      <c r="CN3" s="5">
        <f>IF(_xlfn.XLOOKUP($B3,rf1_data!$B:$B,rf1_data!CF:CF,"NaN")="","NaN",(_xlfn.XLOOKUP($B3,rf1_data!$B:$B,rf1_data!CF:CF,"NaN")))</f>
        <v>41</v>
      </c>
      <c r="CO3" s="5">
        <f>IF(_xlfn.XLOOKUP($B3,rf1_data!$B:$B,rf1_data!CG:CG,"NaN")="","NaN",(_xlfn.XLOOKUP($B3,rf1_data!$B:$B,rf1_data!CG:CG,"NaN")))</f>
        <v>23</v>
      </c>
      <c r="CP3" s="5">
        <f>IF(_xlfn.XLOOKUP($B3,rf1_data!$B:$B,rf1_data!CH:CH,"NaN")=0,"NaN",(_xlfn.XLOOKUP($B3,rf1_data!$B:$B,rf1_data!CH:CH,"NaN")))</f>
        <v>33</v>
      </c>
      <c r="CQ3" s="5">
        <f>IF(_xlfn.XLOOKUP($B3,rf1_data!$B:$B,rf1_data!CI:CI,"NaN")="","NaN",(_xlfn.XLOOKUP($B3,rf1_data!$B:$B,rf1_data!CI:CI,"NaN")))</f>
        <v>38</v>
      </c>
      <c r="CR3" s="5">
        <f>IF(_xlfn.XLOOKUP($B3,rf1_data!$B:$B,rf1_data!CJ:CJ,"NaN")="","NaN",(_xlfn.XLOOKUP($B3,rf1_data!$B:$B,rf1_data!CJ:CJ,"NaN")))</f>
        <v>60</v>
      </c>
      <c r="CS3" s="5">
        <f>IF(_xlfn.XLOOKUP($B3,rf1_data!$B:$B,rf1_data!CK:CK,"NaN")="","NaN",(_xlfn.XLOOKUP($B3,rf1_data!$B:$B,rf1_data!CK:CK,"NaN")))</f>
        <v>42</v>
      </c>
      <c r="CT3" s="5">
        <f>IF(_xlfn.XLOOKUP($B3,rf1_data!$B:$B,rf1_data!CL:CL,"NaN")="","NaN",(_xlfn.XLOOKUP($B3,rf1_data!$B:$B,rf1_data!CL:CL,"NaN")))</f>
        <v>60</v>
      </c>
      <c r="CU3" s="5">
        <f>IF(_xlfn.XLOOKUP($B3,rf1_data!$B:$B,rf1_data!CM:CM,"NaN")="","NaN",(_xlfn.XLOOKUP($B3,rf1_data!$B:$B,rf1_data!CM:CM,"NaN")))</f>
        <v>38</v>
      </c>
      <c r="CV3" s="5">
        <f>IF(_xlfn.XLOOKUP($B3,rf1_data!$B:$B,rf1_data!CN:CN,"NaN")="","NaN",(_xlfn.XLOOKUP($B3,rf1_data!$B:$B,rf1_data!CN:CN,"NaN")))</f>
        <v>60</v>
      </c>
      <c r="CW3" s="5" t="str">
        <f>IF(_xlfn.XLOOKUP($B3,rf1_data!$B:$B,rf1_data!CO:CO,"NaN")="","NaN",(_xlfn.XLOOKUP($B3,rf1_data!$B:$B,rf1_data!CO:CO,"NaN")))</f>
        <v>NaN</v>
      </c>
      <c r="CX3" s="5" t="str">
        <f>IF(_xlfn.XLOOKUP($B3,rf1_data!$B:$B,rf1_data!CP:CP,"NaN")="","NaN",(_xlfn.XLOOKUP($B3,rf1_data!$B:$B,rf1_data!CP:CP,"NaN")))</f>
        <v>NaN</v>
      </c>
      <c r="CY3" s="5">
        <f>IF(_xlfn.XLOOKUP($B3,rf1_data!$B:$B,rf1_data!CQ:CQ,"NaN")="","NaN",(_xlfn.XLOOKUP($B3,rf1_data!$B:$B,rf1_data!CQ:CQ,"NaN")))</f>
        <v>4</v>
      </c>
      <c r="CZ3" s="5">
        <f>IF(_xlfn.XLOOKUP($B3,rf1_data!$B:$B,rf1_data!CR:CR,"NaN")="","NaN",(_xlfn.XLOOKUP($B3,rf1_data!$B:$B,rf1_data!CR:CR,"NaN")))</f>
        <v>1</v>
      </c>
      <c r="DA3" s="5">
        <f>IF(_xlfn.XLOOKUP($B3,rf1_data!$B:$B,rf1_data!CS:CS,"NaN")="","NaN",(_xlfn.XLOOKUP($B3,rf1_data!$B:$B,rf1_data!CS:CS,"NaN")))</f>
        <v>1</v>
      </c>
      <c r="DB3" s="4">
        <f>IF(_xlfn.XLOOKUP($B3,island_data!$B:$B,island_data!H:H,"NaN")="","NaN",_xlfn.XLOOKUP($B3,island_data!$B:$B,island_data!H:H,"NaN"))</f>
        <v>9</v>
      </c>
      <c r="DC3" s="4">
        <f>IF(_xlfn.XLOOKUP($B3,island_data!$B:$B,island_data!I:I,"NaN")="","NaN",_xlfn.XLOOKUP($B3,island_data!$B:$B,island_data!I:I,"NaN"))</f>
        <v>13</v>
      </c>
      <c r="DD3" s="4">
        <f>IF(_xlfn.XLOOKUP($B3,island_data!$B:$B,island_data!J:J,"NaN")="","NaN",_xlfn.XLOOKUP($B3,island_data!$B:$B,island_data!J:J,"NaN"))</f>
        <v>3</v>
      </c>
      <c r="DE3" s="4" t="str">
        <f>IF(_xlfn.XLOOKUP($B3,island_data!$B:$B,island_data!K:K,"NaN")="","NaN",_xlfn.XLOOKUP($B3,island_data!$B:$B,island_data!K:K,"NaN"))</f>
        <v>NaN</v>
      </c>
      <c r="DF3" s="4">
        <f>IF(_xlfn.XLOOKUP($B3,island_data!$B:$B,island_data!L:L,"NaN")="","NaN",_xlfn.XLOOKUP($B3,island_data!$B:$B,island_data!L:L,"NaN"))</f>
        <v>0</v>
      </c>
      <c r="DG3" s="4">
        <f>IF(_xlfn.XLOOKUP($B3,island_data!$B:$B,island_data!M:M,"NaN")="","NaN",_xlfn.XLOOKUP($B3,island_data!$B:$B,island_data!M:M,"NaN"))</f>
        <v>3.5</v>
      </c>
      <c r="DH3" s="4">
        <f>IF(_xlfn.XLOOKUP($B3,island_data!$B:$B,island_data!N:N,"NaN")="","NaN",_xlfn.XLOOKUP($B3,island_data!$B:$B,island_data!N:N,"NaN"))</f>
        <v>12</v>
      </c>
      <c r="DI3" s="4" t="str">
        <f>IF(_xlfn.XLOOKUP($B3,island_data!$B:$B,island_data!O:O,"NaN")=999,"NaN",_xlfn.XLOOKUP($B3,island_data!$B:$B,island_data!O:O,"NaN"))</f>
        <v>NaN</v>
      </c>
      <c r="DJ3" s="4">
        <f>IF(_xlfn.XLOOKUP($B3,island_data!$B:$B,island_data!P:P,"NaN")="","NaN",_xlfn.XLOOKUP($B3,island_data!$B:$B,island_data!P:P,"NaN"))</f>
        <v>8</v>
      </c>
      <c r="DK3" s="4">
        <f>IF(_xlfn.XLOOKUP($B3,island_data!$B:$B,island_data!Q:Q,"NaN")="","NaN",_xlfn.XLOOKUP($B3,island_data!$B:$B,island_data!Q:Q,"NaN"))</f>
        <v>12</v>
      </c>
      <c r="DL3" s="4" t="str">
        <f>IF(_xlfn.XLOOKUP($B3,island_data!$B:$B,island_data!R:R,"NaN")=999,"NaN",_xlfn.XLOOKUP($B3,island_data!$B:$B,island_data!R:R,"NaN"))</f>
        <v>NaN</v>
      </c>
      <c r="DM3" s="4">
        <f>IF(_xlfn.XLOOKUP($B3,island_data!$B:$B,island_data!S:S,"NaN")="","NaN",_xlfn.XLOOKUP($B3,island_data!$B:$B,island_data!S:S,"NaN"))</f>
        <v>11</v>
      </c>
      <c r="DN3" s="4">
        <f>IF(_xlfn.XLOOKUP($B3,island_data!$B:$B,island_data!T:T,"NaN")="","NaN",_xlfn.XLOOKUP($B3,island_data!$B:$B,island_data!T:T,"NaN"))</f>
        <v>4.5</v>
      </c>
      <c r="DO3" s="4">
        <f>IF(_xlfn.XLOOKUP($B3,island_data!$B:$B,island_data!U:U,"NaN")="","NaN",_xlfn.XLOOKUP($B3,island_data!$B:$B,island_data!U:U,"NaN"))</f>
        <v>5</v>
      </c>
      <c r="DP3" s="4">
        <f>IF(_xlfn.XLOOKUP($B3,island_data!$B:$B,island_data!V:V,"NaN")="","NaN",_xlfn.XLOOKUP($B3,island_data!$B:$B,island_data!V:V,"NaN"))</f>
        <v>1</v>
      </c>
      <c r="DQ3" s="4">
        <f>IF(_xlfn.XLOOKUP($B3,island_data!$B:$B,island_data!W:W,"NaN")="","NaN",_xlfn.XLOOKUP($B3,island_data!$B:$B,island_data!W:W,"NaN"))</f>
        <v>4</v>
      </c>
      <c r="DR3" s="4">
        <f>IF(_xlfn.XLOOKUP($B3,island_data!$B:$B,island_data!X:X,"NaN")="","NaN",_xlfn.XLOOKUP($B3,island_data!$B:$B,island_data!X:X,"NaN"))</f>
        <v>5</v>
      </c>
      <c r="DS3" s="4" t="str">
        <f>IF(_xlfn.XLOOKUP($B3,island_data!$B:$B,island_data!Y:Y,"NaN")="","NaN",_xlfn.XLOOKUP($B3,island_data!$B:$B,island_data!Y:Y,"NaN"))</f>
        <v>NaN</v>
      </c>
      <c r="DT3" s="4" t="str">
        <f>IF(_xlfn.XLOOKUP($B3,island_data!$B:$B,island_data!Z:Z,"NaN")="","NaN",_xlfn.XLOOKUP($B3,island_data!$B:$B,island_data!Z:Z,"NaN"))</f>
        <v>NaN</v>
      </c>
      <c r="DU3" s="4" t="str">
        <f>IF(_xlfn.XLOOKUP($B3,island_data!$B:$B,island_data!AA:AA,"NaN")="","NaN",_xlfn.XLOOKUP($B3,island_data!$B:$B,island_data!AA:AA,"NaN"))</f>
        <v>NaN</v>
      </c>
      <c r="DV3" s="4" t="str">
        <f>IF(_xlfn.XLOOKUP($B3,island_data!$B:$B,island_data!AB:AB,"NaN")="","NaN",_xlfn.XLOOKUP($B3,island_data!$B:$B,island_data!AB:AB,"NaN"))</f>
        <v>NaN</v>
      </c>
      <c r="DW3" s="4">
        <f>IF(_xlfn.XLOOKUP($B3,island_data!$B:$B,island_data!AC:AC,"NaN")="","NaN",_xlfn.XLOOKUP($B3,island_data!$B:$B,island_data!AC:AC,"NaN"))</f>
        <v>19054</v>
      </c>
      <c r="DX3" s="4">
        <f>IF(_xlfn.XLOOKUP($B3,island_data!$B:$B,island_data!AD:AD,"NaN")="","NaN",_xlfn.XLOOKUP($B3,island_data!$B:$B,island_data!AD:AD,"NaN"))</f>
        <v>4</v>
      </c>
      <c r="DY3" s="4">
        <f>IF(_xlfn.XLOOKUP($B3,island_data!$B:$B,island_data!AE:AE,"NaN")="","NaN",_xlfn.XLOOKUP($B3,island_data!$B:$B,island_data!AE:AE,"NaN"))</f>
        <v>1</v>
      </c>
      <c r="DZ3" s="4" t="str">
        <f>IF(_xlfn.XLOOKUP($B3,island_data!$B:$B,island_data!AF:AF,"NaN")="","NaN",_xlfn.XLOOKUP($B3,island_data!$B:$B,island_data!AF:AF,"NaN"))</f>
        <v>NaN</v>
      </c>
      <c r="EA3" s="4" t="str">
        <f>IF(_xlfn.XLOOKUP($B3,island_data!$B:$B,island_data!AG:AG,"NaN")="","NaN",_xlfn.XLOOKUP($B3,island_data!$B:$B,island_data!AG:AG,"NaN"))</f>
        <v>NaN</v>
      </c>
      <c r="EB3" s="4" t="str">
        <f>IF(_xlfn.XLOOKUP($B3,island_data!$B:$B,island_data!AH:AH,"NaN")="","NaN",_xlfn.XLOOKUP($B3,island_data!$B:$B,island_data!AH:AH,"NaN"))</f>
        <v>NaN</v>
      </c>
      <c r="EC3" s="4" t="str">
        <f>IF(_xlfn.XLOOKUP($B3,island_data!$B:$B,island_data!AI:AI,"NaN")="","NaN",_xlfn.XLOOKUP($B3,island_data!$B:$B,island_data!AI:AI,"NaN"))</f>
        <v>NaN</v>
      </c>
      <c r="ED3" s="4" t="str">
        <f>IF(_xlfn.XLOOKUP($B3,island_data!$B:$B,island_data!AJ:AJ,"NaN")="","NaN",_xlfn.XLOOKUP($B3,island_data!$B:$B,island_data!AJ:AJ,"NaN"))</f>
        <v>NaN</v>
      </c>
      <c r="EE3" s="4" t="str">
        <f>IF(_xlfn.XLOOKUP($B3,island_data!$B:$B,island_data!AK:AK,"NaN")="","NaN",_xlfn.XLOOKUP($B3,island_data!$B:$B,island_data!AK:AK,"NaN"))</f>
        <v>NaN</v>
      </c>
      <c r="EF3" s="4" t="str">
        <f>IF(_xlfn.XLOOKUP($B3,island_data!$B:$B,island_data!AL:AL,"NaN")="","NaN",_xlfn.XLOOKUP($B3,island_data!$B:$B,island_data!AL:AL,"NaN"))</f>
        <v>NaN</v>
      </c>
      <c r="EG3" s="4" t="str">
        <f>IF(_xlfn.XLOOKUP($B3,island_data!$B:$B,island_data!AM:AM,"NaN")="","NaN",_xlfn.XLOOKUP($B3,island_data!$B:$B,island_data!AM:AM,"NaN"))</f>
        <v>NaN</v>
      </c>
      <c r="EH3" s="4" t="str">
        <f>IF(_xlfn.XLOOKUP($B3,island_data!$B:$B,island_data!AN:AN,"NaN")="","NaN",_xlfn.XLOOKUP($B3,island_data!$B:$B,island_data!AN:AN,"NaN"))</f>
        <v>NaN</v>
      </c>
      <c r="EI3" s="4" t="str">
        <f>IF(_xlfn.XLOOKUP($B3,island_data!$B:$B,island_data!AO:AO,"NaN")="","NaN",_xlfn.XLOOKUP($B3,island_data!$B:$B,island_data!AO:AO,"NaN"))</f>
        <v>NaN</v>
      </c>
      <c r="EJ3" s="8">
        <f>IF(_xlfn.XLOOKUP($A3,TabCAT!$A:$A,TabCAT!AU:AU,"NaN")="","NaN",(_xlfn.XLOOKUP($A3,TabCAT!$A:$A,TabCAT!AU:AU,"NaN")))</f>
        <v>183</v>
      </c>
      <c r="EK3" s="8" t="b">
        <f>IF(_xlfn.XLOOKUP($A3,TabCAT!$A:$A,TabCAT!AV:AV,"NaN")="","NaN",(_xlfn.XLOOKUP($A3,TabCAT!$A:$A,TabCAT!AV:AV,"NaN")))</f>
        <v>1</v>
      </c>
      <c r="EL3" s="8">
        <f>IF(_xlfn.XLOOKUP($A3,TabCAT!$A:$A,TabCAT!AW:AW,"NaN")="","NaN",(_xlfn.XLOOKUP($A3,TabCAT!$A:$A,TabCAT!AW:AW,"NaN")))</f>
        <v>6</v>
      </c>
      <c r="EM3" s="8">
        <f>IF(_xlfn.XLOOKUP($A3,TabCAT!$A:$A,TabCAT!AX:AX,"NaN")="","NaN",(_xlfn.XLOOKUP($A3,TabCAT!$A:$A,TabCAT!AX:AX,"NaN")))</f>
        <v>0</v>
      </c>
      <c r="EN3" s="8">
        <f>IF(_xlfn.XLOOKUP($A3,TabCAT!$A:$A,TabCAT!AY:AY,"NaN")="","NaN",(_xlfn.XLOOKUP($A3,TabCAT!$A:$A,TabCAT!AY:AY,"NaN")))</f>
        <v>8.32</v>
      </c>
      <c r="EO3" s="8">
        <f>IF(_xlfn.XLOOKUP($A3,TabCAT!$A:$A,TabCAT!AZ:AZ,"NaN")="","NaN",(_xlfn.XLOOKUP($A3,TabCAT!$A:$A,TabCAT!AZ:AZ,"NaN")))</f>
        <v>32</v>
      </c>
      <c r="EP3" s="8">
        <f>IF(_xlfn.XLOOKUP($A3,TabCAT!$A:$A,TabCAT!BA:BA,"NaN")="","NaN",(_xlfn.XLOOKUP($A3,TabCAT!$A:$A,TabCAT!BA:BA,"NaN")))</f>
        <v>0.82917099999999999</v>
      </c>
      <c r="EQ3" s="8">
        <f>IF(_xlfn.XLOOKUP($A3,TabCAT!$A:$A,TabCAT!BB:BB,"NaN")="","NaN",(_xlfn.XLOOKUP($A3,TabCAT!$A:$A,TabCAT!BB:BB,"NaN")))</f>
        <v>0.19469296132736999</v>
      </c>
      <c r="ER3" s="8">
        <f>IF(_xlfn.XLOOKUP($A3,TabCAT!$A:$A,TabCAT!BC:BC,"NaN")="","NaN",(_xlfn.XLOOKUP($A3,TabCAT!$A:$A,TabCAT!BC:BC,"NaN")))</f>
        <v>16</v>
      </c>
      <c r="ES3" s="8">
        <f>IF(_xlfn.XLOOKUP($A3,TabCAT!$A:$A,TabCAT!BD:BD,"NaN")="","NaN",(_xlfn.XLOOKUP($A3,TabCAT!$A:$A,TabCAT!BD:BD,"NaN")))</f>
        <v>0.70854099999999998</v>
      </c>
      <c r="ET3" s="8">
        <f>IF(_xlfn.XLOOKUP($A3,TabCAT!$A:$A,TabCAT!BE:BE,"NaN")="","NaN",(_xlfn.XLOOKUP($A3,TabCAT!$A:$A,TabCAT!BE:BE,"NaN")))</f>
        <v>16</v>
      </c>
      <c r="EU3" s="8">
        <f>IF(_xlfn.XLOOKUP($A3,TabCAT!$A:$A,TabCAT!BF:BF,"NaN")="","NaN",(_xlfn.XLOOKUP($A3,TabCAT!$A:$A,TabCAT!BF:BF,"NaN")))</f>
        <v>0.85822100000000001</v>
      </c>
      <c r="EV3" s="8" t="str">
        <f>IF(_xlfn.XLOOKUP($A3,TabCAT!$A:$A,TabCAT!BG:BG,"NaN")="","NaN",(_xlfn.XLOOKUP($A3,TabCAT!$A:$A,TabCAT!BG:BG,"NaN")))</f>
        <v>NaN</v>
      </c>
      <c r="EW3" s="8" t="str">
        <f>IF(_xlfn.XLOOKUP($A3,TabCAT!$A:$A,TabCAT!BH:BH,"NaN")="","NaN",(_xlfn.XLOOKUP($A3,TabCAT!$A:$A,TabCAT!BH:BH,"NaN")))</f>
        <v>3.0.0</v>
      </c>
      <c r="EX3" s="8" t="str">
        <f>IF(_xlfn.XLOOKUP($A3,TabCAT!$A:$A,TabCAT!BI:BI,"NaN")="","NaN",(_xlfn.XLOOKUP($A3,TabCAT!$A:$A,TabCAT!BI:BI,"NaN")))</f>
        <v>English</v>
      </c>
      <c r="EY3" s="8">
        <f>IF(_xlfn.XLOOKUP($A3,TabCAT!$A:$A,TabCAT!BJ:BJ,"NaN")="","NaN",(_xlfn.XLOOKUP($A3,TabCAT!$A:$A,TabCAT!BJ:BJ,"NaN")))</f>
        <v>262</v>
      </c>
      <c r="EZ3" s="8">
        <f>IF(_xlfn.XLOOKUP($A3,TabCAT!$A:$A,TabCAT!BK:BK,"NaN")="","NaN",(_xlfn.XLOOKUP($A3,TabCAT!$A:$A,TabCAT!BK:BK,"NaN")))</f>
        <v>1</v>
      </c>
      <c r="FA3" s="8">
        <f>IF(_xlfn.XLOOKUP($A3,TabCAT!$A:$A,TabCAT!BL:BL,"NaN")="","NaN",(_xlfn.XLOOKUP($A3,TabCAT!$A:$A,TabCAT!BL:BL,"NaN")))</f>
        <v>6</v>
      </c>
      <c r="FB3" s="8">
        <f>IF(_xlfn.XLOOKUP($A3,TabCAT!$A:$A,TabCAT!BM:BM,"NaN")="","NaN",(_xlfn.XLOOKUP($A3,TabCAT!$A:$A,TabCAT!BM:BM,"NaN")))</f>
        <v>1</v>
      </c>
      <c r="FC3" s="8">
        <f>IF(_xlfn.XLOOKUP($A3,TabCAT!$A:$A,TabCAT!BN:BN,"NaN")="","NaN",(_xlfn.XLOOKUP($A3,TabCAT!$A:$A,TabCAT!BN:BN,"NaN")))</f>
        <v>6</v>
      </c>
      <c r="FD3" s="8">
        <f>IF(_xlfn.XLOOKUP($A3,TabCAT!$A:$A,TabCAT!BO:BO,"NaN")="","NaN",(_xlfn.XLOOKUP($A3,TabCAT!$A:$A,TabCAT!BO:BO,"NaN")))</f>
        <v>8</v>
      </c>
      <c r="FE3" s="8">
        <f>IF(_xlfn.XLOOKUP($A3,TabCAT!$A:$A,TabCAT!BP:BP,"NaN")="","NaN",(_xlfn.XLOOKUP($A3,TabCAT!$A:$A,TabCAT!BP:BP,"NaN")))</f>
        <v>0.88888888888888795</v>
      </c>
      <c r="FF3" s="8">
        <f>IF(_xlfn.XLOOKUP($A3,TabCAT!$A:$A,TabCAT!BQ:BQ,"NaN")="","NaN",(_xlfn.XLOOKUP($A3,TabCAT!$A:$A,TabCAT!BQ:BQ,"NaN")))</f>
        <v>8</v>
      </c>
      <c r="FG3" s="8">
        <f>IF(_xlfn.XLOOKUP($A3,TabCAT!$A:$A,TabCAT!BR:BR,"NaN")="","NaN",(_xlfn.XLOOKUP($A3,TabCAT!$A:$A,TabCAT!BR:BR,"NaN")))</f>
        <v>9</v>
      </c>
      <c r="FH3" s="8">
        <f>IF(_xlfn.XLOOKUP($A3,TabCAT!$A:$A,TabCAT!BS:BS,"NaN")="","NaN",(_xlfn.XLOOKUP($A3,TabCAT!$A:$A,TabCAT!BS:BS,"NaN")))</f>
        <v>0.75</v>
      </c>
      <c r="FI3" s="8">
        <f>IF(_xlfn.XLOOKUP($A3,TabCAT!$A:$A,TabCAT!BT:BT,"NaN")="","NaN",(_xlfn.XLOOKUP($A3,TabCAT!$A:$A,TabCAT!BT:BT,"NaN")))</f>
        <v>8</v>
      </c>
      <c r="FJ3" s="8">
        <f>IF(_xlfn.XLOOKUP($A3,TabCAT!$A:$A,TabCAT!BU:BU,"NaN")="","NaN",(_xlfn.XLOOKUP($A3,TabCAT!$A:$A,TabCAT!BU:BU,"NaN")))</f>
        <v>10</v>
      </c>
      <c r="FK3" s="8">
        <f>IF(_xlfn.XLOOKUP($A3,TabCAT!$A:$A,TabCAT!BV:BV,"NaN")="","NaN",(_xlfn.XLOOKUP($A3,TabCAT!$A:$A,TabCAT!BV:BV,"NaN")))</f>
        <v>0.66666666666666596</v>
      </c>
      <c r="FL3" s="8">
        <f>IF(_xlfn.XLOOKUP($A3,TabCAT!$A:$A,TabCAT!BW:BW,"NaN")="","NaN",(_xlfn.XLOOKUP($A3,TabCAT!$A:$A,TabCAT!BW:BW,"NaN")))</f>
        <v>8.5</v>
      </c>
      <c r="FM3" s="8">
        <f>IF(_xlfn.XLOOKUP($A3,TabCAT!$A:$A,TabCAT!BX:BX,"NaN")="","NaN",(_xlfn.XLOOKUP($A3,TabCAT!$A:$A,TabCAT!BX:BX,"NaN")))</f>
        <v>33</v>
      </c>
      <c r="FN3" s="8">
        <f>IF(_xlfn.XLOOKUP($A3,TabCAT!$A:$A,TabCAT!BY:BY,"NaN")="","NaN",(_xlfn.XLOOKUP($A3,TabCAT!$A:$A,TabCAT!BY:BY,"NaN")))</f>
        <v>0.78571428571428503</v>
      </c>
      <c r="FO3" s="8">
        <f>IF(_xlfn.XLOOKUP($A3,TabCAT!$A:$A,TabCAT!BZ:BZ,"NaN")="","NaN",(_xlfn.XLOOKUP($A3,TabCAT!$A:$A,TabCAT!BZ:BZ,"NaN")))</f>
        <v>30.5</v>
      </c>
      <c r="FP3" s="8" t="str">
        <f>IF(_xlfn.XLOOKUP($A3,TabCAT!$A:$A,TabCAT!CA:CA,"NaN")="","NaN",(_xlfn.XLOOKUP($A3,TabCAT!$A:$A,TabCAT!CA:CA,"NaN")))</f>
        <v>3.0.0</v>
      </c>
      <c r="FQ3" s="8" t="str">
        <f>IF(_xlfn.XLOOKUP($A3,TabCAT!$A:$A,TabCAT!CB:CB,"NaN")="","NaN",(_xlfn.XLOOKUP($A3,TabCAT!$A:$A,TabCAT!CB:CB,"NaN")))</f>
        <v>English</v>
      </c>
      <c r="FR3" s="8">
        <f>IF(_xlfn.XLOOKUP($A3,TabCAT!$A:$A,TabCAT!CC:CC,"NaN")="","NaN",(_xlfn.XLOOKUP($A3,TabCAT!$A:$A,TabCAT!CC:CC,"NaN")))</f>
        <v>275</v>
      </c>
      <c r="FS3" s="8" t="b">
        <f>IF(_xlfn.XLOOKUP($A3,TabCAT!$A:$A,TabCAT!CD:CD,"NaN")="","NaN",(_xlfn.XLOOKUP($A3,TabCAT!$A:$A,TabCAT!CD:CD,"NaN")))</f>
        <v>1</v>
      </c>
      <c r="FT3" s="8">
        <f>IF(_xlfn.XLOOKUP($A3,TabCAT!$A:$A,TabCAT!CE:CE,"NaN")="","NaN",(_xlfn.XLOOKUP($A3,TabCAT!$A:$A,TabCAT!CE:CE,"NaN")))</f>
        <v>8</v>
      </c>
      <c r="FU3" s="8">
        <f>IF(_xlfn.XLOOKUP($A3,TabCAT!$A:$A,TabCAT!CF:CF,"NaN")="","NaN",(_xlfn.XLOOKUP($A3,TabCAT!$A:$A,TabCAT!CF:CF,"NaN")))</f>
        <v>0</v>
      </c>
      <c r="FV3" s="8">
        <f>IF(_xlfn.XLOOKUP($A3,TabCAT!$A:$A,TabCAT!CG:CG,"NaN")="","NaN",(_xlfn.XLOOKUP($A3,TabCAT!$A:$A,TabCAT!CG:CG,"NaN")))</f>
        <v>6.47</v>
      </c>
      <c r="FW3" s="8">
        <f>IF(_xlfn.XLOOKUP($A3,TabCAT!$A:$A,TabCAT!CH:CH,"NaN")="","NaN",(_xlfn.XLOOKUP($A3,TabCAT!$A:$A,TabCAT!CH:CH,"NaN")))</f>
        <v>15</v>
      </c>
      <c r="FX3" s="8">
        <f>IF(_xlfn.XLOOKUP($A3,TabCAT!$A:$A,TabCAT!CI:CI,"NaN")="","NaN",(_xlfn.XLOOKUP($A3,TabCAT!$A:$A,TabCAT!CI:CI,"NaN")))</f>
        <v>0.93821600000000005</v>
      </c>
      <c r="FY3" s="8">
        <f>IF(_xlfn.XLOOKUP($A3,TabCAT!$A:$A,TabCAT!CJ:CJ,"NaN")="","NaN",(_xlfn.XLOOKUP($A3,TabCAT!$A:$A,TabCAT!CJ:CJ,"NaN")))</f>
        <v>16</v>
      </c>
      <c r="FZ3" s="8">
        <f>IF(_xlfn.XLOOKUP($A3,TabCAT!$A:$A,TabCAT!CK:CK,"NaN")="","NaN",(_xlfn.XLOOKUP($A3,TabCAT!$A:$A,TabCAT!CK:CK,"NaN")))</f>
        <v>1.562937</v>
      </c>
      <c r="GA3" s="8">
        <f>IF(_xlfn.XLOOKUP($A3,TabCAT!$A:$A,TabCAT!CL:CL,"NaN")="","NaN",(_xlfn.XLOOKUP($A3,TabCAT!$A:$A,TabCAT!CL:CL,"NaN")))</f>
        <v>32</v>
      </c>
      <c r="GB3" s="8">
        <f>IF(_xlfn.XLOOKUP($A3,TabCAT!$A:$A,TabCAT!CM:CM,"NaN")="","NaN",(_xlfn.XLOOKUP($A3,TabCAT!$A:$A,TabCAT!CM:CM,"NaN")))</f>
        <v>1.296432</v>
      </c>
      <c r="GC3" s="8">
        <f>IF(_xlfn.XLOOKUP($A3,TabCAT!$A:$A,TabCAT!CN:CN,"NaN")="","NaN",(_xlfn.XLOOKUP($A3,TabCAT!$A:$A,TabCAT!CN:CN,"NaN")))</f>
        <v>16</v>
      </c>
      <c r="GD3" s="8">
        <f>IF(_xlfn.XLOOKUP($A3,TabCAT!$A:$A,TabCAT!CO:CO,"NaN")="","NaN",(_xlfn.XLOOKUP($A3,TabCAT!$A:$A,TabCAT!CO:CO,"NaN")))</f>
        <v>1.3922405</v>
      </c>
      <c r="GE3" s="8">
        <f>IF(_xlfn.XLOOKUP($A3,TabCAT!$A:$A,TabCAT!CP:CP,"NaN")="","NaN",(_xlfn.XLOOKUP($A3,TabCAT!$A:$A,TabCAT!CP:CP,"NaN")))</f>
        <v>0.54860255626499199</v>
      </c>
      <c r="GF3" s="8">
        <f>IF(_xlfn.XLOOKUP($A3,TabCAT!$A:$A,TabCAT!CQ:CQ,"NaN")="","NaN",(_xlfn.XLOOKUP($A3,TabCAT!$A:$A,TabCAT!CQ:CQ,"NaN")))</f>
        <v>57</v>
      </c>
      <c r="GG3" s="8">
        <f>IF(_xlfn.XLOOKUP($A3,TabCAT!$A:$A,TabCAT!CR:CR,"NaN")="","NaN",(_xlfn.XLOOKUP($A3,TabCAT!$A:$A,TabCAT!CR:CR,"NaN")))</f>
        <v>1.1960729999999999</v>
      </c>
      <c r="GH3" s="8" t="str">
        <f>IF(_xlfn.XLOOKUP($A3,TabCAT!$A:$A,TabCAT!CS:CS,"NaN")="","NaN",(_xlfn.XLOOKUP($A3,TabCAT!$A:$A,TabCAT!CS:CS,"NaN")))</f>
        <v>NaN</v>
      </c>
    </row>
    <row r="4" spans="1:190" x14ac:dyDescent="0.2">
      <c r="A4">
        <v>10391</v>
      </c>
      <c r="B4">
        <f>_xlfn.XLOOKUP(bippity_poppity_boo!A4,rf1_data!A:A,rf1_data!B:B)</f>
        <v>111978</v>
      </c>
      <c r="C4" s="2" t="str">
        <f>(_xlfn.XLOOKUP($A4,trust!$A:$A,trust!B:B,"NaN"))</f>
        <v>NaN</v>
      </c>
      <c r="D4" s="2" t="str">
        <f>(_xlfn.XLOOKUP($A4,trust!$A:$A,trust!C:C,"NaN"))</f>
        <v>NaN</v>
      </c>
      <c r="E4" s="2" t="str">
        <f>(_xlfn.XLOOKUP($A4,trust!$A:$A,trust!D:D,"NaN"))</f>
        <v>NaN</v>
      </c>
      <c r="F4" s="2" t="str">
        <f>(_xlfn.XLOOKUP($A4,trust!$A:$A,trust!E:E,"NaN"))</f>
        <v>NaN</v>
      </c>
      <c r="G4" s="2" t="str">
        <f>(_xlfn.XLOOKUP($A4,trust!$A:$A,trust!F:F,"NaN"))</f>
        <v>NaN</v>
      </c>
      <c r="H4" s="2" t="str">
        <f>(_xlfn.XLOOKUP($A4,trust!$A:$A,trust!G:G,"NaN"))</f>
        <v>NaN</v>
      </c>
      <c r="I4" s="3">
        <f>IF(_xlfn.XLOOKUP($B4,island_data!$B:$B,island_data!C:C,"NaN")="","NaN",_xlfn.XLOOKUP($B4,island_data!$B:$B,island_data!C:C,"NaN"))</f>
        <v>45105</v>
      </c>
      <c r="J4" s="3">
        <f>IF(_xlfn.XLOOKUP($B4,island_data!$B:$B,island_data!D:D,"NaN")="","NaN",_xlfn.XLOOKUP($B4,island_data!$B:$B,island_data!D:D,"NaN"))</f>
        <v>28713</v>
      </c>
      <c r="K4" s="4">
        <f>IF(_xlfn.XLOOKUP($B4,island_data!$B:$B,island_data!E:E,"NaN")="","NaN",_xlfn.XLOOKUP($B4,island_data!$B:$B,island_data!E:E,"NaN"))</f>
        <v>44.88</v>
      </c>
      <c r="L4" s="5">
        <f>IF(_xlfn.XLOOKUP($B4,rf1_data!$B:$B,rf1_data!D:D,"NaN")="","NaN",(_xlfn.XLOOKUP($B4,rf1_data!$B:$B,rf1_data!D:D,"NaN")))</f>
        <v>44.21</v>
      </c>
      <c r="M4" s="5" t="str">
        <f>IF(_xlfn.XLOOKUP($B4,rf1_data!$B:$B,rf1_data!E:E,"NaN")="","NaN",(_xlfn.XLOOKUP($B4,rf1_data!$B:$B,rf1_data!E:E,"NaN")))</f>
        <v>White</v>
      </c>
      <c r="N4" s="5" t="str">
        <f>IF(_xlfn.XLOOKUP($B4,rf1_data!$B:$B,rf1_data!F:F,"NaN")="","NaN",(_xlfn.XLOOKUP($B4,rf1_data!$B:$B,rf1_data!F:F,"NaN")))</f>
        <v>Not Hispanic or Latino</v>
      </c>
      <c r="O4" s="5" t="str">
        <f>IF(_xlfn.XLOOKUP($B4,rf1_data!$B:$B,rf1_data!G:G,"NaN")="","NaN",(_xlfn.XLOOKUP($B4,rf1_data!$B:$B,rf1_data!G:G,"NaN")))</f>
        <v>Female</v>
      </c>
      <c r="P4" s="5">
        <f>IF(_xlfn.XLOOKUP($B4,rf1_data!$B:$B,rf1_data!H:H,"NaN")="","NaN",(_xlfn.XLOOKUP($B4,rf1_data!$B:$B,rf1_data!H:H,"NaN")))</f>
        <v>3.33</v>
      </c>
      <c r="Q4" s="5">
        <f>IF(_xlfn.XLOOKUP($B4,rf1_data!$B:$B,rf1_data!I:I,"NaN")="","NaN",(_xlfn.XLOOKUP($B4,rf1_data!$B:$B,rf1_data!I:I,"NaN")))</f>
        <v>2.67</v>
      </c>
      <c r="R4" s="5">
        <f>IF(_xlfn.XLOOKUP($B4,rf1_data!$B:$B,rf1_data!J:J,"NaN")="","NaN",(_xlfn.XLOOKUP($B4,rf1_data!$B:$B,rf1_data!J:J,"NaN")))</f>
        <v>0</v>
      </c>
      <c r="S4" s="5">
        <f>IF(_xlfn.XLOOKUP($B4,rf1_data!$B:$B,rf1_data!K:K,"NaN")="","NaN",(_xlfn.XLOOKUP($B4,rf1_data!$B:$B,rf1_data!K:K,"NaN")))</f>
        <v>6</v>
      </c>
      <c r="T4" s="5">
        <f>IF(_xlfn.XLOOKUP($B4,rf1_data!$B:$B,rf1_data!L:L,"NaN")="","NaN",(_xlfn.XLOOKUP($B4,rf1_data!$B:$B,rf1_data!L:L,"NaN")))</f>
        <v>0</v>
      </c>
      <c r="U4" s="5" t="str">
        <f>IF(_xlfn.XLOOKUP($B4,rf1_data!$B:$B,rf1_data!M:M,"NaN")="","NaN",(_xlfn.XLOOKUP($B4,rf1_data!$B:$B,rf1_data!M:M,"NaN")))</f>
        <v>NaN</v>
      </c>
      <c r="V4" s="5" t="str">
        <f>IF(_xlfn.XLOOKUP($B4,rf1_data!$B:$B,rf1_data!N:N,"NaN")="","NaN",(_xlfn.XLOOKUP($B4,rf1_data!$B:$B,rf1_data!N:N,"NaN")))</f>
        <v>NaN</v>
      </c>
      <c r="W4" s="5" t="str">
        <f>IF(_xlfn.XLOOKUP($B4,rf1_data!$B:$B,rf1_data!O:O,"NaN")="","NaN",(_xlfn.XLOOKUP($B4,rf1_data!$B:$B,rf1_data!O:O,"NaN")))</f>
        <v>NaN</v>
      </c>
      <c r="X4" s="5" t="str">
        <f>IF(_xlfn.XLOOKUP($B4,rf1_data!$B:$B,rf1_data!P:P,"NaN")="","NaN",(_xlfn.XLOOKUP($B4,rf1_data!$B:$B,rf1_data!P:P,"NaN")))</f>
        <v>NaN</v>
      </c>
      <c r="Y4" s="5" t="str">
        <f>IF(_xlfn.XLOOKUP($B4,rf1_data!$B:$B,rf1_data!Q:Q,"NaN")="","NaN",(_xlfn.XLOOKUP($B4,rf1_data!$B:$B,rf1_data!Q:Q,"NaN")))</f>
        <v>NaN</v>
      </c>
      <c r="Z4" s="5">
        <f>IF(_xlfn.XLOOKUP($B4,rf1_data!$B:$B,rf1_data!R:R,"NaN")="","NaN",(_xlfn.XLOOKUP($B4,rf1_data!$B:$B,rf1_data!R:R,"NaN")))</f>
        <v>33</v>
      </c>
      <c r="AA4" s="5">
        <f>IF(_xlfn.XLOOKUP($B4,rf1_data!$B:$B,rf1_data!S:S,"NaN")="","NaN",(_xlfn.XLOOKUP($B4,rf1_data!$B:$B,rf1_data!S:S,"NaN")))</f>
        <v>3</v>
      </c>
      <c r="AB4" s="5">
        <f>IF(_xlfn.XLOOKUP($B4,rf1_data!$B:$B,rf1_data!T:T,"NaN")="","NaN",(_xlfn.XLOOKUP($B4,rf1_data!$B:$B,rf1_data!T:T,"NaN")))</f>
        <v>12</v>
      </c>
      <c r="AC4" s="5">
        <f>IF(_xlfn.XLOOKUP($B4,rf1_data!$B:$B,rf1_data!U:U,"NaN")="","NaN",(_xlfn.XLOOKUP($B4,rf1_data!$B:$B,rf1_data!U:U,"NaN")))</f>
        <v>4</v>
      </c>
      <c r="AD4" s="5">
        <f>IF(_xlfn.XLOOKUP($B4,rf1_data!$B:$B,rf1_data!V:V,"NaN")="","NaN",(_xlfn.XLOOKUP($B4,rf1_data!$B:$B,rf1_data!V:V,"NaN")))</f>
        <v>14</v>
      </c>
      <c r="AE4" s="5">
        <f>IF(_xlfn.XLOOKUP($B4,rf1_data!$B:$B,rf1_data!W:W,"NaN")="","NaN",(_xlfn.XLOOKUP($B4,rf1_data!$B:$B,rf1_data!W:W,"NaN")))</f>
        <v>7</v>
      </c>
      <c r="AF4" s="5">
        <f>IF(_xlfn.XLOOKUP($B4,rf1_data!$B:$B,rf1_data!X:X,"NaN")="","NaN",(_xlfn.XLOOKUP($B4,rf1_data!$B:$B,rf1_data!X:X,"NaN")))</f>
        <v>8</v>
      </c>
      <c r="AG4" s="5">
        <f>IF(_xlfn.XLOOKUP($B4,rf1_data!$B:$B,rf1_data!Y:Y,"NaN")="","NaN",(_xlfn.XLOOKUP($B4,rf1_data!$B:$B,rf1_data!Y:Y,"NaN")))</f>
        <v>3</v>
      </c>
      <c r="AH4" s="5">
        <f>IF(_xlfn.XLOOKUP($B4,rf1_data!$B:$B,rf1_data!Z:Z,"NaN")="","NaN",(_xlfn.XLOOKUP($B4,rf1_data!$B:$B,rf1_data!Z:Z,"NaN")))</f>
        <v>4</v>
      </c>
      <c r="AI4" s="5">
        <f>IF(_xlfn.XLOOKUP($B4,rf1_data!$B:$B,rf1_data!AA:AA,"NaN")="","NaN",(_xlfn.XLOOKUP($B4,rf1_data!$B:$B,rf1_data!AA:AA,"NaN")))</f>
        <v>5</v>
      </c>
      <c r="AJ4" s="5">
        <f>IF(_xlfn.XLOOKUP($B4,rf1_data!$B:$B,rf1_data!AB:AB,"NaN")="","NaN",(_xlfn.XLOOKUP($B4,rf1_data!$B:$B,rf1_data!AB:AB,"NaN")))</f>
        <v>27</v>
      </c>
      <c r="AK4" s="5" t="str">
        <f>IF(_xlfn.XLOOKUP($B4,rf1_data!$B:$B,rf1_data!AC:AC,"NaN")="","NaN",(_xlfn.XLOOKUP($B4,rf1_data!$B:$B,rf1_data!AC:AC,"NaN")))</f>
        <v>NaN</v>
      </c>
      <c r="AL4" s="5" t="str">
        <f>IF(_xlfn.XLOOKUP($B4,rf1_data!$B:$B,rf1_data!AD:AD,"NaN")="","NaN",(_xlfn.XLOOKUP($B4,rf1_data!$B:$B,rf1_data!AD:AD,"NaN")))</f>
        <v>NaN</v>
      </c>
      <c r="AM4" s="5">
        <f>IF(_xlfn.XLOOKUP($B4,rf1_data!$B:$B,rf1_data!AE:AE,"NaN")="","NaN",(_xlfn.XLOOKUP($B4,rf1_data!$B:$B,rf1_data!AE:AE,"NaN")))</f>
        <v>0</v>
      </c>
      <c r="AN4" s="5">
        <f>IF(_xlfn.XLOOKUP($B4,rf1_data!$B:$B,rf1_data!AF:AF,"NaN")="","NaN",(_xlfn.XLOOKUP($B4,rf1_data!$B:$B,rf1_data!AF:AF,"NaN")))</f>
        <v>0</v>
      </c>
      <c r="AO4" s="5" t="str">
        <f>IF(_xlfn.XLOOKUP($B4,rf1_data!$B:$B,rf1_data!AG:AG,"NaN")="","NaN",(_xlfn.XLOOKUP($B4,rf1_data!$B:$B,rf1_data!AG:AG,"NaN")))</f>
        <v>NaN</v>
      </c>
      <c r="AP4" s="5" t="str">
        <f>IF(_xlfn.XLOOKUP($B4,rf1_data!$B:$B,rf1_data!AH:AH,"NaN")="","NaN",(_xlfn.XLOOKUP($B4,rf1_data!$B:$B,rf1_data!AH:AH,"NaN")))</f>
        <v>NaN</v>
      </c>
      <c r="AQ4" s="5" t="str">
        <f>IF(_xlfn.XLOOKUP($B4,rf1_data!$B:$B,rf1_data!AI:AI,"NaN")="","NaN",(_xlfn.XLOOKUP($B4,rf1_data!$B:$B,rf1_data!AI:AI,"NaN")))</f>
        <v>NaN</v>
      </c>
      <c r="AR4" s="5" t="str">
        <f>IF(_xlfn.XLOOKUP($B4,rf1_data!$B:$B,rf1_data!AJ:AJ,"NaN")="","NaN",(_xlfn.XLOOKUP($B4,rf1_data!$B:$B,rf1_data!AJ:AJ,"NaN")))</f>
        <v>NaN</v>
      </c>
      <c r="AS4" s="5">
        <f>IF(_xlfn.XLOOKUP($B4,rf1_data!$B:$B,rf1_data!AK:AK,"NaN")="","NaN",(_xlfn.XLOOKUP($B4,rf1_data!$B:$B,rf1_data!AK:AK,"NaN")))</f>
        <v>3.7</v>
      </c>
      <c r="AT4" s="5">
        <f>IF(_xlfn.XLOOKUP($B4,rf1_data!$B:$B,rf1_data!AL:AL,"NaN")="","NaN",(_xlfn.XLOOKUP($B4,rf1_data!$B:$B,rf1_data!AL:AL,"NaN")))</f>
        <v>24</v>
      </c>
      <c r="AU4" s="5">
        <f>IF(_xlfn.XLOOKUP($B4,rf1_data!$B:$B,rf1_data!AM:AM,"NaN")="","NaN",(_xlfn.XLOOKUP($B4,rf1_data!$B:$B,rf1_data!AM:AM,"NaN")))</f>
        <v>3.17</v>
      </c>
      <c r="AV4" s="5">
        <f>IF(_xlfn.XLOOKUP($B4,rf1_data!$B:$B,rf1_data!AN:AN,"NaN")="","NaN",(_xlfn.XLOOKUP($B4,rf1_data!$B:$B,rf1_data!AN:AN,"NaN")))</f>
        <v>36</v>
      </c>
      <c r="AW4" s="5" t="str">
        <f>IF(_xlfn.XLOOKUP($B4,rf1_data!$B:$B,rf1_data!AO:AO,"NaN")="","NaN",(_xlfn.XLOOKUP($B4,rf1_data!$B:$B,rf1_data!AO:AO,"NaN")))</f>
        <v>NaN</v>
      </c>
      <c r="AX4" s="5">
        <f>IF(_xlfn.XLOOKUP($B4,rf1_data!$B:$B,rf1_data!AP:AP,"NaN")="","NaN",(_xlfn.XLOOKUP($B4,rf1_data!$B:$B,rf1_data!AP:AP,"NaN")))</f>
        <v>9999</v>
      </c>
      <c r="AY4" s="5">
        <f>IF(_xlfn.XLOOKUP($B4,rf1_data!$B:$B,rf1_data!AQ:AQ,"NaN")="","NaN",(_xlfn.XLOOKUP($B4,rf1_data!$B:$B,rf1_data!AQ:AQ,"NaN")))</f>
        <v>209</v>
      </c>
      <c r="AZ4" s="5" t="str">
        <f>IF(_xlfn.XLOOKUP($B4,rf1_data!$B:$B,rf1_data!AR:AR,"NaN")="","NaN",(_xlfn.XLOOKUP($B4,rf1_data!$B:$B,rf1_data!AR:AR,"NaN")))</f>
        <v>NaN</v>
      </c>
      <c r="BA4" s="5" t="str">
        <f>IF(_xlfn.XLOOKUP($B4,rf1_data!$B:$B,rf1_data!AS:AS,"NaN")="","NaN",(_xlfn.XLOOKUP($B4,rf1_data!$B:$B,rf1_data!AS:AS,"NaN")))</f>
        <v>NaN</v>
      </c>
      <c r="BB4" s="5" t="str">
        <f>IF(_xlfn.XLOOKUP($B4,rf1_data!$B:$B,rf1_data!AT:AT,"NaN")="","NaN",(_xlfn.XLOOKUP($B4,rf1_data!$B:$B,rf1_data!AT:AT,"NaN")))</f>
        <v>NaN</v>
      </c>
      <c r="BC4" s="5" t="str">
        <f>IF(_xlfn.XLOOKUP($B4,rf1_data!$B:$B,rf1_data!AU:AU,"NaN")="","NaN",(_xlfn.XLOOKUP($B4,rf1_data!$B:$B,rf1_data!AU:AU,"NaN")))</f>
        <v>NaN</v>
      </c>
      <c r="BD4" s="5" t="str">
        <f>IF(_xlfn.XLOOKUP($B4,rf1_data!$B:$B,rf1_data!AV:AV,"NaN")="","NaN",(_xlfn.XLOOKUP($B4,rf1_data!$B:$B,rf1_data!AV:AV,"NaN")))</f>
        <v>NaN</v>
      </c>
      <c r="BE4" s="5" t="str">
        <f>IF(_xlfn.XLOOKUP($B4,rf1_data!$B:$B,rf1_data!AW:AW,"NaN")="","NaN",(_xlfn.XLOOKUP($B4,rf1_data!$B:$B,rf1_data!AW:AW,"NaN")))</f>
        <v>NaN</v>
      </c>
      <c r="BF4" s="5" t="str">
        <f>IF(_xlfn.XLOOKUP($B4,rf1_data!$B:$B,rf1_data!AX:AX,"NaN")="","NaN",(_xlfn.XLOOKUP($B4,rf1_data!$B:$B,rf1_data!AX:AX,"NaN")))</f>
        <v>NaN</v>
      </c>
      <c r="BG4" s="5" t="str">
        <f>IF(_xlfn.XLOOKUP($B4,rf1_data!$B:$B,rf1_data!AY:AY,"NaN")="","NaN",(_xlfn.XLOOKUP($B4,rf1_data!$B:$B,rf1_data!AY:AY,"NaN")))</f>
        <v>NaN</v>
      </c>
      <c r="BH4" s="5" t="str">
        <f>IF(_xlfn.XLOOKUP($B4,rf1_data!$B:$B,rf1_data!AZ:AZ,"NaN")="","NaN",(_xlfn.XLOOKUP($B4,rf1_data!$B:$B,rf1_data!AZ:AZ,"NaN")))</f>
        <v>NaN</v>
      </c>
      <c r="BI4" s="5">
        <f>IF(_xlfn.XLOOKUP($B4,rf1_data!$B:$B,rf1_data!BA:BA,"NaN")="","NaN",(_xlfn.XLOOKUP($B4,rf1_data!$B:$B,rf1_data!BA:BA,"NaN")))</f>
        <v>20</v>
      </c>
      <c r="BJ4" s="5" t="str">
        <f>IF(_xlfn.XLOOKUP($B4,rf1_data!$B:$B,rf1_data!BB:BB,"NaN")="","NaN",(_xlfn.XLOOKUP($B4,rf1_data!$B:$B,rf1_data!BB:BB,"NaN")))</f>
        <v>NaN</v>
      </c>
      <c r="BK4" s="5">
        <f>IF(_xlfn.XLOOKUP($B4,rf1_data!$B:$B,rf1_data!BC:BC,"NaN")="","NaN",(_xlfn.XLOOKUP($B4,rf1_data!$B:$B,rf1_data!BC:BC,"NaN")))</f>
        <v>20</v>
      </c>
      <c r="BL4" s="5">
        <f>IF(_xlfn.XLOOKUP($B4,rf1_data!$B:$B,rf1_data!BD:BD,"NaN")="","NaN",(_xlfn.XLOOKUP($B4,rf1_data!$B:$B,rf1_data!BD:BD,"NaN")))</f>
        <v>6</v>
      </c>
      <c r="BM4" s="5">
        <f>IF(_xlfn.XLOOKUP($B4,rf1_data!$B:$B,rf1_data!BE:BE,"NaN")="","NaN",(_xlfn.XLOOKUP($B4,rf1_data!$B:$B,rf1_data!BE:BE,"NaN")))</f>
        <v>3</v>
      </c>
      <c r="BN4" s="5">
        <f>IF(_xlfn.XLOOKUP($B4,rf1_data!$B:$B,rf1_data!BF:BF,"NaN")="","NaN",(_xlfn.XLOOKUP($B4,rf1_data!$B:$B,rf1_data!BF:BF,"NaN")))</f>
        <v>7</v>
      </c>
      <c r="BO4" s="5">
        <f>IF(_xlfn.XLOOKUP($B4,rf1_data!$B:$B,rf1_data!BG:BG,"NaN")="","NaN",(_xlfn.XLOOKUP($B4,rf1_data!$B:$B,rf1_data!BG:BG,"NaN")))</f>
        <v>4</v>
      </c>
      <c r="BP4" s="5" t="str">
        <f>IF(_xlfn.XLOOKUP($B4,rf1_data!$B:$B,rf1_data!BH:BH,"NaN")="","NaN",(_xlfn.XLOOKUP($B4,rf1_data!$B:$B,rf1_data!BH:BH,"NaN")))</f>
        <v>NaN</v>
      </c>
      <c r="BQ4" s="5" t="str">
        <f>IF(_xlfn.XLOOKUP($B4,rf1_data!$B:$B,rf1_data!BI:BI,"NaN")="","NaN",(_xlfn.XLOOKUP($B4,rf1_data!$B:$B,rf1_data!BI:BI,"NaN")))</f>
        <v>NaN</v>
      </c>
      <c r="BR4" s="5">
        <f>IF(_xlfn.XLOOKUP($B4,rf1_data!$B:$B,rf1_data!BJ:BJ,"NaN")="","NaN",(_xlfn.XLOOKUP($B4,rf1_data!$B:$B,rf1_data!BJ:BJ,"NaN")))</f>
        <v>8991</v>
      </c>
      <c r="BS4" s="5" t="str">
        <f>IF(_xlfn.XLOOKUP($B4,rf1_data!$B:$B,rf1_data!BK:BK,"NaN")="","NaN",(_xlfn.XLOOKUP($B4,rf1_data!$B:$B,rf1_data!BK:BK,"NaN")))</f>
        <v>NaN</v>
      </c>
      <c r="BT4" s="5" t="str">
        <f>IF(_xlfn.XLOOKUP($B4,rf1_data!$B:$B,rf1_data!BL:BL,"NaN")="","NaN",(_xlfn.XLOOKUP($B4,rf1_data!$B:$B,rf1_data!BL:BL,"NaN")))</f>
        <v>NaN</v>
      </c>
      <c r="BU4" s="5" t="str">
        <f>IF(_xlfn.XLOOKUP($B4,rf1_data!$B:$B,rf1_data!BM:BM,"NaN")="","NaN",(_xlfn.XLOOKUP($B4,rf1_data!$B:$B,rf1_data!BM:BM,"NaN")))</f>
        <v>NaN</v>
      </c>
      <c r="BV4" s="5" t="str">
        <f>IF(_xlfn.XLOOKUP($B4,rf1_data!$B:$B,rf1_data!BN:BN,"NaN")="","NaN",(_xlfn.XLOOKUP($B4,rf1_data!$B:$B,rf1_data!BN:BN,"NaN")))</f>
        <v>NaN</v>
      </c>
      <c r="BW4" s="5">
        <f>IF(_xlfn.XLOOKUP($B4,rf1_data!$B:$B,rf1_data!BO:BO,"NaN")="","NaN",(_xlfn.XLOOKUP($B4,rf1_data!$B:$B,rf1_data!BO:BO,"NaN")))</f>
        <v>2.7</v>
      </c>
      <c r="BX4" s="5">
        <f>IF(_xlfn.XLOOKUP($B4,rf1_data!$B:$B,rf1_data!BP:BP,"NaN")="","NaN",(_xlfn.XLOOKUP($B4,rf1_data!$B:$B,rf1_data!BP:BP,"NaN")))</f>
        <v>2.8</v>
      </c>
      <c r="BY4" s="5">
        <f>IF(_xlfn.XLOOKUP($B4,rf1_data!$B:$B,rf1_data!BQ:BQ,"NaN")="","NaN",(_xlfn.XLOOKUP($B4,rf1_data!$B:$B,rf1_data!BQ:BQ,"NaN")))</f>
        <v>3.2</v>
      </c>
      <c r="BZ4" s="5">
        <f>IF(_xlfn.XLOOKUP($B4,rf1_data!$B:$B,rf1_data!BR:BR,"NaN")="","NaN",(_xlfn.XLOOKUP($B4,rf1_data!$B:$B,rf1_data!BR:BR,"NaN")))</f>
        <v>2.9</v>
      </c>
      <c r="CA4" s="5" t="str">
        <f>IF(_xlfn.XLOOKUP($B4,rf1_data!$B:$B,rf1_data!BS:BS,"NaN")="","NaN",(_xlfn.XLOOKUP($B4,rf1_data!$B:$B,rf1_data!BS:BS,"NaN")))</f>
        <v>NaN</v>
      </c>
      <c r="CB4" s="5" t="str">
        <f>IF(_xlfn.XLOOKUP($B4,rf1_data!$B:$B,rf1_data!BT:BT,"NaN")="","NaN",(_xlfn.XLOOKUP($B4,rf1_data!$B:$B,rf1_data!BT:BT,"NaN")))</f>
        <v>NaN</v>
      </c>
      <c r="CC4" s="5" t="str">
        <f>IF(_xlfn.XLOOKUP($B4,rf1_data!$B:$B,rf1_data!BU:BU,"NaN")="","NaN",(_xlfn.XLOOKUP($B4,rf1_data!$B:$B,rf1_data!BU:BU,"NaN")))</f>
        <v>NaN</v>
      </c>
      <c r="CD4" s="5" t="str">
        <f>IF(_xlfn.XLOOKUP($B4,rf1_data!$B:$B,rf1_data!BV:BV,"NaN")="","NaN",(_xlfn.XLOOKUP($B4,rf1_data!$B:$B,rf1_data!BV:BV,"NaN")))</f>
        <v>NaN</v>
      </c>
      <c r="CE4" s="5">
        <f>IF(_xlfn.XLOOKUP($B4,rf1_data!$B:$B,rf1_data!BW:BW,"NaN")="","NaN",(_xlfn.XLOOKUP($B4,rf1_data!$B:$B,rf1_data!BW:BW,"NaN")))</f>
        <v>2.65</v>
      </c>
      <c r="CF4" s="5">
        <f>IF(_xlfn.XLOOKUP($B4,rf1_data!$B:$B,rf1_data!BX:BX,"NaN")="","NaN",(_xlfn.XLOOKUP($B4,rf1_data!$B:$B,rf1_data!BX:BX,"NaN")))</f>
        <v>1</v>
      </c>
      <c r="CG4" s="5">
        <f>IF(_xlfn.XLOOKUP($B4,rf1_data!$B:$B,rf1_data!BY:BY,"NaN")="","NaN",(_xlfn.XLOOKUP($B4,rf1_data!$B:$B,rf1_data!BY:BY,"NaN")))</f>
        <v>0</v>
      </c>
      <c r="CH4" s="5">
        <f>IF(_xlfn.XLOOKUP($B4,rf1_data!$B:$B,rf1_data!BZ:BZ,"NaN")="","NaN",(_xlfn.XLOOKUP($B4,rf1_data!$B:$B,rf1_data!BZ:BZ,"NaN")))</f>
        <v>17</v>
      </c>
      <c r="CI4" s="5">
        <f>IF(_xlfn.XLOOKUP($B4,rf1_data!$B:$B,rf1_data!CA:CA,"NaN")="","NaN",(_xlfn.XLOOKUP($B4,rf1_data!$B:$B,rf1_data!CA:CA,"NaN")))</f>
        <v>20</v>
      </c>
      <c r="CJ4" s="5">
        <f>IF(_xlfn.XLOOKUP($B4,rf1_data!$B:$B,rf1_data!CB:CB,"NaN")="","NaN",(_xlfn.XLOOKUP($B4,rf1_data!$B:$B,rf1_data!CB:CB,"NaN")))</f>
        <v>5</v>
      </c>
      <c r="CK4" s="5">
        <f>IF(_xlfn.XLOOKUP($B4,rf1_data!$B:$B,rf1_data!CC:CC,"NaN")="","NaN",(_xlfn.XLOOKUP($B4,rf1_data!$B:$B,rf1_data!CC:CC,"NaN")))</f>
        <v>0.71428571428571397</v>
      </c>
      <c r="CL4" s="5">
        <f>IF(_xlfn.XLOOKUP($B4,rf1_data!$B:$B,rf1_data!CD:CD,"NaN")=0,"NaN",(_xlfn.XLOOKUP($B4,rf1_data!$B:$B,rf1_data!CD:CD,"NaN")))</f>
        <v>22</v>
      </c>
      <c r="CM4" s="5">
        <f>IF(_xlfn.XLOOKUP($B4,rf1_data!$B:$B,rf1_data!CE:CE,"NaN")="","NaN",(_xlfn.XLOOKUP($B4,rf1_data!$B:$B,rf1_data!CE:CE,"NaN")))</f>
        <v>38</v>
      </c>
      <c r="CN4" s="5">
        <f>IF(_xlfn.XLOOKUP($B4,rf1_data!$B:$B,rf1_data!CF:CF,"NaN")="","NaN",(_xlfn.XLOOKUP($B4,rf1_data!$B:$B,rf1_data!CF:CF,"NaN")))</f>
        <v>53</v>
      </c>
      <c r="CO4" s="5">
        <f>IF(_xlfn.XLOOKUP($B4,rf1_data!$B:$B,rf1_data!CG:CG,"NaN")="","NaN",(_xlfn.XLOOKUP($B4,rf1_data!$B:$B,rf1_data!CG:CG,"NaN")))</f>
        <v>30</v>
      </c>
      <c r="CP4" s="5">
        <f>IF(_xlfn.XLOOKUP($B4,rf1_data!$B:$B,rf1_data!CH:CH,"NaN")=0,"NaN",(_xlfn.XLOOKUP($B4,rf1_data!$B:$B,rf1_data!CH:CH,"NaN")))</f>
        <v>30</v>
      </c>
      <c r="CQ4" s="5">
        <f>IF(_xlfn.XLOOKUP($B4,rf1_data!$B:$B,rf1_data!CI:CI,"NaN")="","NaN",(_xlfn.XLOOKUP($B4,rf1_data!$B:$B,rf1_data!CI:CI,"NaN")))</f>
        <v>47</v>
      </c>
      <c r="CR4" s="5">
        <f>IF(_xlfn.XLOOKUP($B4,rf1_data!$B:$B,rf1_data!CJ:CJ,"NaN")="","NaN",(_xlfn.XLOOKUP($B4,rf1_data!$B:$B,rf1_data!CJ:CJ,"NaN")))</f>
        <v>58</v>
      </c>
      <c r="CS4" s="5">
        <f>IF(_xlfn.XLOOKUP($B4,rf1_data!$B:$B,rf1_data!CK:CK,"NaN")="","NaN",(_xlfn.XLOOKUP($B4,rf1_data!$B:$B,rf1_data!CK:CK,"NaN")))</f>
        <v>48</v>
      </c>
      <c r="CT4" s="5">
        <f>IF(_xlfn.XLOOKUP($B4,rf1_data!$B:$B,rf1_data!CL:CL,"NaN")="","NaN",(_xlfn.XLOOKUP($B4,rf1_data!$B:$B,rf1_data!CL:CL,"NaN")))</f>
        <v>60</v>
      </c>
      <c r="CU4" s="5">
        <f>IF(_xlfn.XLOOKUP($B4,rf1_data!$B:$B,rf1_data!CM:CM,"NaN")="","NaN",(_xlfn.XLOOKUP($B4,rf1_data!$B:$B,rf1_data!CM:CM,"NaN")))</f>
        <v>41</v>
      </c>
      <c r="CV4" s="5">
        <f>IF(_xlfn.XLOOKUP($B4,rf1_data!$B:$B,rf1_data!CN:CN,"NaN")="","NaN",(_xlfn.XLOOKUP($B4,rf1_data!$B:$B,rf1_data!CN:CN,"NaN")))</f>
        <v>60</v>
      </c>
      <c r="CW4" s="5" t="str">
        <f>IF(_xlfn.XLOOKUP($B4,rf1_data!$B:$B,rf1_data!CO:CO,"NaN")="","NaN",(_xlfn.XLOOKUP($B4,rf1_data!$B:$B,rf1_data!CO:CO,"NaN")))</f>
        <v>NaN</v>
      </c>
      <c r="CX4" s="5" t="str">
        <f>IF(_xlfn.XLOOKUP($B4,rf1_data!$B:$B,rf1_data!CP:CP,"NaN")="","NaN",(_xlfn.XLOOKUP($B4,rf1_data!$B:$B,rf1_data!CP:CP,"NaN")))</f>
        <v>NaN</v>
      </c>
      <c r="CY4" s="5">
        <f>IF(_xlfn.XLOOKUP($B4,rf1_data!$B:$B,rf1_data!CQ:CQ,"NaN")="","NaN",(_xlfn.XLOOKUP($B4,rf1_data!$B:$B,rf1_data!CQ:CQ,"NaN")))</f>
        <v>4</v>
      </c>
      <c r="CZ4" s="5">
        <f>IF(_xlfn.XLOOKUP($B4,rf1_data!$B:$B,rf1_data!CR:CR,"NaN")="","NaN",(_xlfn.XLOOKUP($B4,rf1_data!$B:$B,rf1_data!CR:CR,"NaN")))</f>
        <v>1</v>
      </c>
      <c r="DA4" s="5">
        <f>IF(_xlfn.XLOOKUP($B4,rf1_data!$B:$B,rf1_data!CS:CS,"NaN")="","NaN",(_xlfn.XLOOKUP($B4,rf1_data!$B:$B,rf1_data!CS:CS,"NaN")))</f>
        <v>2</v>
      </c>
      <c r="DB4" s="4">
        <f>IF(_xlfn.XLOOKUP($B4,island_data!$B:$B,island_data!H:H,"NaN")="","NaN",_xlfn.XLOOKUP($B4,island_data!$B:$B,island_data!H:H,"NaN"))</f>
        <v>3</v>
      </c>
      <c r="DC4" s="4">
        <f>IF(_xlfn.XLOOKUP($B4,island_data!$B:$B,island_data!I:I,"NaN")="","NaN",_xlfn.XLOOKUP($B4,island_data!$B:$B,island_data!I:I,"NaN"))</f>
        <v>0</v>
      </c>
      <c r="DD4" s="4">
        <f>IF(_xlfn.XLOOKUP($B4,island_data!$B:$B,island_data!J:J,"NaN")="","NaN",_xlfn.XLOOKUP($B4,island_data!$B:$B,island_data!J:J,"NaN"))</f>
        <v>1</v>
      </c>
      <c r="DE4" s="4">
        <f>IF(_xlfn.XLOOKUP($B4,island_data!$B:$B,island_data!K:K,"NaN")="","NaN",_xlfn.XLOOKUP($B4,island_data!$B:$B,island_data!K:K,"NaN"))</f>
        <v>13</v>
      </c>
      <c r="DF4" s="4">
        <f>IF(_xlfn.XLOOKUP($B4,island_data!$B:$B,island_data!L:L,"NaN")="","NaN",_xlfn.XLOOKUP($B4,island_data!$B:$B,island_data!L:L,"NaN"))</f>
        <v>21</v>
      </c>
      <c r="DG4" s="4">
        <f>IF(_xlfn.XLOOKUP($B4,island_data!$B:$B,island_data!M:M,"NaN")="","NaN",_xlfn.XLOOKUP($B4,island_data!$B:$B,island_data!M:M,"NaN"))</f>
        <v>1.8888888888888999</v>
      </c>
      <c r="DH4" s="4">
        <f>IF(_xlfn.XLOOKUP($B4,island_data!$B:$B,island_data!N:N,"NaN")="","NaN",_xlfn.XLOOKUP($B4,island_data!$B:$B,island_data!N:N,"NaN"))</f>
        <v>8</v>
      </c>
      <c r="DI4" s="4" t="str">
        <f>IF(_xlfn.XLOOKUP($B4,island_data!$B:$B,island_data!O:O,"NaN")=999,"NaN",_xlfn.XLOOKUP($B4,island_data!$B:$B,island_data!O:O,"NaN"))</f>
        <v>NaN</v>
      </c>
      <c r="DJ4" s="4">
        <f>IF(_xlfn.XLOOKUP($B4,island_data!$B:$B,island_data!P:P,"NaN")="","NaN",_xlfn.XLOOKUP($B4,island_data!$B:$B,island_data!P:P,"NaN"))</f>
        <v>5</v>
      </c>
      <c r="DK4" s="4">
        <f>IF(_xlfn.XLOOKUP($B4,island_data!$B:$B,island_data!Q:Q,"NaN")="","NaN",_xlfn.XLOOKUP($B4,island_data!$B:$B,island_data!Q:Q,"NaN"))</f>
        <v>1</v>
      </c>
      <c r="DL4" s="4" t="str">
        <f>IF(_xlfn.XLOOKUP($B4,island_data!$B:$B,island_data!R:R,"NaN")=999,"NaN",_xlfn.XLOOKUP($B4,island_data!$B:$B,island_data!R:R,"NaN"))</f>
        <v>NaN</v>
      </c>
      <c r="DM4" s="4">
        <f>IF(_xlfn.XLOOKUP($B4,island_data!$B:$B,island_data!S:S,"NaN")="","NaN",_xlfn.XLOOKUP($B4,island_data!$B:$B,island_data!S:S,"NaN"))</f>
        <v>8</v>
      </c>
      <c r="DN4" s="4">
        <f>IF(_xlfn.XLOOKUP($B4,island_data!$B:$B,island_data!T:T,"NaN")="","NaN",_xlfn.XLOOKUP($B4,island_data!$B:$B,island_data!T:T,"NaN"))</f>
        <v>4.0833333333333304</v>
      </c>
      <c r="DO4" s="4">
        <f>IF(_xlfn.XLOOKUP($B4,island_data!$B:$B,island_data!U:U,"NaN")="","NaN",_xlfn.XLOOKUP($B4,island_data!$B:$B,island_data!U:U,"NaN"))</f>
        <v>5</v>
      </c>
      <c r="DP4" s="4">
        <f>IF(_xlfn.XLOOKUP($B4,island_data!$B:$B,island_data!V:V,"NaN")="","NaN",_xlfn.XLOOKUP($B4,island_data!$B:$B,island_data!V:V,"NaN"))</f>
        <v>1</v>
      </c>
      <c r="DQ4" s="4">
        <f>IF(_xlfn.XLOOKUP($B4,island_data!$B:$B,island_data!W:W,"NaN")="","NaN",_xlfn.XLOOKUP($B4,island_data!$B:$B,island_data!W:W,"NaN"))</f>
        <v>6</v>
      </c>
      <c r="DR4" s="4">
        <f>IF(_xlfn.XLOOKUP($B4,island_data!$B:$B,island_data!X:X,"NaN")="","NaN",_xlfn.XLOOKUP($B4,island_data!$B:$B,island_data!X:X,"NaN"))</f>
        <v>5</v>
      </c>
      <c r="DS4" s="4" t="str">
        <f>IF(_xlfn.XLOOKUP($B4,island_data!$B:$B,island_data!Y:Y,"NaN")="","NaN",_xlfn.XLOOKUP($B4,island_data!$B:$B,island_data!Y:Y,"NaN"))</f>
        <v>NaN</v>
      </c>
      <c r="DT4" s="4" t="str">
        <f>IF(_xlfn.XLOOKUP($B4,island_data!$B:$B,island_data!Z:Z,"NaN")="","NaN",_xlfn.XLOOKUP($B4,island_data!$B:$B,island_data!Z:Z,"NaN"))</f>
        <v>NaN</v>
      </c>
      <c r="DU4" s="4" t="str">
        <f>IF(_xlfn.XLOOKUP($B4,island_data!$B:$B,island_data!AA:AA,"NaN")="","NaN",_xlfn.XLOOKUP($B4,island_data!$B:$B,island_data!AA:AA,"NaN"))</f>
        <v>NaN</v>
      </c>
      <c r="DV4" s="4" t="str">
        <f>IF(_xlfn.XLOOKUP($B4,island_data!$B:$B,island_data!AB:AB,"NaN")="","NaN",_xlfn.XLOOKUP($B4,island_data!$B:$B,island_data!AB:AB,"NaN"))</f>
        <v>NaN</v>
      </c>
      <c r="DW4" s="4">
        <f>IF(_xlfn.XLOOKUP($B4,island_data!$B:$B,island_data!AC:AC,"NaN")="","NaN",_xlfn.XLOOKUP($B4,island_data!$B:$B,island_data!AC:AC,"NaN"))</f>
        <v>13210</v>
      </c>
      <c r="DX4" s="4">
        <f>IF(_xlfn.XLOOKUP($B4,island_data!$B:$B,island_data!AD:AD,"NaN")="","NaN",_xlfn.XLOOKUP($B4,island_data!$B:$B,island_data!AD:AD,"NaN"))</f>
        <v>6</v>
      </c>
      <c r="DY4" s="4">
        <f>IF(_xlfn.XLOOKUP($B4,island_data!$B:$B,island_data!AE:AE,"NaN")="","NaN",_xlfn.XLOOKUP($B4,island_data!$B:$B,island_data!AE:AE,"NaN"))</f>
        <v>1</v>
      </c>
      <c r="DZ4" s="4" t="str">
        <f>IF(_xlfn.XLOOKUP($B4,island_data!$B:$B,island_data!AF:AF,"NaN")="","NaN",_xlfn.XLOOKUP($B4,island_data!$B:$B,island_data!AF:AF,"NaN"))</f>
        <v>NaN</v>
      </c>
      <c r="EA4" s="4" t="str">
        <f>IF(_xlfn.XLOOKUP($B4,island_data!$B:$B,island_data!AG:AG,"NaN")="","NaN",_xlfn.XLOOKUP($B4,island_data!$B:$B,island_data!AG:AG,"NaN"))</f>
        <v>NaN</v>
      </c>
      <c r="EB4" s="4" t="str">
        <f>IF(_xlfn.XLOOKUP($B4,island_data!$B:$B,island_data!AH:AH,"NaN")="","NaN",_xlfn.XLOOKUP($B4,island_data!$B:$B,island_data!AH:AH,"NaN"))</f>
        <v>NaN</v>
      </c>
      <c r="EC4" s="4" t="str">
        <f>IF(_xlfn.XLOOKUP($B4,island_data!$B:$B,island_data!AI:AI,"NaN")="","NaN",_xlfn.XLOOKUP($B4,island_data!$B:$B,island_data!AI:AI,"NaN"))</f>
        <v>NaN</v>
      </c>
      <c r="ED4" s="4" t="str">
        <f>IF(_xlfn.XLOOKUP($B4,island_data!$B:$B,island_data!AJ:AJ,"NaN")="","NaN",_xlfn.XLOOKUP($B4,island_data!$B:$B,island_data!AJ:AJ,"NaN"))</f>
        <v>NaN</v>
      </c>
      <c r="EE4" s="4" t="str">
        <f>IF(_xlfn.XLOOKUP($B4,island_data!$B:$B,island_data!AK:AK,"NaN")="","NaN",_xlfn.XLOOKUP($B4,island_data!$B:$B,island_data!AK:AK,"NaN"))</f>
        <v>NaN</v>
      </c>
      <c r="EF4" s="4" t="str">
        <f>IF(_xlfn.XLOOKUP($B4,island_data!$B:$B,island_data!AL:AL,"NaN")="","NaN",_xlfn.XLOOKUP($B4,island_data!$B:$B,island_data!AL:AL,"NaN"))</f>
        <v>NaN</v>
      </c>
      <c r="EG4" s="4" t="str">
        <f>IF(_xlfn.XLOOKUP($B4,island_data!$B:$B,island_data!AM:AM,"NaN")="","NaN",_xlfn.XLOOKUP($B4,island_data!$B:$B,island_data!AM:AM,"NaN"))</f>
        <v>NaN</v>
      </c>
      <c r="EH4" s="4" t="str">
        <f>IF(_xlfn.XLOOKUP($B4,island_data!$B:$B,island_data!AN:AN,"NaN")="","NaN",_xlfn.XLOOKUP($B4,island_data!$B:$B,island_data!AN:AN,"NaN"))</f>
        <v>NaN</v>
      </c>
      <c r="EI4" s="4" t="str">
        <f>IF(_xlfn.XLOOKUP($B4,island_data!$B:$B,island_data!AO:AO,"NaN")="","NaN",_xlfn.XLOOKUP($B4,island_data!$B:$B,island_data!AO:AO,"NaN"))</f>
        <v>NaN</v>
      </c>
      <c r="EJ4" s="8" t="str">
        <f>IF(_xlfn.XLOOKUP($A4,TabCAT!$A:$A,TabCAT!AU:AU,"NaN")="","NaN",(_xlfn.XLOOKUP($A4,TabCAT!$A:$A,TabCAT!AU:AU,"NaN")))</f>
        <v>NaN</v>
      </c>
      <c r="EK4" s="8" t="str">
        <f>IF(_xlfn.XLOOKUP($A4,TabCAT!$A:$A,TabCAT!AV:AV,"NaN")="","NaN",(_xlfn.XLOOKUP($A4,TabCAT!$A:$A,TabCAT!AV:AV,"NaN")))</f>
        <v>NaN</v>
      </c>
      <c r="EL4" s="8" t="str">
        <f>IF(_xlfn.XLOOKUP($A4,TabCAT!$A:$A,TabCAT!AW:AW,"NaN")="","NaN",(_xlfn.XLOOKUP($A4,TabCAT!$A:$A,TabCAT!AW:AW,"NaN")))</f>
        <v>NaN</v>
      </c>
      <c r="EM4" s="8" t="str">
        <f>IF(_xlfn.XLOOKUP($A4,TabCAT!$A:$A,TabCAT!AX:AX,"NaN")="","NaN",(_xlfn.XLOOKUP($A4,TabCAT!$A:$A,TabCAT!AX:AX,"NaN")))</f>
        <v>NaN</v>
      </c>
      <c r="EN4" s="8" t="str">
        <f>IF(_xlfn.XLOOKUP($A4,TabCAT!$A:$A,TabCAT!AY:AY,"NaN")="","NaN",(_xlfn.XLOOKUP($A4,TabCAT!$A:$A,TabCAT!AY:AY,"NaN")))</f>
        <v>NaN</v>
      </c>
      <c r="EO4" s="8" t="str">
        <f>IF(_xlfn.XLOOKUP($A4,TabCAT!$A:$A,TabCAT!AZ:AZ,"NaN")="","NaN",(_xlfn.XLOOKUP($A4,TabCAT!$A:$A,TabCAT!AZ:AZ,"NaN")))</f>
        <v>NaN</v>
      </c>
      <c r="EP4" s="8" t="str">
        <f>IF(_xlfn.XLOOKUP($A4,TabCAT!$A:$A,TabCAT!BA:BA,"NaN")="","NaN",(_xlfn.XLOOKUP($A4,TabCAT!$A:$A,TabCAT!BA:BA,"NaN")))</f>
        <v>NaN</v>
      </c>
      <c r="EQ4" s="8" t="str">
        <f>IF(_xlfn.XLOOKUP($A4,TabCAT!$A:$A,TabCAT!BB:BB,"NaN")="","NaN",(_xlfn.XLOOKUP($A4,TabCAT!$A:$A,TabCAT!BB:BB,"NaN")))</f>
        <v>NaN</v>
      </c>
      <c r="ER4" s="8" t="str">
        <f>IF(_xlfn.XLOOKUP($A4,TabCAT!$A:$A,TabCAT!BC:BC,"NaN")="","NaN",(_xlfn.XLOOKUP($A4,TabCAT!$A:$A,TabCAT!BC:BC,"NaN")))</f>
        <v>NaN</v>
      </c>
      <c r="ES4" s="8" t="str">
        <f>IF(_xlfn.XLOOKUP($A4,TabCAT!$A:$A,TabCAT!BD:BD,"NaN")="","NaN",(_xlfn.XLOOKUP($A4,TabCAT!$A:$A,TabCAT!BD:BD,"NaN")))</f>
        <v>NaN</v>
      </c>
      <c r="ET4" s="8" t="str">
        <f>IF(_xlfn.XLOOKUP($A4,TabCAT!$A:$A,TabCAT!BE:BE,"NaN")="","NaN",(_xlfn.XLOOKUP($A4,TabCAT!$A:$A,TabCAT!BE:BE,"NaN")))</f>
        <v>NaN</v>
      </c>
      <c r="EU4" s="8" t="str">
        <f>IF(_xlfn.XLOOKUP($A4,TabCAT!$A:$A,TabCAT!BF:BF,"NaN")="","NaN",(_xlfn.XLOOKUP($A4,TabCAT!$A:$A,TabCAT!BF:BF,"NaN")))</f>
        <v>NaN</v>
      </c>
      <c r="EV4" s="8" t="str">
        <f>IF(_xlfn.XLOOKUP($A4,TabCAT!$A:$A,TabCAT!BG:BG,"NaN")="","NaN",(_xlfn.XLOOKUP($A4,TabCAT!$A:$A,TabCAT!BG:BG,"NaN")))</f>
        <v>NaN</v>
      </c>
      <c r="EW4" s="8" t="str">
        <f>IF(_xlfn.XLOOKUP($A4,TabCAT!$A:$A,TabCAT!BH:BH,"NaN")="","NaN",(_xlfn.XLOOKUP($A4,TabCAT!$A:$A,TabCAT!BH:BH,"NaN")))</f>
        <v>NaN</v>
      </c>
      <c r="EX4" s="8" t="str">
        <f>IF(_xlfn.XLOOKUP($A4,TabCAT!$A:$A,TabCAT!BI:BI,"NaN")="","NaN",(_xlfn.XLOOKUP($A4,TabCAT!$A:$A,TabCAT!BI:BI,"NaN")))</f>
        <v>NaN</v>
      </c>
      <c r="EY4" s="8" t="str">
        <f>IF(_xlfn.XLOOKUP($A4,TabCAT!$A:$A,TabCAT!BJ:BJ,"NaN")="","NaN",(_xlfn.XLOOKUP($A4,TabCAT!$A:$A,TabCAT!BJ:BJ,"NaN")))</f>
        <v>NaN</v>
      </c>
      <c r="EZ4" s="8" t="str">
        <f>IF(_xlfn.XLOOKUP($A4,TabCAT!$A:$A,TabCAT!BK:BK,"NaN")="","NaN",(_xlfn.XLOOKUP($A4,TabCAT!$A:$A,TabCAT!BK:BK,"NaN")))</f>
        <v>NaN</v>
      </c>
      <c r="FA4" s="8" t="str">
        <f>IF(_xlfn.XLOOKUP($A4,TabCAT!$A:$A,TabCAT!BL:BL,"NaN")="","NaN",(_xlfn.XLOOKUP($A4,TabCAT!$A:$A,TabCAT!BL:BL,"NaN")))</f>
        <v>NaN</v>
      </c>
      <c r="FB4" s="8" t="str">
        <f>IF(_xlfn.XLOOKUP($A4,TabCAT!$A:$A,TabCAT!BM:BM,"NaN")="","NaN",(_xlfn.XLOOKUP($A4,TabCAT!$A:$A,TabCAT!BM:BM,"NaN")))</f>
        <v>NaN</v>
      </c>
      <c r="FC4" s="8" t="str">
        <f>IF(_xlfn.XLOOKUP($A4,TabCAT!$A:$A,TabCAT!BN:BN,"NaN")="","NaN",(_xlfn.XLOOKUP($A4,TabCAT!$A:$A,TabCAT!BN:BN,"NaN")))</f>
        <v>NaN</v>
      </c>
      <c r="FD4" s="8" t="str">
        <f>IF(_xlfn.XLOOKUP($A4,TabCAT!$A:$A,TabCAT!BO:BO,"NaN")="","NaN",(_xlfn.XLOOKUP($A4,TabCAT!$A:$A,TabCAT!BO:BO,"NaN")))</f>
        <v>NaN</v>
      </c>
      <c r="FE4" s="8" t="str">
        <f>IF(_xlfn.XLOOKUP($A4,TabCAT!$A:$A,TabCAT!BP:BP,"NaN")="","NaN",(_xlfn.XLOOKUP($A4,TabCAT!$A:$A,TabCAT!BP:BP,"NaN")))</f>
        <v>NaN</v>
      </c>
      <c r="FF4" s="8" t="str">
        <f>IF(_xlfn.XLOOKUP($A4,TabCAT!$A:$A,TabCAT!BQ:BQ,"NaN")="","NaN",(_xlfn.XLOOKUP($A4,TabCAT!$A:$A,TabCAT!BQ:BQ,"NaN")))</f>
        <v>NaN</v>
      </c>
      <c r="FG4" s="8" t="str">
        <f>IF(_xlfn.XLOOKUP($A4,TabCAT!$A:$A,TabCAT!BR:BR,"NaN")="","NaN",(_xlfn.XLOOKUP($A4,TabCAT!$A:$A,TabCAT!BR:BR,"NaN")))</f>
        <v>NaN</v>
      </c>
      <c r="FH4" s="8" t="str">
        <f>IF(_xlfn.XLOOKUP($A4,TabCAT!$A:$A,TabCAT!BS:BS,"NaN")="","NaN",(_xlfn.XLOOKUP($A4,TabCAT!$A:$A,TabCAT!BS:BS,"NaN")))</f>
        <v>NaN</v>
      </c>
      <c r="FI4" s="8" t="str">
        <f>IF(_xlfn.XLOOKUP($A4,TabCAT!$A:$A,TabCAT!BT:BT,"NaN")="","NaN",(_xlfn.XLOOKUP($A4,TabCAT!$A:$A,TabCAT!BT:BT,"NaN")))</f>
        <v>NaN</v>
      </c>
      <c r="FJ4" s="8" t="str">
        <f>IF(_xlfn.XLOOKUP($A4,TabCAT!$A:$A,TabCAT!BU:BU,"NaN")="","NaN",(_xlfn.XLOOKUP($A4,TabCAT!$A:$A,TabCAT!BU:BU,"NaN")))</f>
        <v>NaN</v>
      </c>
      <c r="FK4" s="8" t="str">
        <f>IF(_xlfn.XLOOKUP($A4,TabCAT!$A:$A,TabCAT!BV:BV,"NaN")="","NaN",(_xlfn.XLOOKUP($A4,TabCAT!$A:$A,TabCAT!BV:BV,"NaN")))</f>
        <v>NaN</v>
      </c>
      <c r="FL4" s="8" t="str">
        <f>IF(_xlfn.XLOOKUP($A4,TabCAT!$A:$A,TabCAT!BW:BW,"NaN")="","NaN",(_xlfn.XLOOKUP($A4,TabCAT!$A:$A,TabCAT!BW:BW,"NaN")))</f>
        <v>NaN</v>
      </c>
      <c r="FM4" s="8" t="str">
        <f>IF(_xlfn.XLOOKUP($A4,TabCAT!$A:$A,TabCAT!BX:BX,"NaN")="","NaN",(_xlfn.XLOOKUP($A4,TabCAT!$A:$A,TabCAT!BX:BX,"NaN")))</f>
        <v>NaN</v>
      </c>
      <c r="FN4" s="8" t="str">
        <f>IF(_xlfn.XLOOKUP($A4,TabCAT!$A:$A,TabCAT!BY:BY,"NaN")="","NaN",(_xlfn.XLOOKUP($A4,TabCAT!$A:$A,TabCAT!BY:BY,"NaN")))</f>
        <v>NaN</v>
      </c>
      <c r="FO4" s="8" t="str">
        <f>IF(_xlfn.XLOOKUP($A4,TabCAT!$A:$A,TabCAT!BZ:BZ,"NaN")="","NaN",(_xlfn.XLOOKUP($A4,TabCAT!$A:$A,TabCAT!BZ:BZ,"NaN")))</f>
        <v>NaN</v>
      </c>
      <c r="FP4" s="8" t="str">
        <f>IF(_xlfn.XLOOKUP($A4,TabCAT!$A:$A,TabCAT!CA:CA,"NaN")="","NaN",(_xlfn.XLOOKUP($A4,TabCAT!$A:$A,TabCAT!CA:CA,"NaN")))</f>
        <v>NaN</v>
      </c>
      <c r="FQ4" s="8" t="str">
        <f>IF(_xlfn.XLOOKUP($A4,TabCAT!$A:$A,TabCAT!CB:CB,"NaN")="","NaN",(_xlfn.XLOOKUP($A4,TabCAT!$A:$A,TabCAT!CB:CB,"NaN")))</f>
        <v>NaN</v>
      </c>
      <c r="FR4" s="8" t="str">
        <f>IF(_xlfn.XLOOKUP($A4,TabCAT!$A:$A,TabCAT!CC:CC,"NaN")="","NaN",(_xlfn.XLOOKUP($A4,TabCAT!$A:$A,TabCAT!CC:CC,"NaN")))</f>
        <v>NaN</v>
      </c>
      <c r="FS4" s="8" t="str">
        <f>IF(_xlfn.XLOOKUP($A4,TabCAT!$A:$A,TabCAT!CD:CD,"NaN")="","NaN",(_xlfn.XLOOKUP($A4,TabCAT!$A:$A,TabCAT!CD:CD,"NaN")))</f>
        <v>NaN</v>
      </c>
      <c r="FT4" s="8" t="str">
        <f>IF(_xlfn.XLOOKUP($A4,TabCAT!$A:$A,TabCAT!CE:CE,"NaN")="","NaN",(_xlfn.XLOOKUP($A4,TabCAT!$A:$A,TabCAT!CE:CE,"NaN")))</f>
        <v>NaN</v>
      </c>
      <c r="FU4" s="8" t="str">
        <f>IF(_xlfn.XLOOKUP($A4,TabCAT!$A:$A,TabCAT!CF:CF,"NaN")="","NaN",(_xlfn.XLOOKUP($A4,TabCAT!$A:$A,TabCAT!CF:CF,"NaN")))</f>
        <v>NaN</v>
      </c>
      <c r="FV4" s="8" t="str">
        <f>IF(_xlfn.XLOOKUP($A4,TabCAT!$A:$A,TabCAT!CG:CG,"NaN")="","NaN",(_xlfn.XLOOKUP($A4,TabCAT!$A:$A,TabCAT!CG:CG,"NaN")))</f>
        <v>NaN</v>
      </c>
      <c r="FW4" s="8" t="str">
        <f>IF(_xlfn.XLOOKUP($A4,TabCAT!$A:$A,TabCAT!CH:CH,"NaN")="","NaN",(_xlfn.XLOOKUP($A4,TabCAT!$A:$A,TabCAT!CH:CH,"NaN")))</f>
        <v>NaN</v>
      </c>
      <c r="FX4" s="8" t="str">
        <f>IF(_xlfn.XLOOKUP($A4,TabCAT!$A:$A,TabCAT!CI:CI,"NaN")="","NaN",(_xlfn.XLOOKUP($A4,TabCAT!$A:$A,TabCAT!CI:CI,"NaN")))</f>
        <v>NaN</v>
      </c>
      <c r="FY4" s="8" t="str">
        <f>IF(_xlfn.XLOOKUP($A4,TabCAT!$A:$A,TabCAT!CJ:CJ,"NaN")="","NaN",(_xlfn.XLOOKUP($A4,TabCAT!$A:$A,TabCAT!CJ:CJ,"NaN")))</f>
        <v>NaN</v>
      </c>
      <c r="FZ4" s="8" t="str">
        <f>IF(_xlfn.XLOOKUP($A4,TabCAT!$A:$A,TabCAT!CK:CK,"NaN")="","NaN",(_xlfn.XLOOKUP($A4,TabCAT!$A:$A,TabCAT!CK:CK,"NaN")))</f>
        <v>NaN</v>
      </c>
      <c r="GA4" s="8" t="str">
        <f>IF(_xlfn.XLOOKUP($A4,TabCAT!$A:$A,TabCAT!CL:CL,"NaN")="","NaN",(_xlfn.XLOOKUP($A4,TabCAT!$A:$A,TabCAT!CL:CL,"NaN")))</f>
        <v>NaN</v>
      </c>
      <c r="GB4" s="8" t="str">
        <f>IF(_xlfn.XLOOKUP($A4,TabCAT!$A:$A,TabCAT!CM:CM,"NaN")="","NaN",(_xlfn.XLOOKUP($A4,TabCAT!$A:$A,TabCAT!CM:CM,"NaN")))</f>
        <v>NaN</v>
      </c>
      <c r="GC4" s="8" t="str">
        <f>IF(_xlfn.XLOOKUP($A4,TabCAT!$A:$A,TabCAT!CN:CN,"NaN")="","NaN",(_xlfn.XLOOKUP($A4,TabCAT!$A:$A,TabCAT!CN:CN,"NaN")))</f>
        <v>NaN</v>
      </c>
      <c r="GD4" s="8" t="str">
        <f>IF(_xlfn.XLOOKUP($A4,TabCAT!$A:$A,TabCAT!CO:CO,"NaN")="","NaN",(_xlfn.XLOOKUP($A4,TabCAT!$A:$A,TabCAT!CO:CO,"NaN")))</f>
        <v>NaN</v>
      </c>
      <c r="GE4" s="8" t="str">
        <f>IF(_xlfn.XLOOKUP($A4,TabCAT!$A:$A,TabCAT!CP:CP,"NaN")="","NaN",(_xlfn.XLOOKUP($A4,TabCAT!$A:$A,TabCAT!CP:CP,"NaN")))</f>
        <v>NaN</v>
      </c>
      <c r="GF4" s="8" t="str">
        <f>IF(_xlfn.XLOOKUP($A4,TabCAT!$A:$A,TabCAT!CQ:CQ,"NaN")="","NaN",(_xlfn.XLOOKUP($A4,TabCAT!$A:$A,TabCAT!CQ:CQ,"NaN")))</f>
        <v>NaN</v>
      </c>
      <c r="GG4" s="8" t="str">
        <f>IF(_xlfn.XLOOKUP($A4,TabCAT!$A:$A,TabCAT!CR:CR,"NaN")="","NaN",(_xlfn.XLOOKUP($A4,TabCAT!$A:$A,TabCAT!CR:CR,"NaN")))</f>
        <v>NaN</v>
      </c>
      <c r="GH4" s="8" t="str">
        <f>IF(_xlfn.XLOOKUP($A4,TabCAT!$A:$A,TabCAT!CS:CS,"NaN")="","NaN",(_xlfn.XLOOKUP($A4,TabCAT!$A:$A,TabCAT!CS:CS,"NaN")))</f>
        <v>NaN</v>
      </c>
    </row>
    <row r="5" spans="1:190" x14ac:dyDescent="0.2">
      <c r="A5">
        <v>10402</v>
      </c>
      <c r="B5">
        <f>_xlfn.XLOOKUP(bippity_poppity_boo!A5,rf1_data!A:A,rf1_data!B:B)</f>
        <v>20286</v>
      </c>
      <c r="C5" s="2">
        <f>(_xlfn.XLOOKUP($A5,trust!$A:$A,trust!B:B,"NaN"))</f>
        <v>3.714286</v>
      </c>
      <c r="D5" s="2">
        <f>(_xlfn.XLOOKUP($A5,trust!$A:$A,trust!C:C,"NaN"))</f>
        <v>3.1666669999999999</v>
      </c>
      <c r="E5" s="2">
        <f>(_xlfn.XLOOKUP($A5,trust!$A:$A,trust!D:D,"NaN"))</f>
        <v>4.1538459999999997</v>
      </c>
      <c r="F5" s="2">
        <f>(_xlfn.XLOOKUP($A5,trust!$A:$A,trust!E:E,"NaN"))</f>
        <v>4.8571429999999998</v>
      </c>
      <c r="G5" s="2">
        <f>(_xlfn.XLOOKUP($A5,trust!$A:$A,trust!F:F,"NaN"))</f>
        <v>4</v>
      </c>
      <c r="H5" s="2">
        <f>(_xlfn.XLOOKUP($A5,trust!$A:$A,trust!G:G,"NaN"))</f>
        <v>5.3846150000000002</v>
      </c>
      <c r="I5" s="3">
        <f>IF(_xlfn.XLOOKUP($B5,island_data!$B:$B,island_data!C:C,"NaN")="","NaN",_xlfn.XLOOKUP($B5,island_data!$B:$B,island_data!C:C,"NaN"))</f>
        <v>45105</v>
      </c>
      <c r="J5" s="3">
        <f>IF(_xlfn.XLOOKUP($B5,island_data!$B:$B,island_data!D:D,"NaN")="","NaN",_xlfn.XLOOKUP($B5,island_data!$B:$B,island_data!D:D,"NaN"))</f>
        <v>31748</v>
      </c>
      <c r="K5" s="4">
        <f>IF(_xlfn.XLOOKUP($B5,island_data!$B:$B,island_data!E:E,"NaN")="","NaN",_xlfn.XLOOKUP($B5,island_data!$B:$B,island_data!E:E,"NaN"))</f>
        <v>36.57</v>
      </c>
      <c r="L5" s="5">
        <f>IF(_xlfn.XLOOKUP($B5,rf1_data!$B:$B,rf1_data!D:D,"NaN")="","NaN",(_xlfn.XLOOKUP($B5,rf1_data!$B:$B,rf1_data!D:D,"NaN")))</f>
        <v>35.94</v>
      </c>
      <c r="M5" s="5" t="str">
        <f>IF(_xlfn.XLOOKUP($B5,rf1_data!$B:$B,rf1_data!E:E,"NaN")="","NaN",(_xlfn.XLOOKUP($B5,rf1_data!$B:$B,rf1_data!E:E,"NaN")))</f>
        <v>Black or African American</v>
      </c>
      <c r="N5" s="5" t="str">
        <f>IF(_xlfn.XLOOKUP($B5,rf1_data!$B:$B,rf1_data!F:F,"NaN")="","NaN",(_xlfn.XLOOKUP($B5,rf1_data!$B:$B,rf1_data!F:F,"NaN")))</f>
        <v>Not Hispanic or Latino</v>
      </c>
      <c r="O5" s="5" t="str">
        <f>IF(_xlfn.XLOOKUP($B5,rf1_data!$B:$B,rf1_data!G:G,"NaN")="","NaN",(_xlfn.XLOOKUP($B5,rf1_data!$B:$B,rf1_data!G:G,"NaN")))</f>
        <v>Male</v>
      </c>
      <c r="P5" s="5">
        <f>IF(_xlfn.XLOOKUP($B5,rf1_data!$B:$B,rf1_data!H:H,"NaN")="","NaN",(_xlfn.XLOOKUP($B5,rf1_data!$B:$B,rf1_data!H:H,"NaN")))</f>
        <v>3.56</v>
      </c>
      <c r="Q5" s="5">
        <f>IF(_xlfn.XLOOKUP($B5,rf1_data!$B:$B,rf1_data!I:I,"NaN")="","NaN",(_xlfn.XLOOKUP($B5,rf1_data!$B:$B,rf1_data!I:I,"NaN")))</f>
        <v>2.67</v>
      </c>
      <c r="R5" s="5">
        <f>IF(_xlfn.XLOOKUP($B5,rf1_data!$B:$B,rf1_data!J:J,"NaN")="","NaN",(_xlfn.XLOOKUP($B5,rf1_data!$B:$B,rf1_data!J:J,"NaN")))</f>
        <v>4</v>
      </c>
      <c r="S5" s="5">
        <f>IF(_xlfn.XLOOKUP($B5,rf1_data!$B:$B,rf1_data!K:K,"NaN")="","NaN",(_xlfn.XLOOKUP($B5,rf1_data!$B:$B,rf1_data!K:K,"NaN")))</f>
        <v>6</v>
      </c>
      <c r="T5" s="5">
        <f>IF(_xlfn.XLOOKUP($B5,rf1_data!$B:$B,rf1_data!L:L,"NaN")="","NaN",(_xlfn.XLOOKUP($B5,rf1_data!$B:$B,rf1_data!L:L,"NaN")))</f>
        <v>0</v>
      </c>
      <c r="U5" s="5" t="str">
        <f>IF(_xlfn.XLOOKUP($B5,rf1_data!$B:$B,rf1_data!M:M,"NaN")="","NaN",(_xlfn.XLOOKUP($B5,rf1_data!$B:$B,rf1_data!M:M,"NaN")))</f>
        <v>NaN</v>
      </c>
      <c r="V5" s="5" t="str">
        <f>IF(_xlfn.XLOOKUP($B5,rf1_data!$B:$B,rf1_data!N:N,"NaN")="","NaN",(_xlfn.XLOOKUP($B5,rf1_data!$B:$B,rf1_data!N:N,"NaN")))</f>
        <v>NaN</v>
      </c>
      <c r="W5" s="5" t="str">
        <f>IF(_xlfn.XLOOKUP($B5,rf1_data!$B:$B,rf1_data!O:O,"NaN")="","NaN",(_xlfn.XLOOKUP($B5,rf1_data!$B:$B,rf1_data!O:O,"NaN")))</f>
        <v>NaN</v>
      </c>
      <c r="X5" s="5" t="str">
        <f>IF(_xlfn.XLOOKUP($B5,rf1_data!$B:$B,rf1_data!P:P,"NaN")="","NaN",(_xlfn.XLOOKUP($B5,rf1_data!$B:$B,rf1_data!P:P,"NaN")))</f>
        <v>NaN</v>
      </c>
      <c r="Y5" s="5" t="str">
        <f>IF(_xlfn.XLOOKUP($B5,rf1_data!$B:$B,rf1_data!Q:Q,"NaN")="","NaN",(_xlfn.XLOOKUP($B5,rf1_data!$B:$B,rf1_data!Q:Q,"NaN")))</f>
        <v>NaN</v>
      </c>
      <c r="Z5" s="5">
        <f>IF(_xlfn.XLOOKUP($B5,rf1_data!$B:$B,rf1_data!R:R,"NaN")="","NaN",(_xlfn.XLOOKUP($B5,rf1_data!$B:$B,rf1_data!R:R,"NaN")))</f>
        <v>10</v>
      </c>
      <c r="AA5" s="5">
        <f>IF(_xlfn.XLOOKUP($B5,rf1_data!$B:$B,rf1_data!S:S,"NaN")="","NaN",(_xlfn.XLOOKUP($B5,rf1_data!$B:$B,rf1_data!S:S,"NaN")))</f>
        <v>0</v>
      </c>
      <c r="AB5" s="5">
        <f>IF(_xlfn.XLOOKUP($B5,rf1_data!$B:$B,rf1_data!T:T,"NaN")="","NaN",(_xlfn.XLOOKUP($B5,rf1_data!$B:$B,rf1_data!T:T,"NaN")))</f>
        <v>8</v>
      </c>
      <c r="AC5" s="5">
        <f>IF(_xlfn.XLOOKUP($B5,rf1_data!$B:$B,rf1_data!U:U,"NaN")="","NaN",(_xlfn.XLOOKUP($B5,rf1_data!$B:$B,rf1_data!U:U,"NaN")))</f>
        <v>0</v>
      </c>
      <c r="AD5" s="5">
        <f>IF(_xlfn.XLOOKUP($B5,rf1_data!$B:$B,rf1_data!V:V,"NaN")="","NaN",(_xlfn.XLOOKUP($B5,rf1_data!$B:$B,rf1_data!V:V,"NaN")))</f>
        <v>2</v>
      </c>
      <c r="AE5" s="5">
        <f>IF(_xlfn.XLOOKUP($B5,rf1_data!$B:$B,rf1_data!W:W,"NaN")="","NaN",(_xlfn.XLOOKUP($B5,rf1_data!$B:$B,rf1_data!W:W,"NaN")))</f>
        <v>5</v>
      </c>
      <c r="AF5" s="5">
        <f>IF(_xlfn.XLOOKUP($B5,rf1_data!$B:$B,rf1_data!X:X,"NaN")="","NaN",(_xlfn.XLOOKUP($B5,rf1_data!$B:$B,rf1_data!X:X,"NaN")))</f>
        <v>6</v>
      </c>
      <c r="AG5" s="5">
        <f>IF(_xlfn.XLOOKUP($B5,rf1_data!$B:$B,rf1_data!Y:Y,"NaN")="","NaN",(_xlfn.XLOOKUP($B5,rf1_data!$B:$B,rf1_data!Y:Y,"NaN")))</f>
        <v>8</v>
      </c>
      <c r="AH5" s="5">
        <f>IF(_xlfn.XLOOKUP($B5,rf1_data!$B:$B,rf1_data!Z:Z,"NaN")="","NaN",(_xlfn.XLOOKUP($B5,rf1_data!$B:$B,rf1_data!Z:Z,"NaN")))</f>
        <v>4</v>
      </c>
      <c r="AI5" s="5">
        <f>IF(_xlfn.XLOOKUP($B5,rf1_data!$B:$B,rf1_data!AA:AA,"NaN")="","NaN",(_xlfn.XLOOKUP($B5,rf1_data!$B:$B,rf1_data!AA:AA,"NaN")))</f>
        <v>3</v>
      </c>
      <c r="AJ5" s="5">
        <f>IF(_xlfn.XLOOKUP($B5,rf1_data!$B:$B,rf1_data!AB:AB,"NaN")="","NaN",(_xlfn.XLOOKUP($B5,rf1_data!$B:$B,rf1_data!AB:AB,"NaN")))</f>
        <v>26</v>
      </c>
      <c r="AK5" s="5">
        <f>IF(_xlfn.XLOOKUP($B5,rf1_data!$B:$B,rf1_data!AC:AC,"NaN")="","NaN",(_xlfn.XLOOKUP($B5,rf1_data!$B:$B,rf1_data!AC:AC,"NaN")))</f>
        <v>22</v>
      </c>
      <c r="AL5" s="5">
        <f>IF(_xlfn.XLOOKUP($B5,rf1_data!$B:$B,rf1_data!AD:AD,"NaN")="","NaN",(_xlfn.XLOOKUP($B5,rf1_data!$B:$B,rf1_data!AD:AD,"NaN")))</f>
        <v>14</v>
      </c>
      <c r="AM5" s="5">
        <f>IF(_xlfn.XLOOKUP($B5,rf1_data!$B:$B,rf1_data!AE:AE,"NaN")="","NaN",(_xlfn.XLOOKUP($B5,rf1_data!$B:$B,rf1_data!AE:AE,"NaN")))</f>
        <v>1</v>
      </c>
      <c r="AN5" s="5">
        <f>IF(_xlfn.XLOOKUP($B5,rf1_data!$B:$B,rf1_data!AF:AF,"NaN")="","NaN",(_xlfn.XLOOKUP($B5,rf1_data!$B:$B,rf1_data!AF:AF,"NaN")))</f>
        <v>0</v>
      </c>
      <c r="AO5" s="5" t="str">
        <f>IF(_xlfn.XLOOKUP($B5,rf1_data!$B:$B,rf1_data!AG:AG,"NaN")="","NaN",(_xlfn.XLOOKUP($B5,rf1_data!$B:$B,rf1_data!AG:AG,"NaN")))</f>
        <v>NaN</v>
      </c>
      <c r="AP5" s="5" t="str">
        <f>IF(_xlfn.XLOOKUP($B5,rf1_data!$B:$B,rf1_data!AH:AH,"NaN")="","NaN",(_xlfn.XLOOKUP($B5,rf1_data!$B:$B,rf1_data!AH:AH,"NaN")))</f>
        <v>NaN</v>
      </c>
      <c r="AQ5" s="5" t="str">
        <f>IF(_xlfn.XLOOKUP($B5,rf1_data!$B:$B,rf1_data!AI:AI,"NaN")="","NaN",(_xlfn.XLOOKUP($B5,rf1_data!$B:$B,rf1_data!AI:AI,"NaN")))</f>
        <v>NaN</v>
      </c>
      <c r="AR5" s="5" t="str">
        <f>IF(_xlfn.XLOOKUP($B5,rf1_data!$B:$B,rf1_data!AJ:AJ,"NaN")="","NaN",(_xlfn.XLOOKUP($B5,rf1_data!$B:$B,rf1_data!AJ:AJ,"NaN")))</f>
        <v>NaN</v>
      </c>
      <c r="AS5" s="5">
        <f>IF(_xlfn.XLOOKUP($B5,rf1_data!$B:$B,rf1_data!AK:AK,"NaN")="","NaN",(_xlfn.XLOOKUP($B5,rf1_data!$B:$B,rf1_data!AK:AK,"NaN")))</f>
        <v>2.8</v>
      </c>
      <c r="AT5" s="5">
        <f>IF(_xlfn.XLOOKUP($B5,rf1_data!$B:$B,rf1_data!AL:AL,"NaN")="","NaN",(_xlfn.XLOOKUP($B5,rf1_data!$B:$B,rf1_data!AL:AL,"NaN")))</f>
        <v>22</v>
      </c>
      <c r="AU5" s="5">
        <f>IF(_xlfn.XLOOKUP($B5,rf1_data!$B:$B,rf1_data!AM:AM,"NaN")="","NaN",(_xlfn.XLOOKUP($B5,rf1_data!$B:$B,rf1_data!AM:AM,"NaN")))</f>
        <v>4.42</v>
      </c>
      <c r="AV5" s="5">
        <f>IF(_xlfn.XLOOKUP($B5,rf1_data!$B:$B,rf1_data!AN:AN,"NaN")="","NaN",(_xlfn.XLOOKUP($B5,rf1_data!$B:$B,rf1_data!AN:AN,"NaN")))</f>
        <v>2</v>
      </c>
      <c r="AW5" s="5" t="str">
        <f>IF(_xlfn.XLOOKUP($B5,rf1_data!$B:$B,rf1_data!AO:AO,"NaN")="","NaN",(_xlfn.XLOOKUP($B5,rf1_data!$B:$B,rf1_data!AO:AO,"NaN")))</f>
        <v>NaN</v>
      </c>
      <c r="AX5" s="5">
        <f>IF(_xlfn.XLOOKUP($B5,rf1_data!$B:$B,rf1_data!AP:AP,"NaN")="","NaN",(_xlfn.XLOOKUP($B5,rf1_data!$B:$B,rf1_data!AP:AP,"NaN")))</f>
        <v>3.71</v>
      </c>
      <c r="AY5" s="5">
        <f>IF(_xlfn.XLOOKUP($B5,rf1_data!$B:$B,rf1_data!AQ:AQ,"NaN")="","NaN",(_xlfn.XLOOKUP($B5,rf1_data!$B:$B,rf1_data!AQ:AQ,"NaN")))</f>
        <v>104</v>
      </c>
      <c r="AZ5" s="5" t="str">
        <f>IF(_xlfn.XLOOKUP($B5,rf1_data!$B:$B,rf1_data!AR:AR,"NaN")="","NaN",(_xlfn.XLOOKUP($B5,rf1_data!$B:$B,rf1_data!AR:AR,"NaN")))</f>
        <v>NaN</v>
      </c>
      <c r="BA5" s="5" t="str">
        <f>IF(_xlfn.XLOOKUP($B5,rf1_data!$B:$B,rf1_data!AS:AS,"NaN")="","NaN",(_xlfn.XLOOKUP($B5,rf1_data!$B:$B,rf1_data!AS:AS,"NaN")))</f>
        <v>NaN</v>
      </c>
      <c r="BB5" s="5" t="str">
        <f>IF(_xlfn.XLOOKUP($B5,rf1_data!$B:$B,rf1_data!AT:AT,"NaN")="","NaN",(_xlfn.XLOOKUP($B5,rf1_data!$B:$B,rf1_data!AT:AT,"NaN")))</f>
        <v>NaN</v>
      </c>
      <c r="BC5" s="5" t="str">
        <f>IF(_xlfn.XLOOKUP($B5,rf1_data!$B:$B,rf1_data!AU:AU,"NaN")="","NaN",(_xlfn.XLOOKUP($B5,rf1_data!$B:$B,rf1_data!AU:AU,"NaN")))</f>
        <v>NaN</v>
      </c>
      <c r="BD5" s="5" t="str">
        <f>IF(_xlfn.XLOOKUP($B5,rf1_data!$B:$B,rf1_data!AV:AV,"NaN")="","NaN",(_xlfn.XLOOKUP($B5,rf1_data!$B:$B,rf1_data!AV:AV,"NaN")))</f>
        <v>NaN</v>
      </c>
      <c r="BE5" s="5" t="str">
        <f>IF(_xlfn.XLOOKUP($B5,rf1_data!$B:$B,rf1_data!AW:AW,"NaN")="","NaN",(_xlfn.XLOOKUP($B5,rf1_data!$B:$B,rf1_data!AW:AW,"NaN")))</f>
        <v>NaN</v>
      </c>
      <c r="BF5" s="5" t="str">
        <f>IF(_xlfn.XLOOKUP($B5,rf1_data!$B:$B,rf1_data!AX:AX,"NaN")="","NaN",(_xlfn.XLOOKUP($B5,rf1_data!$B:$B,rf1_data!AX:AX,"NaN")))</f>
        <v>NaN</v>
      </c>
      <c r="BG5" s="5" t="str">
        <f>IF(_xlfn.XLOOKUP($B5,rf1_data!$B:$B,rf1_data!AY:AY,"NaN")="","NaN",(_xlfn.XLOOKUP($B5,rf1_data!$B:$B,rf1_data!AY:AY,"NaN")))</f>
        <v>NaN</v>
      </c>
      <c r="BH5" s="5" t="str">
        <f>IF(_xlfn.XLOOKUP($B5,rf1_data!$B:$B,rf1_data!AZ:AZ,"NaN")="","NaN",(_xlfn.XLOOKUP($B5,rf1_data!$B:$B,rf1_data!AZ:AZ,"NaN")))</f>
        <v>NaN</v>
      </c>
      <c r="BI5" s="5">
        <f>IF(_xlfn.XLOOKUP($B5,rf1_data!$B:$B,rf1_data!BA:BA,"NaN")="","NaN",(_xlfn.XLOOKUP($B5,rf1_data!$B:$B,rf1_data!BA:BA,"NaN")))</f>
        <v>20</v>
      </c>
      <c r="BJ5" s="5" t="str">
        <f>IF(_xlfn.XLOOKUP($B5,rf1_data!$B:$B,rf1_data!BB:BB,"NaN")="","NaN",(_xlfn.XLOOKUP($B5,rf1_data!$B:$B,rf1_data!BB:BB,"NaN")))</f>
        <v>NaN</v>
      </c>
      <c r="BK5" s="5" t="str">
        <f>IF(_xlfn.XLOOKUP($B5,rf1_data!$B:$B,rf1_data!BC:BC,"NaN")="","NaN",(_xlfn.XLOOKUP($B5,rf1_data!$B:$B,rf1_data!BC:BC,"NaN")))</f>
        <v>NaN</v>
      </c>
      <c r="BL5" s="5" t="str">
        <f>IF(_xlfn.XLOOKUP($B5,rf1_data!$B:$B,rf1_data!BD:BD,"NaN")="","NaN",(_xlfn.XLOOKUP($B5,rf1_data!$B:$B,rf1_data!BD:BD,"NaN")))</f>
        <v>NaN</v>
      </c>
      <c r="BM5" s="5" t="str">
        <f>IF(_xlfn.XLOOKUP($B5,rf1_data!$B:$B,rf1_data!BE:BE,"NaN")="","NaN",(_xlfn.XLOOKUP($B5,rf1_data!$B:$B,rf1_data!BE:BE,"NaN")))</f>
        <v>NaN</v>
      </c>
      <c r="BN5" s="5" t="str">
        <f>IF(_xlfn.XLOOKUP($B5,rf1_data!$B:$B,rf1_data!BF:BF,"NaN")="","NaN",(_xlfn.XLOOKUP($B5,rf1_data!$B:$B,rf1_data!BF:BF,"NaN")))</f>
        <v>NaN</v>
      </c>
      <c r="BO5" s="5" t="str">
        <f>IF(_xlfn.XLOOKUP($B5,rf1_data!$B:$B,rf1_data!BG:BG,"NaN")="","NaN",(_xlfn.XLOOKUP($B5,rf1_data!$B:$B,rf1_data!BG:BG,"NaN")))</f>
        <v>NaN</v>
      </c>
      <c r="BP5" s="5" t="str">
        <f>IF(_xlfn.XLOOKUP($B5,rf1_data!$B:$B,rf1_data!BH:BH,"NaN")="","NaN",(_xlfn.XLOOKUP($B5,rf1_data!$B:$B,rf1_data!BH:BH,"NaN")))</f>
        <v>NaN</v>
      </c>
      <c r="BQ5" s="5" t="str">
        <f>IF(_xlfn.XLOOKUP($B5,rf1_data!$B:$B,rf1_data!BI:BI,"NaN")="","NaN",(_xlfn.XLOOKUP($B5,rf1_data!$B:$B,rf1_data!BI:BI,"NaN")))</f>
        <v>NaN</v>
      </c>
      <c r="BR5" s="5">
        <f>IF(_xlfn.XLOOKUP($B5,rf1_data!$B:$B,rf1_data!BJ:BJ,"NaN")="","NaN",(_xlfn.XLOOKUP($B5,rf1_data!$B:$B,rf1_data!BJ:BJ,"NaN")))</f>
        <v>8991</v>
      </c>
      <c r="BS5" s="5" t="str">
        <f>IF(_xlfn.XLOOKUP($B5,rf1_data!$B:$B,rf1_data!BK:BK,"NaN")="","NaN",(_xlfn.XLOOKUP($B5,rf1_data!$B:$B,rf1_data!BK:BK,"NaN")))</f>
        <v>NaN</v>
      </c>
      <c r="BT5" s="5" t="str">
        <f>IF(_xlfn.XLOOKUP($B5,rf1_data!$B:$B,rf1_data!BL:BL,"NaN")="","NaN",(_xlfn.XLOOKUP($B5,rf1_data!$B:$B,rf1_data!BL:BL,"NaN")))</f>
        <v>NaN</v>
      </c>
      <c r="BU5" s="5" t="str">
        <f>IF(_xlfn.XLOOKUP($B5,rf1_data!$B:$B,rf1_data!BM:BM,"NaN")="","NaN",(_xlfn.XLOOKUP($B5,rf1_data!$B:$B,rf1_data!BM:BM,"NaN")))</f>
        <v>NaN</v>
      </c>
      <c r="BV5" s="5" t="str">
        <f>IF(_xlfn.XLOOKUP($B5,rf1_data!$B:$B,rf1_data!BN:BN,"NaN")="","NaN",(_xlfn.XLOOKUP($B5,rf1_data!$B:$B,rf1_data!BN:BN,"NaN")))</f>
        <v>NaN</v>
      </c>
      <c r="BW5" s="5">
        <f>IF(_xlfn.XLOOKUP($B5,rf1_data!$B:$B,rf1_data!BO:BO,"NaN")="","NaN",(_xlfn.XLOOKUP($B5,rf1_data!$B:$B,rf1_data!BO:BO,"NaN")))</f>
        <v>3.1</v>
      </c>
      <c r="BX5" s="5">
        <f>IF(_xlfn.XLOOKUP($B5,rf1_data!$B:$B,rf1_data!BP:BP,"NaN")="","NaN",(_xlfn.XLOOKUP($B5,rf1_data!$B:$B,rf1_data!BP:BP,"NaN")))</f>
        <v>4</v>
      </c>
      <c r="BY5" s="5">
        <f>IF(_xlfn.XLOOKUP($B5,rf1_data!$B:$B,rf1_data!BQ:BQ,"NaN")="","NaN",(_xlfn.XLOOKUP($B5,rf1_data!$B:$B,rf1_data!BQ:BQ,"NaN")))</f>
        <v>3.5</v>
      </c>
      <c r="BZ5" s="5">
        <f>IF(_xlfn.XLOOKUP($B5,rf1_data!$B:$B,rf1_data!BR:BR,"NaN")="","NaN",(_xlfn.XLOOKUP($B5,rf1_data!$B:$B,rf1_data!BR:BR,"NaN")))</f>
        <v>3.53</v>
      </c>
      <c r="CA5" s="5">
        <f>IF(_xlfn.XLOOKUP($B5,rf1_data!$B:$B,rf1_data!BS:BS,"NaN")="","NaN",(_xlfn.XLOOKUP($B5,rf1_data!$B:$B,rf1_data!BS:BS,"NaN")))</f>
        <v>6</v>
      </c>
      <c r="CB5" s="5">
        <f>IF(_xlfn.XLOOKUP($B5,rf1_data!$B:$B,rf1_data!BT:BT,"NaN")="","NaN",(_xlfn.XLOOKUP($B5,rf1_data!$B:$B,rf1_data!BT:BT,"NaN")))</f>
        <v>5.1666666666666599</v>
      </c>
      <c r="CC5" s="5">
        <f>IF(_xlfn.XLOOKUP($B5,rf1_data!$B:$B,rf1_data!BU:BU,"NaN")="","NaN",(_xlfn.XLOOKUP($B5,rf1_data!$B:$B,rf1_data!BU:BU,"NaN")))</f>
        <v>6</v>
      </c>
      <c r="CD5" s="5">
        <f>IF(_xlfn.XLOOKUP($B5,rf1_data!$B:$B,rf1_data!BV:BV,"NaN")="","NaN",(_xlfn.XLOOKUP($B5,rf1_data!$B:$B,rf1_data!BV:BV,"NaN")))</f>
        <v>6</v>
      </c>
      <c r="CE5" s="5">
        <f>IF(_xlfn.XLOOKUP($B5,rf1_data!$B:$B,rf1_data!BW:BW,"NaN")="","NaN",(_xlfn.XLOOKUP($B5,rf1_data!$B:$B,rf1_data!BW:BW,"NaN")))</f>
        <v>2.0499999999999998</v>
      </c>
      <c r="CF5" s="5">
        <f>IF(_xlfn.XLOOKUP($B5,rf1_data!$B:$B,rf1_data!BX:BX,"NaN")="","NaN",(_xlfn.XLOOKUP($B5,rf1_data!$B:$B,rf1_data!BX:BX,"NaN")))</f>
        <v>2</v>
      </c>
      <c r="CG5" s="5">
        <f>IF(_xlfn.XLOOKUP($B5,rf1_data!$B:$B,rf1_data!BY:BY,"NaN")="","NaN",(_xlfn.XLOOKUP($B5,rf1_data!$B:$B,rf1_data!BY:BY,"NaN")))</f>
        <v>0</v>
      </c>
      <c r="CH5" s="5">
        <f>IF(_xlfn.XLOOKUP($B5,rf1_data!$B:$B,rf1_data!BZ:BZ,"NaN")="","NaN",(_xlfn.XLOOKUP($B5,rf1_data!$B:$B,rf1_data!BZ:BZ,"NaN")))</f>
        <v>28</v>
      </c>
      <c r="CI5" s="5">
        <f>IF(_xlfn.XLOOKUP($B5,rf1_data!$B:$B,rf1_data!CA:CA,"NaN")="","NaN",(_xlfn.XLOOKUP($B5,rf1_data!$B:$B,rf1_data!CA:CA,"NaN")))</f>
        <v>18</v>
      </c>
      <c r="CJ5" s="5">
        <f>IF(_xlfn.XLOOKUP($B5,rf1_data!$B:$B,rf1_data!CB:CB,"NaN")="","NaN",(_xlfn.XLOOKUP($B5,rf1_data!$B:$B,rf1_data!CB:CB,"NaN")))</f>
        <v>10</v>
      </c>
      <c r="CK5" s="5">
        <f>IF(_xlfn.XLOOKUP($B5,rf1_data!$B:$B,rf1_data!CC:CC,"NaN")="","NaN",(_xlfn.XLOOKUP($B5,rf1_data!$B:$B,rf1_data!CC:CC,"NaN")))</f>
        <v>1</v>
      </c>
      <c r="CL5" s="5">
        <f>IF(_xlfn.XLOOKUP($B5,rf1_data!$B:$B,rf1_data!CD:CD,"NaN")=0,"NaN",(_xlfn.XLOOKUP($B5,rf1_data!$B:$B,rf1_data!CD:CD,"NaN")))</f>
        <v>38</v>
      </c>
      <c r="CM5" s="5">
        <f>IF(_xlfn.XLOOKUP($B5,rf1_data!$B:$B,rf1_data!CE:CE,"NaN")="","NaN",(_xlfn.XLOOKUP($B5,rf1_data!$B:$B,rf1_data!CE:CE,"NaN")))</f>
        <v>31</v>
      </c>
      <c r="CN5" s="5">
        <f>IF(_xlfn.XLOOKUP($B5,rf1_data!$B:$B,rf1_data!CF:CF,"NaN")="","NaN",(_xlfn.XLOOKUP($B5,rf1_data!$B:$B,rf1_data!CF:CF,"NaN")))</f>
        <v>41</v>
      </c>
      <c r="CO5" s="5">
        <f>IF(_xlfn.XLOOKUP($B5,rf1_data!$B:$B,rf1_data!CG:CG,"NaN")="","NaN",(_xlfn.XLOOKUP($B5,rf1_data!$B:$B,rf1_data!CG:CG,"NaN")))</f>
        <v>19</v>
      </c>
      <c r="CP5" s="5">
        <f>IF(_xlfn.XLOOKUP($B5,rf1_data!$B:$B,rf1_data!CH:CH,"NaN")=0,"NaN",(_xlfn.XLOOKUP($B5,rf1_data!$B:$B,rf1_data!CH:CH,"NaN")))</f>
        <v>35</v>
      </c>
      <c r="CQ5" s="5">
        <f>IF(_xlfn.XLOOKUP($B5,rf1_data!$B:$B,rf1_data!CI:CI,"NaN")="","NaN",(_xlfn.XLOOKUP($B5,rf1_data!$B:$B,rf1_data!CI:CI,"NaN")))</f>
        <v>44</v>
      </c>
      <c r="CR5" s="5">
        <f>IF(_xlfn.XLOOKUP($B5,rf1_data!$B:$B,rf1_data!CJ:CJ,"NaN")="","NaN",(_xlfn.XLOOKUP($B5,rf1_data!$B:$B,rf1_data!CJ:CJ,"NaN")))</f>
        <v>60</v>
      </c>
      <c r="CS5" s="5">
        <f>IF(_xlfn.XLOOKUP($B5,rf1_data!$B:$B,rf1_data!CK:CK,"NaN")="","NaN",(_xlfn.XLOOKUP($B5,rf1_data!$B:$B,rf1_data!CK:CK,"NaN")))</f>
        <v>36</v>
      </c>
      <c r="CT5" s="5">
        <f>IF(_xlfn.XLOOKUP($B5,rf1_data!$B:$B,rf1_data!CL:CL,"NaN")="","NaN",(_xlfn.XLOOKUP($B5,rf1_data!$B:$B,rf1_data!CL:CL,"NaN")))</f>
        <v>60</v>
      </c>
      <c r="CU5" s="5">
        <f>IF(_xlfn.XLOOKUP($B5,rf1_data!$B:$B,rf1_data!CM:CM,"NaN")="","NaN",(_xlfn.XLOOKUP($B5,rf1_data!$B:$B,rf1_data!CM:CM,"NaN")))</f>
        <v>41</v>
      </c>
      <c r="CV5" s="5">
        <f>IF(_xlfn.XLOOKUP($B5,rf1_data!$B:$B,rf1_data!CN:CN,"NaN")="","NaN",(_xlfn.XLOOKUP($B5,rf1_data!$B:$B,rf1_data!CN:CN,"NaN")))</f>
        <v>60</v>
      </c>
      <c r="CW5" s="5" t="str">
        <f>IF(_xlfn.XLOOKUP($B5,rf1_data!$B:$B,rf1_data!CO:CO,"NaN")="","NaN",(_xlfn.XLOOKUP($B5,rf1_data!$B:$B,rf1_data!CO:CO,"NaN")))</f>
        <v>NaN</v>
      </c>
      <c r="CX5" s="5" t="str">
        <f>IF(_xlfn.XLOOKUP($B5,rf1_data!$B:$B,rf1_data!CP:CP,"NaN")="","NaN",(_xlfn.XLOOKUP($B5,rf1_data!$B:$B,rf1_data!CP:CP,"NaN")))</f>
        <v>NaN</v>
      </c>
      <c r="CY5" s="5">
        <f>IF(_xlfn.XLOOKUP($B5,rf1_data!$B:$B,rf1_data!CQ:CQ,"NaN")="","NaN",(_xlfn.XLOOKUP($B5,rf1_data!$B:$B,rf1_data!CQ:CQ,"NaN")))</f>
        <v>4</v>
      </c>
      <c r="CZ5" s="5">
        <f>IF(_xlfn.XLOOKUP($B5,rf1_data!$B:$B,rf1_data!CR:CR,"NaN")="","NaN",(_xlfn.XLOOKUP($B5,rf1_data!$B:$B,rf1_data!CR:CR,"NaN")))</f>
        <v>5</v>
      </c>
      <c r="DA5" s="5">
        <f>IF(_xlfn.XLOOKUP($B5,rf1_data!$B:$B,rf1_data!CS:CS,"NaN")="","NaN",(_xlfn.XLOOKUP($B5,rf1_data!$B:$B,rf1_data!CS:CS,"NaN")))</f>
        <v>2</v>
      </c>
      <c r="DB5" s="4">
        <f>IF(_xlfn.XLOOKUP($B5,island_data!$B:$B,island_data!H:H,"NaN")="","NaN",_xlfn.XLOOKUP($B5,island_data!$B:$B,island_data!H:H,"NaN"))</f>
        <v>3</v>
      </c>
      <c r="DC5" s="4">
        <f>IF(_xlfn.XLOOKUP($B5,island_data!$B:$B,island_data!I:I,"NaN")="","NaN",_xlfn.XLOOKUP($B5,island_data!$B:$B,island_data!I:I,"NaN"))</f>
        <v>2</v>
      </c>
      <c r="DD5" s="4">
        <f>IF(_xlfn.XLOOKUP($B5,island_data!$B:$B,island_data!J:J,"NaN")="","NaN",_xlfn.XLOOKUP($B5,island_data!$B:$B,island_data!J:J,"NaN"))</f>
        <v>2</v>
      </c>
      <c r="DE5" s="4" t="str">
        <f>IF(_xlfn.XLOOKUP($B5,island_data!$B:$B,island_data!K:K,"NaN")="","NaN",_xlfn.XLOOKUP($B5,island_data!$B:$B,island_data!K:K,"NaN"))</f>
        <v>NaN</v>
      </c>
      <c r="DF5" s="4">
        <f>IF(_xlfn.XLOOKUP($B5,island_data!$B:$B,island_data!L:L,"NaN")="","NaN",_xlfn.XLOOKUP($B5,island_data!$B:$B,island_data!L:L,"NaN"))</f>
        <v>28</v>
      </c>
      <c r="DG5" s="4">
        <f>IF(_xlfn.XLOOKUP($B5,island_data!$B:$B,island_data!M:M,"NaN")="","NaN",_xlfn.XLOOKUP($B5,island_data!$B:$B,island_data!M:M,"NaN"))</f>
        <v>2</v>
      </c>
      <c r="DH5" s="4">
        <f>IF(_xlfn.XLOOKUP($B5,island_data!$B:$B,island_data!N:N,"NaN")="","NaN",_xlfn.XLOOKUP($B5,island_data!$B:$B,island_data!N:N,"NaN"))</f>
        <v>3</v>
      </c>
      <c r="DI5" s="4" t="str">
        <f>IF(_xlfn.XLOOKUP($B5,island_data!$B:$B,island_data!O:O,"NaN")=999,"NaN",_xlfn.XLOOKUP($B5,island_data!$B:$B,island_data!O:O,"NaN"))</f>
        <v>NaN</v>
      </c>
      <c r="DJ5" s="4">
        <f>IF(_xlfn.XLOOKUP($B5,island_data!$B:$B,island_data!P:P,"NaN")="","NaN",_xlfn.XLOOKUP($B5,island_data!$B:$B,island_data!P:P,"NaN"))</f>
        <v>8</v>
      </c>
      <c r="DK5" s="4">
        <f>IF(_xlfn.XLOOKUP($B5,island_data!$B:$B,island_data!Q:Q,"NaN")="","NaN",_xlfn.XLOOKUP($B5,island_data!$B:$B,island_data!Q:Q,"NaN"))</f>
        <v>0</v>
      </c>
      <c r="DL5" s="4" t="str">
        <f>IF(_xlfn.XLOOKUP($B5,island_data!$B:$B,island_data!R:R,"NaN")=999,"NaN",_xlfn.XLOOKUP($B5,island_data!$B:$B,island_data!R:R,"NaN"))</f>
        <v>NaN</v>
      </c>
      <c r="DM5" s="4">
        <f>IF(_xlfn.XLOOKUP($B5,island_data!$B:$B,island_data!S:S,"NaN")="","NaN",_xlfn.XLOOKUP($B5,island_data!$B:$B,island_data!S:S,"NaN"))</f>
        <v>7</v>
      </c>
      <c r="DN5" s="4">
        <f>IF(_xlfn.XLOOKUP($B5,island_data!$B:$B,island_data!T:T,"NaN")="","NaN",_xlfn.XLOOKUP($B5,island_data!$B:$B,island_data!T:T,"NaN"))</f>
        <v>3.25</v>
      </c>
      <c r="DO5" s="4">
        <f>IF(_xlfn.XLOOKUP($B5,island_data!$B:$B,island_data!U:U,"NaN")="","NaN",_xlfn.XLOOKUP($B5,island_data!$B:$B,island_data!U:U,"NaN"))</f>
        <v>4</v>
      </c>
      <c r="DP5" s="4">
        <f>IF(_xlfn.XLOOKUP($B5,island_data!$B:$B,island_data!V:V,"NaN")="","NaN",_xlfn.XLOOKUP($B5,island_data!$B:$B,island_data!V:V,"NaN"))</f>
        <v>1</v>
      </c>
      <c r="DQ5" s="4">
        <f>IF(_xlfn.XLOOKUP($B5,island_data!$B:$B,island_data!W:W,"NaN")="","NaN",_xlfn.XLOOKUP($B5,island_data!$B:$B,island_data!W:W,"NaN"))</f>
        <v>3</v>
      </c>
      <c r="DR5" s="4">
        <f>IF(_xlfn.XLOOKUP($B5,island_data!$B:$B,island_data!X:X,"NaN")="","NaN",_xlfn.XLOOKUP($B5,island_data!$B:$B,island_data!X:X,"NaN"))</f>
        <v>4</v>
      </c>
      <c r="DS5" s="4" t="str">
        <f>IF(_xlfn.XLOOKUP($B5,island_data!$B:$B,island_data!Y:Y,"NaN")="","NaN",_xlfn.XLOOKUP($B5,island_data!$B:$B,island_data!Y:Y,"NaN"))</f>
        <v>NaN</v>
      </c>
      <c r="DT5" s="4" t="str">
        <f>IF(_xlfn.XLOOKUP($B5,island_data!$B:$B,island_data!Z:Z,"NaN")="","NaN",_xlfn.XLOOKUP($B5,island_data!$B:$B,island_data!Z:Z,"NaN"))</f>
        <v>NaN</v>
      </c>
      <c r="DU5" s="4" t="str">
        <f>IF(_xlfn.XLOOKUP($B5,island_data!$B:$B,island_data!AA:AA,"NaN")="","NaN",_xlfn.XLOOKUP($B5,island_data!$B:$B,island_data!AA:AA,"NaN"))</f>
        <v>NaN</v>
      </c>
      <c r="DV5" s="4" t="str">
        <f>IF(_xlfn.XLOOKUP($B5,island_data!$B:$B,island_data!AB:AB,"NaN")="","NaN",_xlfn.XLOOKUP($B5,island_data!$B:$B,island_data!AB:AB,"NaN"))</f>
        <v>NaN</v>
      </c>
      <c r="DW5" s="4">
        <f>IF(_xlfn.XLOOKUP($B5,island_data!$B:$B,island_data!AC:AC,"NaN")="","NaN",_xlfn.XLOOKUP($B5,island_data!$B:$B,island_data!AC:AC,"NaN"))</f>
        <v>8081</v>
      </c>
      <c r="DX5" s="4">
        <f>IF(_xlfn.XLOOKUP($B5,island_data!$B:$B,island_data!AD:AD,"NaN")="","NaN",_xlfn.XLOOKUP($B5,island_data!$B:$B,island_data!AD:AD,"NaN"))</f>
        <v>3</v>
      </c>
      <c r="DY5" s="4">
        <f>IF(_xlfn.XLOOKUP($B5,island_data!$B:$B,island_data!AE:AE,"NaN")="","NaN",_xlfn.XLOOKUP($B5,island_data!$B:$B,island_data!AE:AE,"NaN"))</f>
        <v>1</v>
      </c>
      <c r="DZ5" s="4" t="str">
        <f>IF(_xlfn.XLOOKUP($B5,island_data!$B:$B,island_data!AF:AF,"NaN")="","NaN",_xlfn.XLOOKUP($B5,island_data!$B:$B,island_data!AF:AF,"NaN"))</f>
        <v>NaN</v>
      </c>
      <c r="EA5" s="4" t="str">
        <f>IF(_xlfn.XLOOKUP($B5,island_data!$B:$B,island_data!AG:AG,"NaN")="","NaN",_xlfn.XLOOKUP($B5,island_data!$B:$B,island_data!AG:AG,"NaN"))</f>
        <v>NaN</v>
      </c>
      <c r="EB5" s="4" t="str">
        <f>IF(_xlfn.XLOOKUP($B5,island_data!$B:$B,island_data!AH:AH,"NaN")="","NaN",_xlfn.XLOOKUP($B5,island_data!$B:$B,island_data!AH:AH,"NaN"))</f>
        <v>NaN</v>
      </c>
      <c r="EC5" s="4" t="str">
        <f>IF(_xlfn.XLOOKUP($B5,island_data!$B:$B,island_data!AI:AI,"NaN")="","NaN",_xlfn.XLOOKUP($B5,island_data!$B:$B,island_data!AI:AI,"NaN"))</f>
        <v>NaN</v>
      </c>
      <c r="ED5" s="4" t="str">
        <f>IF(_xlfn.XLOOKUP($B5,island_data!$B:$B,island_data!AJ:AJ,"NaN")="","NaN",_xlfn.XLOOKUP($B5,island_data!$B:$B,island_data!AJ:AJ,"NaN"))</f>
        <v>NaN</v>
      </c>
      <c r="EE5" s="4" t="str">
        <f>IF(_xlfn.XLOOKUP($B5,island_data!$B:$B,island_data!AK:AK,"NaN")="","NaN",_xlfn.XLOOKUP($B5,island_data!$B:$B,island_data!AK:AK,"NaN"))</f>
        <v>NaN</v>
      </c>
      <c r="EF5" s="4" t="str">
        <f>IF(_xlfn.XLOOKUP($B5,island_data!$B:$B,island_data!AL:AL,"NaN")="","NaN",_xlfn.XLOOKUP($B5,island_data!$B:$B,island_data!AL:AL,"NaN"))</f>
        <v>NaN</v>
      </c>
      <c r="EG5" s="4" t="str">
        <f>IF(_xlfn.XLOOKUP($B5,island_data!$B:$B,island_data!AM:AM,"NaN")="","NaN",_xlfn.XLOOKUP($B5,island_data!$B:$B,island_data!AM:AM,"NaN"))</f>
        <v>NaN</v>
      </c>
      <c r="EH5" s="4" t="str">
        <f>IF(_xlfn.XLOOKUP($B5,island_data!$B:$B,island_data!AN:AN,"NaN")="","NaN",_xlfn.XLOOKUP($B5,island_data!$B:$B,island_data!AN:AN,"NaN"))</f>
        <v>NaN</v>
      </c>
      <c r="EI5" s="4" t="str">
        <f>IF(_xlfn.XLOOKUP($B5,island_data!$B:$B,island_data!AO:AO,"NaN")="","NaN",_xlfn.XLOOKUP($B5,island_data!$B:$B,island_data!AO:AO,"NaN"))</f>
        <v>NaN</v>
      </c>
      <c r="EJ5" s="8" t="str">
        <f>IF(_xlfn.XLOOKUP($A5,TabCAT!$A:$A,TabCAT!AU:AU,"NaN")="","NaN",(_xlfn.XLOOKUP($A5,TabCAT!$A:$A,TabCAT!AU:AU,"NaN")))</f>
        <v>NaN</v>
      </c>
      <c r="EK5" s="8" t="str">
        <f>IF(_xlfn.XLOOKUP($A5,TabCAT!$A:$A,TabCAT!AV:AV,"NaN")="","NaN",(_xlfn.XLOOKUP($A5,TabCAT!$A:$A,TabCAT!AV:AV,"NaN")))</f>
        <v>NaN</v>
      </c>
      <c r="EL5" s="8" t="str">
        <f>IF(_xlfn.XLOOKUP($A5,TabCAT!$A:$A,TabCAT!AW:AW,"NaN")="","NaN",(_xlfn.XLOOKUP($A5,TabCAT!$A:$A,TabCAT!AW:AW,"NaN")))</f>
        <v>NaN</v>
      </c>
      <c r="EM5" s="8" t="str">
        <f>IF(_xlfn.XLOOKUP($A5,TabCAT!$A:$A,TabCAT!AX:AX,"NaN")="","NaN",(_xlfn.XLOOKUP($A5,TabCAT!$A:$A,TabCAT!AX:AX,"NaN")))</f>
        <v>NaN</v>
      </c>
      <c r="EN5" s="8" t="str">
        <f>IF(_xlfn.XLOOKUP($A5,TabCAT!$A:$A,TabCAT!AY:AY,"NaN")="","NaN",(_xlfn.XLOOKUP($A5,TabCAT!$A:$A,TabCAT!AY:AY,"NaN")))</f>
        <v>NaN</v>
      </c>
      <c r="EO5" s="8" t="str">
        <f>IF(_xlfn.XLOOKUP($A5,TabCAT!$A:$A,TabCAT!AZ:AZ,"NaN")="","NaN",(_xlfn.XLOOKUP($A5,TabCAT!$A:$A,TabCAT!AZ:AZ,"NaN")))</f>
        <v>NaN</v>
      </c>
      <c r="EP5" s="8" t="str">
        <f>IF(_xlfn.XLOOKUP($A5,TabCAT!$A:$A,TabCAT!BA:BA,"NaN")="","NaN",(_xlfn.XLOOKUP($A5,TabCAT!$A:$A,TabCAT!BA:BA,"NaN")))</f>
        <v>NaN</v>
      </c>
      <c r="EQ5" s="8" t="str">
        <f>IF(_xlfn.XLOOKUP($A5,TabCAT!$A:$A,TabCAT!BB:BB,"NaN")="","NaN",(_xlfn.XLOOKUP($A5,TabCAT!$A:$A,TabCAT!BB:BB,"NaN")))</f>
        <v>NaN</v>
      </c>
      <c r="ER5" s="8" t="str">
        <f>IF(_xlfn.XLOOKUP($A5,TabCAT!$A:$A,TabCAT!BC:BC,"NaN")="","NaN",(_xlfn.XLOOKUP($A5,TabCAT!$A:$A,TabCAT!BC:BC,"NaN")))</f>
        <v>NaN</v>
      </c>
      <c r="ES5" s="8" t="str">
        <f>IF(_xlfn.XLOOKUP($A5,TabCAT!$A:$A,TabCAT!BD:BD,"NaN")="","NaN",(_xlfn.XLOOKUP($A5,TabCAT!$A:$A,TabCAT!BD:BD,"NaN")))</f>
        <v>NaN</v>
      </c>
      <c r="ET5" s="8" t="str">
        <f>IF(_xlfn.XLOOKUP($A5,TabCAT!$A:$A,TabCAT!BE:BE,"NaN")="","NaN",(_xlfn.XLOOKUP($A5,TabCAT!$A:$A,TabCAT!BE:BE,"NaN")))</f>
        <v>NaN</v>
      </c>
      <c r="EU5" s="8" t="str">
        <f>IF(_xlfn.XLOOKUP($A5,TabCAT!$A:$A,TabCAT!BF:BF,"NaN")="","NaN",(_xlfn.XLOOKUP($A5,TabCAT!$A:$A,TabCAT!BF:BF,"NaN")))</f>
        <v>NaN</v>
      </c>
      <c r="EV5" s="8" t="str">
        <f>IF(_xlfn.XLOOKUP($A5,TabCAT!$A:$A,TabCAT!BG:BG,"NaN")="","NaN",(_xlfn.XLOOKUP($A5,TabCAT!$A:$A,TabCAT!BG:BG,"NaN")))</f>
        <v>NaN</v>
      </c>
      <c r="EW5" s="8" t="str">
        <f>IF(_xlfn.XLOOKUP($A5,TabCAT!$A:$A,TabCAT!BH:BH,"NaN")="","NaN",(_xlfn.XLOOKUP($A5,TabCAT!$A:$A,TabCAT!BH:BH,"NaN")))</f>
        <v>NaN</v>
      </c>
      <c r="EX5" s="8" t="str">
        <f>IF(_xlfn.XLOOKUP($A5,TabCAT!$A:$A,TabCAT!BI:BI,"NaN")="","NaN",(_xlfn.XLOOKUP($A5,TabCAT!$A:$A,TabCAT!BI:BI,"NaN")))</f>
        <v>NaN</v>
      </c>
      <c r="EY5" s="8" t="str">
        <f>IF(_xlfn.XLOOKUP($A5,TabCAT!$A:$A,TabCAT!BJ:BJ,"NaN")="","NaN",(_xlfn.XLOOKUP($A5,TabCAT!$A:$A,TabCAT!BJ:BJ,"NaN")))</f>
        <v>NaN</v>
      </c>
      <c r="EZ5" s="8" t="str">
        <f>IF(_xlfn.XLOOKUP($A5,TabCAT!$A:$A,TabCAT!BK:BK,"NaN")="","NaN",(_xlfn.XLOOKUP($A5,TabCAT!$A:$A,TabCAT!BK:BK,"NaN")))</f>
        <v>NaN</v>
      </c>
      <c r="FA5" s="8" t="str">
        <f>IF(_xlfn.XLOOKUP($A5,TabCAT!$A:$A,TabCAT!BL:BL,"NaN")="","NaN",(_xlfn.XLOOKUP($A5,TabCAT!$A:$A,TabCAT!BL:BL,"NaN")))</f>
        <v>NaN</v>
      </c>
      <c r="FB5" s="8" t="str">
        <f>IF(_xlfn.XLOOKUP($A5,TabCAT!$A:$A,TabCAT!BM:BM,"NaN")="","NaN",(_xlfn.XLOOKUP($A5,TabCAT!$A:$A,TabCAT!BM:BM,"NaN")))</f>
        <v>NaN</v>
      </c>
      <c r="FC5" s="8" t="str">
        <f>IF(_xlfn.XLOOKUP($A5,TabCAT!$A:$A,TabCAT!BN:BN,"NaN")="","NaN",(_xlfn.XLOOKUP($A5,TabCAT!$A:$A,TabCAT!BN:BN,"NaN")))</f>
        <v>NaN</v>
      </c>
      <c r="FD5" s="8" t="str">
        <f>IF(_xlfn.XLOOKUP($A5,TabCAT!$A:$A,TabCAT!BO:BO,"NaN")="","NaN",(_xlfn.XLOOKUP($A5,TabCAT!$A:$A,TabCAT!BO:BO,"NaN")))</f>
        <v>NaN</v>
      </c>
      <c r="FE5" s="8" t="str">
        <f>IF(_xlfn.XLOOKUP($A5,TabCAT!$A:$A,TabCAT!BP:BP,"NaN")="","NaN",(_xlfn.XLOOKUP($A5,TabCAT!$A:$A,TabCAT!BP:BP,"NaN")))</f>
        <v>NaN</v>
      </c>
      <c r="FF5" s="8" t="str">
        <f>IF(_xlfn.XLOOKUP($A5,TabCAT!$A:$A,TabCAT!BQ:BQ,"NaN")="","NaN",(_xlfn.XLOOKUP($A5,TabCAT!$A:$A,TabCAT!BQ:BQ,"NaN")))</f>
        <v>NaN</v>
      </c>
      <c r="FG5" s="8" t="str">
        <f>IF(_xlfn.XLOOKUP($A5,TabCAT!$A:$A,TabCAT!BR:BR,"NaN")="","NaN",(_xlfn.XLOOKUP($A5,TabCAT!$A:$A,TabCAT!BR:BR,"NaN")))</f>
        <v>NaN</v>
      </c>
      <c r="FH5" s="8" t="str">
        <f>IF(_xlfn.XLOOKUP($A5,TabCAT!$A:$A,TabCAT!BS:BS,"NaN")="","NaN",(_xlfn.XLOOKUP($A5,TabCAT!$A:$A,TabCAT!BS:BS,"NaN")))</f>
        <v>NaN</v>
      </c>
      <c r="FI5" s="8" t="str">
        <f>IF(_xlfn.XLOOKUP($A5,TabCAT!$A:$A,TabCAT!BT:BT,"NaN")="","NaN",(_xlfn.XLOOKUP($A5,TabCAT!$A:$A,TabCAT!BT:BT,"NaN")))</f>
        <v>NaN</v>
      </c>
      <c r="FJ5" s="8" t="str">
        <f>IF(_xlfn.XLOOKUP($A5,TabCAT!$A:$A,TabCAT!BU:BU,"NaN")="","NaN",(_xlfn.XLOOKUP($A5,TabCAT!$A:$A,TabCAT!BU:BU,"NaN")))</f>
        <v>NaN</v>
      </c>
      <c r="FK5" s="8" t="str">
        <f>IF(_xlfn.XLOOKUP($A5,TabCAT!$A:$A,TabCAT!BV:BV,"NaN")="","NaN",(_xlfn.XLOOKUP($A5,TabCAT!$A:$A,TabCAT!BV:BV,"NaN")))</f>
        <v>NaN</v>
      </c>
      <c r="FL5" s="8" t="str">
        <f>IF(_xlfn.XLOOKUP($A5,TabCAT!$A:$A,TabCAT!BW:BW,"NaN")="","NaN",(_xlfn.XLOOKUP($A5,TabCAT!$A:$A,TabCAT!BW:BW,"NaN")))</f>
        <v>NaN</v>
      </c>
      <c r="FM5" s="8" t="str">
        <f>IF(_xlfn.XLOOKUP($A5,TabCAT!$A:$A,TabCAT!BX:BX,"NaN")="","NaN",(_xlfn.XLOOKUP($A5,TabCAT!$A:$A,TabCAT!BX:BX,"NaN")))</f>
        <v>NaN</v>
      </c>
      <c r="FN5" s="8" t="str">
        <f>IF(_xlfn.XLOOKUP($A5,TabCAT!$A:$A,TabCAT!BY:BY,"NaN")="","NaN",(_xlfn.XLOOKUP($A5,TabCAT!$A:$A,TabCAT!BY:BY,"NaN")))</f>
        <v>NaN</v>
      </c>
      <c r="FO5" s="8" t="str">
        <f>IF(_xlfn.XLOOKUP($A5,TabCAT!$A:$A,TabCAT!BZ:BZ,"NaN")="","NaN",(_xlfn.XLOOKUP($A5,TabCAT!$A:$A,TabCAT!BZ:BZ,"NaN")))</f>
        <v>NaN</v>
      </c>
      <c r="FP5" s="8" t="str">
        <f>IF(_xlfn.XLOOKUP($A5,TabCAT!$A:$A,TabCAT!CA:CA,"NaN")="","NaN",(_xlfn.XLOOKUP($A5,TabCAT!$A:$A,TabCAT!CA:CA,"NaN")))</f>
        <v>NaN</v>
      </c>
      <c r="FQ5" s="8" t="str">
        <f>IF(_xlfn.XLOOKUP($A5,TabCAT!$A:$A,TabCAT!CB:CB,"NaN")="","NaN",(_xlfn.XLOOKUP($A5,TabCAT!$A:$A,TabCAT!CB:CB,"NaN")))</f>
        <v>NaN</v>
      </c>
      <c r="FR5" s="8" t="str">
        <f>IF(_xlfn.XLOOKUP($A5,TabCAT!$A:$A,TabCAT!CC:CC,"NaN")="","NaN",(_xlfn.XLOOKUP($A5,TabCAT!$A:$A,TabCAT!CC:CC,"NaN")))</f>
        <v>NaN</v>
      </c>
      <c r="FS5" s="8" t="str">
        <f>IF(_xlfn.XLOOKUP($A5,TabCAT!$A:$A,TabCAT!CD:CD,"NaN")="","NaN",(_xlfn.XLOOKUP($A5,TabCAT!$A:$A,TabCAT!CD:CD,"NaN")))</f>
        <v>NaN</v>
      </c>
      <c r="FT5" s="8" t="str">
        <f>IF(_xlfn.XLOOKUP($A5,TabCAT!$A:$A,TabCAT!CE:CE,"NaN")="","NaN",(_xlfn.XLOOKUP($A5,TabCAT!$A:$A,TabCAT!CE:CE,"NaN")))</f>
        <v>NaN</v>
      </c>
      <c r="FU5" s="8" t="str">
        <f>IF(_xlfn.XLOOKUP($A5,TabCAT!$A:$A,TabCAT!CF:CF,"NaN")="","NaN",(_xlfn.XLOOKUP($A5,TabCAT!$A:$A,TabCAT!CF:CF,"NaN")))</f>
        <v>NaN</v>
      </c>
      <c r="FV5" s="8" t="str">
        <f>IF(_xlfn.XLOOKUP($A5,TabCAT!$A:$A,TabCAT!CG:CG,"NaN")="","NaN",(_xlfn.XLOOKUP($A5,TabCAT!$A:$A,TabCAT!CG:CG,"NaN")))</f>
        <v>NaN</v>
      </c>
      <c r="FW5" s="8" t="str">
        <f>IF(_xlfn.XLOOKUP($A5,TabCAT!$A:$A,TabCAT!CH:CH,"NaN")="","NaN",(_xlfn.XLOOKUP($A5,TabCAT!$A:$A,TabCAT!CH:CH,"NaN")))</f>
        <v>NaN</v>
      </c>
      <c r="FX5" s="8" t="str">
        <f>IF(_xlfn.XLOOKUP($A5,TabCAT!$A:$A,TabCAT!CI:CI,"NaN")="","NaN",(_xlfn.XLOOKUP($A5,TabCAT!$A:$A,TabCAT!CI:CI,"NaN")))</f>
        <v>NaN</v>
      </c>
      <c r="FY5" s="8" t="str">
        <f>IF(_xlfn.XLOOKUP($A5,TabCAT!$A:$A,TabCAT!CJ:CJ,"NaN")="","NaN",(_xlfn.XLOOKUP($A5,TabCAT!$A:$A,TabCAT!CJ:CJ,"NaN")))</f>
        <v>NaN</v>
      </c>
      <c r="FZ5" s="8" t="str">
        <f>IF(_xlfn.XLOOKUP($A5,TabCAT!$A:$A,TabCAT!CK:CK,"NaN")="","NaN",(_xlfn.XLOOKUP($A5,TabCAT!$A:$A,TabCAT!CK:CK,"NaN")))</f>
        <v>NaN</v>
      </c>
      <c r="GA5" s="8" t="str">
        <f>IF(_xlfn.XLOOKUP($A5,TabCAT!$A:$A,TabCAT!CL:CL,"NaN")="","NaN",(_xlfn.XLOOKUP($A5,TabCAT!$A:$A,TabCAT!CL:CL,"NaN")))</f>
        <v>NaN</v>
      </c>
      <c r="GB5" s="8" t="str">
        <f>IF(_xlfn.XLOOKUP($A5,TabCAT!$A:$A,TabCAT!CM:CM,"NaN")="","NaN",(_xlfn.XLOOKUP($A5,TabCAT!$A:$A,TabCAT!CM:CM,"NaN")))</f>
        <v>NaN</v>
      </c>
      <c r="GC5" s="8" t="str">
        <f>IF(_xlfn.XLOOKUP($A5,TabCAT!$A:$A,TabCAT!CN:CN,"NaN")="","NaN",(_xlfn.XLOOKUP($A5,TabCAT!$A:$A,TabCAT!CN:CN,"NaN")))</f>
        <v>NaN</v>
      </c>
      <c r="GD5" s="8" t="str">
        <f>IF(_xlfn.XLOOKUP($A5,TabCAT!$A:$A,TabCAT!CO:CO,"NaN")="","NaN",(_xlfn.XLOOKUP($A5,TabCAT!$A:$A,TabCAT!CO:CO,"NaN")))</f>
        <v>NaN</v>
      </c>
      <c r="GE5" s="8" t="str">
        <f>IF(_xlfn.XLOOKUP($A5,TabCAT!$A:$A,TabCAT!CP:CP,"NaN")="","NaN",(_xlfn.XLOOKUP($A5,TabCAT!$A:$A,TabCAT!CP:CP,"NaN")))</f>
        <v>NaN</v>
      </c>
      <c r="GF5" s="8" t="str">
        <f>IF(_xlfn.XLOOKUP($A5,TabCAT!$A:$A,TabCAT!CQ:CQ,"NaN")="","NaN",(_xlfn.XLOOKUP($A5,TabCAT!$A:$A,TabCAT!CQ:CQ,"NaN")))</f>
        <v>NaN</v>
      </c>
      <c r="GG5" s="8" t="str">
        <f>IF(_xlfn.XLOOKUP($A5,TabCAT!$A:$A,TabCAT!CR:CR,"NaN")="","NaN",(_xlfn.XLOOKUP($A5,TabCAT!$A:$A,TabCAT!CR:CR,"NaN")))</f>
        <v>NaN</v>
      </c>
      <c r="GH5" s="8" t="str">
        <f>IF(_xlfn.XLOOKUP($A5,TabCAT!$A:$A,TabCAT!CS:CS,"NaN")="","NaN",(_xlfn.XLOOKUP($A5,TabCAT!$A:$A,TabCAT!CS:CS,"NaN")))</f>
        <v>NaN</v>
      </c>
    </row>
    <row r="6" spans="1:190" x14ac:dyDescent="0.2">
      <c r="A6">
        <v>10418</v>
      </c>
      <c r="B6">
        <f>_xlfn.XLOOKUP(bippity_poppity_boo!A6,rf1_data!A:A,rf1_data!B:B)</f>
        <v>102054</v>
      </c>
      <c r="C6" s="2">
        <f>(_xlfn.XLOOKUP($A6,trust!$A:$A,trust!B:B,"NaN"))</f>
        <v>4.6666670000000003</v>
      </c>
      <c r="D6" s="2">
        <f>(_xlfn.XLOOKUP($A6,trust!$A:$A,trust!C:C,"NaN"))</f>
        <v>3.538462</v>
      </c>
      <c r="E6" s="2">
        <f>(_xlfn.XLOOKUP($A6,trust!$A:$A,trust!D:D,"NaN"))</f>
        <v>4.3333329999999997</v>
      </c>
      <c r="F6" s="2">
        <f>(_xlfn.XLOOKUP($A6,trust!$A:$A,trust!E:E,"NaN"))</f>
        <v>3.3846150000000002</v>
      </c>
      <c r="G6" s="2">
        <f>(_xlfn.XLOOKUP($A6,trust!$A:$A,trust!F:F,"NaN"))</f>
        <v>5.6923079999999997</v>
      </c>
      <c r="H6" s="2">
        <f>(_xlfn.XLOOKUP($A6,trust!$A:$A,trust!G:G,"NaN"))</f>
        <v>6.1428570000000002</v>
      </c>
      <c r="I6" s="3">
        <f>IF(_xlfn.XLOOKUP($B6,island_data!$B:$B,island_data!C:C,"NaN")="","NaN",_xlfn.XLOOKUP($B6,island_data!$B:$B,island_data!C:C,"NaN"))</f>
        <v>45000</v>
      </c>
      <c r="J6" s="3">
        <f>IF(_xlfn.XLOOKUP($B6,island_data!$B:$B,island_data!D:D,"NaN")="","NaN",_xlfn.XLOOKUP($B6,island_data!$B:$B,island_data!D:D,"NaN"))</f>
        <v>19888</v>
      </c>
      <c r="K6" s="4">
        <f>IF(_xlfn.XLOOKUP($B6,island_data!$B:$B,island_data!E:E,"NaN")="","NaN",_xlfn.XLOOKUP($B6,island_data!$B:$B,island_data!E:E,"NaN"))</f>
        <v>68.75</v>
      </c>
      <c r="L6" s="5">
        <f>IF(_xlfn.XLOOKUP($B6,rf1_data!$B:$B,rf1_data!D:D,"NaN")="","NaN",(_xlfn.XLOOKUP($B6,rf1_data!$B:$B,rf1_data!D:D,"NaN")))</f>
        <v>68.64</v>
      </c>
      <c r="M6" s="5" t="str">
        <f>IF(_xlfn.XLOOKUP($B6,rf1_data!$B:$B,rf1_data!E:E,"NaN")="","NaN",(_xlfn.XLOOKUP($B6,rf1_data!$B:$B,rf1_data!E:E,"NaN")))</f>
        <v>White</v>
      </c>
      <c r="N6" s="5" t="str">
        <f>IF(_xlfn.XLOOKUP($B6,rf1_data!$B:$B,rf1_data!F:F,"NaN")="","NaN",(_xlfn.XLOOKUP($B6,rf1_data!$B:$B,rf1_data!F:F,"NaN")))</f>
        <v>Not Hispanic or Latino</v>
      </c>
      <c r="O6" s="5" t="str">
        <f>IF(_xlfn.XLOOKUP($B6,rf1_data!$B:$B,rf1_data!G:G,"NaN")="","NaN",(_xlfn.XLOOKUP($B6,rf1_data!$B:$B,rf1_data!G:G,"NaN")))</f>
        <v>Female</v>
      </c>
      <c r="P6" s="5">
        <f>IF(_xlfn.XLOOKUP($B6,rf1_data!$B:$B,rf1_data!H:H,"NaN")="","NaN",(_xlfn.XLOOKUP($B6,rf1_data!$B:$B,rf1_data!H:H,"NaN")))</f>
        <v>4.22</v>
      </c>
      <c r="Q6" s="5">
        <f>IF(_xlfn.XLOOKUP($B6,rf1_data!$B:$B,rf1_data!I:I,"NaN")="","NaN",(_xlfn.XLOOKUP($B6,rf1_data!$B:$B,rf1_data!I:I,"NaN")))</f>
        <v>3.44</v>
      </c>
      <c r="R6" s="5">
        <f>IF(_xlfn.XLOOKUP($B6,rf1_data!$B:$B,rf1_data!J:J,"NaN")="","NaN",(_xlfn.XLOOKUP($B6,rf1_data!$B:$B,rf1_data!J:J,"NaN")))</f>
        <v>0</v>
      </c>
      <c r="S6" s="5">
        <f>IF(_xlfn.XLOOKUP($B6,rf1_data!$B:$B,rf1_data!K:K,"NaN")="","NaN",(_xlfn.XLOOKUP($B6,rf1_data!$B:$B,rf1_data!K:K,"NaN")))</f>
        <v>2</v>
      </c>
      <c r="T6" s="5">
        <f>IF(_xlfn.XLOOKUP($B6,rf1_data!$B:$B,rf1_data!L:L,"NaN")="","NaN",(_xlfn.XLOOKUP($B6,rf1_data!$B:$B,rf1_data!L:L,"NaN")))</f>
        <v>4</v>
      </c>
      <c r="U6" s="5">
        <f>IF(_xlfn.XLOOKUP($B6,rf1_data!$B:$B,rf1_data!M:M,"NaN")="","NaN",(_xlfn.XLOOKUP($B6,rf1_data!$B:$B,rf1_data!M:M,"NaN")))</f>
        <v>5.67</v>
      </c>
      <c r="V6" s="5">
        <f>IF(_xlfn.XLOOKUP($B6,rf1_data!$B:$B,rf1_data!N:N,"NaN")="","NaN",(_xlfn.XLOOKUP($B6,rf1_data!$B:$B,rf1_data!N:N,"NaN")))</f>
        <v>5.33</v>
      </c>
      <c r="W6" s="5">
        <f>IF(_xlfn.XLOOKUP($B6,rf1_data!$B:$B,rf1_data!O:O,"NaN")="","NaN",(_xlfn.XLOOKUP($B6,rf1_data!$B:$B,rf1_data!O:O,"NaN")))</f>
        <v>5.25</v>
      </c>
      <c r="X6" s="5">
        <f>IF(_xlfn.XLOOKUP($B6,rf1_data!$B:$B,rf1_data!P:P,"NaN")="","NaN",(_xlfn.XLOOKUP($B6,rf1_data!$B:$B,rf1_data!P:P,"NaN")))</f>
        <v>4.83</v>
      </c>
      <c r="Y6" s="5">
        <f>IF(_xlfn.XLOOKUP($B6,rf1_data!$B:$B,rf1_data!Q:Q,"NaN")="","NaN",(_xlfn.XLOOKUP($B6,rf1_data!$B:$B,rf1_data!Q:Q,"NaN")))</f>
        <v>5.0999999999999996</v>
      </c>
      <c r="Z6" s="5">
        <f>IF(_xlfn.XLOOKUP($B6,rf1_data!$B:$B,rf1_data!R:R,"NaN")="","NaN",(_xlfn.XLOOKUP($B6,rf1_data!$B:$B,rf1_data!R:R,"NaN")))</f>
        <v>16</v>
      </c>
      <c r="AA6" s="5">
        <f>IF(_xlfn.XLOOKUP($B6,rf1_data!$B:$B,rf1_data!S:S,"NaN")="","NaN",(_xlfn.XLOOKUP($B6,rf1_data!$B:$B,rf1_data!S:S,"NaN")))</f>
        <v>4</v>
      </c>
      <c r="AB6" s="5">
        <f>IF(_xlfn.XLOOKUP($B6,rf1_data!$B:$B,rf1_data!T:T,"NaN")="","NaN",(_xlfn.XLOOKUP($B6,rf1_data!$B:$B,rf1_data!T:T,"NaN")))</f>
        <v>2</v>
      </c>
      <c r="AC6" s="5">
        <f>IF(_xlfn.XLOOKUP($B6,rf1_data!$B:$B,rf1_data!U:U,"NaN")="","NaN",(_xlfn.XLOOKUP($B6,rf1_data!$B:$B,rf1_data!U:U,"NaN")))</f>
        <v>0</v>
      </c>
      <c r="AD6" s="5">
        <f>IF(_xlfn.XLOOKUP($B6,rf1_data!$B:$B,rf1_data!V:V,"NaN")="","NaN",(_xlfn.XLOOKUP($B6,rf1_data!$B:$B,rf1_data!V:V,"NaN")))</f>
        <v>10</v>
      </c>
      <c r="AE6" s="5">
        <f>IF(_xlfn.XLOOKUP($B6,rf1_data!$B:$B,rf1_data!W:W,"NaN")="","NaN",(_xlfn.XLOOKUP($B6,rf1_data!$B:$B,rf1_data!W:W,"NaN")))</f>
        <v>9</v>
      </c>
      <c r="AF6" s="5">
        <f>IF(_xlfn.XLOOKUP($B6,rf1_data!$B:$B,rf1_data!X:X,"NaN")="","NaN",(_xlfn.XLOOKUP($B6,rf1_data!$B:$B,rf1_data!X:X,"NaN")))</f>
        <v>2</v>
      </c>
      <c r="AG6" s="5">
        <f>IF(_xlfn.XLOOKUP($B6,rf1_data!$B:$B,rf1_data!Y:Y,"NaN")="","NaN",(_xlfn.XLOOKUP($B6,rf1_data!$B:$B,rf1_data!Y:Y,"NaN")))</f>
        <v>4</v>
      </c>
      <c r="AH6" s="5">
        <f>IF(_xlfn.XLOOKUP($B6,rf1_data!$B:$B,rf1_data!Z:Z,"NaN")="","NaN",(_xlfn.XLOOKUP($B6,rf1_data!$B:$B,rf1_data!Z:Z,"NaN")))</f>
        <v>3</v>
      </c>
      <c r="AI6" s="5">
        <f>IF(_xlfn.XLOOKUP($B6,rf1_data!$B:$B,rf1_data!AA:AA,"NaN")="","NaN",(_xlfn.XLOOKUP($B6,rf1_data!$B:$B,rf1_data!AA:AA,"NaN")))</f>
        <v>3</v>
      </c>
      <c r="AJ6" s="5">
        <f>IF(_xlfn.XLOOKUP($B6,rf1_data!$B:$B,rf1_data!AB:AB,"NaN")="","NaN",(_xlfn.XLOOKUP($B6,rf1_data!$B:$B,rf1_data!AB:AB,"NaN")))</f>
        <v>21</v>
      </c>
      <c r="AK6" s="5">
        <f>IF(_xlfn.XLOOKUP($B6,rf1_data!$B:$B,rf1_data!AC:AC,"NaN")="","NaN",(_xlfn.XLOOKUP($B6,rf1_data!$B:$B,rf1_data!AC:AC,"NaN")))</f>
        <v>26</v>
      </c>
      <c r="AL6" s="5">
        <f>IF(_xlfn.XLOOKUP($B6,rf1_data!$B:$B,rf1_data!AD:AD,"NaN")="","NaN",(_xlfn.XLOOKUP($B6,rf1_data!$B:$B,rf1_data!AD:AD,"NaN")))</f>
        <v>11</v>
      </c>
      <c r="AM6" s="5">
        <f>IF(_xlfn.XLOOKUP($B6,rf1_data!$B:$B,rf1_data!AE:AE,"NaN")="","NaN",(_xlfn.XLOOKUP($B6,rf1_data!$B:$B,rf1_data!AE:AE,"NaN")))</f>
        <v>0</v>
      </c>
      <c r="AN6" s="5">
        <f>IF(_xlfn.XLOOKUP($B6,rf1_data!$B:$B,rf1_data!AF:AF,"NaN")="","NaN",(_xlfn.XLOOKUP($B6,rf1_data!$B:$B,rf1_data!AF:AF,"NaN")))</f>
        <v>0</v>
      </c>
      <c r="AO6" s="5" t="str">
        <f>IF(_xlfn.XLOOKUP($B6,rf1_data!$B:$B,rf1_data!AG:AG,"NaN")="","NaN",(_xlfn.XLOOKUP($B6,rf1_data!$B:$B,rf1_data!AG:AG,"NaN")))</f>
        <v>NaN</v>
      </c>
      <c r="AP6" s="5" t="str">
        <f>IF(_xlfn.XLOOKUP($B6,rf1_data!$B:$B,rf1_data!AH:AH,"NaN")="","NaN",(_xlfn.XLOOKUP($B6,rf1_data!$B:$B,rf1_data!AH:AH,"NaN")))</f>
        <v>NaN</v>
      </c>
      <c r="AQ6" s="5" t="str">
        <f>IF(_xlfn.XLOOKUP($B6,rf1_data!$B:$B,rf1_data!AI:AI,"NaN")="","NaN",(_xlfn.XLOOKUP($B6,rf1_data!$B:$B,rf1_data!AI:AI,"NaN")))</f>
        <v>NaN</v>
      </c>
      <c r="AR6" s="5" t="str">
        <f>IF(_xlfn.XLOOKUP($B6,rf1_data!$B:$B,rf1_data!AJ:AJ,"NaN")="","NaN",(_xlfn.XLOOKUP($B6,rf1_data!$B:$B,rf1_data!AJ:AJ,"NaN")))</f>
        <v>NaN</v>
      </c>
      <c r="AS6" s="5">
        <f>IF(_xlfn.XLOOKUP($B6,rf1_data!$B:$B,rf1_data!AK:AK,"NaN")="","NaN",(_xlfn.XLOOKUP($B6,rf1_data!$B:$B,rf1_data!AK:AK,"NaN")))</f>
        <v>2.6</v>
      </c>
      <c r="AT6" s="5">
        <f>IF(_xlfn.XLOOKUP($B6,rf1_data!$B:$B,rf1_data!AL:AL,"NaN")="","NaN",(_xlfn.XLOOKUP($B6,rf1_data!$B:$B,rf1_data!AL:AL,"NaN")))</f>
        <v>7</v>
      </c>
      <c r="AU6" s="5">
        <f>IF(_xlfn.XLOOKUP($B6,rf1_data!$B:$B,rf1_data!AM:AM,"NaN")="","NaN",(_xlfn.XLOOKUP($B6,rf1_data!$B:$B,rf1_data!AM:AM,"NaN")))</f>
        <v>4</v>
      </c>
      <c r="AV6" s="5">
        <f>IF(_xlfn.XLOOKUP($B6,rf1_data!$B:$B,rf1_data!AN:AN,"NaN")="","NaN",(_xlfn.XLOOKUP($B6,rf1_data!$B:$B,rf1_data!AN:AN,"NaN")))</f>
        <v>0</v>
      </c>
      <c r="AW6" s="5" t="str">
        <f>IF(_xlfn.XLOOKUP($B6,rf1_data!$B:$B,rf1_data!AO:AO,"NaN")="","NaN",(_xlfn.XLOOKUP($B6,rf1_data!$B:$B,rf1_data!AO:AO,"NaN")))</f>
        <v>NaN</v>
      </c>
      <c r="AX6" s="5">
        <f>IF(_xlfn.XLOOKUP($B6,rf1_data!$B:$B,rf1_data!AP:AP,"NaN")="","NaN",(_xlfn.XLOOKUP($B6,rf1_data!$B:$B,rf1_data!AP:AP,"NaN")))</f>
        <v>4.2</v>
      </c>
      <c r="AY6" s="5">
        <f>IF(_xlfn.XLOOKUP($B6,rf1_data!$B:$B,rf1_data!AQ:AQ,"NaN")="","NaN",(_xlfn.XLOOKUP($B6,rf1_data!$B:$B,rf1_data!AQ:AQ,"NaN")))</f>
        <v>127</v>
      </c>
      <c r="AZ6" s="5">
        <f>IF(_xlfn.XLOOKUP($B6,rf1_data!$B:$B,rf1_data!AR:AR,"NaN")="","NaN",(_xlfn.XLOOKUP($B6,rf1_data!$B:$B,rf1_data!AR:AR,"NaN")))</f>
        <v>35</v>
      </c>
      <c r="BA6" s="5">
        <f>IF(_xlfn.XLOOKUP($B6,rf1_data!$B:$B,rf1_data!AS:AS,"NaN")="","NaN",(_xlfn.XLOOKUP($B6,rf1_data!$B:$B,rf1_data!AS:AS,"NaN")))</f>
        <v>0</v>
      </c>
      <c r="BB6" s="5">
        <f>IF(_xlfn.XLOOKUP($B6,rf1_data!$B:$B,rf1_data!AT:AT,"NaN")="","NaN",(_xlfn.XLOOKUP($B6,rf1_data!$B:$B,rf1_data!AT:AT,"NaN")))</f>
        <v>0</v>
      </c>
      <c r="BC6" s="5">
        <f>IF(_xlfn.XLOOKUP($B6,rf1_data!$B:$B,rf1_data!AU:AU,"NaN")="","NaN",(_xlfn.XLOOKUP($B6,rf1_data!$B:$B,rf1_data!AU:AU,"NaN")))</f>
        <v>0</v>
      </c>
      <c r="BD6" s="5">
        <f>IF(_xlfn.XLOOKUP($B6,rf1_data!$B:$B,rf1_data!AV:AV,"NaN")="","NaN",(_xlfn.XLOOKUP($B6,rf1_data!$B:$B,rf1_data!AV:AV,"NaN")))</f>
        <v>0.25</v>
      </c>
      <c r="BE6" s="5">
        <f>IF(_xlfn.XLOOKUP($B6,rf1_data!$B:$B,rf1_data!AW:AW,"NaN")="","NaN",(_xlfn.XLOOKUP($B6,rf1_data!$B:$B,rf1_data!AW:AW,"NaN")))</f>
        <v>0</v>
      </c>
      <c r="BF6" s="5">
        <f>IF(_xlfn.XLOOKUP($B6,rf1_data!$B:$B,rf1_data!AX:AX,"NaN")="","NaN",(_xlfn.XLOOKUP($B6,rf1_data!$B:$B,rf1_data!AX:AX,"NaN")))</f>
        <v>0</v>
      </c>
      <c r="BG6" s="5">
        <f>IF(_xlfn.XLOOKUP($B6,rf1_data!$B:$B,rf1_data!AY:AY,"NaN")="","NaN",(_xlfn.XLOOKUP($B6,rf1_data!$B:$B,rf1_data!AY:AY,"NaN")))</f>
        <v>0</v>
      </c>
      <c r="BH6" s="5">
        <f>IF(_xlfn.XLOOKUP($B6,rf1_data!$B:$B,rf1_data!AZ:AZ,"NaN")="","NaN",(_xlfn.XLOOKUP($B6,rf1_data!$B:$B,rf1_data!AZ:AZ,"NaN")))</f>
        <v>3.5714285714285698E-2</v>
      </c>
      <c r="BI6" s="5">
        <f>IF(_xlfn.XLOOKUP($B6,rf1_data!$B:$B,rf1_data!BA:BA,"NaN")="","NaN",(_xlfn.XLOOKUP($B6,rf1_data!$B:$B,rf1_data!BA:BA,"NaN")))</f>
        <v>90</v>
      </c>
      <c r="BJ6" s="5">
        <f>IF(_xlfn.XLOOKUP($B6,rf1_data!$B:$B,rf1_data!BB:BB,"NaN")="","NaN",(_xlfn.XLOOKUP($B6,rf1_data!$B:$B,rf1_data!BB:BB,"NaN")))</f>
        <v>70</v>
      </c>
      <c r="BK6" s="5" t="str">
        <f>IF(_xlfn.XLOOKUP($B6,rf1_data!$B:$B,rf1_data!BC:BC,"NaN")="","NaN",(_xlfn.XLOOKUP($B6,rf1_data!$B:$B,rf1_data!BC:BC,"NaN")))</f>
        <v>NaN</v>
      </c>
      <c r="BL6" s="5" t="str">
        <f>IF(_xlfn.XLOOKUP($B6,rf1_data!$B:$B,rf1_data!BD:BD,"NaN")="","NaN",(_xlfn.XLOOKUP($B6,rf1_data!$B:$B,rf1_data!BD:BD,"NaN")))</f>
        <v>NaN</v>
      </c>
      <c r="BM6" s="5" t="str">
        <f>IF(_xlfn.XLOOKUP($B6,rf1_data!$B:$B,rf1_data!BE:BE,"NaN")="","NaN",(_xlfn.XLOOKUP($B6,rf1_data!$B:$B,rf1_data!BE:BE,"NaN")))</f>
        <v>NaN</v>
      </c>
      <c r="BN6" s="5" t="str">
        <f>IF(_xlfn.XLOOKUP($B6,rf1_data!$B:$B,rf1_data!BF:BF,"NaN")="","NaN",(_xlfn.XLOOKUP($B6,rf1_data!$B:$B,rf1_data!BF:BF,"NaN")))</f>
        <v>NaN</v>
      </c>
      <c r="BO6" s="5" t="str">
        <f>IF(_xlfn.XLOOKUP($B6,rf1_data!$B:$B,rf1_data!BG:BG,"NaN")="","NaN",(_xlfn.XLOOKUP($B6,rf1_data!$B:$B,rf1_data!BG:BG,"NaN")))</f>
        <v>NaN</v>
      </c>
      <c r="BP6" s="5">
        <f>IF(_xlfn.XLOOKUP($B6,rf1_data!$B:$B,rf1_data!BH:BH,"NaN")="","NaN",(_xlfn.XLOOKUP($B6,rf1_data!$B:$B,rf1_data!BH:BH,"NaN")))</f>
        <v>52</v>
      </c>
      <c r="BQ6" s="5">
        <f>IF(_xlfn.XLOOKUP($B6,rf1_data!$B:$B,rf1_data!BI:BI,"NaN")="","NaN",(_xlfn.XLOOKUP($B6,rf1_data!$B:$B,rf1_data!BI:BI,"NaN")))</f>
        <v>13</v>
      </c>
      <c r="BR6" s="5">
        <f>IF(_xlfn.XLOOKUP($B6,rf1_data!$B:$B,rf1_data!BJ:BJ,"NaN")="","NaN",(_xlfn.XLOOKUP($B6,rf1_data!$B:$B,rf1_data!BJ:BJ,"NaN")))</f>
        <v>8991</v>
      </c>
      <c r="BS6" s="5" t="str">
        <f>IF(_xlfn.XLOOKUP($B6,rf1_data!$B:$B,rf1_data!BK:BK,"NaN")="","NaN",(_xlfn.XLOOKUP($B6,rf1_data!$B:$B,rf1_data!BK:BK,"NaN")))</f>
        <v>NaN</v>
      </c>
      <c r="BT6" s="5" t="str">
        <f>IF(_xlfn.XLOOKUP($B6,rf1_data!$B:$B,rf1_data!BL:BL,"NaN")="","NaN",(_xlfn.XLOOKUP($B6,rf1_data!$B:$B,rf1_data!BL:BL,"NaN")))</f>
        <v>NaN</v>
      </c>
      <c r="BU6" s="5" t="str">
        <f>IF(_xlfn.XLOOKUP($B6,rf1_data!$B:$B,rf1_data!BM:BM,"NaN")="","NaN",(_xlfn.XLOOKUP($B6,rf1_data!$B:$B,rf1_data!BM:BM,"NaN")))</f>
        <v>NaN</v>
      </c>
      <c r="BV6" s="5" t="str">
        <f>IF(_xlfn.XLOOKUP($B6,rf1_data!$B:$B,rf1_data!BN:BN,"NaN")="","NaN",(_xlfn.XLOOKUP($B6,rf1_data!$B:$B,rf1_data!BN:BN,"NaN")))</f>
        <v>NaN</v>
      </c>
      <c r="BW6" s="5">
        <f>IF(_xlfn.XLOOKUP($B6,rf1_data!$B:$B,rf1_data!BO:BO,"NaN")="","NaN",(_xlfn.XLOOKUP($B6,rf1_data!$B:$B,rf1_data!BO:BO,"NaN")))</f>
        <v>3.3</v>
      </c>
      <c r="BX6" s="5">
        <f>IF(_xlfn.XLOOKUP($B6,rf1_data!$B:$B,rf1_data!BP:BP,"NaN")="","NaN",(_xlfn.XLOOKUP($B6,rf1_data!$B:$B,rf1_data!BP:BP,"NaN")))</f>
        <v>3</v>
      </c>
      <c r="BY6" s="5">
        <f>IF(_xlfn.XLOOKUP($B6,rf1_data!$B:$B,rf1_data!BQ:BQ,"NaN")="","NaN",(_xlfn.XLOOKUP($B6,rf1_data!$B:$B,rf1_data!BQ:BQ,"NaN")))</f>
        <v>3.1</v>
      </c>
      <c r="BZ6" s="5">
        <f>IF(_xlfn.XLOOKUP($B6,rf1_data!$B:$B,rf1_data!BR:BR,"NaN")="","NaN",(_xlfn.XLOOKUP($B6,rf1_data!$B:$B,rf1_data!BR:BR,"NaN")))</f>
        <v>3.13</v>
      </c>
      <c r="CA6" s="5">
        <f>IF(_xlfn.XLOOKUP($B6,rf1_data!$B:$B,rf1_data!BS:BS,"NaN")="","NaN",(_xlfn.XLOOKUP($B6,rf1_data!$B:$B,rf1_data!BS:BS,"NaN")))</f>
        <v>6</v>
      </c>
      <c r="CB6" s="5">
        <f>IF(_xlfn.XLOOKUP($B6,rf1_data!$B:$B,rf1_data!BT:BT,"NaN")="","NaN",(_xlfn.XLOOKUP($B6,rf1_data!$B:$B,rf1_data!BT:BT,"NaN")))</f>
        <v>5.1666666666666599</v>
      </c>
      <c r="CC6" s="5">
        <f>IF(_xlfn.XLOOKUP($B6,rf1_data!$B:$B,rf1_data!BU:BU,"NaN")="","NaN",(_xlfn.XLOOKUP($B6,rf1_data!$B:$B,rf1_data!BU:BU,"NaN")))</f>
        <v>6</v>
      </c>
      <c r="CD6" s="5">
        <f>IF(_xlfn.XLOOKUP($B6,rf1_data!$B:$B,rf1_data!BV:BV,"NaN")="","NaN",(_xlfn.XLOOKUP($B6,rf1_data!$B:$B,rf1_data!BV:BV,"NaN")))</f>
        <v>5.1666666666666599</v>
      </c>
      <c r="CE6" s="5">
        <f>IF(_xlfn.XLOOKUP($B6,rf1_data!$B:$B,rf1_data!BW:BW,"NaN")="","NaN",(_xlfn.XLOOKUP($B6,rf1_data!$B:$B,rf1_data!BW:BW,"NaN")))</f>
        <v>1.6</v>
      </c>
      <c r="CF6" s="5">
        <f>IF(_xlfn.XLOOKUP($B6,rf1_data!$B:$B,rf1_data!BX:BX,"NaN")="","NaN",(_xlfn.XLOOKUP($B6,rf1_data!$B:$B,rf1_data!BX:BX,"NaN")))</f>
        <v>0</v>
      </c>
      <c r="CG6" s="5">
        <f>IF(_xlfn.XLOOKUP($B6,rf1_data!$B:$B,rf1_data!BY:BY,"NaN")="","NaN",(_xlfn.XLOOKUP($B6,rf1_data!$B:$B,rf1_data!BY:BY,"NaN")))</f>
        <v>0</v>
      </c>
      <c r="CH6" s="5">
        <f>IF(_xlfn.XLOOKUP($B6,rf1_data!$B:$B,rf1_data!BZ:BZ,"NaN")="","NaN",(_xlfn.XLOOKUP($B6,rf1_data!$B:$B,rf1_data!BZ:BZ,"NaN")))</f>
        <v>22</v>
      </c>
      <c r="CI6" s="5">
        <f>IF(_xlfn.XLOOKUP($B6,rf1_data!$B:$B,rf1_data!CA:CA,"NaN")="","NaN",(_xlfn.XLOOKUP($B6,rf1_data!$B:$B,rf1_data!CA:CA,"NaN")))</f>
        <v>20</v>
      </c>
      <c r="CJ6" s="5">
        <f>IF(_xlfn.XLOOKUP($B6,rf1_data!$B:$B,rf1_data!CB:CB,"NaN")="","NaN",(_xlfn.XLOOKUP($B6,rf1_data!$B:$B,rf1_data!CB:CB,"NaN")))</f>
        <v>7</v>
      </c>
      <c r="CK6" s="5">
        <f>IF(_xlfn.XLOOKUP($B6,rf1_data!$B:$B,rf1_data!CC:CC,"NaN")="","NaN",(_xlfn.XLOOKUP($B6,rf1_data!$B:$B,rf1_data!CC:CC,"NaN")))</f>
        <v>0.875</v>
      </c>
      <c r="CL6" s="5">
        <f>IF(_xlfn.XLOOKUP($B6,rf1_data!$B:$B,rf1_data!CD:CD,"NaN")=0,"NaN",(_xlfn.XLOOKUP($B6,rf1_data!$B:$B,rf1_data!CD:CD,"NaN")))</f>
        <v>28</v>
      </c>
      <c r="CM6" s="5">
        <f>IF(_xlfn.XLOOKUP($B6,rf1_data!$B:$B,rf1_data!CE:CE,"NaN")="","NaN",(_xlfn.XLOOKUP($B6,rf1_data!$B:$B,rf1_data!CE:CE,"NaN")))</f>
        <v>24</v>
      </c>
      <c r="CN6" s="5">
        <f>IF(_xlfn.XLOOKUP($B6,rf1_data!$B:$B,rf1_data!CF:CF,"NaN")="","NaN",(_xlfn.XLOOKUP($B6,rf1_data!$B:$B,rf1_data!CF:CF,"NaN")))</f>
        <v>33</v>
      </c>
      <c r="CO6" s="5">
        <f>IF(_xlfn.XLOOKUP($B6,rf1_data!$B:$B,rf1_data!CG:CG,"NaN")="","NaN",(_xlfn.XLOOKUP($B6,rf1_data!$B:$B,rf1_data!CG:CG,"NaN")))</f>
        <v>25</v>
      </c>
      <c r="CP6" s="5">
        <f>IF(_xlfn.XLOOKUP($B6,rf1_data!$B:$B,rf1_data!CH:CH,"NaN")=0,"NaN",(_xlfn.XLOOKUP($B6,rf1_data!$B:$B,rf1_data!CH:CH,"NaN")))</f>
        <v>27</v>
      </c>
      <c r="CQ6" s="5">
        <f>IF(_xlfn.XLOOKUP($B6,rf1_data!$B:$B,rf1_data!CI:CI,"NaN")="","NaN",(_xlfn.XLOOKUP($B6,rf1_data!$B:$B,rf1_data!CI:CI,"NaN")))</f>
        <v>35</v>
      </c>
      <c r="CR6" s="5">
        <f>IF(_xlfn.XLOOKUP($B6,rf1_data!$B:$B,rf1_data!CJ:CJ,"NaN")="","NaN",(_xlfn.XLOOKUP($B6,rf1_data!$B:$B,rf1_data!CJ:CJ,"NaN")))</f>
        <v>60</v>
      </c>
      <c r="CS6" s="5">
        <f>IF(_xlfn.XLOOKUP($B6,rf1_data!$B:$B,rf1_data!CK:CK,"NaN")="","NaN",(_xlfn.XLOOKUP($B6,rf1_data!$B:$B,rf1_data!CK:CK,"NaN")))</f>
        <v>29</v>
      </c>
      <c r="CT6" s="5">
        <f>IF(_xlfn.XLOOKUP($B6,rf1_data!$B:$B,rf1_data!CL:CL,"NaN")="","NaN",(_xlfn.XLOOKUP($B6,rf1_data!$B:$B,rf1_data!CL:CL,"NaN")))</f>
        <v>60</v>
      </c>
      <c r="CU6" s="5">
        <f>IF(_xlfn.XLOOKUP($B6,rf1_data!$B:$B,rf1_data!CM:CM,"NaN")="","NaN",(_xlfn.XLOOKUP($B6,rf1_data!$B:$B,rf1_data!CM:CM,"NaN")))</f>
        <v>27</v>
      </c>
      <c r="CV6" s="5">
        <f>IF(_xlfn.XLOOKUP($B6,rf1_data!$B:$B,rf1_data!CN:CN,"NaN")="","NaN",(_xlfn.XLOOKUP($B6,rf1_data!$B:$B,rf1_data!CN:CN,"NaN")))</f>
        <v>60</v>
      </c>
      <c r="CW6" s="5" t="str">
        <f>IF(_xlfn.XLOOKUP($B6,rf1_data!$B:$B,rf1_data!CO:CO,"NaN")="","NaN",(_xlfn.XLOOKUP($B6,rf1_data!$B:$B,rf1_data!CO:CO,"NaN")))</f>
        <v>NaN</v>
      </c>
      <c r="CX6" s="5" t="str">
        <f>IF(_xlfn.XLOOKUP($B6,rf1_data!$B:$B,rf1_data!CP:CP,"NaN")="","NaN",(_xlfn.XLOOKUP($B6,rf1_data!$B:$B,rf1_data!CP:CP,"NaN")))</f>
        <v>NaN</v>
      </c>
      <c r="CY6" s="5">
        <f>IF(_xlfn.XLOOKUP($B6,rf1_data!$B:$B,rf1_data!CQ:CQ,"NaN")="","NaN",(_xlfn.XLOOKUP($B6,rf1_data!$B:$B,rf1_data!CQ:CQ,"NaN")))</f>
        <v>3</v>
      </c>
      <c r="CZ6" s="5">
        <f>IF(_xlfn.XLOOKUP($B6,rf1_data!$B:$B,rf1_data!CR:CR,"NaN")="","NaN",(_xlfn.XLOOKUP($B6,rf1_data!$B:$B,rf1_data!CR:CR,"NaN")))</f>
        <v>3</v>
      </c>
      <c r="DA6" s="5">
        <f>IF(_xlfn.XLOOKUP($B6,rf1_data!$B:$B,rf1_data!CS:CS,"NaN")="","NaN",(_xlfn.XLOOKUP($B6,rf1_data!$B:$B,rf1_data!CS:CS,"NaN")))</f>
        <v>2</v>
      </c>
      <c r="DB6" s="4">
        <f>IF(_xlfn.XLOOKUP($B6,island_data!$B:$B,island_data!H:H,"NaN")="","NaN",_xlfn.XLOOKUP($B6,island_data!$B:$B,island_data!H:H,"NaN"))</f>
        <v>3</v>
      </c>
      <c r="DC6" s="4">
        <f>IF(_xlfn.XLOOKUP($B6,island_data!$B:$B,island_data!I:I,"NaN")="","NaN",_xlfn.XLOOKUP($B6,island_data!$B:$B,island_data!I:I,"NaN"))</f>
        <v>0</v>
      </c>
      <c r="DD6" s="4">
        <f>IF(_xlfn.XLOOKUP($B6,island_data!$B:$B,island_data!J:J,"NaN")="","NaN",_xlfn.XLOOKUP($B6,island_data!$B:$B,island_data!J:J,"NaN"))</f>
        <v>1</v>
      </c>
      <c r="DE6" s="4" t="str">
        <f>IF(_xlfn.XLOOKUP($B6,island_data!$B:$B,island_data!K:K,"NaN")="","NaN",_xlfn.XLOOKUP($B6,island_data!$B:$B,island_data!K:K,"NaN"))</f>
        <v>NaN</v>
      </c>
      <c r="DF6" s="4">
        <f>IF(_xlfn.XLOOKUP($B6,island_data!$B:$B,island_data!L:L,"NaN")="","NaN",_xlfn.XLOOKUP($B6,island_data!$B:$B,island_data!L:L,"NaN"))</f>
        <v>27</v>
      </c>
      <c r="DG6" s="4">
        <f>IF(_xlfn.XLOOKUP($B6,island_data!$B:$B,island_data!M:M,"NaN")="","NaN",_xlfn.XLOOKUP($B6,island_data!$B:$B,island_data!M:M,"NaN"))</f>
        <v>2.5555555555556002</v>
      </c>
      <c r="DH6" s="4">
        <f>IF(_xlfn.XLOOKUP($B6,island_data!$B:$B,island_data!N:N,"NaN")="","NaN",_xlfn.XLOOKUP($B6,island_data!$B:$B,island_data!N:N,"NaN"))</f>
        <v>12</v>
      </c>
      <c r="DI6" s="4" t="str">
        <f>IF(_xlfn.XLOOKUP($B6,island_data!$B:$B,island_data!O:O,"NaN")=999,"NaN",_xlfn.XLOOKUP($B6,island_data!$B:$B,island_data!O:O,"NaN"))</f>
        <v>NaN</v>
      </c>
      <c r="DJ6" s="4">
        <f>IF(_xlfn.XLOOKUP($B6,island_data!$B:$B,island_data!P:P,"NaN")="","NaN",_xlfn.XLOOKUP($B6,island_data!$B:$B,island_data!P:P,"NaN"))</f>
        <v>7</v>
      </c>
      <c r="DK6" s="4">
        <f>IF(_xlfn.XLOOKUP($B6,island_data!$B:$B,island_data!Q:Q,"NaN")="","NaN",_xlfn.XLOOKUP($B6,island_data!$B:$B,island_data!Q:Q,"NaN"))</f>
        <v>1</v>
      </c>
      <c r="DL6" s="4" t="str">
        <f>IF(_xlfn.XLOOKUP($B6,island_data!$B:$B,island_data!R:R,"NaN")=999,"NaN",_xlfn.XLOOKUP($B6,island_data!$B:$B,island_data!R:R,"NaN"))</f>
        <v>NaN</v>
      </c>
      <c r="DM6" s="4">
        <f>IF(_xlfn.XLOOKUP($B6,island_data!$B:$B,island_data!S:S,"NaN")="","NaN",_xlfn.XLOOKUP($B6,island_data!$B:$B,island_data!S:S,"NaN"))</f>
        <v>10</v>
      </c>
      <c r="DN6" s="4">
        <f>IF(_xlfn.XLOOKUP($B6,island_data!$B:$B,island_data!T:T,"NaN")="","NaN",_xlfn.XLOOKUP($B6,island_data!$B:$B,island_data!T:T,"NaN"))</f>
        <v>4.75</v>
      </c>
      <c r="DO6" s="4">
        <f>IF(_xlfn.XLOOKUP($B6,island_data!$B:$B,island_data!U:U,"NaN")="","NaN",_xlfn.XLOOKUP($B6,island_data!$B:$B,island_data!U:U,"NaN"))</f>
        <v>6</v>
      </c>
      <c r="DP6" s="4">
        <f>IF(_xlfn.XLOOKUP($B6,island_data!$B:$B,island_data!V:V,"NaN")="","NaN",_xlfn.XLOOKUP($B6,island_data!$B:$B,island_data!V:V,"NaN"))</f>
        <v>1</v>
      </c>
      <c r="DQ6" s="4">
        <f>IF(_xlfn.XLOOKUP($B6,island_data!$B:$B,island_data!W:W,"NaN")="","NaN",_xlfn.XLOOKUP($B6,island_data!$B:$B,island_data!W:W,"NaN"))</f>
        <v>7</v>
      </c>
      <c r="DR6" s="4">
        <f>IF(_xlfn.XLOOKUP($B6,island_data!$B:$B,island_data!X:X,"NaN")="","NaN",_xlfn.XLOOKUP($B6,island_data!$B:$B,island_data!X:X,"NaN"))</f>
        <v>6</v>
      </c>
      <c r="DS6" s="4" t="str">
        <f>IF(_xlfn.XLOOKUP($B6,island_data!$B:$B,island_data!Y:Y,"NaN")="","NaN",_xlfn.XLOOKUP($B6,island_data!$B:$B,island_data!Y:Y,"NaN"))</f>
        <v>NaN</v>
      </c>
      <c r="DT6" s="4" t="str">
        <f>IF(_xlfn.XLOOKUP($B6,island_data!$B:$B,island_data!Z:Z,"NaN")="","NaN",_xlfn.XLOOKUP($B6,island_data!$B:$B,island_data!Z:Z,"NaN"))</f>
        <v>NaN</v>
      </c>
      <c r="DU6" s="4" t="str">
        <f>IF(_xlfn.XLOOKUP($B6,island_data!$B:$B,island_data!AA:AA,"NaN")="","NaN",_xlfn.XLOOKUP($B6,island_data!$B:$B,island_data!AA:AA,"NaN"))</f>
        <v>NaN</v>
      </c>
      <c r="DV6" s="4">
        <f>IF(_xlfn.XLOOKUP($B6,island_data!$B:$B,island_data!AB:AB,"NaN")="","NaN",_xlfn.XLOOKUP($B6,island_data!$B:$B,island_data!AB:AB,"NaN"))</f>
        <v>1</v>
      </c>
      <c r="DW6" s="4">
        <f>IF(_xlfn.XLOOKUP($B6,island_data!$B:$B,island_data!AC:AC,"NaN")="","NaN",_xlfn.XLOOKUP($B6,island_data!$B:$B,island_data!AC:AC,"NaN"))</f>
        <v>44112</v>
      </c>
      <c r="DX6" s="4">
        <f>IF(_xlfn.XLOOKUP($B6,island_data!$B:$B,island_data!AD:AD,"NaN")="","NaN",_xlfn.XLOOKUP($B6,island_data!$B:$B,island_data!AD:AD,"NaN"))</f>
        <v>7</v>
      </c>
      <c r="DY6" s="4">
        <f>IF(_xlfn.XLOOKUP($B6,island_data!$B:$B,island_data!AE:AE,"NaN")="","NaN",_xlfn.XLOOKUP($B6,island_data!$B:$B,island_data!AE:AE,"NaN"))</f>
        <v>0</v>
      </c>
      <c r="DZ6" s="4" t="str">
        <f>IF(_xlfn.XLOOKUP($B6,island_data!$B:$B,island_data!AF:AF,"NaN")="","NaN",_xlfn.XLOOKUP($B6,island_data!$B:$B,island_data!AF:AF,"NaN"))</f>
        <v>NaN</v>
      </c>
      <c r="EA6" s="4" t="str">
        <f>IF(_xlfn.XLOOKUP($B6,island_data!$B:$B,island_data!AG:AG,"NaN")="","NaN",_xlfn.XLOOKUP($B6,island_data!$B:$B,island_data!AG:AG,"NaN"))</f>
        <v>NaN</v>
      </c>
      <c r="EB6" s="4" t="str">
        <f>IF(_xlfn.XLOOKUP($B6,island_data!$B:$B,island_data!AH:AH,"NaN")="","NaN",_xlfn.XLOOKUP($B6,island_data!$B:$B,island_data!AH:AH,"NaN"))</f>
        <v>NaN</v>
      </c>
      <c r="EC6" s="4" t="str">
        <f>IF(_xlfn.XLOOKUP($B6,island_data!$B:$B,island_data!AI:AI,"NaN")="","NaN",_xlfn.XLOOKUP($B6,island_data!$B:$B,island_data!AI:AI,"NaN"))</f>
        <v>NaN</v>
      </c>
      <c r="ED6" s="4" t="str">
        <f>IF(_xlfn.XLOOKUP($B6,island_data!$B:$B,island_data!AJ:AJ,"NaN")="","NaN",_xlfn.XLOOKUP($B6,island_data!$B:$B,island_data!AJ:AJ,"NaN"))</f>
        <v>NaN</v>
      </c>
      <c r="EE6" s="4" t="str">
        <f>IF(_xlfn.XLOOKUP($B6,island_data!$B:$B,island_data!AK:AK,"NaN")="","NaN",_xlfn.XLOOKUP($B6,island_data!$B:$B,island_data!AK:AK,"NaN"))</f>
        <v>NaN</v>
      </c>
      <c r="EF6" s="4" t="str">
        <f>IF(_xlfn.XLOOKUP($B6,island_data!$B:$B,island_data!AL:AL,"NaN")="","NaN",_xlfn.XLOOKUP($B6,island_data!$B:$B,island_data!AL:AL,"NaN"))</f>
        <v>NaN</v>
      </c>
      <c r="EG6" s="4" t="str">
        <f>IF(_xlfn.XLOOKUP($B6,island_data!$B:$B,island_data!AM:AM,"NaN")="","NaN",_xlfn.XLOOKUP($B6,island_data!$B:$B,island_data!AM:AM,"NaN"))</f>
        <v>NaN</v>
      </c>
      <c r="EH6" s="4">
        <f>IF(_xlfn.XLOOKUP($B6,island_data!$B:$B,island_data!AN:AN,"NaN")="","NaN",_xlfn.XLOOKUP($B6,island_data!$B:$B,island_data!AN:AN,"NaN"))</f>
        <v>1</v>
      </c>
      <c r="EI6" s="4" t="str">
        <f>IF(_xlfn.XLOOKUP($B6,island_data!$B:$B,island_data!AO:AO,"NaN")="","NaN",_xlfn.XLOOKUP($B6,island_data!$B:$B,island_data!AO:AO,"NaN"))</f>
        <v>NaN</v>
      </c>
      <c r="EJ6" s="8">
        <f>IF(_xlfn.XLOOKUP($A6,TabCAT!$A:$A,TabCAT!AU:AU,"NaN")="","NaN",(_xlfn.XLOOKUP($A6,TabCAT!$A:$A,TabCAT!AU:AU,"NaN")))</f>
        <v>179</v>
      </c>
      <c r="EK6" s="8" t="b">
        <f>IF(_xlfn.XLOOKUP($A6,TabCAT!$A:$A,TabCAT!AV:AV,"NaN")="","NaN",(_xlfn.XLOOKUP($A6,TabCAT!$A:$A,TabCAT!AV:AV,"NaN")))</f>
        <v>1</v>
      </c>
      <c r="EL6" s="8">
        <f>IF(_xlfn.XLOOKUP($A6,TabCAT!$A:$A,TabCAT!AW:AW,"NaN")="","NaN",(_xlfn.XLOOKUP($A6,TabCAT!$A:$A,TabCAT!AW:AW,"NaN")))</f>
        <v>6</v>
      </c>
      <c r="EM6" s="8">
        <f>IF(_xlfn.XLOOKUP($A6,TabCAT!$A:$A,TabCAT!AX:AX,"NaN")="","NaN",(_xlfn.XLOOKUP($A6,TabCAT!$A:$A,TabCAT!AX:AX,"NaN")))</f>
        <v>0</v>
      </c>
      <c r="EN6" s="8">
        <f>IF(_xlfn.XLOOKUP($A6,TabCAT!$A:$A,TabCAT!AY:AY,"NaN")="","NaN",(_xlfn.XLOOKUP($A6,TabCAT!$A:$A,TabCAT!AY:AY,"NaN")))</f>
        <v>7.67</v>
      </c>
      <c r="EO6" s="8">
        <f>IF(_xlfn.XLOOKUP($A6,TabCAT!$A:$A,TabCAT!AZ:AZ,"NaN")="","NaN",(_xlfn.XLOOKUP($A6,TabCAT!$A:$A,TabCAT!AZ:AZ,"NaN")))</f>
        <v>32</v>
      </c>
      <c r="EP6" s="8">
        <f>IF(_xlfn.XLOOKUP($A6,TabCAT!$A:$A,TabCAT!BA:BA,"NaN")="","NaN",(_xlfn.XLOOKUP($A6,TabCAT!$A:$A,TabCAT!BA:BA,"NaN")))</f>
        <v>0.94600499999999998</v>
      </c>
      <c r="EQ6" s="8">
        <f>IF(_xlfn.XLOOKUP($A6,TabCAT!$A:$A,TabCAT!BB:BB,"NaN")="","NaN",(_xlfn.XLOOKUP($A6,TabCAT!$A:$A,TabCAT!BB:BB,"NaN")))</f>
        <v>8.0847854677566097E-2</v>
      </c>
      <c r="ER6" s="8">
        <f>IF(_xlfn.XLOOKUP($A6,TabCAT!$A:$A,TabCAT!BC:BC,"NaN")="","NaN",(_xlfn.XLOOKUP($A6,TabCAT!$A:$A,TabCAT!BC:BC,"NaN")))</f>
        <v>16</v>
      </c>
      <c r="ES6" s="8">
        <f>IF(_xlfn.XLOOKUP($A6,TabCAT!$A:$A,TabCAT!BD:BD,"NaN")="","NaN",(_xlfn.XLOOKUP($A6,TabCAT!$A:$A,TabCAT!BD:BD,"NaN")))</f>
        <v>0.90141950000000004</v>
      </c>
      <c r="ET6" s="8">
        <f>IF(_xlfn.XLOOKUP($A6,TabCAT!$A:$A,TabCAT!BE:BE,"NaN")="","NaN",(_xlfn.XLOOKUP($A6,TabCAT!$A:$A,TabCAT!BE:BE,"NaN")))</f>
        <v>16</v>
      </c>
      <c r="EU6" s="8">
        <f>IF(_xlfn.XLOOKUP($A6,TabCAT!$A:$A,TabCAT!BF:BF,"NaN")="","NaN",(_xlfn.XLOOKUP($A6,TabCAT!$A:$A,TabCAT!BF:BF,"NaN")))</f>
        <v>1.0043255</v>
      </c>
      <c r="EV6" s="8" t="str">
        <f>IF(_xlfn.XLOOKUP($A6,TabCAT!$A:$A,TabCAT!BG:BG,"NaN")="","NaN",(_xlfn.XLOOKUP($A6,TabCAT!$A:$A,TabCAT!BG:BG,"NaN")))</f>
        <v>NaN</v>
      </c>
      <c r="EW6" s="8" t="str">
        <f>IF(_xlfn.XLOOKUP($A6,TabCAT!$A:$A,TabCAT!BH:BH,"NaN")="","NaN",(_xlfn.XLOOKUP($A6,TabCAT!$A:$A,TabCAT!BH:BH,"NaN")))</f>
        <v>3.0.0</v>
      </c>
      <c r="EX6" s="8" t="str">
        <f>IF(_xlfn.XLOOKUP($A6,TabCAT!$A:$A,TabCAT!BI:BI,"NaN")="","NaN",(_xlfn.XLOOKUP($A6,TabCAT!$A:$A,TabCAT!BI:BI,"NaN")))</f>
        <v>English</v>
      </c>
      <c r="EY6" s="8">
        <f>IF(_xlfn.XLOOKUP($A6,TabCAT!$A:$A,TabCAT!BJ:BJ,"NaN")="","NaN",(_xlfn.XLOOKUP($A6,TabCAT!$A:$A,TabCAT!BJ:BJ,"NaN")))</f>
        <v>264</v>
      </c>
      <c r="EZ6" s="8">
        <f>IF(_xlfn.XLOOKUP($A6,TabCAT!$A:$A,TabCAT!BK:BK,"NaN")="","NaN",(_xlfn.XLOOKUP($A6,TabCAT!$A:$A,TabCAT!BK:BK,"NaN")))</f>
        <v>1</v>
      </c>
      <c r="FA6" s="8">
        <f>IF(_xlfn.XLOOKUP($A6,TabCAT!$A:$A,TabCAT!BL:BL,"NaN")="","NaN",(_xlfn.XLOOKUP($A6,TabCAT!$A:$A,TabCAT!BL:BL,"NaN")))</f>
        <v>6</v>
      </c>
      <c r="FB6" s="8">
        <f>IF(_xlfn.XLOOKUP($A6,TabCAT!$A:$A,TabCAT!BM:BM,"NaN")="","NaN",(_xlfn.XLOOKUP($A6,TabCAT!$A:$A,TabCAT!BM:BM,"NaN")))</f>
        <v>1</v>
      </c>
      <c r="FC6" s="8">
        <f>IF(_xlfn.XLOOKUP($A6,TabCAT!$A:$A,TabCAT!BN:BN,"NaN")="","NaN",(_xlfn.XLOOKUP($A6,TabCAT!$A:$A,TabCAT!BN:BN,"NaN")))</f>
        <v>6</v>
      </c>
      <c r="FD6" s="8">
        <f>IF(_xlfn.XLOOKUP($A6,TabCAT!$A:$A,TabCAT!BO:BO,"NaN")="","NaN",(_xlfn.XLOOKUP($A6,TabCAT!$A:$A,TabCAT!BO:BO,"NaN")))</f>
        <v>6</v>
      </c>
      <c r="FE6" s="8">
        <f>IF(_xlfn.XLOOKUP($A6,TabCAT!$A:$A,TabCAT!BP:BP,"NaN")="","NaN",(_xlfn.XLOOKUP($A6,TabCAT!$A:$A,TabCAT!BP:BP,"NaN")))</f>
        <v>0.66666666666666596</v>
      </c>
      <c r="FF6" s="8">
        <f>IF(_xlfn.XLOOKUP($A6,TabCAT!$A:$A,TabCAT!BQ:BQ,"NaN")="","NaN",(_xlfn.XLOOKUP($A6,TabCAT!$A:$A,TabCAT!BQ:BQ,"NaN")))</f>
        <v>6</v>
      </c>
      <c r="FG6" s="8">
        <f>IF(_xlfn.XLOOKUP($A6,TabCAT!$A:$A,TabCAT!BR:BR,"NaN")="","NaN",(_xlfn.XLOOKUP($A6,TabCAT!$A:$A,TabCAT!BR:BR,"NaN")))</f>
        <v>5</v>
      </c>
      <c r="FH6" s="8">
        <f>IF(_xlfn.XLOOKUP($A6,TabCAT!$A:$A,TabCAT!BS:BS,"NaN")="","NaN",(_xlfn.XLOOKUP($A6,TabCAT!$A:$A,TabCAT!BS:BS,"NaN")))</f>
        <v>0.41666666666666602</v>
      </c>
      <c r="FI6" s="8">
        <f>IF(_xlfn.XLOOKUP($A6,TabCAT!$A:$A,TabCAT!BT:BT,"NaN")="","NaN",(_xlfn.XLOOKUP($A6,TabCAT!$A:$A,TabCAT!BT:BT,"NaN")))</f>
        <v>4</v>
      </c>
      <c r="FJ6" s="8">
        <f>IF(_xlfn.XLOOKUP($A6,TabCAT!$A:$A,TabCAT!BU:BU,"NaN")="","NaN",(_xlfn.XLOOKUP($A6,TabCAT!$A:$A,TabCAT!BU:BU,"NaN")))</f>
        <v>11</v>
      </c>
      <c r="FK6" s="8">
        <f>IF(_xlfn.XLOOKUP($A6,TabCAT!$A:$A,TabCAT!BV:BV,"NaN")="","NaN",(_xlfn.XLOOKUP($A6,TabCAT!$A:$A,TabCAT!BV:BV,"NaN")))</f>
        <v>0.73333333333333295</v>
      </c>
      <c r="FL6" s="8">
        <f>IF(_xlfn.XLOOKUP($A6,TabCAT!$A:$A,TabCAT!BW:BW,"NaN")="","NaN",(_xlfn.XLOOKUP($A6,TabCAT!$A:$A,TabCAT!BW:BW,"NaN")))</f>
        <v>6.5</v>
      </c>
      <c r="FM6" s="8">
        <f>IF(_xlfn.XLOOKUP($A6,TabCAT!$A:$A,TabCAT!BX:BX,"NaN")="","NaN",(_xlfn.XLOOKUP($A6,TabCAT!$A:$A,TabCAT!BX:BX,"NaN")))</f>
        <v>28</v>
      </c>
      <c r="FN6" s="8">
        <f>IF(_xlfn.XLOOKUP($A6,TabCAT!$A:$A,TabCAT!BY:BY,"NaN")="","NaN",(_xlfn.XLOOKUP($A6,TabCAT!$A:$A,TabCAT!BY:BY,"NaN")))</f>
        <v>0.66666666666666596</v>
      </c>
      <c r="FO6" s="8">
        <f>IF(_xlfn.XLOOKUP($A6,TabCAT!$A:$A,TabCAT!BZ:BZ,"NaN")="","NaN",(_xlfn.XLOOKUP($A6,TabCAT!$A:$A,TabCAT!BZ:BZ,"NaN")))</f>
        <v>22.5</v>
      </c>
      <c r="FP6" s="8" t="str">
        <f>IF(_xlfn.XLOOKUP($A6,TabCAT!$A:$A,TabCAT!CA:CA,"NaN")="","NaN",(_xlfn.XLOOKUP($A6,TabCAT!$A:$A,TabCAT!CA:CA,"NaN")))</f>
        <v>3.0.0</v>
      </c>
      <c r="FQ6" s="8" t="str">
        <f>IF(_xlfn.XLOOKUP($A6,TabCAT!$A:$A,TabCAT!CB:CB,"NaN")="","NaN",(_xlfn.XLOOKUP($A6,TabCAT!$A:$A,TabCAT!CB:CB,"NaN")))</f>
        <v>English</v>
      </c>
      <c r="FR6" s="8">
        <f>IF(_xlfn.XLOOKUP($A6,TabCAT!$A:$A,TabCAT!CC:CC,"NaN")="","NaN",(_xlfn.XLOOKUP($A6,TabCAT!$A:$A,TabCAT!CC:CC,"NaN")))</f>
        <v>252</v>
      </c>
      <c r="FS6" s="8" t="b">
        <f>IF(_xlfn.XLOOKUP($A6,TabCAT!$A:$A,TabCAT!CD:CD,"NaN")="","NaN",(_xlfn.XLOOKUP($A6,TabCAT!$A:$A,TabCAT!CD:CD,"NaN")))</f>
        <v>1</v>
      </c>
      <c r="FT6" s="8">
        <f>IF(_xlfn.XLOOKUP($A6,TabCAT!$A:$A,TabCAT!CE:CE,"NaN")="","NaN",(_xlfn.XLOOKUP($A6,TabCAT!$A:$A,TabCAT!CE:CE,"NaN")))</f>
        <v>8</v>
      </c>
      <c r="FU6" s="8">
        <f>IF(_xlfn.XLOOKUP($A6,TabCAT!$A:$A,TabCAT!CF:CF,"NaN")="","NaN",(_xlfn.XLOOKUP($A6,TabCAT!$A:$A,TabCAT!CF:CF,"NaN")))</f>
        <v>0</v>
      </c>
      <c r="FV6" s="8">
        <f>IF(_xlfn.XLOOKUP($A6,TabCAT!$A:$A,TabCAT!CG:CG,"NaN")="","NaN",(_xlfn.XLOOKUP($A6,TabCAT!$A:$A,TabCAT!CG:CG,"NaN")))</f>
        <v>7.06</v>
      </c>
      <c r="FW6" s="8">
        <f>IF(_xlfn.XLOOKUP($A6,TabCAT!$A:$A,TabCAT!CH:CH,"NaN")="","NaN",(_xlfn.XLOOKUP($A6,TabCAT!$A:$A,TabCAT!CH:CH,"NaN")))</f>
        <v>16</v>
      </c>
      <c r="FX6" s="8">
        <f>IF(_xlfn.XLOOKUP($A6,TabCAT!$A:$A,TabCAT!CI:CI,"NaN")="","NaN",(_xlfn.XLOOKUP($A6,TabCAT!$A:$A,TabCAT!CI:CI,"NaN")))</f>
        <v>0.91807399999999995</v>
      </c>
      <c r="FY6" s="8">
        <f>IF(_xlfn.XLOOKUP($A6,TabCAT!$A:$A,TabCAT!CJ:CJ,"NaN")="","NaN",(_xlfn.XLOOKUP($A6,TabCAT!$A:$A,TabCAT!CJ:CJ,"NaN")))</f>
        <v>16</v>
      </c>
      <c r="FZ6" s="8">
        <f>IF(_xlfn.XLOOKUP($A6,TabCAT!$A:$A,TabCAT!CK:CK,"NaN")="","NaN",(_xlfn.XLOOKUP($A6,TabCAT!$A:$A,TabCAT!CK:CK,"NaN")))</f>
        <v>0.97564300000000004</v>
      </c>
      <c r="GA6" s="8">
        <f>IF(_xlfn.XLOOKUP($A6,TabCAT!$A:$A,TabCAT!CL:CL,"NaN")="","NaN",(_xlfn.XLOOKUP($A6,TabCAT!$A:$A,TabCAT!CL:CL,"NaN")))</f>
        <v>32</v>
      </c>
      <c r="GB6" s="8">
        <f>IF(_xlfn.XLOOKUP($A6,TabCAT!$A:$A,TabCAT!CM:CM,"NaN")="","NaN",(_xlfn.XLOOKUP($A6,TabCAT!$A:$A,TabCAT!CM:CM,"NaN")))</f>
        <v>1.0920859999999999</v>
      </c>
      <c r="GC6" s="8">
        <f>IF(_xlfn.XLOOKUP($A6,TabCAT!$A:$A,TabCAT!CN:CN,"NaN")="","NaN",(_xlfn.XLOOKUP($A6,TabCAT!$A:$A,TabCAT!CN:CN,"NaN")))</f>
        <v>20</v>
      </c>
      <c r="GD6" s="8">
        <f>IF(_xlfn.XLOOKUP($A6,TabCAT!$A:$A,TabCAT!CO:CO,"NaN")="","NaN",(_xlfn.XLOOKUP($A6,TabCAT!$A:$A,TabCAT!CO:CO,"NaN")))</f>
        <v>1.0920859999999999</v>
      </c>
      <c r="GE6" s="8">
        <f>IF(_xlfn.XLOOKUP($A6,TabCAT!$A:$A,TabCAT!CP:CP,"NaN")="","NaN",(_xlfn.XLOOKUP($A6,TabCAT!$A:$A,TabCAT!CP:CP,"NaN")))</f>
        <v>0.21773659814309401</v>
      </c>
      <c r="GF6" s="8">
        <f>IF(_xlfn.XLOOKUP($A6,TabCAT!$A:$A,TabCAT!CQ:CQ,"NaN")="","NaN",(_xlfn.XLOOKUP($A6,TabCAT!$A:$A,TabCAT!CQ:CQ,"NaN")))</f>
        <v>54</v>
      </c>
      <c r="GG6" s="8">
        <f>IF(_xlfn.XLOOKUP($A6,TabCAT!$A:$A,TabCAT!CR:CR,"NaN")="","NaN",(_xlfn.XLOOKUP($A6,TabCAT!$A:$A,TabCAT!CR:CR,"NaN")))</f>
        <v>0.95480149999999997</v>
      </c>
      <c r="GH6" s="8" t="str">
        <f>IF(_xlfn.XLOOKUP($A6,TabCAT!$A:$A,TabCAT!CS:CS,"NaN")="","NaN",(_xlfn.XLOOKUP($A6,TabCAT!$A:$A,TabCAT!CS:CS,"NaN")))</f>
        <v>NaN</v>
      </c>
    </row>
    <row r="7" spans="1:190" x14ac:dyDescent="0.2">
      <c r="A7">
        <v>10462</v>
      </c>
      <c r="B7">
        <f>_xlfn.XLOOKUP(bippity_poppity_boo!A7,rf1_data!A:A,rf1_data!B:B)</f>
        <v>21960</v>
      </c>
      <c r="C7" s="2">
        <f>(_xlfn.XLOOKUP($A7,trust!$A:$A,trust!B:B,"NaN"))</f>
        <v>2</v>
      </c>
      <c r="D7" s="2">
        <f>(_xlfn.XLOOKUP($A7,trust!$A:$A,trust!C:C,"NaN"))</f>
        <v>3</v>
      </c>
      <c r="E7" s="2">
        <f>(_xlfn.XLOOKUP($A7,trust!$A:$A,trust!D:D,"NaN"))</f>
        <v>2.8571430000000002</v>
      </c>
      <c r="F7" s="2">
        <f>(_xlfn.XLOOKUP($A7,trust!$A:$A,trust!E:E,"NaN"))</f>
        <v>3.5</v>
      </c>
      <c r="G7" s="2">
        <f>(_xlfn.XLOOKUP($A7,trust!$A:$A,trust!F:F,"NaN"))</f>
        <v>3.6666669999999999</v>
      </c>
      <c r="H7" s="2">
        <f>(_xlfn.XLOOKUP($A7,trust!$A:$A,trust!G:G,"NaN"))</f>
        <v>5.2</v>
      </c>
      <c r="I7" s="3">
        <f>IF(_xlfn.XLOOKUP($B7,island_data!$B:$B,island_data!C:C,"NaN")="","NaN",_xlfn.XLOOKUP($B7,island_data!$B:$B,island_data!C:C,"NaN"))</f>
        <v>45105</v>
      </c>
      <c r="J7" s="3">
        <f>IF(_xlfn.XLOOKUP($B7,island_data!$B:$B,island_data!D:D,"NaN")="","NaN",_xlfn.XLOOKUP($B7,island_data!$B:$B,island_data!D:D,"NaN"))</f>
        <v>22225</v>
      </c>
      <c r="K7" s="4">
        <f>IF(_xlfn.XLOOKUP($B7,island_data!$B:$B,island_data!E:E,"NaN")="","NaN",_xlfn.XLOOKUP($B7,island_data!$B:$B,island_data!E:E,"NaN"))</f>
        <v>62.64</v>
      </c>
      <c r="L7" s="5">
        <f>IF(_xlfn.XLOOKUP($B7,rf1_data!$B:$B,rf1_data!D:D,"NaN")="","NaN",(_xlfn.XLOOKUP($B7,rf1_data!$B:$B,rf1_data!D:D,"NaN")))</f>
        <v>62.04</v>
      </c>
      <c r="M7" s="5" t="str">
        <f>IF(_xlfn.XLOOKUP($B7,rf1_data!$B:$B,rf1_data!E:E,"NaN")="","NaN",(_xlfn.XLOOKUP($B7,rf1_data!$B:$B,rf1_data!E:E,"NaN")))</f>
        <v>Black or African American</v>
      </c>
      <c r="N7" s="5" t="str">
        <f>IF(_xlfn.XLOOKUP($B7,rf1_data!$B:$B,rf1_data!F:F,"NaN")="","NaN",(_xlfn.XLOOKUP($B7,rf1_data!$B:$B,rf1_data!F:F,"NaN")))</f>
        <v>Not Hispanic or Latino</v>
      </c>
      <c r="O7" s="5" t="str">
        <f>IF(_xlfn.XLOOKUP($B7,rf1_data!$B:$B,rf1_data!G:G,"NaN")="","NaN",(_xlfn.XLOOKUP($B7,rf1_data!$B:$B,rf1_data!G:G,"NaN")))</f>
        <v>Male</v>
      </c>
      <c r="P7" s="5">
        <f>IF(_xlfn.XLOOKUP($B7,rf1_data!$B:$B,rf1_data!H:H,"NaN")="","NaN",(_xlfn.XLOOKUP($B7,rf1_data!$B:$B,rf1_data!H:H,"NaN")))</f>
        <v>4.67</v>
      </c>
      <c r="Q7" s="5">
        <f>IF(_xlfn.XLOOKUP($B7,rf1_data!$B:$B,rf1_data!I:I,"NaN")="","NaN",(_xlfn.XLOOKUP($B7,rf1_data!$B:$B,rf1_data!I:I,"NaN")))</f>
        <v>3.44</v>
      </c>
      <c r="R7" s="5">
        <f>IF(_xlfn.XLOOKUP($B7,rf1_data!$B:$B,rf1_data!J:J,"NaN")="","NaN",(_xlfn.XLOOKUP($B7,rf1_data!$B:$B,rf1_data!J:J,"NaN")))</f>
        <v>4</v>
      </c>
      <c r="S7" s="5">
        <f>IF(_xlfn.XLOOKUP($B7,rf1_data!$B:$B,rf1_data!K:K,"NaN")="","NaN",(_xlfn.XLOOKUP($B7,rf1_data!$B:$B,rf1_data!K:K,"NaN")))</f>
        <v>3</v>
      </c>
      <c r="T7" s="5">
        <f>IF(_xlfn.XLOOKUP($B7,rf1_data!$B:$B,rf1_data!L:L,"NaN")="","NaN",(_xlfn.XLOOKUP($B7,rf1_data!$B:$B,rf1_data!L:L,"NaN")))</f>
        <v>0</v>
      </c>
      <c r="U7" s="5" t="str">
        <f>IF(_xlfn.XLOOKUP($B7,rf1_data!$B:$B,rf1_data!M:M,"NaN")="","NaN",(_xlfn.XLOOKUP($B7,rf1_data!$B:$B,rf1_data!M:M,"NaN")))</f>
        <v>NaN</v>
      </c>
      <c r="V7" s="5" t="str">
        <f>IF(_xlfn.XLOOKUP($B7,rf1_data!$B:$B,rf1_data!N:N,"NaN")="","NaN",(_xlfn.XLOOKUP($B7,rf1_data!$B:$B,rf1_data!N:N,"NaN")))</f>
        <v>NaN</v>
      </c>
      <c r="W7" s="5" t="str">
        <f>IF(_xlfn.XLOOKUP($B7,rf1_data!$B:$B,rf1_data!O:O,"NaN")="","NaN",(_xlfn.XLOOKUP($B7,rf1_data!$B:$B,rf1_data!O:O,"NaN")))</f>
        <v>NaN</v>
      </c>
      <c r="X7" s="5" t="str">
        <f>IF(_xlfn.XLOOKUP($B7,rf1_data!$B:$B,rf1_data!P:P,"NaN")="","NaN",(_xlfn.XLOOKUP($B7,rf1_data!$B:$B,rf1_data!P:P,"NaN")))</f>
        <v>NaN</v>
      </c>
      <c r="Y7" s="5" t="str">
        <f>IF(_xlfn.XLOOKUP($B7,rf1_data!$B:$B,rf1_data!Q:Q,"NaN")="","NaN",(_xlfn.XLOOKUP($B7,rf1_data!$B:$B,rf1_data!Q:Q,"NaN")))</f>
        <v>NaN</v>
      </c>
      <c r="Z7" s="5">
        <f>IF(_xlfn.XLOOKUP($B7,rf1_data!$B:$B,rf1_data!R:R,"NaN")="","NaN",(_xlfn.XLOOKUP($B7,rf1_data!$B:$B,rf1_data!R:R,"NaN")))</f>
        <v>5</v>
      </c>
      <c r="AA7" s="5">
        <f>IF(_xlfn.XLOOKUP($B7,rf1_data!$B:$B,rf1_data!S:S,"NaN")="","NaN",(_xlfn.XLOOKUP($B7,rf1_data!$B:$B,rf1_data!S:S,"NaN")))</f>
        <v>0</v>
      </c>
      <c r="AB7" s="5">
        <f>IF(_xlfn.XLOOKUP($B7,rf1_data!$B:$B,rf1_data!T:T,"NaN")="","NaN",(_xlfn.XLOOKUP($B7,rf1_data!$B:$B,rf1_data!T:T,"NaN")))</f>
        <v>5</v>
      </c>
      <c r="AC7" s="5">
        <f>IF(_xlfn.XLOOKUP($B7,rf1_data!$B:$B,rf1_data!U:U,"NaN")="","NaN",(_xlfn.XLOOKUP($B7,rf1_data!$B:$B,rf1_data!U:U,"NaN")))</f>
        <v>0</v>
      </c>
      <c r="AD7" s="5">
        <f>IF(_xlfn.XLOOKUP($B7,rf1_data!$B:$B,rf1_data!V:V,"NaN")="","NaN",(_xlfn.XLOOKUP($B7,rf1_data!$B:$B,rf1_data!V:V,"NaN")))</f>
        <v>0</v>
      </c>
      <c r="AE7" s="5">
        <f>IF(_xlfn.XLOOKUP($B7,rf1_data!$B:$B,rf1_data!W:W,"NaN")="","NaN",(_xlfn.XLOOKUP($B7,rf1_data!$B:$B,rf1_data!W:W,"NaN")))</f>
        <v>3</v>
      </c>
      <c r="AF7" s="5">
        <f>IF(_xlfn.XLOOKUP($B7,rf1_data!$B:$B,rf1_data!X:X,"NaN")="","NaN",(_xlfn.XLOOKUP($B7,rf1_data!$B:$B,rf1_data!X:X,"NaN")))</f>
        <v>4</v>
      </c>
      <c r="AG7" s="5">
        <f>IF(_xlfn.XLOOKUP($B7,rf1_data!$B:$B,rf1_data!Y:Y,"NaN")="","NaN",(_xlfn.XLOOKUP($B7,rf1_data!$B:$B,rf1_data!Y:Y,"NaN")))</f>
        <v>6</v>
      </c>
      <c r="AH7" s="5">
        <f>IF(_xlfn.XLOOKUP($B7,rf1_data!$B:$B,rf1_data!Z:Z,"NaN")="","NaN",(_xlfn.XLOOKUP($B7,rf1_data!$B:$B,rf1_data!Z:Z,"NaN")))</f>
        <v>2</v>
      </c>
      <c r="AI7" s="5">
        <f>IF(_xlfn.XLOOKUP($B7,rf1_data!$B:$B,rf1_data!AA:AA,"NaN")="","NaN",(_xlfn.XLOOKUP($B7,rf1_data!$B:$B,rf1_data!AA:AA,"NaN")))</f>
        <v>1</v>
      </c>
      <c r="AJ7" s="5">
        <f>IF(_xlfn.XLOOKUP($B7,rf1_data!$B:$B,rf1_data!AB:AB,"NaN")="","NaN",(_xlfn.XLOOKUP($B7,rf1_data!$B:$B,rf1_data!AB:AB,"NaN")))</f>
        <v>16</v>
      </c>
      <c r="AK7" s="5">
        <f>IF(_xlfn.XLOOKUP($B7,rf1_data!$B:$B,rf1_data!AC:AC,"NaN")="","NaN",(_xlfn.XLOOKUP($B7,rf1_data!$B:$B,rf1_data!AC:AC,"NaN")))</f>
        <v>27</v>
      </c>
      <c r="AL7" s="5">
        <f>IF(_xlfn.XLOOKUP($B7,rf1_data!$B:$B,rf1_data!AD:AD,"NaN")="","NaN",(_xlfn.XLOOKUP($B7,rf1_data!$B:$B,rf1_data!AD:AD,"NaN")))</f>
        <v>10</v>
      </c>
      <c r="AM7" s="5">
        <f>IF(_xlfn.XLOOKUP($B7,rf1_data!$B:$B,rf1_data!AE:AE,"NaN")="","NaN",(_xlfn.XLOOKUP($B7,rf1_data!$B:$B,rf1_data!AE:AE,"NaN")))</f>
        <v>0</v>
      </c>
      <c r="AN7" s="5">
        <f>IF(_xlfn.XLOOKUP($B7,rf1_data!$B:$B,rf1_data!AF:AF,"NaN")="","NaN",(_xlfn.XLOOKUP($B7,rf1_data!$B:$B,rf1_data!AF:AF,"NaN")))</f>
        <v>0</v>
      </c>
      <c r="AO7" s="5" t="str">
        <f>IF(_xlfn.XLOOKUP($B7,rf1_data!$B:$B,rf1_data!AG:AG,"NaN")="","NaN",(_xlfn.XLOOKUP($B7,rf1_data!$B:$B,rf1_data!AG:AG,"NaN")))</f>
        <v>NaN</v>
      </c>
      <c r="AP7" s="5" t="str">
        <f>IF(_xlfn.XLOOKUP($B7,rf1_data!$B:$B,rf1_data!AH:AH,"NaN")="","NaN",(_xlfn.XLOOKUP($B7,rf1_data!$B:$B,rf1_data!AH:AH,"NaN")))</f>
        <v>NaN</v>
      </c>
      <c r="AQ7" s="5" t="str">
        <f>IF(_xlfn.XLOOKUP($B7,rf1_data!$B:$B,rf1_data!AI:AI,"NaN")="","NaN",(_xlfn.XLOOKUP($B7,rf1_data!$B:$B,rf1_data!AI:AI,"NaN")))</f>
        <v>NaN</v>
      </c>
      <c r="AR7" s="5" t="str">
        <f>IF(_xlfn.XLOOKUP($B7,rf1_data!$B:$B,rf1_data!AJ:AJ,"NaN")="","NaN",(_xlfn.XLOOKUP($B7,rf1_data!$B:$B,rf1_data!AJ:AJ,"NaN")))</f>
        <v>NaN</v>
      </c>
      <c r="AS7" s="5">
        <f>IF(_xlfn.XLOOKUP($B7,rf1_data!$B:$B,rf1_data!AK:AK,"NaN")="","NaN",(_xlfn.XLOOKUP($B7,rf1_data!$B:$B,rf1_data!AK:AK,"NaN")))</f>
        <v>3.2</v>
      </c>
      <c r="AT7" s="5">
        <f>IF(_xlfn.XLOOKUP($B7,rf1_data!$B:$B,rf1_data!AL:AL,"NaN")="","NaN",(_xlfn.XLOOKUP($B7,rf1_data!$B:$B,rf1_data!AL:AL,"NaN")))</f>
        <v>8</v>
      </c>
      <c r="AU7" s="5">
        <f>IF(_xlfn.XLOOKUP($B7,rf1_data!$B:$B,rf1_data!AM:AM,"NaN")="","NaN",(_xlfn.XLOOKUP($B7,rf1_data!$B:$B,rf1_data!AM:AM,"NaN")))</f>
        <v>2.67</v>
      </c>
      <c r="AV7" s="5">
        <f>IF(_xlfn.XLOOKUP($B7,rf1_data!$B:$B,rf1_data!AN:AN,"NaN")="","NaN",(_xlfn.XLOOKUP($B7,rf1_data!$B:$B,rf1_data!AN:AN,"NaN")))</f>
        <v>0</v>
      </c>
      <c r="AW7" s="5" t="str">
        <f>IF(_xlfn.XLOOKUP($B7,rf1_data!$B:$B,rf1_data!AO:AO,"NaN")="","NaN",(_xlfn.XLOOKUP($B7,rf1_data!$B:$B,rf1_data!AO:AO,"NaN")))</f>
        <v>NaN</v>
      </c>
      <c r="AX7" s="5">
        <f>IF(_xlfn.XLOOKUP($B7,rf1_data!$B:$B,rf1_data!AP:AP,"NaN")="","NaN",(_xlfn.XLOOKUP($B7,rf1_data!$B:$B,rf1_data!AP:AP,"NaN")))</f>
        <v>3.14</v>
      </c>
      <c r="AY7" s="5">
        <f>IF(_xlfn.XLOOKUP($B7,rf1_data!$B:$B,rf1_data!AQ:AQ,"NaN")="","NaN",(_xlfn.XLOOKUP($B7,rf1_data!$B:$B,rf1_data!AQ:AQ,"NaN")))</f>
        <v>110</v>
      </c>
      <c r="AZ7" s="5" t="str">
        <f>IF(_xlfn.XLOOKUP($B7,rf1_data!$B:$B,rf1_data!AR:AR,"NaN")="","NaN",(_xlfn.XLOOKUP($B7,rf1_data!$B:$B,rf1_data!AR:AR,"NaN")))</f>
        <v>NaN</v>
      </c>
      <c r="BA7" s="5" t="str">
        <f>IF(_xlfn.XLOOKUP($B7,rf1_data!$B:$B,rf1_data!AS:AS,"NaN")="","NaN",(_xlfn.XLOOKUP($B7,rf1_data!$B:$B,rf1_data!AS:AS,"NaN")))</f>
        <v>NaN</v>
      </c>
      <c r="BB7" s="5" t="str">
        <f>IF(_xlfn.XLOOKUP($B7,rf1_data!$B:$B,rf1_data!AT:AT,"NaN")="","NaN",(_xlfn.XLOOKUP($B7,rf1_data!$B:$B,rf1_data!AT:AT,"NaN")))</f>
        <v>NaN</v>
      </c>
      <c r="BC7" s="5" t="str">
        <f>IF(_xlfn.XLOOKUP($B7,rf1_data!$B:$B,rf1_data!AU:AU,"NaN")="","NaN",(_xlfn.XLOOKUP($B7,rf1_data!$B:$B,rf1_data!AU:AU,"NaN")))</f>
        <v>NaN</v>
      </c>
      <c r="BD7" s="5" t="str">
        <f>IF(_xlfn.XLOOKUP($B7,rf1_data!$B:$B,rf1_data!AV:AV,"NaN")="","NaN",(_xlfn.XLOOKUP($B7,rf1_data!$B:$B,rf1_data!AV:AV,"NaN")))</f>
        <v>NaN</v>
      </c>
      <c r="BE7" s="5" t="str">
        <f>IF(_xlfn.XLOOKUP($B7,rf1_data!$B:$B,rf1_data!AW:AW,"NaN")="","NaN",(_xlfn.XLOOKUP($B7,rf1_data!$B:$B,rf1_data!AW:AW,"NaN")))</f>
        <v>NaN</v>
      </c>
      <c r="BF7" s="5" t="str">
        <f>IF(_xlfn.XLOOKUP($B7,rf1_data!$B:$B,rf1_data!AX:AX,"NaN")="","NaN",(_xlfn.XLOOKUP($B7,rf1_data!$B:$B,rf1_data!AX:AX,"NaN")))</f>
        <v>NaN</v>
      </c>
      <c r="BG7" s="5" t="str">
        <f>IF(_xlfn.XLOOKUP($B7,rf1_data!$B:$B,rf1_data!AY:AY,"NaN")="","NaN",(_xlfn.XLOOKUP($B7,rf1_data!$B:$B,rf1_data!AY:AY,"NaN")))</f>
        <v>NaN</v>
      </c>
      <c r="BH7" s="5" t="str">
        <f>IF(_xlfn.XLOOKUP($B7,rf1_data!$B:$B,rf1_data!AZ:AZ,"NaN")="","NaN",(_xlfn.XLOOKUP($B7,rf1_data!$B:$B,rf1_data!AZ:AZ,"NaN")))</f>
        <v>NaN</v>
      </c>
      <c r="BI7" s="5">
        <f>IF(_xlfn.XLOOKUP($B7,rf1_data!$B:$B,rf1_data!BA:BA,"NaN")="","NaN",(_xlfn.XLOOKUP($B7,rf1_data!$B:$B,rf1_data!BA:BA,"NaN")))</f>
        <v>20</v>
      </c>
      <c r="BJ7" s="5" t="str">
        <f>IF(_xlfn.XLOOKUP($B7,rf1_data!$B:$B,rf1_data!BB:BB,"NaN")="","NaN",(_xlfn.XLOOKUP($B7,rf1_data!$B:$B,rf1_data!BB:BB,"NaN")))</f>
        <v>NaN</v>
      </c>
      <c r="BK7" s="5" t="str">
        <f>IF(_xlfn.XLOOKUP($B7,rf1_data!$B:$B,rf1_data!BC:BC,"NaN")="","NaN",(_xlfn.XLOOKUP($B7,rf1_data!$B:$B,rf1_data!BC:BC,"NaN")))</f>
        <v>NaN</v>
      </c>
      <c r="BL7" s="5" t="str">
        <f>IF(_xlfn.XLOOKUP($B7,rf1_data!$B:$B,rf1_data!BD:BD,"NaN")="","NaN",(_xlfn.XLOOKUP($B7,rf1_data!$B:$B,rf1_data!BD:BD,"NaN")))</f>
        <v>NaN</v>
      </c>
      <c r="BM7" s="5" t="str">
        <f>IF(_xlfn.XLOOKUP($B7,rf1_data!$B:$B,rf1_data!BE:BE,"NaN")="","NaN",(_xlfn.XLOOKUP($B7,rf1_data!$B:$B,rf1_data!BE:BE,"NaN")))</f>
        <v>NaN</v>
      </c>
      <c r="BN7" s="5" t="str">
        <f>IF(_xlfn.XLOOKUP($B7,rf1_data!$B:$B,rf1_data!BF:BF,"NaN")="","NaN",(_xlfn.XLOOKUP($B7,rf1_data!$B:$B,rf1_data!BF:BF,"NaN")))</f>
        <v>NaN</v>
      </c>
      <c r="BO7" s="5" t="str">
        <f>IF(_xlfn.XLOOKUP($B7,rf1_data!$B:$B,rf1_data!BG:BG,"NaN")="","NaN",(_xlfn.XLOOKUP($B7,rf1_data!$B:$B,rf1_data!BG:BG,"NaN")))</f>
        <v>NaN</v>
      </c>
      <c r="BP7" s="5" t="str">
        <f>IF(_xlfn.XLOOKUP($B7,rf1_data!$B:$B,rf1_data!BH:BH,"NaN")="","NaN",(_xlfn.XLOOKUP($B7,rf1_data!$B:$B,rf1_data!BH:BH,"NaN")))</f>
        <v>NaN</v>
      </c>
      <c r="BQ7" s="5" t="str">
        <f>IF(_xlfn.XLOOKUP($B7,rf1_data!$B:$B,rf1_data!BI:BI,"NaN")="","NaN",(_xlfn.XLOOKUP($B7,rf1_data!$B:$B,rf1_data!BI:BI,"NaN")))</f>
        <v>NaN</v>
      </c>
      <c r="BR7" s="5">
        <f>IF(_xlfn.XLOOKUP($B7,rf1_data!$B:$B,rf1_data!BJ:BJ,"NaN")="","NaN",(_xlfn.XLOOKUP($B7,rf1_data!$B:$B,rf1_data!BJ:BJ,"NaN")))</f>
        <v>8991</v>
      </c>
      <c r="BS7" s="5" t="str">
        <f>IF(_xlfn.XLOOKUP($B7,rf1_data!$B:$B,rf1_data!BK:BK,"NaN")="","NaN",(_xlfn.XLOOKUP($B7,rf1_data!$B:$B,rf1_data!BK:BK,"NaN")))</f>
        <v>NaN</v>
      </c>
      <c r="BT7" s="5" t="str">
        <f>IF(_xlfn.XLOOKUP($B7,rf1_data!$B:$B,rf1_data!BL:BL,"NaN")="","NaN",(_xlfn.XLOOKUP($B7,rf1_data!$B:$B,rf1_data!BL:BL,"NaN")))</f>
        <v>NaN</v>
      </c>
      <c r="BU7" s="5" t="str">
        <f>IF(_xlfn.XLOOKUP($B7,rf1_data!$B:$B,rf1_data!BM:BM,"NaN")="","NaN",(_xlfn.XLOOKUP($B7,rf1_data!$B:$B,rf1_data!BM:BM,"NaN")))</f>
        <v>NaN</v>
      </c>
      <c r="BV7" s="5" t="str">
        <f>IF(_xlfn.XLOOKUP($B7,rf1_data!$B:$B,rf1_data!BN:BN,"NaN")="","NaN",(_xlfn.XLOOKUP($B7,rf1_data!$B:$B,rf1_data!BN:BN,"NaN")))</f>
        <v>NaN</v>
      </c>
      <c r="BW7" s="5">
        <f>IF(_xlfn.XLOOKUP($B7,rf1_data!$B:$B,rf1_data!BO:BO,"NaN")="","NaN",(_xlfn.XLOOKUP($B7,rf1_data!$B:$B,rf1_data!BO:BO,"NaN")))</f>
        <v>3.6</v>
      </c>
      <c r="BX7" s="5">
        <f>IF(_xlfn.XLOOKUP($B7,rf1_data!$B:$B,rf1_data!BP:BP,"NaN")="","NaN",(_xlfn.XLOOKUP($B7,rf1_data!$B:$B,rf1_data!BP:BP,"NaN")))</f>
        <v>4.3</v>
      </c>
      <c r="BY7" s="5">
        <f>IF(_xlfn.XLOOKUP($B7,rf1_data!$B:$B,rf1_data!BQ:BQ,"NaN")="","NaN",(_xlfn.XLOOKUP($B7,rf1_data!$B:$B,rf1_data!BQ:BQ,"NaN")))</f>
        <v>4</v>
      </c>
      <c r="BZ7" s="5">
        <f>IF(_xlfn.XLOOKUP($B7,rf1_data!$B:$B,rf1_data!BR:BR,"NaN")="","NaN",(_xlfn.XLOOKUP($B7,rf1_data!$B:$B,rf1_data!BR:BR,"NaN")))</f>
        <v>3.97</v>
      </c>
      <c r="CA7" s="5">
        <f>IF(_xlfn.XLOOKUP($B7,rf1_data!$B:$B,rf1_data!BS:BS,"NaN")="","NaN",(_xlfn.XLOOKUP($B7,rf1_data!$B:$B,rf1_data!BS:BS,"NaN")))</f>
        <v>6</v>
      </c>
      <c r="CB7" s="5">
        <f>IF(_xlfn.XLOOKUP($B7,rf1_data!$B:$B,rf1_data!BT:BT,"NaN")="","NaN",(_xlfn.XLOOKUP($B7,rf1_data!$B:$B,rf1_data!BT:BT,"NaN")))</f>
        <v>5.1666666666666599</v>
      </c>
      <c r="CC7" s="5">
        <f>IF(_xlfn.XLOOKUP($B7,rf1_data!$B:$B,rf1_data!BU:BU,"NaN")="","NaN",(_xlfn.XLOOKUP($B7,rf1_data!$B:$B,rf1_data!BU:BU,"NaN")))</f>
        <v>6</v>
      </c>
      <c r="CD7" s="5">
        <f>IF(_xlfn.XLOOKUP($B7,rf1_data!$B:$B,rf1_data!BV:BV,"NaN")="","NaN",(_xlfn.XLOOKUP($B7,rf1_data!$B:$B,rf1_data!BV:BV,"NaN")))</f>
        <v>6</v>
      </c>
      <c r="CE7" s="5">
        <f>IF(_xlfn.XLOOKUP($B7,rf1_data!$B:$B,rf1_data!BW:BW,"NaN")="","NaN",(_xlfn.XLOOKUP($B7,rf1_data!$B:$B,rf1_data!BW:BW,"NaN")))</f>
        <v>0.5</v>
      </c>
      <c r="CF7" s="5">
        <f>IF(_xlfn.XLOOKUP($B7,rf1_data!$B:$B,rf1_data!BX:BX,"NaN")="","NaN",(_xlfn.XLOOKUP($B7,rf1_data!$B:$B,rf1_data!BX:BX,"NaN")))</f>
        <v>4</v>
      </c>
      <c r="CG7" s="5">
        <f>IF(_xlfn.XLOOKUP($B7,rf1_data!$B:$B,rf1_data!BY:BY,"NaN")="","NaN",(_xlfn.XLOOKUP($B7,rf1_data!$B:$B,rf1_data!BY:BY,"NaN")))</f>
        <v>1</v>
      </c>
      <c r="CH7" s="5">
        <f>IF(_xlfn.XLOOKUP($B7,rf1_data!$B:$B,rf1_data!BZ:BZ,"NaN")="","NaN",(_xlfn.XLOOKUP($B7,rf1_data!$B:$B,rf1_data!BZ:BZ,"NaN")))</f>
        <v>20</v>
      </c>
      <c r="CI7" s="5">
        <f>IF(_xlfn.XLOOKUP($B7,rf1_data!$B:$B,rf1_data!CA:CA,"NaN")="","NaN",(_xlfn.XLOOKUP($B7,rf1_data!$B:$B,rf1_data!CA:CA,"NaN")))</f>
        <v>23</v>
      </c>
      <c r="CJ7" s="5">
        <f>IF(_xlfn.XLOOKUP($B7,rf1_data!$B:$B,rf1_data!CB:CB,"NaN")="","NaN",(_xlfn.XLOOKUP($B7,rf1_data!$B:$B,rf1_data!CB:CB,"NaN")))</f>
        <v>4</v>
      </c>
      <c r="CK7" s="5">
        <f>IF(_xlfn.XLOOKUP($B7,rf1_data!$B:$B,rf1_data!CC:CC,"NaN")="","NaN",(_xlfn.XLOOKUP($B7,rf1_data!$B:$B,rf1_data!CC:CC,"NaN")))</f>
        <v>0.5</v>
      </c>
      <c r="CL7" s="5">
        <f>IF(_xlfn.XLOOKUP($B7,rf1_data!$B:$B,rf1_data!CD:CD,"NaN")=0,"NaN",(_xlfn.XLOOKUP($B7,rf1_data!$B:$B,rf1_data!CD:CD,"NaN")))</f>
        <v>20</v>
      </c>
      <c r="CM7" s="5" t="str">
        <f>IF(_xlfn.XLOOKUP($B7,rf1_data!$B:$B,rf1_data!CE:CE,"NaN")="","NaN",(_xlfn.XLOOKUP($B7,rf1_data!$B:$B,rf1_data!CE:CE,"NaN")))</f>
        <v>NaN</v>
      </c>
      <c r="CN7" s="5" t="str">
        <f>IF(_xlfn.XLOOKUP($B7,rf1_data!$B:$B,rf1_data!CF:CF,"NaN")="","NaN",(_xlfn.XLOOKUP($B7,rf1_data!$B:$B,rf1_data!CF:CF,"NaN")))</f>
        <v>NaN</v>
      </c>
      <c r="CO7" s="5">
        <f>IF(_xlfn.XLOOKUP($B7,rf1_data!$B:$B,rf1_data!CG:CG,"NaN")="","NaN",(_xlfn.XLOOKUP($B7,rf1_data!$B:$B,rf1_data!CG:CG,"NaN")))</f>
        <v>31</v>
      </c>
      <c r="CP7" s="5">
        <f>IF(_xlfn.XLOOKUP($B7,rf1_data!$B:$B,rf1_data!CH:CH,"NaN")=0,"NaN",(_xlfn.XLOOKUP($B7,rf1_data!$B:$B,rf1_data!CH:CH,"NaN")))</f>
        <v>27</v>
      </c>
      <c r="CQ7" s="5">
        <f>IF(_xlfn.XLOOKUP($B7,rf1_data!$B:$B,rf1_data!CI:CI,"NaN")="","NaN",(_xlfn.XLOOKUP($B7,rf1_data!$B:$B,rf1_data!CI:CI,"NaN")))</f>
        <v>37</v>
      </c>
      <c r="CR7" s="5">
        <f>IF(_xlfn.XLOOKUP($B7,rf1_data!$B:$B,rf1_data!CJ:CJ,"NaN")="","NaN",(_xlfn.XLOOKUP($B7,rf1_data!$B:$B,rf1_data!CJ:CJ,"NaN")))</f>
        <v>60</v>
      </c>
      <c r="CS7" s="5">
        <f>IF(_xlfn.XLOOKUP($B7,rf1_data!$B:$B,rf1_data!CK:CK,"NaN")="","NaN",(_xlfn.XLOOKUP($B7,rf1_data!$B:$B,rf1_data!CK:CK,"NaN")))</f>
        <v>30</v>
      </c>
      <c r="CT7" s="5">
        <f>IF(_xlfn.XLOOKUP($B7,rf1_data!$B:$B,rf1_data!CL:CL,"NaN")="","NaN",(_xlfn.XLOOKUP($B7,rf1_data!$B:$B,rf1_data!CL:CL,"NaN")))</f>
        <v>60</v>
      </c>
      <c r="CU7" s="5">
        <f>IF(_xlfn.XLOOKUP($B7,rf1_data!$B:$B,rf1_data!CM:CM,"NaN")="","NaN",(_xlfn.XLOOKUP($B7,rf1_data!$B:$B,rf1_data!CM:CM,"NaN")))</f>
        <v>19</v>
      </c>
      <c r="CV7" s="5">
        <f>IF(_xlfn.XLOOKUP($B7,rf1_data!$B:$B,rf1_data!CN:CN,"NaN")="","NaN",(_xlfn.XLOOKUP($B7,rf1_data!$B:$B,rf1_data!CN:CN,"NaN")))</f>
        <v>60</v>
      </c>
      <c r="CW7" s="5" t="str">
        <f>IF(_xlfn.XLOOKUP($B7,rf1_data!$B:$B,rf1_data!CO:CO,"NaN")="","NaN",(_xlfn.XLOOKUP($B7,rf1_data!$B:$B,rf1_data!CO:CO,"NaN")))</f>
        <v>NaN</v>
      </c>
      <c r="CX7" s="5" t="str">
        <f>IF(_xlfn.XLOOKUP($B7,rf1_data!$B:$B,rf1_data!CP:CP,"NaN")="","NaN",(_xlfn.XLOOKUP($B7,rf1_data!$B:$B,rf1_data!CP:CP,"NaN")))</f>
        <v>NaN</v>
      </c>
      <c r="CY7" s="5">
        <f>IF(_xlfn.XLOOKUP($B7,rf1_data!$B:$B,rf1_data!CQ:CQ,"NaN")="","NaN",(_xlfn.XLOOKUP($B7,rf1_data!$B:$B,rf1_data!CQ:CQ,"NaN")))</f>
        <v>3</v>
      </c>
      <c r="CZ7" s="5">
        <f>IF(_xlfn.XLOOKUP($B7,rf1_data!$B:$B,rf1_data!CR:CR,"NaN")="","NaN",(_xlfn.XLOOKUP($B7,rf1_data!$B:$B,rf1_data!CR:CR,"NaN")))</f>
        <v>1</v>
      </c>
      <c r="DA7" s="5">
        <f>IF(_xlfn.XLOOKUP($B7,rf1_data!$B:$B,rf1_data!CS:CS,"NaN")="","NaN",(_xlfn.XLOOKUP($B7,rf1_data!$B:$B,rf1_data!CS:CS,"NaN")))</f>
        <v>1</v>
      </c>
      <c r="DB7" s="4">
        <f>IF(_xlfn.XLOOKUP($B7,island_data!$B:$B,island_data!H:H,"NaN")="","NaN",_xlfn.XLOOKUP($B7,island_data!$B:$B,island_data!H:H,"NaN"))</f>
        <v>0</v>
      </c>
      <c r="DC7" s="4">
        <f>IF(_xlfn.XLOOKUP($B7,island_data!$B:$B,island_data!I:I,"NaN")="","NaN",_xlfn.XLOOKUP($B7,island_data!$B:$B,island_data!I:I,"NaN"))</f>
        <v>0</v>
      </c>
      <c r="DD7" s="4">
        <f>IF(_xlfn.XLOOKUP($B7,island_data!$B:$B,island_data!J:J,"NaN")="","NaN",_xlfn.XLOOKUP($B7,island_data!$B:$B,island_data!J:J,"NaN"))</f>
        <v>8</v>
      </c>
      <c r="DE7" s="4">
        <f>IF(_xlfn.XLOOKUP($B7,island_data!$B:$B,island_data!K:K,"NaN")="","NaN",_xlfn.XLOOKUP($B7,island_data!$B:$B,island_data!K:K,"NaN"))</f>
        <v>4</v>
      </c>
      <c r="DF7" s="4">
        <f>IF(_xlfn.XLOOKUP($B7,island_data!$B:$B,island_data!L:L,"NaN")="","NaN",_xlfn.XLOOKUP($B7,island_data!$B:$B,island_data!L:L,"NaN"))</f>
        <v>0</v>
      </c>
      <c r="DG7" s="4">
        <f>IF(_xlfn.XLOOKUP($B7,island_data!$B:$B,island_data!M:M,"NaN")="","NaN",_xlfn.XLOOKUP($B7,island_data!$B:$B,island_data!M:M,"NaN"))</f>
        <v>2.2222222222222001</v>
      </c>
      <c r="DH7" s="4">
        <f>IF(_xlfn.XLOOKUP($B7,island_data!$B:$B,island_data!N:N,"NaN")="","NaN",_xlfn.XLOOKUP($B7,island_data!$B:$B,island_data!N:N,"NaN"))</f>
        <v>12</v>
      </c>
      <c r="DI7" s="4" t="str">
        <f>IF(_xlfn.XLOOKUP($B7,island_data!$B:$B,island_data!O:O,"NaN")=999,"NaN",_xlfn.XLOOKUP($B7,island_data!$B:$B,island_data!O:O,"NaN"))</f>
        <v>NaN</v>
      </c>
      <c r="DJ7" s="4">
        <f>IF(_xlfn.XLOOKUP($B7,island_data!$B:$B,island_data!P:P,"NaN")="","NaN",_xlfn.XLOOKUP($B7,island_data!$B:$B,island_data!P:P,"NaN"))</f>
        <v>7</v>
      </c>
      <c r="DK7" s="4">
        <f>IF(_xlfn.XLOOKUP($B7,island_data!$B:$B,island_data!Q:Q,"NaN")="","NaN",_xlfn.XLOOKUP($B7,island_data!$B:$B,island_data!Q:Q,"NaN"))</f>
        <v>2</v>
      </c>
      <c r="DL7" s="4" t="str">
        <f>IF(_xlfn.XLOOKUP($B7,island_data!$B:$B,island_data!R:R,"NaN")=999,"NaN",_xlfn.XLOOKUP($B7,island_data!$B:$B,island_data!R:R,"NaN"))</f>
        <v>NaN</v>
      </c>
      <c r="DM7" s="4">
        <f>IF(_xlfn.XLOOKUP($B7,island_data!$B:$B,island_data!S:S,"NaN")="","NaN",_xlfn.XLOOKUP($B7,island_data!$B:$B,island_data!S:S,"NaN"))</f>
        <v>11</v>
      </c>
      <c r="DN7" s="4">
        <f>IF(_xlfn.XLOOKUP($B7,island_data!$B:$B,island_data!T:T,"NaN")="","NaN",_xlfn.XLOOKUP($B7,island_data!$B:$B,island_data!T:T,"NaN"))</f>
        <v>4.25</v>
      </c>
      <c r="DO7" s="4">
        <f>IF(_xlfn.XLOOKUP($B7,island_data!$B:$B,island_data!U:U,"NaN")="","NaN",_xlfn.XLOOKUP($B7,island_data!$B:$B,island_data!U:U,"NaN"))</f>
        <v>6</v>
      </c>
      <c r="DP7" s="4">
        <f>IF(_xlfn.XLOOKUP($B7,island_data!$B:$B,island_data!V:V,"NaN")="","NaN",_xlfn.XLOOKUP($B7,island_data!$B:$B,island_data!V:V,"NaN"))</f>
        <v>1</v>
      </c>
      <c r="DQ7" s="4">
        <f>IF(_xlfn.XLOOKUP($B7,island_data!$B:$B,island_data!W:W,"NaN")="","NaN",_xlfn.XLOOKUP($B7,island_data!$B:$B,island_data!W:W,"NaN"))</f>
        <v>7</v>
      </c>
      <c r="DR7" s="4">
        <f>IF(_xlfn.XLOOKUP($B7,island_data!$B:$B,island_data!X:X,"NaN")="","NaN",_xlfn.XLOOKUP($B7,island_data!$B:$B,island_data!X:X,"NaN"))</f>
        <v>6</v>
      </c>
      <c r="DS7" s="4" t="str">
        <f>IF(_xlfn.XLOOKUP($B7,island_data!$B:$B,island_data!Y:Y,"NaN")="","NaN",_xlfn.XLOOKUP($B7,island_data!$B:$B,island_data!Y:Y,"NaN"))</f>
        <v>NaN</v>
      </c>
      <c r="DT7" s="4" t="str">
        <f>IF(_xlfn.XLOOKUP($B7,island_data!$B:$B,island_data!Z:Z,"NaN")="","NaN",_xlfn.XLOOKUP($B7,island_data!$B:$B,island_data!Z:Z,"NaN"))</f>
        <v>NaN</v>
      </c>
      <c r="DU7" s="4" t="str">
        <f>IF(_xlfn.XLOOKUP($B7,island_data!$B:$B,island_data!AA:AA,"NaN")="","NaN",_xlfn.XLOOKUP($B7,island_data!$B:$B,island_data!AA:AA,"NaN"))</f>
        <v>NaN</v>
      </c>
      <c r="DV7" s="4" t="str">
        <f>IF(_xlfn.XLOOKUP($B7,island_data!$B:$B,island_data!AB:AB,"NaN")="","NaN",_xlfn.XLOOKUP($B7,island_data!$B:$B,island_data!AB:AB,"NaN"))</f>
        <v>NaN</v>
      </c>
      <c r="DW7" s="4">
        <f>IF(_xlfn.XLOOKUP($B7,island_data!$B:$B,island_data!AC:AC,"NaN")="","NaN",_xlfn.XLOOKUP($B7,island_data!$B:$B,island_data!AC:AC,"NaN"))</f>
        <v>90044</v>
      </c>
      <c r="DX7" s="4">
        <f>IF(_xlfn.XLOOKUP($B7,island_data!$B:$B,island_data!AD:AD,"NaN")="","NaN",_xlfn.XLOOKUP($B7,island_data!$B:$B,island_data!AD:AD,"NaN"))</f>
        <v>7</v>
      </c>
      <c r="DY7" s="4">
        <f>IF(_xlfn.XLOOKUP($B7,island_data!$B:$B,island_data!AE:AE,"NaN")="","NaN",_xlfn.XLOOKUP($B7,island_data!$B:$B,island_data!AE:AE,"NaN"))</f>
        <v>1</v>
      </c>
      <c r="DZ7" s="4" t="str">
        <f>IF(_xlfn.XLOOKUP($B7,island_data!$B:$B,island_data!AF:AF,"NaN")="","NaN",_xlfn.XLOOKUP($B7,island_data!$B:$B,island_data!AF:AF,"NaN"))</f>
        <v>NaN</v>
      </c>
      <c r="EA7" s="4" t="str">
        <f>IF(_xlfn.XLOOKUP($B7,island_data!$B:$B,island_data!AG:AG,"NaN")="","NaN",_xlfn.XLOOKUP($B7,island_data!$B:$B,island_data!AG:AG,"NaN"))</f>
        <v>NaN</v>
      </c>
      <c r="EB7" s="4" t="str">
        <f>IF(_xlfn.XLOOKUP($B7,island_data!$B:$B,island_data!AH:AH,"NaN")="","NaN",_xlfn.XLOOKUP($B7,island_data!$B:$B,island_data!AH:AH,"NaN"))</f>
        <v>NaN</v>
      </c>
      <c r="EC7" s="4" t="str">
        <f>IF(_xlfn.XLOOKUP($B7,island_data!$B:$B,island_data!AI:AI,"NaN")="","NaN",_xlfn.XLOOKUP($B7,island_data!$B:$B,island_data!AI:AI,"NaN"))</f>
        <v>NaN</v>
      </c>
      <c r="ED7" s="4" t="str">
        <f>IF(_xlfn.XLOOKUP($B7,island_data!$B:$B,island_data!AJ:AJ,"NaN")="","NaN",_xlfn.XLOOKUP($B7,island_data!$B:$B,island_data!AJ:AJ,"NaN"))</f>
        <v>NaN</v>
      </c>
      <c r="EE7" s="4" t="str">
        <f>IF(_xlfn.XLOOKUP($B7,island_data!$B:$B,island_data!AK:AK,"NaN")="","NaN",_xlfn.XLOOKUP($B7,island_data!$B:$B,island_data!AK:AK,"NaN"))</f>
        <v>NaN</v>
      </c>
      <c r="EF7" s="4" t="str">
        <f>IF(_xlfn.XLOOKUP($B7,island_data!$B:$B,island_data!AL:AL,"NaN")="","NaN",_xlfn.XLOOKUP($B7,island_data!$B:$B,island_data!AL:AL,"NaN"))</f>
        <v>NaN</v>
      </c>
      <c r="EG7" s="4" t="str">
        <f>IF(_xlfn.XLOOKUP($B7,island_data!$B:$B,island_data!AM:AM,"NaN")="","NaN",_xlfn.XLOOKUP($B7,island_data!$B:$B,island_data!AM:AM,"NaN"))</f>
        <v>NaN</v>
      </c>
      <c r="EH7" s="4">
        <f>IF(_xlfn.XLOOKUP($B7,island_data!$B:$B,island_data!AN:AN,"NaN")="","NaN",_xlfn.XLOOKUP($B7,island_data!$B:$B,island_data!AN:AN,"NaN"))</f>
        <v>0</v>
      </c>
      <c r="EI7" s="4" t="str">
        <f>IF(_xlfn.XLOOKUP($B7,island_data!$B:$B,island_data!AO:AO,"NaN")="","NaN",_xlfn.XLOOKUP($B7,island_data!$B:$B,island_data!AO:AO,"NaN"))</f>
        <v>NaN</v>
      </c>
      <c r="EJ7" s="8">
        <f>IF(_xlfn.XLOOKUP($A7,TabCAT!$A:$A,TabCAT!AU:AU,"NaN")="","NaN",(_xlfn.XLOOKUP($A7,TabCAT!$A:$A,TabCAT!AU:AU,"NaN")))</f>
        <v>315</v>
      </c>
      <c r="EK7" s="8" t="b">
        <f>IF(_xlfn.XLOOKUP($A7,TabCAT!$A:$A,TabCAT!AV:AV,"NaN")="","NaN",(_xlfn.XLOOKUP($A7,TabCAT!$A:$A,TabCAT!AV:AV,"NaN")))</f>
        <v>1</v>
      </c>
      <c r="EL7" s="8">
        <f>IF(_xlfn.XLOOKUP($A7,TabCAT!$A:$A,TabCAT!AW:AW,"NaN")="","NaN",(_xlfn.XLOOKUP($A7,TabCAT!$A:$A,TabCAT!AW:AW,"NaN")))</f>
        <v>6</v>
      </c>
      <c r="EM7" s="8">
        <f>IF(_xlfn.XLOOKUP($A7,TabCAT!$A:$A,TabCAT!AX:AX,"NaN")="","NaN",(_xlfn.XLOOKUP($A7,TabCAT!$A:$A,TabCAT!AX:AX,"NaN")))</f>
        <v>0</v>
      </c>
      <c r="EN7" s="8">
        <f>IF(_xlfn.XLOOKUP($A7,TabCAT!$A:$A,TabCAT!AY:AY,"NaN")="","NaN",(_xlfn.XLOOKUP($A7,TabCAT!$A:$A,TabCAT!AY:AY,"NaN")))</f>
        <v>7.95</v>
      </c>
      <c r="EO7" s="8">
        <f>IF(_xlfn.XLOOKUP($A7,TabCAT!$A:$A,TabCAT!AZ:AZ,"NaN")="","NaN",(_xlfn.XLOOKUP($A7,TabCAT!$A:$A,TabCAT!AZ:AZ,"NaN")))</f>
        <v>31</v>
      </c>
      <c r="EP7" s="8">
        <f>IF(_xlfn.XLOOKUP($A7,TabCAT!$A:$A,TabCAT!BA:BA,"NaN")="","NaN",(_xlfn.XLOOKUP($A7,TabCAT!$A:$A,TabCAT!BA:BA,"NaN")))</f>
        <v>0.81256499999999998</v>
      </c>
      <c r="EQ7" s="8">
        <f>IF(_xlfn.XLOOKUP($A7,TabCAT!$A:$A,TabCAT!BB:BB,"NaN")="","NaN",(_xlfn.XLOOKUP($A7,TabCAT!$A:$A,TabCAT!BB:BB,"NaN")))</f>
        <v>0.129618185582768</v>
      </c>
      <c r="ER7" s="8">
        <f>IF(_xlfn.XLOOKUP($A7,TabCAT!$A:$A,TabCAT!BC:BC,"NaN")="","NaN",(_xlfn.XLOOKUP($A7,TabCAT!$A:$A,TabCAT!BC:BC,"NaN")))</f>
        <v>16</v>
      </c>
      <c r="ES7" s="8">
        <f>IF(_xlfn.XLOOKUP($A7,TabCAT!$A:$A,TabCAT!BD:BD,"NaN")="","NaN",(_xlfn.XLOOKUP($A7,TabCAT!$A:$A,TabCAT!BD:BD,"NaN")))</f>
        <v>0.72964799999999996</v>
      </c>
      <c r="ET7" s="8">
        <f>IF(_xlfn.XLOOKUP($A7,TabCAT!$A:$A,TabCAT!BE:BE,"NaN")="","NaN",(_xlfn.XLOOKUP($A7,TabCAT!$A:$A,TabCAT!BE:BE,"NaN")))</f>
        <v>15</v>
      </c>
      <c r="EU7" s="8">
        <f>IF(_xlfn.XLOOKUP($A7,TabCAT!$A:$A,TabCAT!BF:BF,"NaN")="","NaN",(_xlfn.XLOOKUP($A7,TabCAT!$A:$A,TabCAT!BF:BF,"NaN")))</f>
        <v>0.87082300000000001</v>
      </c>
      <c r="EV7" s="8" t="str">
        <f>IF(_xlfn.XLOOKUP($A7,TabCAT!$A:$A,TabCAT!BG:BG,"NaN")="","NaN",(_xlfn.XLOOKUP($A7,TabCAT!$A:$A,TabCAT!BG:BG,"NaN")))</f>
        <v>NaN</v>
      </c>
      <c r="EW7" s="8" t="str">
        <f>IF(_xlfn.XLOOKUP($A7,TabCAT!$A:$A,TabCAT!BH:BH,"NaN")="","NaN",(_xlfn.XLOOKUP($A7,TabCAT!$A:$A,TabCAT!BH:BH,"NaN")))</f>
        <v>3.0.0</v>
      </c>
      <c r="EX7" s="8" t="str">
        <f>IF(_xlfn.XLOOKUP($A7,TabCAT!$A:$A,TabCAT!BI:BI,"NaN")="","NaN",(_xlfn.XLOOKUP($A7,TabCAT!$A:$A,TabCAT!BI:BI,"NaN")))</f>
        <v>English</v>
      </c>
      <c r="EY7" s="8">
        <f>IF(_xlfn.XLOOKUP($A7,TabCAT!$A:$A,TabCAT!BJ:BJ,"NaN")="","NaN",(_xlfn.XLOOKUP($A7,TabCAT!$A:$A,TabCAT!BJ:BJ,"NaN")))</f>
        <v>263</v>
      </c>
      <c r="EZ7" s="8">
        <f>IF(_xlfn.XLOOKUP($A7,TabCAT!$A:$A,TabCAT!BK:BK,"NaN")="","NaN",(_xlfn.XLOOKUP($A7,TabCAT!$A:$A,TabCAT!BK:BK,"NaN")))</f>
        <v>1</v>
      </c>
      <c r="FA7" s="8">
        <f>IF(_xlfn.XLOOKUP($A7,TabCAT!$A:$A,TabCAT!BL:BL,"NaN")="","NaN",(_xlfn.XLOOKUP($A7,TabCAT!$A:$A,TabCAT!BL:BL,"NaN")))</f>
        <v>5</v>
      </c>
      <c r="FB7" s="8">
        <f>IF(_xlfn.XLOOKUP($A7,TabCAT!$A:$A,TabCAT!BM:BM,"NaN")="","NaN",(_xlfn.XLOOKUP($A7,TabCAT!$A:$A,TabCAT!BM:BM,"NaN")))</f>
        <v>0.83333333333333304</v>
      </c>
      <c r="FC7" s="8">
        <f>IF(_xlfn.XLOOKUP($A7,TabCAT!$A:$A,TabCAT!BN:BN,"NaN")="","NaN",(_xlfn.XLOOKUP($A7,TabCAT!$A:$A,TabCAT!BN:BN,"NaN")))</f>
        <v>4</v>
      </c>
      <c r="FD7" s="8">
        <f>IF(_xlfn.XLOOKUP($A7,TabCAT!$A:$A,TabCAT!BO:BO,"NaN")="","NaN",(_xlfn.XLOOKUP($A7,TabCAT!$A:$A,TabCAT!BO:BO,"NaN")))</f>
        <v>9</v>
      </c>
      <c r="FE7" s="8">
        <f>IF(_xlfn.XLOOKUP($A7,TabCAT!$A:$A,TabCAT!BP:BP,"NaN")="","NaN",(_xlfn.XLOOKUP($A7,TabCAT!$A:$A,TabCAT!BP:BP,"NaN")))</f>
        <v>1</v>
      </c>
      <c r="FF7" s="8">
        <f>IF(_xlfn.XLOOKUP($A7,TabCAT!$A:$A,TabCAT!BQ:BQ,"NaN")="","NaN",(_xlfn.XLOOKUP($A7,TabCAT!$A:$A,TabCAT!BQ:BQ,"NaN")))</f>
        <v>9</v>
      </c>
      <c r="FG7" s="8">
        <f>IF(_xlfn.XLOOKUP($A7,TabCAT!$A:$A,TabCAT!BR:BR,"NaN")="","NaN",(_xlfn.XLOOKUP($A7,TabCAT!$A:$A,TabCAT!BR:BR,"NaN")))</f>
        <v>10</v>
      </c>
      <c r="FH7" s="8">
        <f>IF(_xlfn.XLOOKUP($A7,TabCAT!$A:$A,TabCAT!BS:BS,"NaN")="","NaN",(_xlfn.XLOOKUP($A7,TabCAT!$A:$A,TabCAT!BS:BS,"NaN")))</f>
        <v>0.83333333333333304</v>
      </c>
      <c r="FI7" s="8">
        <f>IF(_xlfn.XLOOKUP($A7,TabCAT!$A:$A,TabCAT!BT:BT,"NaN")="","NaN",(_xlfn.XLOOKUP($A7,TabCAT!$A:$A,TabCAT!BT:BT,"NaN")))</f>
        <v>9.5</v>
      </c>
      <c r="FJ7" s="8">
        <f>IF(_xlfn.XLOOKUP($A7,TabCAT!$A:$A,TabCAT!BU:BU,"NaN")="","NaN",(_xlfn.XLOOKUP($A7,TabCAT!$A:$A,TabCAT!BU:BU,"NaN")))</f>
        <v>13</v>
      </c>
      <c r="FK7" s="8">
        <f>IF(_xlfn.XLOOKUP($A7,TabCAT!$A:$A,TabCAT!BV:BV,"NaN")="","NaN",(_xlfn.XLOOKUP($A7,TabCAT!$A:$A,TabCAT!BV:BV,"NaN")))</f>
        <v>0.86666666666666603</v>
      </c>
      <c r="FL7" s="8">
        <f>IF(_xlfn.XLOOKUP($A7,TabCAT!$A:$A,TabCAT!BW:BW,"NaN")="","NaN",(_xlfn.XLOOKUP($A7,TabCAT!$A:$A,TabCAT!BW:BW,"NaN")))</f>
        <v>7.5</v>
      </c>
      <c r="FM7" s="8">
        <f>IF(_xlfn.XLOOKUP($A7,TabCAT!$A:$A,TabCAT!BX:BX,"NaN")="","NaN",(_xlfn.XLOOKUP($A7,TabCAT!$A:$A,TabCAT!BX:BX,"NaN")))</f>
        <v>37</v>
      </c>
      <c r="FN7" s="8">
        <f>IF(_xlfn.XLOOKUP($A7,TabCAT!$A:$A,TabCAT!BY:BY,"NaN")="","NaN",(_xlfn.XLOOKUP($A7,TabCAT!$A:$A,TabCAT!BY:BY,"NaN")))</f>
        <v>0.88095238095238004</v>
      </c>
      <c r="FO7" s="8">
        <f>IF(_xlfn.XLOOKUP($A7,TabCAT!$A:$A,TabCAT!BZ:BZ,"NaN")="","NaN",(_xlfn.XLOOKUP($A7,TabCAT!$A:$A,TabCAT!BZ:BZ,"NaN")))</f>
        <v>30</v>
      </c>
      <c r="FP7" s="8" t="str">
        <f>IF(_xlfn.XLOOKUP($A7,TabCAT!$A:$A,TabCAT!CA:CA,"NaN")="","NaN",(_xlfn.XLOOKUP($A7,TabCAT!$A:$A,TabCAT!CA:CA,"NaN")))</f>
        <v>3.0.0</v>
      </c>
      <c r="FQ7" s="8" t="str">
        <f>IF(_xlfn.XLOOKUP($A7,TabCAT!$A:$A,TabCAT!CB:CB,"NaN")="","NaN",(_xlfn.XLOOKUP($A7,TabCAT!$A:$A,TabCAT!CB:CB,"NaN")))</f>
        <v>English</v>
      </c>
      <c r="FR7" s="8">
        <f>IF(_xlfn.XLOOKUP($A7,TabCAT!$A:$A,TabCAT!CC:CC,"NaN")="","NaN",(_xlfn.XLOOKUP($A7,TabCAT!$A:$A,TabCAT!CC:CC,"NaN")))</f>
        <v>224</v>
      </c>
      <c r="FS7" s="8" t="b">
        <f>IF(_xlfn.XLOOKUP($A7,TabCAT!$A:$A,TabCAT!CD:CD,"NaN")="","NaN",(_xlfn.XLOOKUP($A7,TabCAT!$A:$A,TabCAT!CD:CD,"NaN")))</f>
        <v>1</v>
      </c>
      <c r="FT7" s="8">
        <f>IF(_xlfn.XLOOKUP($A7,TabCAT!$A:$A,TabCAT!CE:CE,"NaN")="","NaN",(_xlfn.XLOOKUP($A7,TabCAT!$A:$A,TabCAT!CE:CE,"NaN")))</f>
        <v>8</v>
      </c>
      <c r="FU7" s="8">
        <f>IF(_xlfn.XLOOKUP($A7,TabCAT!$A:$A,TabCAT!CF:CF,"NaN")="","NaN",(_xlfn.XLOOKUP($A7,TabCAT!$A:$A,TabCAT!CF:CF,"NaN")))</f>
        <v>0</v>
      </c>
      <c r="FV7" s="8">
        <f>IF(_xlfn.XLOOKUP($A7,TabCAT!$A:$A,TabCAT!CG:CG,"NaN")="","NaN",(_xlfn.XLOOKUP($A7,TabCAT!$A:$A,TabCAT!CG:CG,"NaN")))</f>
        <v>6.85</v>
      </c>
      <c r="FW7" s="8">
        <f>IF(_xlfn.XLOOKUP($A7,TabCAT!$A:$A,TabCAT!CH:CH,"NaN")="","NaN",(_xlfn.XLOOKUP($A7,TabCAT!$A:$A,TabCAT!CH:CH,"NaN")))</f>
        <v>15</v>
      </c>
      <c r="FX7" s="8">
        <f>IF(_xlfn.XLOOKUP($A7,TabCAT!$A:$A,TabCAT!CI:CI,"NaN")="","NaN",(_xlfn.XLOOKUP($A7,TabCAT!$A:$A,TabCAT!CI:CI,"NaN")))</f>
        <v>0.763123</v>
      </c>
      <c r="FY7" s="8">
        <f>IF(_xlfn.XLOOKUP($A7,TabCAT!$A:$A,TabCAT!CJ:CJ,"NaN")="","NaN",(_xlfn.XLOOKUP($A7,TabCAT!$A:$A,TabCAT!CJ:CJ,"NaN")))</f>
        <v>16</v>
      </c>
      <c r="FZ7" s="8">
        <f>IF(_xlfn.XLOOKUP($A7,TabCAT!$A:$A,TabCAT!CK:CK,"NaN")="","NaN",(_xlfn.XLOOKUP($A7,TabCAT!$A:$A,TabCAT!CK:CK,"NaN")))</f>
        <v>0.67995300000000003</v>
      </c>
      <c r="GA7" s="8">
        <f>IF(_xlfn.XLOOKUP($A7,TabCAT!$A:$A,TabCAT!CL:CL,"NaN")="","NaN",(_xlfn.XLOOKUP($A7,TabCAT!$A:$A,TabCAT!CL:CL,"NaN")))</f>
        <v>29</v>
      </c>
      <c r="GB7" s="8">
        <f>IF(_xlfn.XLOOKUP($A7,TabCAT!$A:$A,TabCAT!CM:CM,"NaN")="","NaN",(_xlfn.XLOOKUP($A7,TabCAT!$A:$A,TabCAT!CM:CM,"NaN")))</f>
        <v>1.0128459999999999</v>
      </c>
      <c r="GC7" s="8">
        <f>IF(_xlfn.XLOOKUP($A7,TabCAT!$A:$A,TabCAT!CN:CN,"NaN")="","NaN",(_xlfn.XLOOKUP($A7,TabCAT!$A:$A,TabCAT!CN:CN,"NaN")))</f>
        <v>19</v>
      </c>
      <c r="GD7" s="8">
        <f>IF(_xlfn.XLOOKUP($A7,TabCAT!$A:$A,TabCAT!CO:CO,"NaN")="","NaN",(_xlfn.XLOOKUP($A7,TabCAT!$A:$A,TabCAT!CO:CO,"NaN")))</f>
        <v>0.996309</v>
      </c>
      <c r="GE7" s="8">
        <f>IF(_xlfn.XLOOKUP($A7,TabCAT!$A:$A,TabCAT!CP:CP,"NaN")="","NaN",(_xlfn.XLOOKUP($A7,TabCAT!$A:$A,TabCAT!CP:CP,"NaN")))</f>
        <v>0.31287724731177802</v>
      </c>
      <c r="GF7" s="8">
        <f>IF(_xlfn.XLOOKUP($A7,TabCAT!$A:$A,TabCAT!CQ:CQ,"NaN")="","NaN",(_xlfn.XLOOKUP($A7,TabCAT!$A:$A,TabCAT!CQ:CQ,"NaN")))</f>
        <v>51</v>
      </c>
      <c r="GG7" s="8">
        <f>IF(_xlfn.XLOOKUP($A7,TabCAT!$A:$A,TabCAT!CR:CR,"NaN")="","NaN",(_xlfn.XLOOKUP($A7,TabCAT!$A:$A,TabCAT!CR:CR,"NaN")))</f>
        <v>0.763123</v>
      </c>
      <c r="GH7" s="8" t="str">
        <f>IF(_xlfn.XLOOKUP($A7,TabCAT!$A:$A,TabCAT!CS:CS,"NaN")="","NaN",(_xlfn.XLOOKUP($A7,TabCAT!$A:$A,TabCAT!CS:CS,"NaN")))</f>
        <v>NaN</v>
      </c>
    </row>
    <row r="8" spans="1:190" x14ac:dyDescent="0.2">
      <c r="A8">
        <v>10478</v>
      </c>
      <c r="B8">
        <f>_xlfn.XLOOKUP(bippity_poppity_boo!A8,rf1_data!A:A,rf1_data!B:B)</f>
        <v>201495</v>
      </c>
      <c r="C8" s="2">
        <f>(_xlfn.XLOOKUP($A8,trust!$A:$A,trust!B:B,"NaN"))</f>
        <v>4.4000000000000004</v>
      </c>
      <c r="D8" s="2">
        <f>(_xlfn.XLOOKUP($A8,trust!$A:$A,trust!C:C,"NaN"))</f>
        <v>4.8333329999999997</v>
      </c>
      <c r="E8" s="2">
        <f>(_xlfn.XLOOKUP($A8,trust!$A:$A,trust!D:D,"NaN"))</f>
        <v>5</v>
      </c>
      <c r="F8" s="2">
        <f>(_xlfn.XLOOKUP($A8,trust!$A:$A,trust!E:E,"NaN"))</f>
        <v>4.3076920000000003</v>
      </c>
      <c r="G8" s="2">
        <f>(_xlfn.XLOOKUP($A8,trust!$A:$A,trust!F:F,"NaN"))</f>
        <v>5.5714290000000002</v>
      </c>
      <c r="H8" s="2">
        <f>(_xlfn.XLOOKUP($A8,trust!$A:$A,trust!G:G,"NaN"))</f>
        <v>6.3076920000000003</v>
      </c>
      <c r="I8" s="3">
        <f>IF(_xlfn.XLOOKUP($B8,island_data!$B:$B,island_data!C:C,"NaN")="","NaN",_xlfn.XLOOKUP($B8,island_data!$B:$B,island_data!C:C,"NaN"))</f>
        <v>45105</v>
      </c>
      <c r="J8" s="3">
        <f>IF(_xlfn.XLOOKUP($B8,island_data!$B:$B,island_data!D:D,"NaN")="","NaN",_xlfn.XLOOKUP($B8,island_data!$B:$B,island_data!D:D,"NaN"))</f>
        <v>34703</v>
      </c>
      <c r="K8" s="4">
        <f>IF(_xlfn.XLOOKUP($B8,island_data!$B:$B,island_data!E:E,"NaN")="","NaN",_xlfn.XLOOKUP($B8,island_data!$B:$B,island_data!E:E,"NaN"))</f>
        <v>28.48</v>
      </c>
      <c r="L8" s="5">
        <f>IF(_xlfn.XLOOKUP($B8,rf1_data!$B:$B,rf1_data!D:D,"NaN")="","NaN",(_xlfn.XLOOKUP($B8,rf1_data!$B:$B,rf1_data!D:D,"NaN")))</f>
        <v>27.9</v>
      </c>
      <c r="M8" s="5" t="str">
        <f>IF(_xlfn.XLOOKUP($B8,rf1_data!$B:$B,rf1_data!E:E,"NaN")="","NaN",(_xlfn.XLOOKUP($B8,rf1_data!$B:$B,rf1_data!E:E,"NaN")))</f>
        <v>Asian</v>
      </c>
      <c r="N8" s="5" t="str">
        <f>IF(_xlfn.XLOOKUP($B8,rf1_data!$B:$B,rf1_data!F:F,"NaN")="","NaN",(_xlfn.XLOOKUP($B8,rf1_data!$B:$B,rf1_data!F:F,"NaN")))</f>
        <v>Not Hispanic or Latino</v>
      </c>
      <c r="O8" s="5" t="str">
        <f>IF(_xlfn.XLOOKUP($B8,rf1_data!$B:$B,rf1_data!G:G,"NaN")="","NaN",(_xlfn.XLOOKUP($B8,rf1_data!$B:$B,rf1_data!G:G,"NaN")))</f>
        <v>Female</v>
      </c>
      <c r="P8" s="5">
        <f>IF(_xlfn.XLOOKUP($B8,rf1_data!$B:$B,rf1_data!H:H,"NaN")="","NaN",(_xlfn.XLOOKUP($B8,rf1_data!$B:$B,rf1_data!H:H,"NaN")))</f>
        <v>3.56</v>
      </c>
      <c r="Q8" s="5">
        <f>IF(_xlfn.XLOOKUP($B8,rf1_data!$B:$B,rf1_data!I:I,"NaN")="","NaN",(_xlfn.XLOOKUP($B8,rf1_data!$B:$B,rf1_data!I:I,"NaN")))</f>
        <v>4.22</v>
      </c>
      <c r="R8" s="5">
        <f>IF(_xlfn.XLOOKUP($B8,rf1_data!$B:$B,rf1_data!J:J,"NaN")="","NaN",(_xlfn.XLOOKUP($B8,rf1_data!$B:$B,rf1_data!J:J,"NaN")))</f>
        <v>6</v>
      </c>
      <c r="S8" s="5">
        <f>IF(_xlfn.XLOOKUP($B8,rf1_data!$B:$B,rf1_data!K:K,"NaN")="","NaN",(_xlfn.XLOOKUP($B8,rf1_data!$B:$B,rf1_data!K:K,"NaN")))</f>
        <v>3</v>
      </c>
      <c r="T8" s="5">
        <f>IF(_xlfn.XLOOKUP($B8,rf1_data!$B:$B,rf1_data!L:L,"NaN")="","NaN",(_xlfn.XLOOKUP($B8,rf1_data!$B:$B,rf1_data!L:L,"NaN")))</f>
        <v>0</v>
      </c>
      <c r="U8" s="5" t="str">
        <f>IF(_xlfn.XLOOKUP($B8,rf1_data!$B:$B,rf1_data!M:M,"NaN")="","NaN",(_xlfn.XLOOKUP($B8,rf1_data!$B:$B,rf1_data!M:M,"NaN")))</f>
        <v>NaN</v>
      </c>
      <c r="V8" s="5" t="str">
        <f>IF(_xlfn.XLOOKUP($B8,rf1_data!$B:$B,rf1_data!N:N,"NaN")="","NaN",(_xlfn.XLOOKUP($B8,rf1_data!$B:$B,rf1_data!N:N,"NaN")))</f>
        <v>NaN</v>
      </c>
      <c r="W8" s="5" t="str">
        <f>IF(_xlfn.XLOOKUP($B8,rf1_data!$B:$B,rf1_data!O:O,"NaN")="","NaN",(_xlfn.XLOOKUP($B8,rf1_data!$B:$B,rf1_data!O:O,"NaN")))</f>
        <v>NaN</v>
      </c>
      <c r="X8" s="5" t="str">
        <f>IF(_xlfn.XLOOKUP($B8,rf1_data!$B:$B,rf1_data!P:P,"NaN")="","NaN",(_xlfn.XLOOKUP($B8,rf1_data!$B:$B,rf1_data!P:P,"NaN")))</f>
        <v>NaN</v>
      </c>
      <c r="Y8" s="5" t="str">
        <f>IF(_xlfn.XLOOKUP($B8,rf1_data!$B:$B,rf1_data!Q:Q,"NaN")="","NaN",(_xlfn.XLOOKUP($B8,rf1_data!$B:$B,rf1_data!Q:Q,"NaN")))</f>
        <v>NaN</v>
      </c>
      <c r="Z8" s="5">
        <f>IF(_xlfn.XLOOKUP($B8,rf1_data!$B:$B,rf1_data!R:R,"NaN")="","NaN",(_xlfn.XLOOKUP($B8,rf1_data!$B:$B,rf1_data!R:R,"NaN")))</f>
        <v>37</v>
      </c>
      <c r="AA8" s="5">
        <f>IF(_xlfn.XLOOKUP($B8,rf1_data!$B:$B,rf1_data!S:S,"NaN")="","NaN",(_xlfn.XLOOKUP($B8,rf1_data!$B:$B,rf1_data!S:S,"NaN")))</f>
        <v>9</v>
      </c>
      <c r="AB8" s="5">
        <f>IF(_xlfn.XLOOKUP($B8,rf1_data!$B:$B,rf1_data!T:T,"NaN")="","NaN",(_xlfn.XLOOKUP($B8,rf1_data!$B:$B,rf1_data!T:T,"NaN")))</f>
        <v>11</v>
      </c>
      <c r="AC8" s="5">
        <f>IF(_xlfn.XLOOKUP($B8,rf1_data!$B:$B,rf1_data!U:U,"NaN")="","NaN",(_xlfn.XLOOKUP($B8,rf1_data!$B:$B,rf1_data!U:U,"NaN")))</f>
        <v>5</v>
      </c>
      <c r="AD8" s="5">
        <f>IF(_xlfn.XLOOKUP($B8,rf1_data!$B:$B,rf1_data!V:V,"NaN")="","NaN",(_xlfn.XLOOKUP($B8,rf1_data!$B:$B,rf1_data!V:V,"NaN")))</f>
        <v>12</v>
      </c>
      <c r="AE8" s="5">
        <f>IF(_xlfn.XLOOKUP($B8,rf1_data!$B:$B,rf1_data!W:W,"NaN")="","NaN",(_xlfn.XLOOKUP($B8,rf1_data!$B:$B,rf1_data!W:W,"NaN")))</f>
        <v>8</v>
      </c>
      <c r="AF8" s="5">
        <f>IF(_xlfn.XLOOKUP($B8,rf1_data!$B:$B,rf1_data!X:X,"NaN")="","NaN",(_xlfn.XLOOKUP($B8,rf1_data!$B:$B,rf1_data!X:X,"NaN")))</f>
        <v>7</v>
      </c>
      <c r="AG8" s="5">
        <f>IF(_xlfn.XLOOKUP($B8,rf1_data!$B:$B,rf1_data!Y:Y,"NaN")="","NaN",(_xlfn.XLOOKUP($B8,rf1_data!$B:$B,rf1_data!Y:Y,"NaN")))</f>
        <v>7</v>
      </c>
      <c r="AH8" s="5">
        <f>IF(_xlfn.XLOOKUP($B8,rf1_data!$B:$B,rf1_data!Z:Z,"NaN")="","NaN",(_xlfn.XLOOKUP($B8,rf1_data!$B:$B,rf1_data!Z:Z,"NaN")))</f>
        <v>10</v>
      </c>
      <c r="AI8" s="5">
        <f>IF(_xlfn.XLOOKUP($B8,rf1_data!$B:$B,rf1_data!AA:AA,"NaN")="","NaN",(_xlfn.XLOOKUP($B8,rf1_data!$B:$B,rf1_data!AA:AA,"NaN")))</f>
        <v>3</v>
      </c>
      <c r="AJ8" s="5">
        <f>IF(_xlfn.XLOOKUP($B8,rf1_data!$B:$B,rf1_data!AB:AB,"NaN")="","NaN",(_xlfn.XLOOKUP($B8,rf1_data!$B:$B,rf1_data!AB:AB,"NaN")))</f>
        <v>35</v>
      </c>
      <c r="AK8" s="5">
        <f>IF(_xlfn.XLOOKUP($B8,rf1_data!$B:$B,rf1_data!AC:AC,"NaN")="","NaN",(_xlfn.XLOOKUP($B8,rf1_data!$B:$B,rf1_data!AC:AC,"NaN")))</f>
        <v>18</v>
      </c>
      <c r="AL8" s="5">
        <f>IF(_xlfn.XLOOKUP($B8,rf1_data!$B:$B,rf1_data!AD:AD,"NaN")="","NaN",(_xlfn.XLOOKUP($B8,rf1_data!$B:$B,rf1_data!AD:AD,"NaN")))</f>
        <v>11</v>
      </c>
      <c r="AM8" s="5">
        <f>IF(_xlfn.XLOOKUP($B8,rf1_data!$B:$B,rf1_data!AE:AE,"NaN")="","NaN",(_xlfn.XLOOKUP($B8,rf1_data!$B:$B,rf1_data!AE:AE,"NaN")))</f>
        <v>0</v>
      </c>
      <c r="AN8" s="5">
        <f>IF(_xlfn.XLOOKUP($B8,rf1_data!$B:$B,rf1_data!AF:AF,"NaN")="","NaN",(_xlfn.XLOOKUP($B8,rf1_data!$B:$B,rf1_data!AF:AF,"NaN")))</f>
        <v>0</v>
      </c>
      <c r="AO8" s="5" t="str">
        <f>IF(_xlfn.XLOOKUP($B8,rf1_data!$B:$B,rf1_data!AG:AG,"NaN")="","NaN",(_xlfn.XLOOKUP($B8,rf1_data!$B:$B,rf1_data!AG:AG,"NaN")))</f>
        <v>NaN</v>
      </c>
      <c r="AP8" s="5" t="str">
        <f>IF(_xlfn.XLOOKUP($B8,rf1_data!$B:$B,rf1_data!AH:AH,"NaN")="","NaN",(_xlfn.XLOOKUP($B8,rf1_data!$B:$B,rf1_data!AH:AH,"NaN")))</f>
        <v>NaN</v>
      </c>
      <c r="AQ8" s="5" t="str">
        <f>IF(_xlfn.XLOOKUP($B8,rf1_data!$B:$B,rf1_data!AI:AI,"NaN")="","NaN",(_xlfn.XLOOKUP($B8,rf1_data!$B:$B,rf1_data!AI:AI,"NaN")))</f>
        <v>NaN</v>
      </c>
      <c r="AR8" s="5" t="str">
        <f>IF(_xlfn.XLOOKUP($B8,rf1_data!$B:$B,rf1_data!AJ:AJ,"NaN")="","NaN",(_xlfn.XLOOKUP($B8,rf1_data!$B:$B,rf1_data!AJ:AJ,"NaN")))</f>
        <v>NaN</v>
      </c>
      <c r="AS8" s="5">
        <f>IF(_xlfn.XLOOKUP($B8,rf1_data!$B:$B,rf1_data!AK:AK,"NaN")="","NaN",(_xlfn.XLOOKUP($B8,rf1_data!$B:$B,rf1_data!AK:AK,"NaN")))</f>
        <v>3.6</v>
      </c>
      <c r="AT8" s="5">
        <f>IF(_xlfn.XLOOKUP($B8,rf1_data!$B:$B,rf1_data!AL:AL,"NaN")="","NaN",(_xlfn.XLOOKUP($B8,rf1_data!$B:$B,rf1_data!AL:AL,"NaN")))</f>
        <v>10</v>
      </c>
      <c r="AU8" s="5">
        <f>IF(_xlfn.XLOOKUP($B8,rf1_data!$B:$B,rf1_data!AM:AM,"NaN")="","NaN",(_xlfn.XLOOKUP($B8,rf1_data!$B:$B,rf1_data!AM:AM,"NaN")))</f>
        <v>3.33</v>
      </c>
      <c r="AV8" s="5">
        <f>IF(_xlfn.XLOOKUP($B8,rf1_data!$B:$B,rf1_data!AN:AN,"NaN")="","NaN",(_xlfn.XLOOKUP($B8,rf1_data!$B:$B,rf1_data!AN:AN,"NaN")))</f>
        <v>11</v>
      </c>
      <c r="AW8" s="5" t="str">
        <f>IF(_xlfn.XLOOKUP($B8,rf1_data!$B:$B,rf1_data!AO:AO,"NaN")="","NaN",(_xlfn.XLOOKUP($B8,rf1_data!$B:$B,rf1_data!AO:AO,"NaN")))</f>
        <v>NaN</v>
      </c>
      <c r="AX8" s="5">
        <f>IF(_xlfn.XLOOKUP($B8,rf1_data!$B:$B,rf1_data!AP:AP,"NaN")="","NaN",(_xlfn.XLOOKUP($B8,rf1_data!$B:$B,rf1_data!AP:AP,"NaN")))</f>
        <v>4.34</v>
      </c>
      <c r="AY8" s="5">
        <f>IF(_xlfn.XLOOKUP($B8,rf1_data!$B:$B,rf1_data!AQ:AQ,"NaN")="","NaN",(_xlfn.XLOOKUP($B8,rf1_data!$B:$B,rf1_data!AQ:AQ,"NaN")))</f>
        <v>109</v>
      </c>
      <c r="AZ8" s="5" t="str">
        <f>IF(_xlfn.XLOOKUP($B8,rf1_data!$B:$B,rf1_data!AR:AR,"NaN")="","NaN",(_xlfn.XLOOKUP($B8,rf1_data!$B:$B,rf1_data!AR:AR,"NaN")))</f>
        <v>NaN</v>
      </c>
      <c r="BA8" s="5" t="str">
        <f>IF(_xlfn.XLOOKUP($B8,rf1_data!$B:$B,rf1_data!AS:AS,"NaN")="","NaN",(_xlfn.XLOOKUP($B8,rf1_data!$B:$B,rf1_data!AS:AS,"NaN")))</f>
        <v>NaN</v>
      </c>
      <c r="BB8" s="5" t="str">
        <f>IF(_xlfn.XLOOKUP($B8,rf1_data!$B:$B,rf1_data!AT:AT,"NaN")="","NaN",(_xlfn.XLOOKUP($B8,rf1_data!$B:$B,rf1_data!AT:AT,"NaN")))</f>
        <v>NaN</v>
      </c>
      <c r="BC8" s="5" t="str">
        <f>IF(_xlfn.XLOOKUP($B8,rf1_data!$B:$B,rf1_data!AU:AU,"NaN")="","NaN",(_xlfn.XLOOKUP($B8,rf1_data!$B:$B,rf1_data!AU:AU,"NaN")))</f>
        <v>NaN</v>
      </c>
      <c r="BD8" s="5" t="str">
        <f>IF(_xlfn.XLOOKUP($B8,rf1_data!$B:$B,rf1_data!AV:AV,"NaN")="","NaN",(_xlfn.XLOOKUP($B8,rf1_data!$B:$B,rf1_data!AV:AV,"NaN")))</f>
        <v>NaN</v>
      </c>
      <c r="BE8" s="5" t="str">
        <f>IF(_xlfn.XLOOKUP($B8,rf1_data!$B:$B,rf1_data!AW:AW,"NaN")="","NaN",(_xlfn.XLOOKUP($B8,rf1_data!$B:$B,rf1_data!AW:AW,"NaN")))</f>
        <v>NaN</v>
      </c>
      <c r="BF8" s="5" t="str">
        <f>IF(_xlfn.XLOOKUP($B8,rf1_data!$B:$B,rf1_data!AX:AX,"NaN")="","NaN",(_xlfn.XLOOKUP($B8,rf1_data!$B:$B,rf1_data!AX:AX,"NaN")))</f>
        <v>NaN</v>
      </c>
      <c r="BG8" s="5" t="str">
        <f>IF(_xlfn.XLOOKUP($B8,rf1_data!$B:$B,rf1_data!AY:AY,"NaN")="","NaN",(_xlfn.XLOOKUP($B8,rf1_data!$B:$B,rf1_data!AY:AY,"NaN")))</f>
        <v>NaN</v>
      </c>
      <c r="BH8" s="5" t="str">
        <f>IF(_xlfn.XLOOKUP($B8,rf1_data!$B:$B,rf1_data!AZ:AZ,"NaN")="","NaN",(_xlfn.XLOOKUP($B8,rf1_data!$B:$B,rf1_data!AZ:AZ,"NaN")))</f>
        <v>NaN</v>
      </c>
      <c r="BI8" s="5">
        <f>IF(_xlfn.XLOOKUP($B8,rf1_data!$B:$B,rf1_data!BA:BA,"NaN")="","NaN",(_xlfn.XLOOKUP($B8,rf1_data!$B:$B,rf1_data!BA:BA,"NaN")))</f>
        <v>20</v>
      </c>
      <c r="BJ8" s="5" t="str">
        <f>IF(_xlfn.XLOOKUP($B8,rf1_data!$B:$B,rf1_data!BB:BB,"NaN")="","NaN",(_xlfn.XLOOKUP($B8,rf1_data!$B:$B,rf1_data!BB:BB,"NaN")))</f>
        <v>NaN</v>
      </c>
      <c r="BK8" s="5" t="str">
        <f>IF(_xlfn.XLOOKUP($B8,rf1_data!$B:$B,rf1_data!BC:BC,"NaN")="","NaN",(_xlfn.XLOOKUP($B8,rf1_data!$B:$B,rf1_data!BC:BC,"NaN")))</f>
        <v>NaN</v>
      </c>
      <c r="BL8" s="5" t="str">
        <f>IF(_xlfn.XLOOKUP($B8,rf1_data!$B:$B,rf1_data!BD:BD,"NaN")="","NaN",(_xlfn.XLOOKUP($B8,rf1_data!$B:$B,rf1_data!BD:BD,"NaN")))</f>
        <v>NaN</v>
      </c>
      <c r="BM8" s="5" t="str">
        <f>IF(_xlfn.XLOOKUP($B8,rf1_data!$B:$B,rf1_data!BE:BE,"NaN")="","NaN",(_xlfn.XLOOKUP($B8,rf1_data!$B:$B,rf1_data!BE:BE,"NaN")))</f>
        <v>NaN</v>
      </c>
      <c r="BN8" s="5" t="str">
        <f>IF(_xlfn.XLOOKUP($B8,rf1_data!$B:$B,rf1_data!BF:BF,"NaN")="","NaN",(_xlfn.XLOOKUP($B8,rf1_data!$B:$B,rf1_data!BF:BF,"NaN")))</f>
        <v>NaN</v>
      </c>
      <c r="BO8" s="5" t="str">
        <f>IF(_xlfn.XLOOKUP($B8,rf1_data!$B:$B,rf1_data!BG:BG,"NaN")="","NaN",(_xlfn.XLOOKUP($B8,rf1_data!$B:$B,rf1_data!BG:BG,"NaN")))</f>
        <v>NaN</v>
      </c>
      <c r="BP8" s="5" t="str">
        <f>IF(_xlfn.XLOOKUP($B8,rf1_data!$B:$B,rf1_data!BH:BH,"NaN")="","NaN",(_xlfn.XLOOKUP($B8,rf1_data!$B:$B,rf1_data!BH:BH,"NaN")))</f>
        <v>NaN</v>
      </c>
      <c r="BQ8" s="5" t="str">
        <f>IF(_xlfn.XLOOKUP($B8,rf1_data!$B:$B,rf1_data!BI:BI,"NaN")="","NaN",(_xlfn.XLOOKUP($B8,rf1_data!$B:$B,rf1_data!BI:BI,"NaN")))</f>
        <v>NaN</v>
      </c>
      <c r="BR8" s="5">
        <f>IF(_xlfn.XLOOKUP($B8,rf1_data!$B:$B,rf1_data!BJ:BJ,"NaN")="","NaN",(_xlfn.XLOOKUP($B8,rf1_data!$B:$B,rf1_data!BJ:BJ,"NaN")))</f>
        <v>8991</v>
      </c>
      <c r="BS8" s="5" t="str">
        <f>IF(_xlfn.XLOOKUP($B8,rf1_data!$B:$B,rf1_data!BK:BK,"NaN")="","NaN",(_xlfn.XLOOKUP($B8,rf1_data!$B:$B,rf1_data!BK:BK,"NaN")))</f>
        <v>NaN</v>
      </c>
      <c r="BT8" s="5" t="str">
        <f>IF(_xlfn.XLOOKUP($B8,rf1_data!$B:$B,rf1_data!BL:BL,"NaN")="","NaN",(_xlfn.XLOOKUP($B8,rf1_data!$B:$B,rf1_data!BL:BL,"NaN")))</f>
        <v>NaN</v>
      </c>
      <c r="BU8" s="5" t="str">
        <f>IF(_xlfn.XLOOKUP($B8,rf1_data!$B:$B,rf1_data!BM:BM,"NaN")="","NaN",(_xlfn.XLOOKUP($B8,rf1_data!$B:$B,rf1_data!BM:BM,"NaN")))</f>
        <v>NaN</v>
      </c>
      <c r="BV8" s="5" t="str">
        <f>IF(_xlfn.XLOOKUP($B8,rf1_data!$B:$B,rf1_data!BN:BN,"NaN")="","NaN",(_xlfn.XLOOKUP($B8,rf1_data!$B:$B,rf1_data!BN:BN,"NaN")))</f>
        <v>NaN</v>
      </c>
      <c r="BW8" s="5">
        <f>IF(_xlfn.XLOOKUP($B8,rf1_data!$B:$B,rf1_data!BO:BO,"NaN")="","NaN",(_xlfn.XLOOKUP($B8,rf1_data!$B:$B,rf1_data!BO:BO,"NaN")))</f>
        <v>3.2</v>
      </c>
      <c r="BX8" s="5">
        <f>IF(_xlfn.XLOOKUP($B8,rf1_data!$B:$B,rf1_data!BP:BP,"NaN")="","NaN",(_xlfn.XLOOKUP($B8,rf1_data!$B:$B,rf1_data!BP:BP,"NaN")))</f>
        <v>3.5</v>
      </c>
      <c r="BY8" s="5">
        <f>IF(_xlfn.XLOOKUP($B8,rf1_data!$B:$B,rf1_data!BQ:BQ,"NaN")="","NaN",(_xlfn.XLOOKUP($B8,rf1_data!$B:$B,rf1_data!BQ:BQ,"NaN")))</f>
        <v>3.3</v>
      </c>
      <c r="BZ8" s="5">
        <f>IF(_xlfn.XLOOKUP($B8,rf1_data!$B:$B,rf1_data!BR:BR,"NaN")="","NaN",(_xlfn.XLOOKUP($B8,rf1_data!$B:$B,rf1_data!BR:BR,"NaN")))</f>
        <v>3.33</v>
      </c>
      <c r="CA8" s="5">
        <f>IF(_xlfn.XLOOKUP($B8,rf1_data!$B:$B,rf1_data!BS:BS,"NaN")="","NaN",(_xlfn.XLOOKUP($B8,rf1_data!$B:$B,rf1_data!BS:BS,"NaN")))</f>
        <v>6</v>
      </c>
      <c r="CB8" s="5">
        <f>IF(_xlfn.XLOOKUP($B8,rf1_data!$B:$B,rf1_data!BT:BT,"NaN")="","NaN",(_xlfn.XLOOKUP($B8,rf1_data!$B:$B,rf1_data!BT:BT,"NaN")))</f>
        <v>5.1666666666666599</v>
      </c>
      <c r="CC8" s="5">
        <f>IF(_xlfn.XLOOKUP($B8,rf1_data!$B:$B,rf1_data!BU:BU,"NaN")="","NaN",(_xlfn.XLOOKUP($B8,rf1_data!$B:$B,rf1_data!BU:BU,"NaN")))</f>
        <v>6</v>
      </c>
      <c r="CD8" s="5">
        <f>IF(_xlfn.XLOOKUP($B8,rf1_data!$B:$B,rf1_data!BV:BV,"NaN")="","NaN",(_xlfn.XLOOKUP($B8,rf1_data!$B:$B,rf1_data!BV:BV,"NaN")))</f>
        <v>5.1666666666666599</v>
      </c>
      <c r="CE8" s="5">
        <f>IF(_xlfn.XLOOKUP($B8,rf1_data!$B:$B,rf1_data!BW:BW,"NaN")="","NaN",(_xlfn.XLOOKUP($B8,rf1_data!$B:$B,rf1_data!BW:BW,"NaN")))</f>
        <v>2.85</v>
      </c>
      <c r="CF8" s="5">
        <f>IF(_xlfn.XLOOKUP($B8,rf1_data!$B:$B,rf1_data!BX:BX,"NaN")="","NaN",(_xlfn.XLOOKUP($B8,rf1_data!$B:$B,rf1_data!BX:BX,"NaN")))</f>
        <v>2</v>
      </c>
      <c r="CG8" s="5">
        <f>IF(_xlfn.XLOOKUP($B8,rf1_data!$B:$B,rf1_data!BY:BY,"NaN")="","NaN",(_xlfn.XLOOKUP($B8,rf1_data!$B:$B,rf1_data!BY:BY,"NaN")))</f>
        <v>0</v>
      </c>
      <c r="CH8" s="5">
        <f>IF(_xlfn.XLOOKUP($B8,rf1_data!$B:$B,rf1_data!BZ:BZ,"NaN")="","NaN",(_xlfn.XLOOKUP($B8,rf1_data!$B:$B,rf1_data!BZ:BZ,"NaN")))</f>
        <v>31</v>
      </c>
      <c r="CI8" s="5">
        <f>IF(_xlfn.XLOOKUP($B8,rf1_data!$B:$B,rf1_data!CA:CA,"NaN")="","NaN",(_xlfn.XLOOKUP($B8,rf1_data!$B:$B,rf1_data!CA:CA,"NaN")))</f>
        <v>35</v>
      </c>
      <c r="CJ8" s="5">
        <f>IF(_xlfn.XLOOKUP($B8,rf1_data!$B:$B,rf1_data!CB:CB,"NaN")="","NaN",(_xlfn.XLOOKUP($B8,rf1_data!$B:$B,rf1_data!CB:CB,"NaN")))</f>
        <v>12</v>
      </c>
      <c r="CK8" s="5">
        <f>IF(_xlfn.XLOOKUP($B8,rf1_data!$B:$B,rf1_data!CC:CC,"NaN")="","NaN",(_xlfn.XLOOKUP($B8,rf1_data!$B:$B,rf1_data!CC:CC,"NaN")))</f>
        <v>1.0909090909090899</v>
      </c>
      <c r="CL8" s="5">
        <f>IF(_xlfn.XLOOKUP($B8,rf1_data!$B:$B,rf1_data!CD:CD,"NaN")=0,"NaN",(_xlfn.XLOOKUP($B8,rf1_data!$B:$B,rf1_data!CD:CD,"NaN")))</f>
        <v>42</v>
      </c>
      <c r="CM8" s="5">
        <f>IF(_xlfn.XLOOKUP($B8,rf1_data!$B:$B,rf1_data!CE:CE,"NaN")="","NaN",(_xlfn.XLOOKUP($B8,rf1_data!$B:$B,rf1_data!CE:CE,"NaN")))</f>
        <v>36</v>
      </c>
      <c r="CN8" s="5">
        <f>IF(_xlfn.XLOOKUP($B8,rf1_data!$B:$B,rf1_data!CF:CF,"NaN")="","NaN",(_xlfn.XLOOKUP($B8,rf1_data!$B:$B,rf1_data!CF:CF,"NaN")))</f>
        <v>62</v>
      </c>
      <c r="CO8" s="5">
        <f>IF(_xlfn.XLOOKUP($B8,rf1_data!$B:$B,rf1_data!CG:CG,"NaN")="","NaN",(_xlfn.XLOOKUP($B8,rf1_data!$B:$B,rf1_data!CG:CG,"NaN")))</f>
        <v>23</v>
      </c>
      <c r="CP8" s="5">
        <f>IF(_xlfn.XLOOKUP($B8,rf1_data!$B:$B,rf1_data!CH:CH,"NaN")=0,"NaN",(_xlfn.XLOOKUP($B8,rf1_data!$B:$B,rf1_data!CH:CH,"NaN")))</f>
        <v>30</v>
      </c>
      <c r="CQ8" s="5">
        <f>IF(_xlfn.XLOOKUP($B8,rf1_data!$B:$B,rf1_data!CI:CI,"NaN")="","NaN",(_xlfn.XLOOKUP($B8,rf1_data!$B:$B,rf1_data!CI:CI,"NaN")))</f>
        <v>48</v>
      </c>
      <c r="CR8" s="5">
        <f>IF(_xlfn.XLOOKUP($B8,rf1_data!$B:$B,rf1_data!CJ:CJ,"NaN")="","NaN",(_xlfn.XLOOKUP($B8,rf1_data!$B:$B,rf1_data!CJ:CJ,"NaN")))</f>
        <v>57</v>
      </c>
      <c r="CS8" s="5">
        <f>IF(_xlfn.XLOOKUP($B8,rf1_data!$B:$B,rf1_data!CK:CK,"NaN")="","NaN",(_xlfn.XLOOKUP($B8,rf1_data!$B:$B,rf1_data!CK:CK,"NaN")))</f>
        <v>48</v>
      </c>
      <c r="CT8" s="5">
        <f>IF(_xlfn.XLOOKUP($B8,rf1_data!$B:$B,rf1_data!CL:CL,"NaN")="","NaN",(_xlfn.XLOOKUP($B8,rf1_data!$B:$B,rf1_data!CL:CL,"NaN")))</f>
        <v>53</v>
      </c>
      <c r="CU8" s="5">
        <f>IF(_xlfn.XLOOKUP($B8,rf1_data!$B:$B,rf1_data!CM:CM,"NaN")="","NaN",(_xlfn.XLOOKUP($B8,rf1_data!$B:$B,rf1_data!CM:CM,"NaN")))</f>
        <v>48</v>
      </c>
      <c r="CV8" s="5">
        <f>IF(_xlfn.XLOOKUP($B8,rf1_data!$B:$B,rf1_data!CN:CN,"NaN")="","NaN",(_xlfn.XLOOKUP($B8,rf1_data!$B:$B,rf1_data!CN:CN,"NaN")))</f>
        <v>54</v>
      </c>
      <c r="CW8" s="5" t="str">
        <f>IF(_xlfn.XLOOKUP($B8,rf1_data!$B:$B,rf1_data!CO:CO,"NaN")="","NaN",(_xlfn.XLOOKUP($B8,rf1_data!$B:$B,rf1_data!CO:CO,"NaN")))</f>
        <v>NaN</v>
      </c>
      <c r="CX8" s="5" t="str">
        <f>IF(_xlfn.XLOOKUP($B8,rf1_data!$B:$B,rf1_data!CP:CP,"NaN")="","NaN",(_xlfn.XLOOKUP($B8,rf1_data!$B:$B,rf1_data!CP:CP,"NaN")))</f>
        <v>NaN</v>
      </c>
      <c r="CY8" s="5">
        <f>IF(_xlfn.XLOOKUP($B8,rf1_data!$B:$B,rf1_data!CQ:CQ,"NaN")="","NaN",(_xlfn.XLOOKUP($B8,rf1_data!$B:$B,rf1_data!CQ:CQ,"NaN")))</f>
        <v>7</v>
      </c>
      <c r="CZ8" s="5">
        <f>IF(_xlfn.XLOOKUP($B8,rf1_data!$B:$B,rf1_data!CR:CR,"NaN")="","NaN",(_xlfn.XLOOKUP($B8,rf1_data!$B:$B,rf1_data!CR:CR,"NaN")))</f>
        <v>4</v>
      </c>
      <c r="DA8" s="5">
        <f>IF(_xlfn.XLOOKUP($B8,rf1_data!$B:$B,rf1_data!CS:CS,"NaN")="","NaN",(_xlfn.XLOOKUP($B8,rf1_data!$B:$B,rf1_data!CS:CS,"NaN")))</f>
        <v>3</v>
      </c>
      <c r="DB8" s="4">
        <f>IF(_xlfn.XLOOKUP($B8,island_data!$B:$B,island_data!H:H,"NaN")="","NaN",_xlfn.XLOOKUP($B8,island_data!$B:$B,island_data!H:H,"NaN"))</f>
        <v>1</v>
      </c>
      <c r="DC8" s="4">
        <f>IF(_xlfn.XLOOKUP($B8,island_data!$B:$B,island_data!I:I,"NaN")="","NaN",_xlfn.XLOOKUP($B8,island_data!$B:$B,island_data!I:I,"NaN"))</f>
        <v>0</v>
      </c>
      <c r="DD8" s="4">
        <f>IF(_xlfn.XLOOKUP($B8,island_data!$B:$B,island_data!J:J,"NaN")="","NaN",_xlfn.XLOOKUP($B8,island_data!$B:$B,island_data!J:J,"NaN"))</f>
        <v>3</v>
      </c>
      <c r="DE8" s="4" t="str">
        <f>IF(_xlfn.XLOOKUP($B8,island_data!$B:$B,island_data!K:K,"NaN")="","NaN",_xlfn.XLOOKUP($B8,island_data!$B:$B,island_data!K:K,"NaN"))</f>
        <v>NaN</v>
      </c>
      <c r="DF8" s="4">
        <f>IF(_xlfn.XLOOKUP($B8,island_data!$B:$B,island_data!L:L,"NaN")="","NaN",_xlfn.XLOOKUP($B8,island_data!$B:$B,island_data!L:L,"NaN"))</f>
        <v>33</v>
      </c>
      <c r="DG8" s="4">
        <f>IF(_xlfn.XLOOKUP($B8,island_data!$B:$B,island_data!M:M,"NaN")="","NaN",_xlfn.XLOOKUP($B8,island_data!$B:$B,island_data!M:M,"NaN"))</f>
        <v>3</v>
      </c>
      <c r="DH8" s="4">
        <f>IF(_xlfn.XLOOKUP($B8,island_data!$B:$B,island_data!N:N,"NaN")="","NaN",_xlfn.XLOOKUP($B8,island_data!$B:$B,island_data!N:N,"NaN"))</f>
        <v>12</v>
      </c>
      <c r="DI8" s="4" t="str">
        <f>IF(_xlfn.XLOOKUP($B8,island_data!$B:$B,island_data!O:O,"NaN")=999,"NaN",_xlfn.XLOOKUP($B8,island_data!$B:$B,island_data!O:O,"NaN"))</f>
        <v>NaN</v>
      </c>
      <c r="DJ8" s="4">
        <f>IF(_xlfn.XLOOKUP($B8,island_data!$B:$B,island_data!P:P,"NaN")="","NaN",_xlfn.XLOOKUP($B8,island_data!$B:$B,island_data!P:P,"NaN"))</f>
        <v>7</v>
      </c>
      <c r="DK8" s="4">
        <f>IF(_xlfn.XLOOKUP($B8,island_data!$B:$B,island_data!Q:Q,"NaN")="","NaN",_xlfn.XLOOKUP($B8,island_data!$B:$B,island_data!Q:Q,"NaN"))</f>
        <v>7</v>
      </c>
      <c r="DL8" s="4" t="str">
        <f>IF(_xlfn.XLOOKUP($B8,island_data!$B:$B,island_data!R:R,"NaN")=999,"NaN",_xlfn.XLOOKUP($B8,island_data!$B:$B,island_data!R:R,"NaN"))</f>
        <v>NaN</v>
      </c>
      <c r="DM8" s="4">
        <f>IF(_xlfn.XLOOKUP($B8,island_data!$B:$B,island_data!S:S,"NaN")="","NaN",_xlfn.XLOOKUP($B8,island_data!$B:$B,island_data!S:S,"NaN"))</f>
        <v>11</v>
      </c>
      <c r="DN8" s="4">
        <f>IF(_xlfn.XLOOKUP($B8,island_data!$B:$B,island_data!T:T,"NaN")="","NaN",_xlfn.XLOOKUP($B8,island_data!$B:$B,island_data!T:T,"NaN"))</f>
        <v>4.5</v>
      </c>
      <c r="DO8" s="4">
        <f>IF(_xlfn.XLOOKUP($B8,island_data!$B:$B,island_data!U:U,"NaN")="","NaN",_xlfn.XLOOKUP($B8,island_data!$B:$B,island_data!U:U,"NaN"))</f>
        <v>6</v>
      </c>
      <c r="DP8" s="4">
        <f>IF(_xlfn.XLOOKUP($B8,island_data!$B:$B,island_data!V:V,"NaN")="","NaN",_xlfn.XLOOKUP($B8,island_data!$B:$B,island_data!V:V,"NaN"))</f>
        <v>2</v>
      </c>
      <c r="DQ8" s="4">
        <f>IF(_xlfn.XLOOKUP($B8,island_data!$B:$B,island_data!W:W,"NaN")="","NaN",_xlfn.XLOOKUP($B8,island_data!$B:$B,island_data!W:W,"NaN"))</f>
        <v>9</v>
      </c>
      <c r="DR8" s="4">
        <f>IF(_xlfn.XLOOKUP($B8,island_data!$B:$B,island_data!X:X,"NaN")="","NaN",_xlfn.XLOOKUP($B8,island_data!$B:$B,island_data!X:X,"NaN"))</f>
        <v>6</v>
      </c>
      <c r="DS8" s="4" t="str">
        <f>IF(_xlfn.XLOOKUP($B8,island_data!$B:$B,island_data!Y:Y,"NaN")="","NaN",_xlfn.XLOOKUP($B8,island_data!$B:$B,island_data!Y:Y,"NaN"))</f>
        <v>NaN</v>
      </c>
      <c r="DT8" s="4" t="str">
        <f>IF(_xlfn.XLOOKUP($B8,island_data!$B:$B,island_data!Z:Z,"NaN")="","NaN",_xlfn.XLOOKUP($B8,island_data!$B:$B,island_data!Z:Z,"NaN"))</f>
        <v>NaN</v>
      </c>
      <c r="DU8" s="4" t="str">
        <f>IF(_xlfn.XLOOKUP($B8,island_data!$B:$B,island_data!AA:AA,"NaN")="","NaN",_xlfn.XLOOKUP($B8,island_data!$B:$B,island_data!AA:AA,"NaN"))</f>
        <v>NaN</v>
      </c>
      <c r="DV8" s="4" t="str">
        <f>IF(_xlfn.XLOOKUP($B8,island_data!$B:$B,island_data!AB:AB,"NaN")="","NaN",_xlfn.XLOOKUP($B8,island_data!$B:$B,island_data!AB:AB,"NaN"))</f>
        <v>NaN</v>
      </c>
      <c r="DW8" s="4">
        <f>IF(_xlfn.XLOOKUP($B8,island_data!$B:$B,island_data!AC:AC,"NaN")="","NaN",_xlfn.XLOOKUP($B8,island_data!$B:$B,island_data!AC:AC,"NaN"))</f>
        <v>19120</v>
      </c>
      <c r="DX8" s="4">
        <f>IF(_xlfn.XLOOKUP($B8,island_data!$B:$B,island_data!AD:AD,"NaN")="","NaN",_xlfn.XLOOKUP($B8,island_data!$B:$B,island_data!AD:AD,"NaN"))</f>
        <v>9</v>
      </c>
      <c r="DY8" s="4">
        <f>IF(_xlfn.XLOOKUP($B8,island_data!$B:$B,island_data!AE:AE,"NaN")="","NaN",_xlfn.XLOOKUP($B8,island_data!$B:$B,island_data!AE:AE,"NaN"))</f>
        <v>1</v>
      </c>
      <c r="DZ8" s="4" t="str">
        <f>IF(_xlfn.XLOOKUP($B8,island_data!$B:$B,island_data!AF:AF,"NaN")="","NaN",_xlfn.XLOOKUP($B8,island_data!$B:$B,island_data!AF:AF,"NaN"))</f>
        <v>NaN</v>
      </c>
      <c r="EA8" s="4" t="str">
        <f>IF(_xlfn.XLOOKUP($B8,island_data!$B:$B,island_data!AG:AG,"NaN")="","NaN",_xlfn.XLOOKUP($B8,island_data!$B:$B,island_data!AG:AG,"NaN"))</f>
        <v>NaN</v>
      </c>
      <c r="EB8" s="4" t="str">
        <f>IF(_xlfn.XLOOKUP($B8,island_data!$B:$B,island_data!AH:AH,"NaN")="","NaN",_xlfn.XLOOKUP($B8,island_data!$B:$B,island_data!AH:AH,"NaN"))</f>
        <v>NaN</v>
      </c>
      <c r="EC8" s="4" t="str">
        <f>IF(_xlfn.XLOOKUP($B8,island_data!$B:$B,island_data!AI:AI,"NaN")="","NaN",_xlfn.XLOOKUP($B8,island_data!$B:$B,island_data!AI:AI,"NaN"))</f>
        <v>NaN</v>
      </c>
      <c r="ED8" s="4" t="str">
        <f>IF(_xlfn.XLOOKUP($B8,island_data!$B:$B,island_data!AJ:AJ,"NaN")="","NaN",_xlfn.XLOOKUP($B8,island_data!$B:$B,island_data!AJ:AJ,"NaN"))</f>
        <v>NaN</v>
      </c>
      <c r="EE8" s="4" t="str">
        <f>IF(_xlfn.XLOOKUP($B8,island_data!$B:$B,island_data!AK:AK,"NaN")="","NaN",_xlfn.XLOOKUP($B8,island_data!$B:$B,island_data!AK:AK,"NaN"))</f>
        <v>NaN</v>
      </c>
      <c r="EF8" s="4" t="str">
        <f>IF(_xlfn.XLOOKUP($B8,island_data!$B:$B,island_data!AL:AL,"NaN")="","NaN",_xlfn.XLOOKUP($B8,island_data!$B:$B,island_data!AL:AL,"NaN"))</f>
        <v>NaN</v>
      </c>
      <c r="EG8" s="4" t="str">
        <f>IF(_xlfn.XLOOKUP($B8,island_data!$B:$B,island_data!AM:AM,"NaN")="","NaN",_xlfn.XLOOKUP($B8,island_data!$B:$B,island_data!AM:AM,"NaN"))</f>
        <v>NaN</v>
      </c>
      <c r="EH8" s="4" t="str">
        <f>IF(_xlfn.XLOOKUP($B8,island_data!$B:$B,island_data!AN:AN,"NaN")="","NaN",_xlfn.XLOOKUP($B8,island_data!$B:$B,island_data!AN:AN,"NaN"))</f>
        <v>NaN</v>
      </c>
      <c r="EI8" s="4" t="str">
        <f>IF(_xlfn.XLOOKUP($B8,island_data!$B:$B,island_data!AO:AO,"NaN")="","NaN",_xlfn.XLOOKUP($B8,island_data!$B:$B,island_data!AO:AO,"NaN"))</f>
        <v>NaN</v>
      </c>
      <c r="EJ8" s="8">
        <f>IF(_xlfn.XLOOKUP($A8,TabCAT!$A:$A,TabCAT!AU:AU,"NaN")="","NaN",(_xlfn.XLOOKUP($A8,TabCAT!$A:$A,TabCAT!AU:AU,"NaN")))</f>
        <v>161</v>
      </c>
      <c r="EK8" s="8" t="b">
        <f>IF(_xlfn.XLOOKUP($A8,TabCAT!$A:$A,TabCAT!AV:AV,"NaN")="","NaN",(_xlfn.XLOOKUP($A8,TabCAT!$A:$A,TabCAT!AV:AV,"NaN")))</f>
        <v>1</v>
      </c>
      <c r="EL8" s="8">
        <f>IF(_xlfn.XLOOKUP($A8,TabCAT!$A:$A,TabCAT!AW:AW,"NaN")="","NaN",(_xlfn.XLOOKUP($A8,TabCAT!$A:$A,TabCAT!AW:AW,"NaN")))</f>
        <v>6</v>
      </c>
      <c r="EM8" s="8">
        <f>IF(_xlfn.XLOOKUP($A8,TabCAT!$A:$A,TabCAT!AX:AX,"NaN")="","NaN",(_xlfn.XLOOKUP($A8,TabCAT!$A:$A,TabCAT!AX:AX,"NaN")))</f>
        <v>0</v>
      </c>
      <c r="EN8" s="8">
        <f>IF(_xlfn.XLOOKUP($A8,TabCAT!$A:$A,TabCAT!AY:AY,"NaN")="","NaN",(_xlfn.XLOOKUP($A8,TabCAT!$A:$A,TabCAT!AY:AY,"NaN")))</f>
        <v>9.51</v>
      </c>
      <c r="EO8" s="8">
        <f>IF(_xlfn.XLOOKUP($A8,TabCAT!$A:$A,TabCAT!AZ:AZ,"NaN")="","NaN",(_xlfn.XLOOKUP($A8,TabCAT!$A:$A,TabCAT!AZ:AZ,"NaN")))</f>
        <v>32</v>
      </c>
      <c r="EP8" s="8">
        <f>IF(_xlfn.XLOOKUP($A8,TabCAT!$A:$A,TabCAT!BA:BA,"NaN")="","NaN",(_xlfn.XLOOKUP($A8,TabCAT!$A:$A,TabCAT!BA:BA,"NaN")))</f>
        <v>0.60426150000000001</v>
      </c>
      <c r="EQ8" s="8">
        <f>IF(_xlfn.XLOOKUP($A8,TabCAT!$A:$A,TabCAT!BB:BB,"NaN")="","NaN",(_xlfn.XLOOKUP($A8,TabCAT!$A:$A,TabCAT!BB:BB,"NaN")))</f>
        <v>7.4319400519074694E-2</v>
      </c>
      <c r="ER8" s="8">
        <f>IF(_xlfn.XLOOKUP($A8,TabCAT!$A:$A,TabCAT!BC:BC,"NaN")="","NaN",(_xlfn.XLOOKUP($A8,TabCAT!$A:$A,TabCAT!BC:BC,"NaN")))</f>
        <v>16</v>
      </c>
      <c r="ES8" s="8">
        <f>IF(_xlfn.XLOOKUP($A8,TabCAT!$A:$A,TabCAT!BD:BD,"NaN")="","NaN",(_xlfn.XLOOKUP($A8,TabCAT!$A:$A,TabCAT!BD:BD,"NaN")))</f>
        <v>0.56268249999999997</v>
      </c>
      <c r="ET8" s="8">
        <f>IF(_xlfn.XLOOKUP($A8,TabCAT!$A:$A,TabCAT!BE:BE,"NaN")="","NaN",(_xlfn.XLOOKUP($A8,TabCAT!$A:$A,TabCAT!BE:BE,"NaN")))</f>
        <v>16</v>
      </c>
      <c r="EU8" s="8">
        <f>IF(_xlfn.XLOOKUP($A8,TabCAT!$A:$A,TabCAT!BF:BF,"NaN")="","NaN",(_xlfn.XLOOKUP($A8,TabCAT!$A:$A,TabCAT!BF:BF,"NaN")))</f>
        <v>0.64586200000000005</v>
      </c>
      <c r="EV8" s="8" t="str">
        <f>IF(_xlfn.XLOOKUP($A8,TabCAT!$A:$A,TabCAT!BG:BG,"NaN")="","NaN",(_xlfn.XLOOKUP($A8,TabCAT!$A:$A,TabCAT!BG:BG,"NaN")))</f>
        <v>NaN</v>
      </c>
      <c r="EW8" s="8" t="str">
        <f>IF(_xlfn.XLOOKUP($A8,TabCAT!$A:$A,TabCAT!BH:BH,"NaN")="","NaN",(_xlfn.XLOOKUP($A8,TabCAT!$A:$A,TabCAT!BH:BH,"NaN")))</f>
        <v>3.0.0</v>
      </c>
      <c r="EX8" s="8" t="str">
        <f>IF(_xlfn.XLOOKUP($A8,TabCAT!$A:$A,TabCAT!BI:BI,"NaN")="","NaN",(_xlfn.XLOOKUP($A8,TabCAT!$A:$A,TabCAT!BI:BI,"NaN")))</f>
        <v>English</v>
      </c>
      <c r="EY8" s="8">
        <f>IF(_xlfn.XLOOKUP($A8,TabCAT!$A:$A,TabCAT!BJ:BJ,"NaN")="","NaN",(_xlfn.XLOOKUP($A8,TabCAT!$A:$A,TabCAT!BJ:BJ,"NaN")))</f>
        <v>234</v>
      </c>
      <c r="EZ8" s="8">
        <f>IF(_xlfn.XLOOKUP($A8,TabCAT!$A:$A,TabCAT!BK:BK,"NaN")="","NaN",(_xlfn.XLOOKUP($A8,TabCAT!$A:$A,TabCAT!BK:BK,"NaN")))</f>
        <v>1</v>
      </c>
      <c r="FA8" s="8">
        <f>IF(_xlfn.XLOOKUP($A8,TabCAT!$A:$A,TabCAT!BL:BL,"NaN")="","NaN",(_xlfn.XLOOKUP($A8,TabCAT!$A:$A,TabCAT!BL:BL,"NaN")))</f>
        <v>6</v>
      </c>
      <c r="FB8" s="8">
        <f>IF(_xlfn.XLOOKUP($A8,TabCAT!$A:$A,TabCAT!BM:BM,"NaN")="","NaN",(_xlfn.XLOOKUP($A8,TabCAT!$A:$A,TabCAT!BM:BM,"NaN")))</f>
        <v>1</v>
      </c>
      <c r="FC8" s="8">
        <f>IF(_xlfn.XLOOKUP($A8,TabCAT!$A:$A,TabCAT!BN:BN,"NaN")="","NaN",(_xlfn.XLOOKUP($A8,TabCAT!$A:$A,TabCAT!BN:BN,"NaN")))</f>
        <v>6</v>
      </c>
      <c r="FD8" s="8">
        <f>IF(_xlfn.XLOOKUP($A8,TabCAT!$A:$A,TabCAT!BO:BO,"NaN")="","NaN",(_xlfn.XLOOKUP($A8,TabCAT!$A:$A,TabCAT!BO:BO,"NaN")))</f>
        <v>8</v>
      </c>
      <c r="FE8" s="8">
        <f>IF(_xlfn.XLOOKUP($A8,TabCAT!$A:$A,TabCAT!BP:BP,"NaN")="","NaN",(_xlfn.XLOOKUP($A8,TabCAT!$A:$A,TabCAT!BP:BP,"NaN")))</f>
        <v>0.88888888888888795</v>
      </c>
      <c r="FF8" s="8">
        <f>IF(_xlfn.XLOOKUP($A8,TabCAT!$A:$A,TabCAT!BQ:BQ,"NaN")="","NaN",(_xlfn.XLOOKUP($A8,TabCAT!$A:$A,TabCAT!BQ:BQ,"NaN")))</f>
        <v>8</v>
      </c>
      <c r="FG8" s="8">
        <f>IF(_xlfn.XLOOKUP($A8,TabCAT!$A:$A,TabCAT!BR:BR,"NaN")="","NaN",(_xlfn.XLOOKUP($A8,TabCAT!$A:$A,TabCAT!BR:BR,"NaN")))</f>
        <v>11</v>
      </c>
      <c r="FH8" s="8">
        <f>IF(_xlfn.XLOOKUP($A8,TabCAT!$A:$A,TabCAT!BS:BS,"NaN")="","NaN",(_xlfn.XLOOKUP($A8,TabCAT!$A:$A,TabCAT!BS:BS,"NaN")))</f>
        <v>0.91666666666666596</v>
      </c>
      <c r="FI8" s="8">
        <f>IF(_xlfn.XLOOKUP($A8,TabCAT!$A:$A,TabCAT!BT:BT,"NaN")="","NaN",(_xlfn.XLOOKUP($A8,TabCAT!$A:$A,TabCAT!BT:BT,"NaN")))</f>
        <v>9.5</v>
      </c>
      <c r="FJ8" s="8">
        <f>IF(_xlfn.XLOOKUP($A8,TabCAT!$A:$A,TabCAT!BU:BU,"NaN")="","NaN",(_xlfn.XLOOKUP($A8,TabCAT!$A:$A,TabCAT!BU:BU,"NaN")))</f>
        <v>11</v>
      </c>
      <c r="FK8" s="8">
        <f>IF(_xlfn.XLOOKUP($A8,TabCAT!$A:$A,TabCAT!BV:BV,"NaN")="","NaN",(_xlfn.XLOOKUP($A8,TabCAT!$A:$A,TabCAT!BV:BV,"NaN")))</f>
        <v>0.73333333333333295</v>
      </c>
      <c r="FL8" s="8">
        <f>IF(_xlfn.XLOOKUP($A8,TabCAT!$A:$A,TabCAT!BW:BW,"NaN")="","NaN",(_xlfn.XLOOKUP($A8,TabCAT!$A:$A,TabCAT!BW:BW,"NaN")))</f>
        <v>8</v>
      </c>
      <c r="FM8" s="8">
        <f>IF(_xlfn.XLOOKUP($A8,TabCAT!$A:$A,TabCAT!BX:BX,"NaN")="","NaN",(_xlfn.XLOOKUP($A8,TabCAT!$A:$A,TabCAT!BX:BX,"NaN")))</f>
        <v>36</v>
      </c>
      <c r="FN8" s="8">
        <f>IF(_xlfn.XLOOKUP($A8,TabCAT!$A:$A,TabCAT!BY:BY,"NaN")="","NaN",(_xlfn.XLOOKUP($A8,TabCAT!$A:$A,TabCAT!BY:BY,"NaN")))</f>
        <v>0.85714285714285698</v>
      </c>
      <c r="FO8" s="8">
        <f>IF(_xlfn.XLOOKUP($A8,TabCAT!$A:$A,TabCAT!BZ:BZ,"NaN")="","NaN",(_xlfn.XLOOKUP($A8,TabCAT!$A:$A,TabCAT!BZ:BZ,"NaN")))</f>
        <v>31.5</v>
      </c>
      <c r="FP8" s="8" t="str">
        <f>IF(_xlfn.XLOOKUP($A8,TabCAT!$A:$A,TabCAT!CA:CA,"NaN")="","NaN",(_xlfn.XLOOKUP($A8,TabCAT!$A:$A,TabCAT!CA:CA,"NaN")))</f>
        <v>3.0.0</v>
      </c>
      <c r="FQ8" s="8" t="str">
        <f>IF(_xlfn.XLOOKUP($A8,TabCAT!$A:$A,TabCAT!CB:CB,"NaN")="","NaN",(_xlfn.XLOOKUP($A8,TabCAT!$A:$A,TabCAT!CB:CB,"NaN")))</f>
        <v>English</v>
      </c>
      <c r="FR8" s="8">
        <f>IF(_xlfn.XLOOKUP($A8,TabCAT!$A:$A,TabCAT!CC:CC,"NaN")="","NaN",(_xlfn.XLOOKUP($A8,TabCAT!$A:$A,TabCAT!CC:CC,"NaN")))</f>
        <v>207</v>
      </c>
      <c r="FS8" s="8" t="b">
        <f>IF(_xlfn.XLOOKUP($A8,TabCAT!$A:$A,TabCAT!CD:CD,"NaN")="","NaN",(_xlfn.XLOOKUP($A8,TabCAT!$A:$A,TabCAT!CD:CD,"NaN")))</f>
        <v>1</v>
      </c>
      <c r="FT8" s="8">
        <f>IF(_xlfn.XLOOKUP($A8,TabCAT!$A:$A,TabCAT!CE:CE,"NaN")="","NaN",(_xlfn.XLOOKUP($A8,TabCAT!$A:$A,TabCAT!CE:CE,"NaN")))</f>
        <v>8</v>
      </c>
      <c r="FU8" s="8">
        <f>IF(_xlfn.XLOOKUP($A8,TabCAT!$A:$A,TabCAT!CF:CF,"NaN")="","NaN",(_xlfn.XLOOKUP($A8,TabCAT!$A:$A,TabCAT!CF:CF,"NaN")))</f>
        <v>0</v>
      </c>
      <c r="FV8" s="8">
        <f>IF(_xlfn.XLOOKUP($A8,TabCAT!$A:$A,TabCAT!CG:CG,"NaN")="","NaN",(_xlfn.XLOOKUP($A8,TabCAT!$A:$A,TabCAT!CG:CG,"NaN")))</f>
        <v>9.27</v>
      </c>
      <c r="FW8" s="8">
        <f>IF(_xlfn.XLOOKUP($A8,TabCAT!$A:$A,TabCAT!CH:CH,"NaN")="","NaN",(_xlfn.XLOOKUP($A8,TabCAT!$A:$A,TabCAT!CH:CH,"NaN")))</f>
        <v>16</v>
      </c>
      <c r="FX8" s="8">
        <f>IF(_xlfn.XLOOKUP($A8,TabCAT!$A:$A,TabCAT!CI:CI,"NaN")="","NaN",(_xlfn.XLOOKUP($A8,TabCAT!$A:$A,TabCAT!CI:CI,"NaN")))</f>
        <v>0.51705350000000005</v>
      </c>
      <c r="FY8" s="8">
        <f>IF(_xlfn.XLOOKUP($A8,TabCAT!$A:$A,TabCAT!CJ:CJ,"NaN")="","NaN",(_xlfn.XLOOKUP($A8,TabCAT!$A:$A,TabCAT!CJ:CJ,"NaN")))</f>
        <v>15</v>
      </c>
      <c r="FZ8" s="8">
        <f>IF(_xlfn.XLOOKUP($A8,TabCAT!$A:$A,TabCAT!CK:CK,"NaN")="","NaN",(_xlfn.XLOOKUP($A8,TabCAT!$A:$A,TabCAT!CK:CK,"NaN")))</f>
        <v>0.39922400000000002</v>
      </c>
      <c r="GA8" s="8">
        <f>IF(_xlfn.XLOOKUP($A8,TabCAT!$A:$A,TabCAT!CL:CL,"NaN")="","NaN",(_xlfn.XLOOKUP($A8,TabCAT!$A:$A,TabCAT!CL:CL,"NaN")))</f>
        <v>31</v>
      </c>
      <c r="GB8" s="8">
        <f>IF(_xlfn.XLOOKUP($A8,TabCAT!$A:$A,TabCAT!CM:CM,"NaN")="","NaN",(_xlfn.XLOOKUP($A8,TabCAT!$A:$A,TabCAT!CM:CM,"NaN")))</f>
        <v>0.54448799999999997</v>
      </c>
      <c r="GC8" s="8">
        <f>IF(_xlfn.XLOOKUP($A8,TabCAT!$A:$A,TabCAT!CN:CN,"NaN")="","NaN",(_xlfn.XLOOKUP($A8,TabCAT!$A:$A,TabCAT!CN:CN,"NaN")))</f>
        <v>18</v>
      </c>
      <c r="GD8" s="8">
        <f>IF(_xlfn.XLOOKUP($A8,TabCAT!$A:$A,TabCAT!CO:CO,"NaN")="","NaN",(_xlfn.XLOOKUP($A8,TabCAT!$A:$A,TabCAT!CO:CO,"NaN")))</f>
        <v>0.55042199999999997</v>
      </c>
      <c r="GE8" s="8">
        <f>IF(_xlfn.XLOOKUP($A8,TabCAT!$A:$A,TabCAT!CP:CP,"NaN")="","NaN",(_xlfn.XLOOKUP($A8,TabCAT!$A:$A,TabCAT!CP:CP,"NaN")))</f>
        <v>0.22648849191586001</v>
      </c>
      <c r="GF8" s="8">
        <f>IF(_xlfn.XLOOKUP($A8,TabCAT!$A:$A,TabCAT!CQ:CQ,"NaN")="","NaN",(_xlfn.XLOOKUP($A8,TabCAT!$A:$A,TabCAT!CQ:CQ,"NaN")))</f>
        <v>54</v>
      </c>
      <c r="GG8" s="8">
        <f>IF(_xlfn.XLOOKUP($A8,TabCAT!$A:$A,TabCAT!CR:CR,"NaN")="","NaN",(_xlfn.XLOOKUP($A8,TabCAT!$A:$A,TabCAT!CR:CR,"NaN")))</f>
        <v>0.4672365</v>
      </c>
      <c r="GH8" s="8" t="str">
        <f>IF(_xlfn.XLOOKUP($A8,TabCAT!$A:$A,TabCAT!CS:CS,"NaN")="","NaN",(_xlfn.XLOOKUP($A8,TabCAT!$A:$A,TabCAT!CS:CS,"NaN")))</f>
        <v>NaN</v>
      </c>
    </row>
    <row r="9" spans="1:190" x14ac:dyDescent="0.2">
      <c r="A9">
        <v>10486</v>
      </c>
      <c r="B9">
        <f>_xlfn.XLOOKUP(bippity_poppity_boo!A9,rf1_data!A:A,rf1_data!B:B)</f>
        <v>131381</v>
      </c>
      <c r="C9" s="2">
        <f>(_xlfn.XLOOKUP($A9,trust!$A:$A,trust!B:B,"NaN"))</f>
        <v>5.6666670000000003</v>
      </c>
      <c r="D9" s="2">
        <f>(_xlfn.XLOOKUP($A9,trust!$A:$A,trust!C:C,"NaN"))</f>
        <v>6</v>
      </c>
      <c r="E9" s="2">
        <f>(_xlfn.XLOOKUP($A9,trust!$A:$A,trust!D:D,"NaN"))</f>
        <v>5</v>
      </c>
      <c r="F9" s="2">
        <f>(_xlfn.XLOOKUP($A9,trust!$A:$A,trust!E:E,"NaN"))</f>
        <v>6.5714290000000002</v>
      </c>
      <c r="G9" s="2">
        <f>(_xlfn.XLOOKUP($A9,trust!$A:$A,trust!F:F,"NaN"))</f>
        <v>6.8571429999999998</v>
      </c>
      <c r="H9" s="2">
        <f>(_xlfn.XLOOKUP($A9,trust!$A:$A,trust!G:G,"NaN"))</f>
        <v>4.6666670000000003</v>
      </c>
      <c r="I9" s="3">
        <f>IF(_xlfn.XLOOKUP($B9,island_data!$B:$B,island_data!C:C,"NaN")="","NaN",_xlfn.XLOOKUP($B9,island_data!$B:$B,island_data!C:C,"NaN"))</f>
        <v>45105</v>
      </c>
      <c r="J9" s="3">
        <f>IF(_xlfn.XLOOKUP($B9,island_data!$B:$B,island_data!D:D,"NaN")="","NaN",_xlfn.XLOOKUP($B9,island_data!$B:$B,island_data!D:D,"NaN"))</f>
        <v>29682</v>
      </c>
      <c r="K9" s="4">
        <f>IF(_xlfn.XLOOKUP($B9,island_data!$B:$B,island_data!E:E,"NaN")="","NaN",_xlfn.XLOOKUP($B9,island_data!$B:$B,island_data!E:E,"NaN"))</f>
        <v>42.23</v>
      </c>
      <c r="L9" s="5">
        <f>IF(_xlfn.XLOOKUP($B9,rf1_data!$B:$B,rf1_data!D:D,"NaN")="","NaN",(_xlfn.XLOOKUP($B9,rf1_data!$B:$B,rf1_data!D:D,"NaN")))</f>
        <v>41.91</v>
      </c>
      <c r="M9" s="5" t="str">
        <f>IF(_xlfn.XLOOKUP($B9,rf1_data!$B:$B,rf1_data!E:E,"NaN")="","NaN",(_xlfn.XLOOKUP($B9,rf1_data!$B:$B,rf1_data!E:E,"NaN")))</f>
        <v>White</v>
      </c>
      <c r="N9" s="5" t="str">
        <f>IF(_xlfn.XLOOKUP($B9,rf1_data!$B:$B,rf1_data!F:F,"NaN")="","NaN",(_xlfn.XLOOKUP($B9,rf1_data!$B:$B,rf1_data!F:F,"NaN")))</f>
        <v>Not Hispanic or Latino</v>
      </c>
      <c r="O9" s="5" t="str">
        <f>IF(_xlfn.XLOOKUP($B9,rf1_data!$B:$B,rf1_data!G:G,"NaN")="","NaN",(_xlfn.XLOOKUP($B9,rf1_data!$B:$B,rf1_data!G:G,"NaN")))</f>
        <v>Female</v>
      </c>
      <c r="P9" s="5">
        <f>IF(_xlfn.XLOOKUP($B9,rf1_data!$B:$B,rf1_data!H:H,"NaN")="","NaN",(_xlfn.XLOOKUP($B9,rf1_data!$B:$B,rf1_data!H:H,"NaN")))</f>
        <v>4.33</v>
      </c>
      <c r="Q9" s="5">
        <f>IF(_xlfn.XLOOKUP($B9,rf1_data!$B:$B,rf1_data!I:I,"NaN")="","NaN",(_xlfn.XLOOKUP($B9,rf1_data!$B:$B,rf1_data!I:I,"NaN")))</f>
        <v>3.9</v>
      </c>
      <c r="R9" s="5">
        <f>IF(_xlfn.XLOOKUP($B9,rf1_data!$B:$B,rf1_data!J:J,"NaN")="","NaN",(_xlfn.XLOOKUP($B9,rf1_data!$B:$B,rf1_data!J:J,"NaN")))</f>
        <v>4</v>
      </c>
      <c r="S9" s="5">
        <f>IF(_xlfn.XLOOKUP($B9,rf1_data!$B:$B,rf1_data!K:K,"NaN")="","NaN",(_xlfn.XLOOKUP($B9,rf1_data!$B:$B,rf1_data!K:K,"NaN")))</f>
        <v>4</v>
      </c>
      <c r="T9" s="5">
        <f>IF(_xlfn.XLOOKUP($B9,rf1_data!$B:$B,rf1_data!L:L,"NaN")="","NaN",(_xlfn.XLOOKUP($B9,rf1_data!$B:$B,rf1_data!L:L,"NaN")))</f>
        <v>0</v>
      </c>
      <c r="U9" s="5">
        <f>IF(_xlfn.XLOOKUP($B9,rf1_data!$B:$B,rf1_data!M:M,"NaN")="","NaN",(_xlfn.XLOOKUP($B9,rf1_data!$B:$B,rf1_data!M:M,"NaN")))</f>
        <v>4.33</v>
      </c>
      <c r="V9" s="5">
        <f>IF(_xlfn.XLOOKUP($B9,rf1_data!$B:$B,rf1_data!N:N,"NaN")="","NaN",(_xlfn.XLOOKUP($B9,rf1_data!$B:$B,rf1_data!N:N,"NaN")))</f>
        <v>3.83</v>
      </c>
      <c r="W9" s="5">
        <f>IF(_xlfn.XLOOKUP($B9,rf1_data!$B:$B,rf1_data!O:O,"NaN")="","NaN",(_xlfn.XLOOKUP($B9,rf1_data!$B:$B,rf1_data!O:O,"NaN")))</f>
        <v>4.63</v>
      </c>
      <c r="X9" s="5">
        <f>IF(_xlfn.XLOOKUP($B9,rf1_data!$B:$B,rf1_data!P:P,"NaN")="","NaN",(_xlfn.XLOOKUP($B9,rf1_data!$B:$B,rf1_data!P:P,"NaN")))</f>
        <v>4.17</v>
      </c>
      <c r="Y9" s="5">
        <f>IF(_xlfn.XLOOKUP($B9,rf1_data!$B:$B,rf1_data!Q:Q,"NaN")="","NaN",(_xlfn.XLOOKUP($B9,rf1_data!$B:$B,rf1_data!Q:Q,"NaN")))</f>
        <v>4.4000000000000004</v>
      </c>
      <c r="Z9" s="5">
        <f>IF(_xlfn.XLOOKUP($B9,rf1_data!$B:$B,rf1_data!R:R,"NaN")="","NaN",(_xlfn.XLOOKUP($B9,rf1_data!$B:$B,rf1_data!R:R,"NaN")))</f>
        <v>37</v>
      </c>
      <c r="AA9" s="5">
        <f>IF(_xlfn.XLOOKUP($B9,rf1_data!$B:$B,rf1_data!S:S,"NaN")="","NaN",(_xlfn.XLOOKUP($B9,rf1_data!$B:$B,rf1_data!S:S,"NaN")))</f>
        <v>9</v>
      </c>
      <c r="AB9" s="5">
        <f>IF(_xlfn.XLOOKUP($B9,rf1_data!$B:$B,rf1_data!T:T,"NaN")="","NaN",(_xlfn.XLOOKUP($B9,rf1_data!$B:$B,rf1_data!T:T,"NaN")))</f>
        <v>15</v>
      </c>
      <c r="AC9" s="5">
        <f>IF(_xlfn.XLOOKUP($B9,rf1_data!$B:$B,rf1_data!U:U,"NaN")="","NaN",(_xlfn.XLOOKUP($B9,rf1_data!$B:$B,rf1_data!U:U,"NaN")))</f>
        <v>6</v>
      </c>
      <c r="AD9" s="5">
        <f>IF(_xlfn.XLOOKUP($B9,rf1_data!$B:$B,rf1_data!V:V,"NaN")="","NaN",(_xlfn.XLOOKUP($B9,rf1_data!$B:$B,rf1_data!V:V,"NaN")))</f>
        <v>7</v>
      </c>
      <c r="AE9" s="5">
        <f>IF(_xlfn.XLOOKUP($B9,rf1_data!$B:$B,rf1_data!W:W,"NaN")="","NaN",(_xlfn.XLOOKUP($B9,rf1_data!$B:$B,rf1_data!W:W,"NaN")))</f>
        <v>3</v>
      </c>
      <c r="AF9" s="5">
        <f>IF(_xlfn.XLOOKUP($B9,rf1_data!$B:$B,rf1_data!X:X,"NaN")="","NaN",(_xlfn.XLOOKUP($B9,rf1_data!$B:$B,rf1_data!X:X,"NaN")))</f>
        <v>7</v>
      </c>
      <c r="AG9" s="5">
        <f>IF(_xlfn.XLOOKUP($B9,rf1_data!$B:$B,rf1_data!Y:Y,"NaN")="","NaN",(_xlfn.XLOOKUP($B9,rf1_data!$B:$B,rf1_data!Y:Y,"NaN")))</f>
        <v>5</v>
      </c>
      <c r="AH9" s="5">
        <f>IF(_xlfn.XLOOKUP($B9,rf1_data!$B:$B,rf1_data!Z:Z,"NaN")="","NaN",(_xlfn.XLOOKUP($B9,rf1_data!$B:$B,rf1_data!Z:Z,"NaN")))</f>
        <v>6</v>
      </c>
      <c r="AI9" s="5">
        <f>IF(_xlfn.XLOOKUP($B9,rf1_data!$B:$B,rf1_data!AA:AA,"NaN")="","NaN",(_xlfn.XLOOKUP($B9,rf1_data!$B:$B,rf1_data!AA:AA,"NaN")))</f>
        <v>2</v>
      </c>
      <c r="AJ9" s="5">
        <f>IF(_xlfn.XLOOKUP($B9,rf1_data!$B:$B,rf1_data!AB:AB,"NaN")="","NaN",(_xlfn.XLOOKUP($B9,rf1_data!$B:$B,rf1_data!AB:AB,"NaN")))</f>
        <v>23</v>
      </c>
      <c r="AK9" s="5">
        <f>IF(_xlfn.XLOOKUP($B9,rf1_data!$B:$B,rf1_data!AC:AC,"NaN")="","NaN",(_xlfn.XLOOKUP($B9,rf1_data!$B:$B,rf1_data!AC:AC,"NaN")))</f>
        <v>35</v>
      </c>
      <c r="AL9" s="5">
        <f>IF(_xlfn.XLOOKUP($B9,rf1_data!$B:$B,rf1_data!AD:AD,"NaN")="","NaN",(_xlfn.XLOOKUP($B9,rf1_data!$B:$B,rf1_data!AD:AD,"NaN")))</f>
        <v>14</v>
      </c>
      <c r="AM9" s="5">
        <f>IF(_xlfn.XLOOKUP($B9,rf1_data!$B:$B,rf1_data!AE:AE,"NaN")="","NaN",(_xlfn.XLOOKUP($B9,rf1_data!$B:$B,rf1_data!AE:AE,"NaN")))</f>
        <v>0</v>
      </c>
      <c r="AN9" s="5">
        <f>IF(_xlfn.XLOOKUP($B9,rf1_data!$B:$B,rf1_data!AF:AF,"NaN")="","NaN",(_xlfn.XLOOKUP($B9,rf1_data!$B:$B,rf1_data!AF:AF,"NaN")))</f>
        <v>0</v>
      </c>
      <c r="AO9" s="5">
        <f>IF(_xlfn.XLOOKUP($B9,rf1_data!$B:$B,rf1_data!AG:AG,"NaN")="","NaN",(_xlfn.XLOOKUP($B9,rf1_data!$B:$B,rf1_data!AG:AG,"NaN")))</f>
        <v>4.75</v>
      </c>
      <c r="AP9" s="5">
        <f>IF(_xlfn.XLOOKUP($B9,rf1_data!$B:$B,rf1_data!AH:AH,"NaN")="","NaN",(_xlfn.XLOOKUP($B9,rf1_data!$B:$B,rf1_data!AH:AH,"NaN")))</f>
        <v>5.25</v>
      </c>
      <c r="AQ9" s="5">
        <f>IF(_xlfn.XLOOKUP($B9,rf1_data!$B:$B,rf1_data!AI:AI,"NaN")="","NaN",(_xlfn.XLOOKUP($B9,rf1_data!$B:$B,rf1_data!AI:AI,"NaN")))</f>
        <v>5</v>
      </c>
      <c r="AR9" s="5">
        <f>IF(_xlfn.XLOOKUP($B9,rf1_data!$B:$B,rf1_data!AJ:AJ,"NaN")="","NaN",(_xlfn.XLOOKUP($B9,rf1_data!$B:$B,rf1_data!AJ:AJ,"NaN")))</f>
        <v>4</v>
      </c>
      <c r="AS9" s="5">
        <f>IF(_xlfn.XLOOKUP($B9,rf1_data!$B:$B,rf1_data!AK:AK,"NaN")="","NaN",(_xlfn.XLOOKUP($B9,rf1_data!$B:$B,rf1_data!AK:AK,"NaN")))</f>
        <v>3</v>
      </c>
      <c r="AT9" s="5">
        <f>IF(_xlfn.XLOOKUP($B9,rf1_data!$B:$B,rf1_data!AL:AL,"NaN")="","NaN",(_xlfn.XLOOKUP($B9,rf1_data!$B:$B,rf1_data!AL:AL,"NaN")))</f>
        <v>15</v>
      </c>
      <c r="AU9" s="5">
        <f>IF(_xlfn.XLOOKUP($B9,rf1_data!$B:$B,rf1_data!AM:AM,"NaN")="","NaN",(_xlfn.XLOOKUP($B9,rf1_data!$B:$B,rf1_data!AM:AM,"NaN")))</f>
        <v>3.08</v>
      </c>
      <c r="AV9" s="5">
        <f>IF(_xlfn.XLOOKUP($B9,rf1_data!$B:$B,rf1_data!AN:AN,"NaN")="","NaN",(_xlfn.XLOOKUP($B9,rf1_data!$B:$B,rf1_data!AN:AN,"NaN")))</f>
        <v>19</v>
      </c>
      <c r="AW9" s="5" t="str">
        <f>IF(_xlfn.XLOOKUP($B9,rf1_data!$B:$B,rf1_data!AO:AO,"NaN")="","NaN",(_xlfn.XLOOKUP($B9,rf1_data!$B:$B,rf1_data!AO:AO,"NaN")))</f>
        <v>NaN</v>
      </c>
      <c r="AX9" s="5">
        <f>IF(_xlfn.XLOOKUP($B9,rf1_data!$B:$B,rf1_data!AP:AP,"NaN")="","NaN",(_xlfn.XLOOKUP($B9,rf1_data!$B:$B,rf1_data!AP:AP,"NaN")))</f>
        <v>3.51</v>
      </c>
      <c r="AY9" s="5">
        <f>IF(_xlfn.XLOOKUP($B9,rf1_data!$B:$B,rf1_data!AQ:AQ,"NaN")="","NaN",(_xlfn.XLOOKUP($B9,rf1_data!$B:$B,rf1_data!AQ:AQ,"NaN")))</f>
        <v>29</v>
      </c>
      <c r="AZ9" s="5" t="str">
        <f>IF(_xlfn.XLOOKUP($B9,rf1_data!$B:$B,rf1_data!AR:AR,"NaN")="","NaN",(_xlfn.XLOOKUP($B9,rf1_data!$B:$B,rf1_data!AR:AR,"NaN")))</f>
        <v>NaN</v>
      </c>
      <c r="BA9" s="5" t="str">
        <f>IF(_xlfn.XLOOKUP($B9,rf1_data!$B:$B,rf1_data!AS:AS,"NaN")="","NaN",(_xlfn.XLOOKUP($B9,rf1_data!$B:$B,rf1_data!AS:AS,"NaN")))</f>
        <v>NaN</v>
      </c>
      <c r="BB9" s="5" t="str">
        <f>IF(_xlfn.XLOOKUP($B9,rf1_data!$B:$B,rf1_data!AT:AT,"NaN")="","NaN",(_xlfn.XLOOKUP($B9,rf1_data!$B:$B,rf1_data!AT:AT,"NaN")))</f>
        <v>NaN</v>
      </c>
      <c r="BC9" s="5" t="str">
        <f>IF(_xlfn.XLOOKUP($B9,rf1_data!$B:$B,rf1_data!AU:AU,"NaN")="","NaN",(_xlfn.XLOOKUP($B9,rf1_data!$B:$B,rf1_data!AU:AU,"NaN")))</f>
        <v>NaN</v>
      </c>
      <c r="BD9" s="5" t="str">
        <f>IF(_xlfn.XLOOKUP($B9,rf1_data!$B:$B,rf1_data!AV:AV,"NaN")="","NaN",(_xlfn.XLOOKUP($B9,rf1_data!$B:$B,rf1_data!AV:AV,"NaN")))</f>
        <v>NaN</v>
      </c>
      <c r="BE9" s="5" t="str">
        <f>IF(_xlfn.XLOOKUP($B9,rf1_data!$B:$B,rf1_data!AW:AW,"NaN")="","NaN",(_xlfn.XLOOKUP($B9,rf1_data!$B:$B,rf1_data!AW:AW,"NaN")))</f>
        <v>NaN</v>
      </c>
      <c r="BF9" s="5" t="str">
        <f>IF(_xlfn.XLOOKUP($B9,rf1_data!$B:$B,rf1_data!AX:AX,"NaN")="","NaN",(_xlfn.XLOOKUP($B9,rf1_data!$B:$B,rf1_data!AX:AX,"NaN")))</f>
        <v>NaN</v>
      </c>
      <c r="BG9" s="5" t="str">
        <f>IF(_xlfn.XLOOKUP($B9,rf1_data!$B:$B,rf1_data!AY:AY,"NaN")="","NaN",(_xlfn.XLOOKUP($B9,rf1_data!$B:$B,rf1_data!AY:AY,"NaN")))</f>
        <v>NaN</v>
      </c>
      <c r="BH9" s="5" t="str">
        <f>IF(_xlfn.XLOOKUP($B9,rf1_data!$B:$B,rf1_data!AZ:AZ,"NaN")="","NaN",(_xlfn.XLOOKUP($B9,rf1_data!$B:$B,rf1_data!AZ:AZ,"NaN")))</f>
        <v>NaN</v>
      </c>
      <c r="BI9" s="5">
        <f>IF(_xlfn.XLOOKUP($B9,rf1_data!$B:$B,rf1_data!BA:BA,"NaN")="","NaN",(_xlfn.XLOOKUP($B9,rf1_data!$B:$B,rf1_data!BA:BA,"NaN")))</f>
        <v>20</v>
      </c>
      <c r="BJ9" s="5" t="str">
        <f>IF(_xlfn.XLOOKUP($B9,rf1_data!$B:$B,rf1_data!BB:BB,"NaN")="","NaN",(_xlfn.XLOOKUP($B9,rf1_data!$B:$B,rf1_data!BB:BB,"NaN")))</f>
        <v>NaN</v>
      </c>
      <c r="BK9" s="5" t="str">
        <f>IF(_xlfn.XLOOKUP($B9,rf1_data!$B:$B,rf1_data!BC:BC,"NaN")="","NaN",(_xlfn.XLOOKUP($B9,rf1_data!$B:$B,rf1_data!BC:BC,"NaN")))</f>
        <v>NaN</v>
      </c>
      <c r="BL9" s="5" t="str">
        <f>IF(_xlfn.XLOOKUP($B9,rf1_data!$B:$B,rf1_data!BD:BD,"NaN")="","NaN",(_xlfn.XLOOKUP($B9,rf1_data!$B:$B,rf1_data!BD:BD,"NaN")))</f>
        <v>NaN</v>
      </c>
      <c r="BM9" s="5" t="str">
        <f>IF(_xlfn.XLOOKUP($B9,rf1_data!$B:$B,rf1_data!BE:BE,"NaN")="","NaN",(_xlfn.XLOOKUP($B9,rf1_data!$B:$B,rf1_data!BE:BE,"NaN")))</f>
        <v>NaN</v>
      </c>
      <c r="BN9" s="5" t="str">
        <f>IF(_xlfn.XLOOKUP($B9,rf1_data!$B:$B,rf1_data!BF:BF,"NaN")="","NaN",(_xlfn.XLOOKUP($B9,rf1_data!$B:$B,rf1_data!BF:BF,"NaN")))</f>
        <v>NaN</v>
      </c>
      <c r="BO9" s="5" t="str">
        <f>IF(_xlfn.XLOOKUP($B9,rf1_data!$B:$B,rf1_data!BG:BG,"NaN")="","NaN",(_xlfn.XLOOKUP($B9,rf1_data!$B:$B,rf1_data!BG:BG,"NaN")))</f>
        <v>NaN</v>
      </c>
      <c r="BP9" s="5" t="str">
        <f>IF(_xlfn.XLOOKUP($B9,rf1_data!$B:$B,rf1_data!BH:BH,"NaN")="","NaN",(_xlfn.XLOOKUP($B9,rf1_data!$B:$B,rf1_data!BH:BH,"NaN")))</f>
        <v>NaN</v>
      </c>
      <c r="BQ9" s="5" t="str">
        <f>IF(_xlfn.XLOOKUP($B9,rf1_data!$B:$B,rf1_data!BI:BI,"NaN")="","NaN",(_xlfn.XLOOKUP($B9,rf1_data!$B:$B,rf1_data!BI:BI,"NaN")))</f>
        <v>NaN</v>
      </c>
      <c r="BR9" s="5">
        <f>IF(_xlfn.XLOOKUP($B9,rf1_data!$B:$B,rf1_data!BJ:BJ,"NaN")="","NaN",(_xlfn.XLOOKUP($B9,rf1_data!$B:$B,rf1_data!BJ:BJ,"NaN")))</f>
        <v>8991</v>
      </c>
      <c r="BS9" s="5" t="str">
        <f>IF(_xlfn.XLOOKUP($B9,rf1_data!$B:$B,rf1_data!BK:BK,"NaN")="","NaN",(_xlfn.XLOOKUP($B9,rf1_data!$B:$B,rf1_data!BK:BK,"NaN")))</f>
        <v>NaN</v>
      </c>
      <c r="BT9" s="5" t="str">
        <f>IF(_xlfn.XLOOKUP($B9,rf1_data!$B:$B,rf1_data!BL:BL,"NaN")="","NaN",(_xlfn.XLOOKUP($B9,rf1_data!$B:$B,rf1_data!BL:BL,"NaN")))</f>
        <v>NaN</v>
      </c>
      <c r="BU9" s="5" t="str">
        <f>IF(_xlfn.XLOOKUP($B9,rf1_data!$B:$B,rf1_data!BM:BM,"NaN")="","NaN",(_xlfn.XLOOKUP($B9,rf1_data!$B:$B,rf1_data!BM:BM,"NaN")))</f>
        <v>NaN</v>
      </c>
      <c r="BV9" s="5" t="str">
        <f>IF(_xlfn.XLOOKUP($B9,rf1_data!$B:$B,rf1_data!BN:BN,"NaN")="","NaN",(_xlfn.XLOOKUP($B9,rf1_data!$B:$B,rf1_data!BN:BN,"NaN")))</f>
        <v>NaN</v>
      </c>
      <c r="BW9" s="5">
        <f>IF(_xlfn.XLOOKUP($B9,rf1_data!$B:$B,rf1_data!BO:BO,"NaN")="","NaN",(_xlfn.XLOOKUP($B9,rf1_data!$B:$B,rf1_data!BO:BO,"NaN")))</f>
        <v>3.7</v>
      </c>
      <c r="BX9" s="5">
        <f>IF(_xlfn.XLOOKUP($B9,rf1_data!$B:$B,rf1_data!BP:BP,"NaN")="","NaN",(_xlfn.XLOOKUP($B9,rf1_data!$B:$B,rf1_data!BP:BP,"NaN")))</f>
        <v>3.9</v>
      </c>
      <c r="BY9" s="5">
        <f>IF(_xlfn.XLOOKUP($B9,rf1_data!$B:$B,rf1_data!BQ:BQ,"NaN")="","NaN",(_xlfn.XLOOKUP($B9,rf1_data!$B:$B,rf1_data!BQ:BQ,"NaN")))</f>
        <v>3.9</v>
      </c>
      <c r="BZ9" s="5">
        <f>IF(_xlfn.XLOOKUP($B9,rf1_data!$B:$B,rf1_data!BR:BR,"NaN")="","NaN",(_xlfn.XLOOKUP($B9,rf1_data!$B:$B,rf1_data!BR:BR,"NaN")))</f>
        <v>3.83</v>
      </c>
      <c r="CA9" s="5">
        <f>IF(_xlfn.XLOOKUP($B9,rf1_data!$B:$B,rf1_data!BS:BS,"NaN")="","NaN",(_xlfn.XLOOKUP($B9,rf1_data!$B:$B,rf1_data!BS:BS,"NaN")))</f>
        <v>6</v>
      </c>
      <c r="CB9" s="5">
        <f>IF(_xlfn.XLOOKUP($B9,rf1_data!$B:$B,rf1_data!BT:BT,"NaN")="","NaN",(_xlfn.XLOOKUP($B9,rf1_data!$B:$B,rf1_data!BT:BT,"NaN")))</f>
        <v>4.3333333333333304</v>
      </c>
      <c r="CC9" s="5">
        <f>IF(_xlfn.XLOOKUP($B9,rf1_data!$B:$B,rf1_data!BU:BU,"NaN")="","NaN",(_xlfn.XLOOKUP($B9,rf1_data!$B:$B,rf1_data!BU:BU,"NaN")))</f>
        <v>2.6666666666666599</v>
      </c>
      <c r="CD9" s="5">
        <f>IF(_xlfn.XLOOKUP($B9,rf1_data!$B:$B,rf1_data!BV:BV,"NaN")="","NaN",(_xlfn.XLOOKUP($B9,rf1_data!$B:$B,rf1_data!BV:BV,"NaN")))</f>
        <v>1.8333333333333299</v>
      </c>
      <c r="CE9" s="5">
        <f>IF(_xlfn.XLOOKUP($B9,rf1_data!$B:$B,rf1_data!BW:BW,"NaN")="","NaN",(_xlfn.XLOOKUP($B9,rf1_data!$B:$B,rf1_data!BW:BW,"NaN")))</f>
        <v>2.95</v>
      </c>
      <c r="CF9" s="5">
        <f>IF(_xlfn.XLOOKUP($B9,rf1_data!$B:$B,rf1_data!BX:BX,"NaN")="","NaN",(_xlfn.XLOOKUP($B9,rf1_data!$B:$B,rf1_data!BX:BX,"NaN")))</f>
        <v>0</v>
      </c>
      <c r="CG9" s="5">
        <f>IF(_xlfn.XLOOKUP($B9,rf1_data!$B:$B,rf1_data!BY:BY,"NaN")="","NaN",(_xlfn.XLOOKUP($B9,rf1_data!$B:$B,rf1_data!BY:BY,"NaN")))</f>
        <v>0</v>
      </c>
      <c r="CH9" s="5">
        <f>IF(_xlfn.XLOOKUP($B9,rf1_data!$B:$B,rf1_data!BZ:BZ,"NaN")="","NaN",(_xlfn.XLOOKUP($B9,rf1_data!$B:$B,rf1_data!BZ:BZ,"NaN")))</f>
        <v>27</v>
      </c>
      <c r="CI9" s="5">
        <f>IF(_xlfn.XLOOKUP($B9,rf1_data!$B:$B,rf1_data!CA:CA,"NaN")="","NaN",(_xlfn.XLOOKUP($B9,rf1_data!$B:$B,rf1_data!CA:CA,"NaN")))</f>
        <v>24</v>
      </c>
      <c r="CJ9" s="5">
        <f>IF(_xlfn.XLOOKUP($B9,rf1_data!$B:$B,rf1_data!CB:CB,"NaN")="","NaN",(_xlfn.XLOOKUP($B9,rf1_data!$B:$B,rf1_data!CB:CB,"NaN")))</f>
        <v>11</v>
      </c>
      <c r="CK9" s="5">
        <f>IF(_xlfn.XLOOKUP($B9,rf1_data!$B:$B,rf1_data!CC:CC,"NaN")="","NaN",(_xlfn.XLOOKUP($B9,rf1_data!$B:$B,rf1_data!CC:CC,"NaN")))</f>
        <v>1.1000000000000001</v>
      </c>
      <c r="CL9" s="5">
        <f>IF(_xlfn.XLOOKUP($B9,rf1_data!$B:$B,rf1_data!CD:CD,"NaN")=0,"NaN",(_xlfn.XLOOKUP($B9,rf1_data!$B:$B,rf1_data!CD:CD,"NaN")))</f>
        <v>38</v>
      </c>
      <c r="CM9" s="5">
        <f>IF(_xlfn.XLOOKUP($B9,rf1_data!$B:$B,rf1_data!CE:CE,"NaN")="","NaN",(_xlfn.XLOOKUP($B9,rf1_data!$B:$B,rf1_data!CE:CE,"NaN")))</f>
        <v>40</v>
      </c>
      <c r="CN9" s="5">
        <f>IF(_xlfn.XLOOKUP($B9,rf1_data!$B:$B,rf1_data!CF:CF,"NaN")="","NaN",(_xlfn.XLOOKUP($B9,rf1_data!$B:$B,rf1_data!CF:CF,"NaN")))</f>
        <v>39</v>
      </c>
      <c r="CO9" s="5">
        <f>IF(_xlfn.XLOOKUP($B9,rf1_data!$B:$B,rf1_data!CG:CG,"NaN")="","NaN",(_xlfn.XLOOKUP($B9,rf1_data!$B:$B,rf1_data!CG:CG,"NaN")))</f>
        <v>23</v>
      </c>
      <c r="CP9" s="5">
        <f>IF(_xlfn.XLOOKUP($B9,rf1_data!$B:$B,rf1_data!CH:CH,"NaN")=0,"NaN",(_xlfn.XLOOKUP($B9,rf1_data!$B:$B,rf1_data!CH:CH,"NaN")))</f>
        <v>36</v>
      </c>
      <c r="CQ9" s="5">
        <f>IF(_xlfn.XLOOKUP($B9,rf1_data!$B:$B,rf1_data!CI:CI,"NaN")="","NaN",(_xlfn.XLOOKUP($B9,rf1_data!$B:$B,rf1_data!CI:CI,"NaN")))</f>
        <v>47</v>
      </c>
      <c r="CR9" s="5" t="str">
        <f>IF(_xlfn.XLOOKUP($B9,rf1_data!$B:$B,rf1_data!CJ:CJ,"NaN")="","NaN",(_xlfn.XLOOKUP($B9,rf1_data!$B:$B,rf1_data!CJ:CJ,"NaN")))</f>
        <v>NaN</v>
      </c>
      <c r="CS9" s="5">
        <f>IF(_xlfn.XLOOKUP($B9,rf1_data!$B:$B,rf1_data!CK:CK,"NaN")="","NaN",(_xlfn.XLOOKUP($B9,rf1_data!$B:$B,rf1_data!CK:CK,"NaN")))</f>
        <v>47</v>
      </c>
      <c r="CT9" s="5">
        <f>IF(_xlfn.XLOOKUP($B9,rf1_data!$B:$B,rf1_data!CL:CL,"NaN")="","NaN",(_xlfn.XLOOKUP($B9,rf1_data!$B:$B,rf1_data!CL:CL,"NaN")))</f>
        <v>60</v>
      </c>
      <c r="CU9" s="5">
        <f>IF(_xlfn.XLOOKUP($B9,rf1_data!$B:$B,rf1_data!CM:CM,"NaN")="","NaN",(_xlfn.XLOOKUP($B9,rf1_data!$B:$B,rf1_data!CM:CM,"NaN")))</f>
        <v>34</v>
      </c>
      <c r="CV9" s="5">
        <f>IF(_xlfn.XLOOKUP($B9,rf1_data!$B:$B,rf1_data!CN:CN,"NaN")="","NaN",(_xlfn.XLOOKUP($B9,rf1_data!$B:$B,rf1_data!CN:CN,"NaN")))</f>
        <v>60</v>
      </c>
      <c r="CW9" s="5" t="str">
        <f>IF(_xlfn.XLOOKUP($B9,rf1_data!$B:$B,rf1_data!CO:CO,"NaN")="","NaN",(_xlfn.XLOOKUP($B9,rf1_data!$B:$B,rf1_data!CO:CO,"NaN")))</f>
        <v>NaN</v>
      </c>
      <c r="CX9" s="5" t="str">
        <f>IF(_xlfn.XLOOKUP($B9,rf1_data!$B:$B,rf1_data!CP:CP,"NaN")="","NaN",(_xlfn.XLOOKUP($B9,rf1_data!$B:$B,rf1_data!CP:CP,"NaN")))</f>
        <v>NaN</v>
      </c>
      <c r="CY9" s="5">
        <f>IF(_xlfn.XLOOKUP($B9,rf1_data!$B:$B,rf1_data!CQ:CQ,"NaN")="","NaN",(_xlfn.XLOOKUP($B9,rf1_data!$B:$B,rf1_data!CQ:CQ,"NaN")))</f>
        <v>4</v>
      </c>
      <c r="CZ9" s="5">
        <f>IF(_xlfn.XLOOKUP($B9,rf1_data!$B:$B,rf1_data!CR:CR,"NaN")="","NaN",(_xlfn.XLOOKUP($B9,rf1_data!$B:$B,rf1_data!CR:CR,"NaN")))</f>
        <v>4</v>
      </c>
      <c r="DA9" s="5">
        <f>IF(_xlfn.XLOOKUP($B9,rf1_data!$B:$B,rf1_data!CS:CS,"NaN")="","NaN",(_xlfn.XLOOKUP($B9,rf1_data!$B:$B,rf1_data!CS:CS,"NaN")))</f>
        <v>4</v>
      </c>
      <c r="DB9" s="4">
        <f>IF(_xlfn.XLOOKUP($B9,island_data!$B:$B,island_data!H:H,"NaN")="","NaN",_xlfn.XLOOKUP($B9,island_data!$B:$B,island_data!H:H,"NaN"))</f>
        <v>1</v>
      </c>
      <c r="DC9" s="4">
        <f>IF(_xlfn.XLOOKUP($B9,island_data!$B:$B,island_data!I:I,"NaN")="","NaN",_xlfn.XLOOKUP($B9,island_data!$B:$B,island_data!I:I,"NaN"))</f>
        <v>0</v>
      </c>
      <c r="DD9" s="4">
        <f>IF(_xlfn.XLOOKUP($B9,island_data!$B:$B,island_data!J:J,"NaN")="","NaN",_xlfn.XLOOKUP($B9,island_data!$B:$B,island_data!J:J,"NaN"))</f>
        <v>1</v>
      </c>
      <c r="DE9" s="4">
        <f>IF(_xlfn.XLOOKUP($B9,island_data!$B:$B,island_data!K:K,"NaN")="","NaN",_xlfn.XLOOKUP($B9,island_data!$B:$B,island_data!K:K,"NaN"))</f>
        <v>5</v>
      </c>
      <c r="DF9" s="4">
        <f>IF(_xlfn.XLOOKUP($B9,island_data!$B:$B,island_data!L:L,"NaN")="","NaN",_xlfn.XLOOKUP($B9,island_data!$B:$B,island_data!L:L,"NaN"))</f>
        <v>23</v>
      </c>
      <c r="DG9" s="4">
        <f>IF(_xlfn.XLOOKUP($B9,island_data!$B:$B,island_data!M:M,"NaN")="","NaN",_xlfn.XLOOKUP($B9,island_data!$B:$B,island_data!M:M,"NaN"))</f>
        <v>2.1111111111111001</v>
      </c>
      <c r="DH9" s="4">
        <f>IF(_xlfn.XLOOKUP($B9,island_data!$B:$B,island_data!N:N,"NaN")="","NaN",_xlfn.XLOOKUP($B9,island_data!$B:$B,island_data!N:N,"NaN"))</f>
        <v>9</v>
      </c>
      <c r="DI9" s="4" t="str">
        <f>IF(_xlfn.XLOOKUP($B9,island_data!$B:$B,island_data!O:O,"NaN")=999,"NaN",_xlfn.XLOOKUP($B9,island_data!$B:$B,island_data!O:O,"NaN"))</f>
        <v>NaN</v>
      </c>
      <c r="DJ9" s="4">
        <f>IF(_xlfn.XLOOKUP($B9,island_data!$B:$B,island_data!P:P,"NaN")="","NaN",_xlfn.XLOOKUP($B9,island_data!$B:$B,island_data!P:P,"NaN"))</f>
        <v>5</v>
      </c>
      <c r="DK9" s="4">
        <f>IF(_xlfn.XLOOKUP($B9,island_data!$B:$B,island_data!Q:Q,"NaN")="","NaN",_xlfn.XLOOKUP($B9,island_data!$B:$B,island_data!Q:Q,"NaN"))</f>
        <v>2</v>
      </c>
      <c r="DL9" s="4" t="str">
        <f>IF(_xlfn.XLOOKUP($B9,island_data!$B:$B,island_data!R:R,"NaN")=999,"NaN",_xlfn.XLOOKUP($B9,island_data!$B:$B,island_data!R:R,"NaN"))</f>
        <v>NaN</v>
      </c>
      <c r="DM9" s="4">
        <f>IF(_xlfn.XLOOKUP($B9,island_data!$B:$B,island_data!S:S,"NaN")="","NaN",_xlfn.XLOOKUP($B9,island_data!$B:$B,island_data!S:S,"NaN"))</f>
        <v>9</v>
      </c>
      <c r="DN9" s="4" t="str">
        <f>IF(_xlfn.XLOOKUP($B9,island_data!$B:$B,island_data!T:T,"NaN")="","NaN",_xlfn.XLOOKUP($B9,island_data!$B:$B,island_data!T:T,"NaN"))</f>
        <v>NaN</v>
      </c>
      <c r="DO9" s="4">
        <f>IF(_xlfn.XLOOKUP($B9,island_data!$B:$B,island_data!U:U,"NaN")="","NaN",_xlfn.XLOOKUP($B9,island_data!$B:$B,island_data!U:U,"NaN"))</f>
        <v>6</v>
      </c>
      <c r="DP9" s="4">
        <f>IF(_xlfn.XLOOKUP($B9,island_data!$B:$B,island_data!V:V,"NaN")="","NaN",_xlfn.XLOOKUP($B9,island_data!$B:$B,island_data!V:V,"NaN"))</f>
        <v>2</v>
      </c>
      <c r="DQ9" s="4">
        <f>IF(_xlfn.XLOOKUP($B9,island_data!$B:$B,island_data!W:W,"NaN")="","NaN",_xlfn.XLOOKUP($B9,island_data!$B:$B,island_data!W:W,"NaN"))</f>
        <v>6</v>
      </c>
      <c r="DR9" s="4">
        <f>IF(_xlfn.XLOOKUP($B9,island_data!$B:$B,island_data!X:X,"NaN")="","NaN",_xlfn.XLOOKUP($B9,island_data!$B:$B,island_data!X:X,"NaN"))</f>
        <v>6</v>
      </c>
      <c r="DS9" s="4" t="str">
        <f>IF(_xlfn.XLOOKUP($B9,island_data!$B:$B,island_data!Y:Y,"NaN")="","NaN",_xlfn.XLOOKUP($B9,island_data!$B:$B,island_data!Y:Y,"NaN"))</f>
        <v>NaN</v>
      </c>
      <c r="DT9" s="4" t="str">
        <f>IF(_xlfn.XLOOKUP($B9,island_data!$B:$B,island_data!Z:Z,"NaN")="","NaN",_xlfn.XLOOKUP($B9,island_data!$B:$B,island_data!Z:Z,"NaN"))</f>
        <v>NaN</v>
      </c>
      <c r="DU9" s="4" t="str">
        <f>IF(_xlfn.XLOOKUP($B9,island_data!$B:$B,island_data!AA:AA,"NaN")="","NaN",_xlfn.XLOOKUP($B9,island_data!$B:$B,island_data!AA:AA,"NaN"))</f>
        <v>NaN</v>
      </c>
      <c r="DV9" s="4" t="str">
        <f>IF(_xlfn.XLOOKUP($B9,island_data!$B:$B,island_data!AB:AB,"NaN")="","NaN",_xlfn.XLOOKUP($B9,island_data!$B:$B,island_data!AB:AB,"NaN"))</f>
        <v>NaN</v>
      </c>
      <c r="DW9" s="4">
        <f>IF(_xlfn.XLOOKUP($B9,island_data!$B:$B,island_data!AC:AC,"NaN")="","NaN",_xlfn.XLOOKUP($B9,island_data!$B:$B,island_data!AC:AC,"NaN"))</f>
        <v>19403</v>
      </c>
      <c r="DX9" s="4">
        <f>IF(_xlfn.XLOOKUP($B9,island_data!$B:$B,island_data!AD:AD,"NaN")="","NaN",_xlfn.XLOOKUP($B9,island_data!$B:$B,island_data!AD:AD,"NaN"))</f>
        <v>6</v>
      </c>
      <c r="DY9" s="4">
        <f>IF(_xlfn.XLOOKUP($B9,island_data!$B:$B,island_data!AE:AE,"NaN")="","NaN",_xlfn.XLOOKUP($B9,island_data!$B:$B,island_data!AE:AE,"NaN"))</f>
        <v>1</v>
      </c>
      <c r="DZ9" s="4" t="str">
        <f>IF(_xlfn.XLOOKUP($B9,island_data!$B:$B,island_data!AF:AF,"NaN")="","NaN",_xlfn.XLOOKUP($B9,island_data!$B:$B,island_data!AF:AF,"NaN"))</f>
        <v>NaN</v>
      </c>
      <c r="EA9" s="4" t="str">
        <f>IF(_xlfn.XLOOKUP($B9,island_data!$B:$B,island_data!AG:AG,"NaN")="","NaN",_xlfn.XLOOKUP($B9,island_data!$B:$B,island_data!AG:AG,"NaN"))</f>
        <v>NaN</v>
      </c>
      <c r="EB9" s="4" t="str">
        <f>IF(_xlfn.XLOOKUP($B9,island_data!$B:$B,island_data!AH:AH,"NaN")="","NaN",_xlfn.XLOOKUP($B9,island_data!$B:$B,island_data!AH:AH,"NaN"))</f>
        <v>NaN</v>
      </c>
      <c r="EC9" s="4" t="str">
        <f>IF(_xlfn.XLOOKUP($B9,island_data!$B:$B,island_data!AI:AI,"NaN")="","NaN",_xlfn.XLOOKUP($B9,island_data!$B:$B,island_data!AI:AI,"NaN"))</f>
        <v>NaN</v>
      </c>
      <c r="ED9" s="4" t="str">
        <f>IF(_xlfn.XLOOKUP($B9,island_data!$B:$B,island_data!AJ:AJ,"NaN")="","NaN",_xlfn.XLOOKUP($B9,island_data!$B:$B,island_data!AJ:AJ,"NaN"))</f>
        <v>NaN</v>
      </c>
      <c r="EE9" s="4" t="str">
        <f>IF(_xlfn.XLOOKUP($B9,island_data!$B:$B,island_data!AK:AK,"NaN")="","NaN",_xlfn.XLOOKUP($B9,island_data!$B:$B,island_data!AK:AK,"NaN"))</f>
        <v>NaN</v>
      </c>
      <c r="EF9" s="4" t="str">
        <f>IF(_xlfn.XLOOKUP($B9,island_data!$B:$B,island_data!AL:AL,"NaN")="","NaN",_xlfn.XLOOKUP($B9,island_data!$B:$B,island_data!AL:AL,"NaN"))</f>
        <v>NaN</v>
      </c>
      <c r="EG9" s="4" t="str">
        <f>IF(_xlfn.XLOOKUP($B9,island_data!$B:$B,island_data!AM:AM,"NaN")="","NaN",_xlfn.XLOOKUP($B9,island_data!$B:$B,island_data!AM:AM,"NaN"))</f>
        <v>NaN</v>
      </c>
      <c r="EH9" s="4" t="str">
        <f>IF(_xlfn.XLOOKUP($B9,island_data!$B:$B,island_data!AN:AN,"NaN")="","NaN",_xlfn.XLOOKUP($B9,island_data!$B:$B,island_data!AN:AN,"NaN"))</f>
        <v>NaN</v>
      </c>
      <c r="EI9" s="4" t="str">
        <f>IF(_xlfn.XLOOKUP($B9,island_data!$B:$B,island_data!AO:AO,"NaN")="","NaN",_xlfn.XLOOKUP($B9,island_data!$B:$B,island_data!AO:AO,"NaN"))</f>
        <v>NaN</v>
      </c>
      <c r="EJ9" s="8">
        <f>IF(_xlfn.XLOOKUP($A9,TabCAT!$A:$A,TabCAT!AU:AU,"NaN")="","NaN",(_xlfn.XLOOKUP($A9,TabCAT!$A:$A,TabCAT!AU:AU,"NaN")))</f>
        <v>186</v>
      </c>
      <c r="EK9" s="8" t="b">
        <f>IF(_xlfn.XLOOKUP($A9,TabCAT!$A:$A,TabCAT!AV:AV,"NaN")="","NaN",(_xlfn.XLOOKUP($A9,TabCAT!$A:$A,TabCAT!AV:AV,"NaN")))</f>
        <v>1</v>
      </c>
      <c r="EL9" s="8">
        <f>IF(_xlfn.XLOOKUP($A9,TabCAT!$A:$A,TabCAT!AW:AW,"NaN")="","NaN",(_xlfn.XLOOKUP($A9,TabCAT!$A:$A,TabCAT!AW:AW,"NaN")))</f>
        <v>6</v>
      </c>
      <c r="EM9" s="8">
        <f>IF(_xlfn.XLOOKUP($A9,TabCAT!$A:$A,TabCAT!AX:AX,"NaN")="","NaN",(_xlfn.XLOOKUP($A9,TabCAT!$A:$A,TabCAT!AX:AX,"NaN")))</f>
        <v>0</v>
      </c>
      <c r="EN9" s="8">
        <f>IF(_xlfn.XLOOKUP($A9,TabCAT!$A:$A,TabCAT!AY:AY,"NaN")="","NaN",(_xlfn.XLOOKUP($A9,TabCAT!$A:$A,TabCAT!AY:AY,"NaN")))</f>
        <v>7.31</v>
      </c>
      <c r="EO9" s="8">
        <f>IF(_xlfn.XLOOKUP($A9,TabCAT!$A:$A,TabCAT!AZ:AZ,"NaN")="","NaN",(_xlfn.XLOOKUP($A9,TabCAT!$A:$A,TabCAT!AZ:AZ,"NaN")))</f>
        <v>31</v>
      </c>
      <c r="EP9" s="8">
        <f>IF(_xlfn.XLOOKUP($A9,TabCAT!$A:$A,TabCAT!BA:BA,"NaN")="","NaN",(_xlfn.XLOOKUP($A9,TabCAT!$A:$A,TabCAT!BA:BA,"NaN")))</f>
        <v>0.92623</v>
      </c>
      <c r="EQ9" s="8">
        <f>IF(_xlfn.XLOOKUP($A9,TabCAT!$A:$A,TabCAT!BB:BB,"NaN")="","NaN",(_xlfn.XLOOKUP($A9,TabCAT!$A:$A,TabCAT!BB:BB,"NaN")))</f>
        <v>0.11973385321508501</v>
      </c>
      <c r="ER9" s="8">
        <f>IF(_xlfn.XLOOKUP($A9,TabCAT!$A:$A,TabCAT!BC:BC,"NaN")="","NaN",(_xlfn.XLOOKUP($A9,TabCAT!$A:$A,TabCAT!BC:BC,"NaN")))</f>
        <v>16</v>
      </c>
      <c r="ES9" s="8">
        <f>IF(_xlfn.XLOOKUP($A9,TabCAT!$A:$A,TabCAT!BD:BD,"NaN")="","NaN",(_xlfn.XLOOKUP($A9,TabCAT!$A:$A,TabCAT!BD:BD,"NaN")))</f>
        <v>0.84400750000000002</v>
      </c>
      <c r="ET9" s="8">
        <f>IF(_xlfn.XLOOKUP($A9,TabCAT!$A:$A,TabCAT!BE:BE,"NaN")="","NaN",(_xlfn.XLOOKUP($A9,TabCAT!$A:$A,TabCAT!BE:BE,"NaN")))</f>
        <v>15</v>
      </c>
      <c r="EU9" s="8">
        <f>IF(_xlfn.XLOOKUP($A9,TabCAT!$A:$A,TabCAT!BF:BF,"NaN")="","NaN",(_xlfn.XLOOKUP($A9,TabCAT!$A:$A,TabCAT!BF:BF,"NaN")))</f>
        <v>1.0143359999999999</v>
      </c>
      <c r="EV9" s="8">
        <f>IF(_xlfn.XLOOKUP($A9,TabCAT!$A:$A,TabCAT!BG:BG,"NaN")="","NaN",(_xlfn.XLOOKUP($A9,TabCAT!$A:$A,TabCAT!BG:BG,"NaN")))</f>
        <v>-2.1509429999999998</v>
      </c>
      <c r="EW9" s="8" t="str">
        <f>IF(_xlfn.XLOOKUP($A9,TabCAT!$A:$A,TabCAT!BH:BH,"NaN")="","NaN",(_xlfn.XLOOKUP($A9,TabCAT!$A:$A,TabCAT!BH:BH,"NaN")))</f>
        <v>3.0.0</v>
      </c>
      <c r="EX9" s="8" t="str">
        <f>IF(_xlfn.XLOOKUP($A9,TabCAT!$A:$A,TabCAT!BI:BI,"NaN")="","NaN",(_xlfn.XLOOKUP($A9,TabCAT!$A:$A,TabCAT!BI:BI,"NaN")))</f>
        <v>English</v>
      </c>
      <c r="EY9" s="8">
        <f>IF(_xlfn.XLOOKUP($A9,TabCAT!$A:$A,TabCAT!BJ:BJ,"NaN")="","NaN",(_xlfn.XLOOKUP($A9,TabCAT!$A:$A,TabCAT!BJ:BJ,"NaN")))</f>
        <v>252</v>
      </c>
      <c r="EZ9" s="8">
        <f>IF(_xlfn.XLOOKUP($A9,TabCAT!$A:$A,TabCAT!BK:BK,"NaN")="","NaN",(_xlfn.XLOOKUP($A9,TabCAT!$A:$A,TabCAT!BK:BK,"NaN")))</f>
        <v>1</v>
      </c>
      <c r="FA9" s="8">
        <f>IF(_xlfn.XLOOKUP($A9,TabCAT!$A:$A,TabCAT!BL:BL,"NaN")="","NaN",(_xlfn.XLOOKUP($A9,TabCAT!$A:$A,TabCAT!BL:BL,"NaN")))</f>
        <v>6</v>
      </c>
      <c r="FB9" s="8">
        <f>IF(_xlfn.XLOOKUP($A9,TabCAT!$A:$A,TabCAT!BM:BM,"NaN")="","NaN",(_xlfn.XLOOKUP($A9,TabCAT!$A:$A,TabCAT!BM:BM,"NaN")))</f>
        <v>1</v>
      </c>
      <c r="FC9" s="8">
        <f>IF(_xlfn.XLOOKUP($A9,TabCAT!$A:$A,TabCAT!BN:BN,"NaN")="","NaN",(_xlfn.XLOOKUP($A9,TabCAT!$A:$A,TabCAT!BN:BN,"NaN")))</f>
        <v>6</v>
      </c>
      <c r="FD9" s="8">
        <f>IF(_xlfn.XLOOKUP($A9,TabCAT!$A:$A,TabCAT!BO:BO,"NaN")="","NaN",(_xlfn.XLOOKUP($A9,TabCAT!$A:$A,TabCAT!BO:BO,"NaN")))</f>
        <v>9</v>
      </c>
      <c r="FE9" s="8">
        <f>IF(_xlfn.XLOOKUP($A9,TabCAT!$A:$A,TabCAT!BP:BP,"NaN")="","NaN",(_xlfn.XLOOKUP($A9,TabCAT!$A:$A,TabCAT!BP:BP,"NaN")))</f>
        <v>1</v>
      </c>
      <c r="FF9" s="8">
        <f>IF(_xlfn.XLOOKUP($A9,TabCAT!$A:$A,TabCAT!BQ:BQ,"NaN")="","NaN",(_xlfn.XLOOKUP($A9,TabCAT!$A:$A,TabCAT!BQ:BQ,"NaN")))</f>
        <v>9</v>
      </c>
      <c r="FG9" s="8">
        <f>IF(_xlfn.XLOOKUP($A9,TabCAT!$A:$A,TabCAT!BR:BR,"NaN")="","NaN",(_xlfn.XLOOKUP($A9,TabCAT!$A:$A,TabCAT!BR:BR,"NaN")))</f>
        <v>10</v>
      </c>
      <c r="FH9" s="8">
        <f>IF(_xlfn.XLOOKUP($A9,TabCAT!$A:$A,TabCAT!BS:BS,"NaN")="","NaN",(_xlfn.XLOOKUP($A9,TabCAT!$A:$A,TabCAT!BS:BS,"NaN")))</f>
        <v>0.83333333333333304</v>
      </c>
      <c r="FI9" s="8">
        <f>IF(_xlfn.XLOOKUP($A9,TabCAT!$A:$A,TabCAT!BT:BT,"NaN")="","NaN",(_xlfn.XLOOKUP($A9,TabCAT!$A:$A,TabCAT!BT:BT,"NaN")))</f>
        <v>9.5</v>
      </c>
      <c r="FJ9" s="8">
        <f>IF(_xlfn.XLOOKUP($A9,TabCAT!$A:$A,TabCAT!BU:BU,"NaN")="","NaN",(_xlfn.XLOOKUP($A9,TabCAT!$A:$A,TabCAT!BU:BU,"NaN")))</f>
        <v>12</v>
      </c>
      <c r="FK9" s="8">
        <f>IF(_xlfn.XLOOKUP($A9,TabCAT!$A:$A,TabCAT!BV:BV,"NaN")="","NaN",(_xlfn.XLOOKUP($A9,TabCAT!$A:$A,TabCAT!BV:BV,"NaN")))</f>
        <v>0.8</v>
      </c>
      <c r="FL9" s="8">
        <f>IF(_xlfn.XLOOKUP($A9,TabCAT!$A:$A,TabCAT!BW:BW,"NaN")="","NaN",(_xlfn.XLOOKUP($A9,TabCAT!$A:$A,TabCAT!BW:BW,"NaN")))</f>
        <v>8.5</v>
      </c>
      <c r="FM9" s="8">
        <f>IF(_xlfn.XLOOKUP($A9,TabCAT!$A:$A,TabCAT!BX:BX,"NaN")="","NaN",(_xlfn.XLOOKUP($A9,TabCAT!$A:$A,TabCAT!BX:BX,"NaN")))</f>
        <v>37</v>
      </c>
      <c r="FN9" s="8">
        <f>IF(_xlfn.XLOOKUP($A9,TabCAT!$A:$A,TabCAT!BY:BY,"NaN")="","NaN",(_xlfn.XLOOKUP($A9,TabCAT!$A:$A,TabCAT!BY:BY,"NaN")))</f>
        <v>0.88095238095238004</v>
      </c>
      <c r="FO9" s="8">
        <f>IF(_xlfn.XLOOKUP($A9,TabCAT!$A:$A,TabCAT!BZ:BZ,"NaN")="","NaN",(_xlfn.XLOOKUP($A9,TabCAT!$A:$A,TabCAT!BZ:BZ,"NaN")))</f>
        <v>33</v>
      </c>
      <c r="FP9" s="8" t="str">
        <f>IF(_xlfn.XLOOKUP($A9,TabCAT!$A:$A,TabCAT!CA:CA,"NaN")="","NaN",(_xlfn.XLOOKUP($A9,TabCAT!$A:$A,TabCAT!CA:CA,"NaN")))</f>
        <v>3.0.0</v>
      </c>
      <c r="FQ9" s="8" t="str">
        <f>IF(_xlfn.XLOOKUP($A9,TabCAT!$A:$A,TabCAT!CB:CB,"NaN")="","NaN",(_xlfn.XLOOKUP($A9,TabCAT!$A:$A,TabCAT!CB:CB,"NaN")))</f>
        <v>English</v>
      </c>
      <c r="FR9" s="8">
        <f>IF(_xlfn.XLOOKUP($A9,TabCAT!$A:$A,TabCAT!CC:CC,"NaN")="","NaN",(_xlfn.XLOOKUP($A9,TabCAT!$A:$A,TabCAT!CC:CC,"NaN")))</f>
        <v>261</v>
      </c>
      <c r="FS9" s="8" t="b">
        <f>IF(_xlfn.XLOOKUP($A9,TabCAT!$A:$A,TabCAT!CD:CD,"NaN")="","NaN",(_xlfn.XLOOKUP($A9,TabCAT!$A:$A,TabCAT!CD:CD,"NaN")))</f>
        <v>1</v>
      </c>
      <c r="FT9" s="8">
        <f>IF(_xlfn.XLOOKUP($A9,TabCAT!$A:$A,TabCAT!CE:CE,"NaN")="","NaN",(_xlfn.XLOOKUP($A9,TabCAT!$A:$A,TabCAT!CE:CE,"NaN")))</f>
        <v>7</v>
      </c>
      <c r="FU9" s="8">
        <f>IF(_xlfn.XLOOKUP($A9,TabCAT!$A:$A,TabCAT!CF:CF,"NaN")="","NaN",(_xlfn.XLOOKUP($A9,TabCAT!$A:$A,TabCAT!CF:CF,"NaN")))</f>
        <v>0</v>
      </c>
      <c r="FV9" s="8">
        <f>IF(_xlfn.XLOOKUP($A9,TabCAT!$A:$A,TabCAT!CG:CG,"NaN")="","NaN",(_xlfn.XLOOKUP($A9,TabCAT!$A:$A,TabCAT!CG:CG,"NaN")))</f>
        <v>7.35</v>
      </c>
      <c r="FW9" s="8">
        <f>IF(_xlfn.XLOOKUP($A9,TabCAT!$A:$A,TabCAT!CH:CH,"NaN")="","NaN",(_xlfn.XLOOKUP($A9,TabCAT!$A:$A,TabCAT!CH:CH,"NaN")))</f>
        <v>16</v>
      </c>
      <c r="FX9" s="8">
        <f>IF(_xlfn.XLOOKUP($A9,TabCAT!$A:$A,TabCAT!CI:CI,"NaN")="","NaN",(_xlfn.XLOOKUP($A9,TabCAT!$A:$A,TabCAT!CI:CI,"NaN")))</f>
        <v>0.78146000000000004</v>
      </c>
      <c r="FY9" s="8">
        <f>IF(_xlfn.XLOOKUP($A9,TabCAT!$A:$A,TabCAT!CJ:CJ,"NaN")="","NaN",(_xlfn.XLOOKUP($A9,TabCAT!$A:$A,TabCAT!CJ:CJ,"NaN")))</f>
        <v>16</v>
      </c>
      <c r="FZ9" s="8">
        <f>IF(_xlfn.XLOOKUP($A9,TabCAT!$A:$A,TabCAT!CK:CK,"NaN")="","NaN",(_xlfn.XLOOKUP($A9,TabCAT!$A:$A,TabCAT!CK:CK,"NaN")))</f>
        <v>0.86896499999999999</v>
      </c>
      <c r="GA9" s="8">
        <f>IF(_xlfn.XLOOKUP($A9,TabCAT!$A:$A,TabCAT!CL:CL,"NaN")="","NaN",(_xlfn.XLOOKUP($A9,TabCAT!$A:$A,TabCAT!CL:CL,"NaN")))</f>
        <v>31</v>
      </c>
      <c r="GB9" s="8">
        <f>IF(_xlfn.XLOOKUP($A9,TabCAT!$A:$A,TabCAT!CM:CM,"NaN")="","NaN",(_xlfn.XLOOKUP($A9,TabCAT!$A:$A,TabCAT!CM:CM,"NaN")))</f>
        <v>0.958179</v>
      </c>
      <c r="GC9" s="8">
        <f>IF(_xlfn.XLOOKUP($A9,TabCAT!$A:$A,TabCAT!CN:CN,"NaN")="","NaN",(_xlfn.XLOOKUP($A9,TabCAT!$A:$A,TabCAT!CN:CN,"NaN")))</f>
        <v>18</v>
      </c>
      <c r="GD9" s="8">
        <f>IF(_xlfn.XLOOKUP($A9,TabCAT!$A:$A,TabCAT!CO:CO,"NaN")="","NaN",(_xlfn.XLOOKUP($A9,TabCAT!$A:$A,TabCAT!CO:CO,"NaN")))</f>
        <v>1.0139419999999999</v>
      </c>
      <c r="GE9" s="8">
        <f>IF(_xlfn.XLOOKUP($A9,TabCAT!$A:$A,TabCAT!CP:CP,"NaN")="","NaN",(_xlfn.XLOOKUP($A9,TabCAT!$A:$A,TabCAT!CP:CP,"NaN")))</f>
        <v>0.21513787119404201</v>
      </c>
      <c r="GF9" s="8">
        <f>IF(_xlfn.XLOOKUP($A9,TabCAT!$A:$A,TabCAT!CQ:CQ,"NaN")="","NaN",(_xlfn.XLOOKUP($A9,TabCAT!$A:$A,TabCAT!CQ:CQ,"NaN")))</f>
        <v>54</v>
      </c>
      <c r="GG9" s="8">
        <f>IF(_xlfn.XLOOKUP($A9,TabCAT!$A:$A,TabCAT!CR:CR,"NaN")="","NaN",(_xlfn.XLOOKUP($A9,TabCAT!$A:$A,TabCAT!CR:CR,"NaN")))</f>
        <v>0.85442299999999904</v>
      </c>
      <c r="GH9" s="8">
        <f>IF(_xlfn.XLOOKUP($A9,TabCAT!$A:$A,TabCAT!CS:CS,"NaN")="","NaN",(_xlfn.XLOOKUP($A9,TabCAT!$A:$A,TabCAT!CS:CS,"NaN")))</f>
        <v>-0.69565200000000005</v>
      </c>
    </row>
    <row r="10" spans="1:190" x14ac:dyDescent="0.2">
      <c r="A10">
        <v>10529</v>
      </c>
      <c r="B10">
        <f>_xlfn.XLOOKUP(bippity_poppity_boo!A10,rf1_data!A:A,rf1_data!B:B)</f>
        <v>110255</v>
      </c>
      <c r="C10" s="2">
        <f>(_xlfn.XLOOKUP($A10,trust!$A:$A,trust!B:B,"NaN"))</f>
        <v>4.1428570000000002</v>
      </c>
      <c r="D10" s="2">
        <f>(_xlfn.XLOOKUP($A10,trust!$A:$A,trust!C:C,"NaN"))</f>
        <v>4.7272730000000003</v>
      </c>
      <c r="E10" s="2">
        <f>(_xlfn.XLOOKUP($A10,trust!$A:$A,trust!D:D,"NaN"))</f>
        <v>3.8181820000000002</v>
      </c>
      <c r="F10" s="2">
        <f>(_xlfn.XLOOKUP($A10,trust!$A:$A,trust!E:E,"NaN"))</f>
        <v>4.8571429999999998</v>
      </c>
      <c r="G10" s="2">
        <f>(_xlfn.XLOOKUP($A10,trust!$A:$A,trust!F:F,"NaN"))</f>
        <v>5.3846150000000002</v>
      </c>
      <c r="H10" s="2">
        <f>(_xlfn.XLOOKUP($A10,trust!$A:$A,trust!G:G,"NaN"))</f>
        <v>4.461538</v>
      </c>
      <c r="I10" s="3">
        <f>IF(_xlfn.XLOOKUP($B10,island_data!$B:$B,island_data!C:C,"NaN")="","NaN",_xlfn.XLOOKUP($B10,island_data!$B:$B,island_data!C:C,"NaN"))</f>
        <v>45106</v>
      </c>
      <c r="J10" s="3">
        <f>IF(_xlfn.XLOOKUP($B10,island_data!$B:$B,island_data!D:D,"NaN")="","NaN",_xlfn.XLOOKUP($B10,island_data!$B:$B,island_data!D:D,"NaN"))</f>
        <v>20208</v>
      </c>
      <c r="K10" s="4">
        <f>IF(_xlfn.XLOOKUP($B10,island_data!$B:$B,island_data!E:E,"NaN")="","NaN",_xlfn.XLOOKUP($B10,island_data!$B:$B,island_data!E:E,"NaN"))</f>
        <v>68.17</v>
      </c>
      <c r="L10" s="5">
        <f>IF(_xlfn.XLOOKUP($B10,rf1_data!$B:$B,rf1_data!D:D,"NaN")="","NaN",(_xlfn.XLOOKUP($B10,rf1_data!$B:$B,rf1_data!D:D,"NaN")))</f>
        <v>67.8</v>
      </c>
      <c r="M10" s="5" t="str">
        <f>IF(_xlfn.XLOOKUP($B10,rf1_data!$B:$B,rf1_data!E:E,"NaN")="","NaN",(_xlfn.XLOOKUP($B10,rf1_data!$B:$B,rf1_data!E:E,"NaN")))</f>
        <v>White</v>
      </c>
      <c r="N10" s="5" t="str">
        <f>IF(_xlfn.XLOOKUP($B10,rf1_data!$B:$B,rf1_data!F:F,"NaN")="","NaN",(_xlfn.XLOOKUP($B10,rf1_data!$B:$B,rf1_data!F:F,"NaN")))</f>
        <v>Not Hispanic or Latino</v>
      </c>
      <c r="O10" s="5" t="str">
        <f>IF(_xlfn.XLOOKUP($B10,rf1_data!$B:$B,rf1_data!G:G,"NaN")="","NaN",(_xlfn.XLOOKUP($B10,rf1_data!$B:$B,rf1_data!G:G,"NaN")))</f>
        <v>Male</v>
      </c>
      <c r="P10" s="5">
        <f>IF(_xlfn.XLOOKUP($B10,rf1_data!$B:$B,rf1_data!H:H,"NaN")="","NaN",(_xlfn.XLOOKUP($B10,rf1_data!$B:$B,rf1_data!H:H,"NaN")))</f>
        <v>4.8899999999999997</v>
      </c>
      <c r="Q10" s="5">
        <f>IF(_xlfn.XLOOKUP($B10,rf1_data!$B:$B,rf1_data!I:I,"NaN")="","NaN",(_xlfn.XLOOKUP($B10,rf1_data!$B:$B,rf1_data!I:I,"NaN")))</f>
        <v>3.33</v>
      </c>
      <c r="R10" s="5">
        <f>IF(_xlfn.XLOOKUP($B10,rf1_data!$B:$B,rf1_data!J:J,"NaN")="","NaN",(_xlfn.XLOOKUP($B10,rf1_data!$B:$B,rf1_data!J:J,"NaN")))</f>
        <v>0</v>
      </c>
      <c r="S10" s="5">
        <f>IF(_xlfn.XLOOKUP($B10,rf1_data!$B:$B,rf1_data!K:K,"NaN")="","NaN",(_xlfn.XLOOKUP($B10,rf1_data!$B:$B,rf1_data!K:K,"NaN")))</f>
        <v>0</v>
      </c>
      <c r="T10" s="5">
        <f>IF(_xlfn.XLOOKUP($B10,rf1_data!$B:$B,rf1_data!L:L,"NaN")="","NaN",(_xlfn.XLOOKUP($B10,rf1_data!$B:$B,rf1_data!L:L,"NaN")))</f>
        <v>2</v>
      </c>
      <c r="U10" s="5">
        <f>IF(_xlfn.XLOOKUP($B10,rf1_data!$B:$B,rf1_data!M:M,"NaN")="","NaN",(_xlfn.XLOOKUP($B10,rf1_data!$B:$B,rf1_data!M:M,"NaN")))</f>
        <v>6.17</v>
      </c>
      <c r="V10" s="5">
        <f>IF(_xlfn.XLOOKUP($B10,rf1_data!$B:$B,rf1_data!N:N,"NaN")="","NaN",(_xlfn.XLOOKUP($B10,rf1_data!$B:$B,rf1_data!N:N,"NaN")))</f>
        <v>5.17</v>
      </c>
      <c r="W10" s="5">
        <f>IF(_xlfn.XLOOKUP($B10,rf1_data!$B:$B,rf1_data!O:O,"NaN")="","NaN",(_xlfn.XLOOKUP($B10,rf1_data!$B:$B,rf1_data!O:O,"NaN")))</f>
        <v>5.63</v>
      </c>
      <c r="X10" s="5">
        <f>IF(_xlfn.XLOOKUP($B10,rf1_data!$B:$B,rf1_data!P:P,"NaN")="","NaN",(_xlfn.XLOOKUP($B10,rf1_data!$B:$B,rf1_data!P:P,"NaN")))</f>
        <v>4.83</v>
      </c>
      <c r="Y10" s="5">
        <f>IF(_xlfn.XLOOKUP($B10,rf1_data!$B:$B,rf1_data!Q:Q,"NaN")="","NaN",(_xlfn.XLOOKUP($B10,rf1_data!$B:$B,rf1_data!Q:Q,"NaN")))</f>
        <v>5.4</v>
      </c>
      <c r="Z10" s="5">
        <f>IF(_xlfn.XLOOKUP($B10,rf1_data!$B:$B,rf1_data!R:R,"NaN")="","NaN",(_xlfn.XLOOKUP($B10,rf1_data!$B:$B,rf1_data!R:R,"NaN")))</f>
        <v>13</v>
      </c>
      <c r="AA10" s="5">
        <f>IF(_xlfn.XLOOKUP($B10,rf1_data!$B:$B,rf1_data!S:S,"NaN")="","NaN",(_xlfn.XLOOKUP($B10,rf1_data!$B:$B,rf1_data!S:S,"NaN")))</f>
        <v>1</v>
      </c>
      <c r="AB10" s="5">
        <f>IF(_xlfn.XLOOKUP($B10,rf1_data!$B:$B,rf1_data!T:T,"NaN")="","NaN",(_xlfn.XLOOKUP($B10,rf1_data!$B:$B,rf1_data!T:T,"NaN")))</f>
        <v>2</v>
      </c>
      <c r="AC10" s="5">
        <f>IF(_xlfn.XLOOKUP($B10,rf1_data!$B:$B,rf1_data!U:U,"NaN")="","NaN",(_xlfn.XLOOKUP($B10,rf1_data!$B:$B,rf1_data!U:U,"NaN")))</f>
        <v>5</v>
      </c>
      <c r="AD10" s="5">
        <f>IF(_xlfn.XLOOKUP($B10,rf1_data!$B:$B,rf1_data!V:V,"NaN")="","NaN",(_xlfn.XLOOKUP($B10,rf1_data!$B:$B,rf1_data!V:V,"NaN")))</f>
        <v>5</v>
      </c>
      <c r="AE10" s="5">
        <f>IF(_xlfn.XLOOKUP($B10,rf1_data!$B:$B,rf1_data!W:W,"NaN")="","NaN",(_xlfn.XLOOKUP($B10,rf1_data!$B:$B,rf1_data!W:W,"NaN")))</f>
        <v>6</v>
      </c>
      <c r="AF10" s="5">
        <f>IF(_xlfn.XLOOKUP($B10,rf1_data!$B:$B,rf1_data!X:X,"NaN")="","NaN",(_xlfn.XLOOKUP($B10,rf1_data!$B:$B,rf1_data!X:X,"NaN")))</f>
        <v>5</v>
      </c>
      <c r="AG10" s="5">
        <f>IF(_xlfn.XLOOKUP($B10,rf1_data!$B:$B,rf1_data!Y:Y,"NaN")="","NaN",(_xlfn.XLOOKUP($B10,rf1_data!$B:$B,rf1_data!Y:Y,"NaN")))</f>
        <v>8</v>
      </c>
      <c r="AH10" s="5">
        <f>IF(_xlfn.XLOOKUP($B10,rf1_data!$B:$B,rf1_data!Z:Z,"NaN")="","NaN",(_xlfn.XLOOKUP($B10,rf1_data!$B:$B,rf1_data!Z:Z,"NaN")))</f>
        <v>4</v>
      </c>
      <c r="AI10" s="5">
        <f>IF(_xlfn.XLOOKUP($B10,rf1_data!$B:$B,rf1_data!AA:AA,"NaN")="","NaN",(_xlfn.XLOOKUP($B10,rf1_data!$B:$B,rf1_data!AA:AA,"NaN")))</f>
        <v>2</v>
      </c>
      <c r="AJ10" s="5">
        <f>IF(_xlfn.XLOOKUP($B10,rf1_data!$B:$B,rf1_data!AB:AB,"NaN")="","NaN",(_xlfn.XLOOKUP($B10,rf1_data!$B:$B,rf1_data!AB:AB,"NaN")))</f>
        <v>25</v>
      </c>
      <c r="AK10" s="5">
        <f>IF(_xlfn.XLOOKUP($B10,rf1_data!$B:$B,rf1_data!AC:AC,"NaN")="","NaN",(_xlfn.XLOOKUP($B10,rf1_data!$B:$B,rf1_data!AC:AC,"NaN")))</f>
        <v>40</v>
      </c>
      <c r="AL10" s="5">
        <f>IF(_xlfn.XLOOKUP($B10,rf1_data!$B:$B,rf1_data!AD:AD,"NaN")="","NaN",(_xlfn.XLOOKUP($B10,rf1_data!$B:$B,rf1_data!AD:AD,"NaN")))</f>
        <v>10</v>
      </c>
      <c r="AM10" s="5">
        <f>IF(_xlfn.XLOOKUP($B10,rf1_data!$B:$B,rf1_data!AE:AE,"NaN")="","NaN",(_xlfn.XLOOKUP($B10,rf1_data!$B:$B,rf1_data!AE:AE,"NaN")))</f>
        <v>1</v>
      </c>
      <c r="AN10" s="5">
        <f>IF(_xlfn.XLOOKUP($B10,rf1_data!$B:$B,rf1_data!AF:AF,"NaN")="","NaN",(_xlfn.XLOOKUP($B10,rf1_data!$B:$B,rf1_data!AF:AF,"NaN")))</f>
        <v>0</v>
      </c>
      <c r="AO10" s="5" t="str">
        <f>IF(_xlfn.XLOOKUP($B10,rf1_data!$B:$B,rf1_data!AG:AG,"NaN")="","NaN",(_xlfn.XLOOKUP($B10,rf1_data!$B:$B,rf1_data!AG:AG,"NaN")))</f>
        <v>NaN</v>
      </c>
      <c r="AP10" s="5" t="str">
        <f>IF(_xlfn.XLOOKUP($B10,rf1_data!$B:$B,rf1_data!AH:AH,"NaN")="","NaN",(_xlfn.XLOOKUP($B10,rf1_data!$B:$B,rf1_data!AH:AH,"NaN")))</f>
        <v>NaN</v>
      </c>
      <c r="AQ10" s="5" t="str">
        <f>IF(_xlfn.XLOOKUP($B10,rf1_data!$B:$B,rf1_data!AI:AI,"NaN")="","NaN",(_xlfn.XLOOKUP($B10,rf1_data!$B:$B,rf1_data!AI:AI,"NaN")))</f>
        <v>NaN</v>
      </c>
      <c r="AR10" s="5" t="str">
        <f>IF(_xlfn.XLOOKUP($B10,rf1_data!$B:$B,rf1_data!AJ:AJ,"NaN")="","NaN",(_xlfn.XLOOKUP($B10,rf1_data!$B:$B,rf1_data!AJ:AJ,"NaN")))</f>
        <v>NaN</v>
      </c>
      <c r="AS10" s="5">
        <f>IF(_xlfn.XLOOKUP($B10,rf1_data!$B:$B,rf1_data!AK:AK,"NaN")="","NaN",(_xlfn.XLOOKUP($B10,rf1_data!$B:$B,rf1_data!AK:AK,"NaN")))</f>
        <v>2.6</v>
      </c>
      <c r="AT10" s="5">
        <f>IF(_xlfn.XLOOKUP($B10,rf1_data!$B:$B,rf1_data!AL:AL,"NaN")="","NaN",(_xlfn.XLOOKUP($B10,rf1_data!$B:$B,rf1_data!AL:AL,"NaN")))</f>
        <v>10</v>
      </c>
      <c r="AU10" s="5">
        <f>IF(_xlfn.XLOOKUP($B10,rf1_data!$B:$B,rf1_data!AM:AM,"NaN")="","NaN",(_xlfn.XLOOKUP($B10,rf1_data!$B:$B,rf1_data!AM:AM,"NaN")))</f>
        <v>1.25</v>
      </c>
      <c r="AV10" s="5">
        <f>IF(_xlfn.XLOOKUP($B10,rf1_data!$B:$B,rf1_data!AN:AN,"NaN")="","NaN",(_xlfn.XLOOKUP($B10,rf1_data!$B:$B,rf1_data!AN:AN,"NaN")))</f>
        <v>4</v>
      </c>
      <c r="AW10" s="5" t="str">
        <f>IF(_xlfn.XLOOKUP($B10,rf1_data!$B:$B,rf1_data!AO:AO,"NaN")="","NaN",(_xlfn.XLOOKUP($B10,rf1_data!$B:$B,rf1_data!AO:AO,"NaN")))</f>
        <v>NaN</v>
      </c>
      <c r="AX10" s="5">
        <f>IF(_xlfn.XLOOKUP($B10,rf1_data!$B:$B,rf1_data!AP:AP,"NaN")="","NaN",(_xlfn.XLOOKUP($B10,rf1_data!$B:$B,rf1_data!AP:AP,"NaN")))</f>
        <v>9999</v>
      </c>
      <c r="AY10" s="5">
        <f>IF(_xlfn.XLOOKUP($B10,rf1_data!$B:$B,rf1_data!AQ:AQ,"NaN")="","NaN",(_xlfn.XLOOKUP($B10,rf1_data!$B:$B,rf1_data!AQ:AQ,"NaN")))</f>
        <v>0.1</v>
      </c>
      <c r="AZ10" s="5" t="str">
        <f>IF(_xlfn.XLOOKUP($B10,rf1_data!$B:$B,rf1_data!AR:AR,"NaN")="","NaN",(_xlfn.XLOOKUP($B10,rf1_data!$B:$B,rf1_data!AR:AR,"NaN")))</f>
        <v>NaN</v>
      </c>
      <c r="BA10" s="5" t="str">
        <f>IF(_xlfn.XLOOKUP($B10,rf1_data!$B:$B,rf1_data!AS:AS,"NaN")="","NaN",(_xlfn.XLOOKUP($B10,rf1_data!$B:$B,rf1_data!AS:AS,"NaN")))</f>
        <v>NaN</v>
      </c>
      <c r="BB10" s="5" t="str">
        <f>IF(_xlfn.XLOOKUP($B10,rf1_data!$B:$B,rf1_data!AT:AT,"NaN")="","NaN",(_xlfn.XLOOKUP($B10,rf1_data!$B:$B,rf1_data!AT:AT,"NaN")))</f>
        <v>NaN</v>
      </c>
      <c r="BC10" s="5" t="str">
        <f>IF(_xlfn.XLOOKUP($B10,rf1_data!$B:$B,rf1_data!AU:AU,"NaN")="","NaN",(_xlfn.XLOOKUP($B10,rf1_data!$B:$B,rf1_data!AU:AU,"NaN")))</f>
        <v>NaN</v>
      </c>
      <c r="BD10" s="5" t="str">
        <f>IF(_xlfn.XLOOKUP($B10,rf1_data!$B:$B,rf1_data!AV:AV,"NaN")="","NaN",(_xlfn.XLOOKUP($B10,rf1_data!$B:$B,rf1_data!AV:AV,"NaN")))</f>
        <v>NaN</v>
      </c>
      <c r="BE10" s="5" t="str">
        <f>IF(_xlfn.XLOOKUP($B10,rf1_data!$B:$B,rf1_data!AW:AW,"NaN")="","NaN",(_xlfn.XLOOKUP($B10,rf1_data!$B:$B,rf1_data!AW:AW,"NaN")))</f>
        <v>NaN</v>
      </c>
      <c r="BF10" s="5" t="str">
        <f>IF(_xlfn.XLOOKUP($B10,rf1_data!$B:$B,rf1_data!AX:AX,"NaN")="","NaN",(_xlfn.XLOOKUP($B10,rf1_data!$B:$B,rf1_data!AX:AX,"NaN")))</f>
        <v>NaN</v>
      </c>
      <c r="BG10" s="5" t="str">
        <f>IF(_xlfn.XLOOKUP($B10,rf1_data!$B:$B,rf1_data!AY:AY,"NaN")="","NaN",(_xlfn.XLOOKUP($B10,rf1_data!$B:$B,rf1_data!AY:AY,"NaN")))</f>
        <v>NaN</v>
      </c>
      <c r="BH10" s="5" t="str">
        <f>IF(_xlfn.XLOOKUP($B10,rf1_data!$B:$B,rf1_data!AZ:AZ,"NaN")="","NaN",(_xlfn.XLOOKUP($B10,rf1_data!$B:$B,rf1_data!AZ:AZ,"NaN")))</f>
        <v>NaN</v>
      </c>
      <c r="BI10" s="5">
        <f>IF(_xlfn.XLOOKUP($B10,rf1_data!$B:$B,rf1_data!BA:BA,"NaN")="","NaN",(_xlfn.XLOOKUP($B10,rf1_data!$B:$B,rf1_data!BA:BA,"NaN")))</f>
        <v>20</v>
      </c>
      <c r="BJ10" s="5" t="str">
        <f>IF(_xlfn.XLOOKUP($B10,rf1_data!$B:$B,rf1_data!BB:BB,"NaN")="","NaN",(_xlfn.XLOOKUP($B10,rf1_data!$B:$B,rf1_data!BB:BB,"NaN")))</f>
        <v>NaN</v>
      </c>
      <c r="BK10" s="5" t="str">
        <f>IF(_xlfn.XLOOKUP($B10,rf1_data!$B:$B,rf1_data!BC:BC,"NaN")="","NaN",(_xlfn.XLOOKUP($B10,rf1_data!$B:$B,rf1_data!BC:BC,"NaN")))</f>
        <v>NaN</v>
      </c>
      <c r="BL10" s="5" t="str">
        <f>IF(_xlfn.XLOOKUP($B10,rf1_data!$B:$B,rf1_data!BD:BD,"NaN")="","NaN",(_xlfn.XLOOKUP($B10,rf1_data!$B:$B,rf1_data!BD:BD,"NaN")))</f>
        <v>NaN</v>
      </c>
      <c r="BM10" s="5" t="str">
        <f>IF(_xlfn.XLOOKUP($B10,rf1_data!$B:$B,rf1_data!BE:BE,"NaN")="","NaN",(_xlfn.XLOOKUP($B10,rf1_data!$B:$B,rf1_data!BE:BE,"NaN")))</f>
        <v>NaN</v>
      </c>
      <c r="BN10" s="5" t="str">
        <f>IF(_xlfn.XLOOKUP($B10,rf1_data!$B:$B,rf1_data!BF:BF,"NaN")="","NaN",(_xlfn.XLOOKUP($B10,rf1_data!$B:$B,rf1_data!BF:BF,"NaN")))</f>
        <v>NaN</v>
      </c>
      <c r="BO10" s="5" t="str">
        <f>IF(_xlfn.XLOOKUP($B10,rf1_data!$B:$B,rf1_data!BG:BG,"NaN")="","NaN",(_xlfn.XLOOKUP($B10,rf1_data!$B:$B,rf1_data!BG:BG,"NaN")))</f>
        <v>NaN</v>
      </c>
      <c r="BP10" s="5" t="str">
        <f>IF(_xlfn.XLOOKUP($B10,rf1_data!$B:$B,rf1_data!BH:BH,"NaN")="","NaN",(_xlfn.XLOOKUP($B10,rf1_data!$B:$B,rf1_data!BH:BH,"NaN")))</f>
        <v>NaN</v>
      </c>
      <c r="BQ10" s="5" t="str">
        <f>IF(_xlfn.XLOOKUP($B10,rf1_data!$B:$B,rf1_data!BI:BI,"NaN")="","NaN",(_xlfn.XLOOKUP($B10,rf1_data!$B:$B,rf1_data!BI:BI,"NaN")))</f>
        <v>NaN</v>
      </c>
      <c r="BR10" s="5">
        <f>IF(_xlfn.XLOOKUP($B10,rf1_data!$B:$B,rf1_data!BJ:BJ,"NaN")="","NaN",(_xlfn.XLOOKUP($B10,rf1_data!$B:$B,rf1_data!BJ:BJ,"NaN")))</f>
        <v>8991</v>
      </c>
      <c r="BS10" s="5" t="str">
        <f>IF(_xlfn.XLOOKUP($B10,rf1_data!$B:$B,rf1_data!BK:BK,"NaN")="","NaN",(_xlfn.XLOOKUP($B10,rf1_data!$B:$B,rf1_data!BK:BK,"NaN")))</f>
        <v>NaN</v>
      </c>
      <c r="BT10" s="5" t="str">
        <f>IF(_xlfn.XLOOKUP($B10,rf1_data!$B:$B,rf1_data!BL:BL,"NaN")="","NaN",(_xlfn.XLOOKUP($B10,rf1_data!$B:$B,rf1_data!BL:BL,"NaN")))</f>
        <v>NaN</v>
      </c>
      <c r="BU10" s="5" t="str">
        <f>IF(_xlfn.XLOOKUP($B10,rf1_data!$B:$B,rf1_data!BM:BM,"NaN")="","NaN",(_xlfn.XLOOKUP($B10,rf1_data!$B:$B,rf1_data!BM:BM,"NaN")))</f>
        <v>NaN</v>
      </c>
      <c r="BV10" s="5" t="str">
        <f>IF(_xlfn.XLOOKUP($B10,rf1_data!$B:$B,rf1_data!BN:BN,"NaN")="","NaN",(_xlfn.XLOOKUP($B10,rf1_data!$B:$B,rf1_data!BN:BN,"NaN")))</f>
        <v>NaN</v>
      </c>
      <c r="BW10" s="5">
        <f>IF(_xlfn.XLOOKUP($B10,rf1_data!$B:$B,rf1_data!BO:BO,"NaN")="","NaN",(_xlfn.XLOOKUP($B10,rf1_data!$B:$B,rf1_data!BO:BO,"NaN")))</f>
        <v>3.8</v>
      </c>
      <c r="BX10" s="5">
        <f>IF(_xlfn.XLOOKUP($B10,rf1_data!$B:$B,rf1_data!BP:BP,"NaN")="","NaN",(_xlfn.XLOOKUP($B10,rf1_data!$B:$B,rf1_data!BP:BP,"NaN")))</f>
        <v>3.8</v>
      </c>
      <c r="BY10" s="5">
        <f>IF(_xlfn.XLOOKUP($B10,rf1_data!$B:$B,rf1_data!BQ:BQ,"NaN")="","NaN",(_xlfn.XLOOKUP($B10,rf1_data!$B:$B,rf1_data!BQ:BQ,"NaN")))</f>
        <v>3.9</v>
      </c>
      <c r="BZ10" s="5">
        <f>IF(_xlfn.XLOOKUP($B10,rf1_data!$B:$B,rf1_data!BR:BR,"NaN")="","NaN",(_xlfn.XLOOKUP($B10,rf1_data!$B:$B,rf1_data!BR:BR,"NaN")))</f>
        <v>3.83</v>
      </c>
      <c r="CA10" s="5">
        <f>IF(_xlfn.XLOOKUP($B10,rf1_data!$B:$B,rf1_data!BS:BS,"NaN")="","NaN",(_xlfn.XLOOKUP($B10,rf1_data!$B:$B,rf1_data!BS:BS,"NaN")))</f>
        <v>6</v>
      </c>
      <c r="CB10" s="5">
        <f>IF(_xlfn.XLOOKUP($B10,rf1_data!$B:$B,rf1_data!BT:BT,"NaN")="","NaN",(_xlfn.XLOOKUP($B10,rf1_data!$B:$B,rf1_data!BT:BT,"NaN")))</f>
        <v>5.1666666666666599</v>
      </c>
      <c r="CC10" s="5">
        <f>IF(_xlfn.XLOOKUP($B10,rf1_data!$B:$B,rf1_data!BU:BU,"NaN")="","NaN",(_xlfn.XLOOKUP($B10,rf1_data!$B:$B,rf1_data!BU:BU,"NaN")))</f>
        <v>6</v>
      </c>
      <c r="CD10" s="5">
        <f>IF(_xlfn.XLOOKUP($B10,rf1_data!$B:$B,rf1_data!BV:BV,"NaN")="","NaN",(_xlfn.XLOOKUP($B10,rf1_data!$B:$B,rf1_data!BV:BV,"NaN")))</f>
        <v>5.1666666666666599</v>
      </c>
      <c r="CE10" s="5">
        <f>IF(_xlfn.XLOOKUP($B10,rf1_data!$B:$B,rf1_data!BW:BW,"NaN")="","NaN",(_xlfn.XLOOKUP($B10,rf1_data!$B:$B,rf1_data!BW:BW,"NaN")))</f>
        <v>1.35</v>
      </c>
      <c r="CF10" s="5">
        <f>IF(_xlfn.XLOOKUP($B10,rf1_data!$B:$B,rf1_data!BX:BX,"NaN")="","NaN",(_xlfn.XLOOKUP($B10,rf1_data!$B:$B,rf1_data!BX:BX,"NaN")))</f>
        <v>0</v>
      </c>
      <c r="CG10" s="5">
        <f>IF(_xlfn.XLOOKUP($B10,rf1_data!$B:$B,rf1_data!BY:BY,"NaN")="","NaN",(_xlfn.XLOOKUP($B10,rf1_data!$B:$B,rf1_data!BY:BY,"NaN")))</f>
        <v>0</v>
      </c>
      <c r="CH10" s="5">
        <f>IF(_xlfn.XLOOKUP($B10,rf1_data!$B:$B,rf1_data!BZ:BZ,"NaN")="","NaN",(_xlfn.XLOOKUP($B10,rf1_data!$B:$B,rf1_data!BZ:BZ,"NaN")))</f>
        <v>32</v>
      </c>
      <c r="CI10" s="5">
        <f>IF(_xlfn.XLOOKUP($B10,rf1_data!$B:$B,rf1_data!CA:CA,"NaN")="","NaN",(_xlfn.XLOOKUP($B10,rf1_data!$B:$B,rf1_data!CA:CA,"NaN")))</f>
        <v>17</v>
      </c>
      <c r="CJ10" s="5">
        <f>IF(_xlfn.XLOOKUP($B10,rf1_data!$B:$B,rf1_data!CB:CB,"NaN")="","NaN",(_xlfn.XLOOKUP($B10,rf1_data!$B:$B,rf1_data!CB:CB,"NaN")))</f>
        <v>12</v>
      </c>
      <c r="CK10" s="5">
        <f>IF(_xlfn.XLOOKUP($B10,rf1_data!$B:$B,rf1_data!CC:CC,"NaN")="","NaN",(_xlfn.XLOOKUP($B10,rf1_data!$B:$B,rf1_data!CC:CC,"NaN")))</f>
        <v>1</v>
      </c>
      <c r="CL10" s="5">
        <f>IF(_xlfn.XLOOKUP($B10,rf1_data!$B:$B,rf1_data!CD:CD,"NaN")=0,"NaN",(_xlfn.XLOOKUP($B10,rf1_data!$B:$B,rf1_data!CD:CD,"NaN")))</f>
        <v>43</v>
      </c>
      <c r="CM10" s="5">
        <f>IF(_xlfn.XLOOKUP($B10,rf1_data!$B:$B,rf1_data!CE:CE,"NaN")="","NaN",(_xlfn.XLOOKUP($B10,rf1_data!$B:$B,rf1_data!CE:CE,"NaN")))</f>
        <v>30</v>
      </c>
      <c r="CN10" s="5">
        <f>IF(_xlfn.XLOOKUP($B10,rf1_data!$B:$B,rf1_data!CF:CF,"NaN")="","NaN",(_xlfn.XLOOKUP($B10,rf1_data!$B:$B,rf1_data!CF:CF,"NaN")))</f>
        <v>45</v>
      </c>
      <c r="CO10" s="5">
        <f>IF(_xlfn.XLOOKUP($B10,rf1_data!$B:$B,rf1_data!CG:CG,"NaN")="","NaN",(_xlfn.XLOOKUP($B10,rf1_data!$B:$B,rf1_data!CG:CG,"NaN")))</f>
        <v>27</v>
      </c>
      <c r="CP10" s="5">
        <f>IF(_xlfn.XLOOKUP($B10,rf1_data!$B:$B,rf1_data!CH:CH,"NaN")=0,"NaN",(_xlfn.XLOOKUP($B10,rf1_data!$B:$B,rf1_data!CH:CH,"NaN")))</f>
        <v>28</v>
      </c>
      <c r="CQ10" s="5">
        <f>IF(_xlfn.XLOOKUP($B10,rf1_data!$B:$B,rf1_data!CI:CI,"NaN")="","NaN",(_xlfn.XLOOKUP($B10,rf1_data!$B:$B,rf1_data!CI:CI,"NaN")))</f>
        <v>48</v>
      </c>
      <c r="CR10" s="5">
        <f>IF(_xlfn.XLOOKUP($B10,rf1_data!$B:$B,rf1_data!CJ:CJ,"NaN")="","NaN",(_xlfn.XLOOKUP($B10,rf1_data!$B:$B,rf1_data!CJ:CJ,"NaN")))</f>
        <v>55</v>
      </c>
      <c r="CS10" s="5">
        <f>IF(_xlfn.XLOOKUP($B10,rf1_data!$B:$B,rf1_data!CK:CK,"NaN")="","NaN",(_xlfn.XLOOKUP($B10,rf1_data!$B:$B,rf1_data!CK:CK,"NaN")))</f>
        <v>48</v>
      </c>
      <c r="CT10" s="5">
        <f>IF(_xlfn.XLOOKUP($B10,rf1_data!$B:$B,rf1_data!CL:CL,"NaN")="","NaN",(_xlfn.XLOOKUP($B10,rf1_data!$B:$B,rf1_data!CL:CL,"NaN")))</f>
        <v>49</v>
      </c>
      <c r="CU10" s="5">
        <f>IF(_xlfn.XLOOKUP($B10,rf1_data!$B:$B,rf1_data!CM:CM,"NaN")="","NaN",(_xlfn.XLOOKUP($B10,rf1_data!$B:$B,rf1_data!CM:CM,"NaN")))</f>
        <v>48</v>
      </c>
      <c r="CV10" s="5">
        <f>IF(_xlfn.XLOOKUP($B10,rf1_data!$B:$B,rf1_data!CN:CN,"NaN")="","NaN",(_xlfn.XLOOKUP($B10,rf1_data!$B:$B,rf1_data!CN:CN,"NaN")))</f>
        <v>60</v>
      </c>
      <c r="CW10" s="5" t="str">
        <f>IF(_xlfn.XLOOKUP($B10,rf1_data!$B:$B,rf1_data!CO:CO,"NaN")="","NaN",(_xlfn.XLOOKUP($B10,rf1_data!$B:$B,rf1_data!CO:CO,"NaN")))</f>
        <v>NaN</v>
      </c>
      <c r="CX10" s="5" t="str">
        <f>IF(_xlfn.XLOOKUP($B10,rf1_data!$B:$B,rf1_data!CP:CP,"NaN")="","NaN",(_xlfn.XLOOKUP($B10,rf1_data!$B:$B,rf1_data!CP:CP,"NaN")))</f>
        <v>NaN</v>
      </c>
      <c r="CY10" s="5">
        <f>IF(_xlfn.XLOOKUP($B10,rf1_data!$B:$B,rf1_data!CQ:CQ,"NaN")="","NaN",(_xlfn.XLOOKUP($B10,rf1_data!$B:$B,rf1_data!CQ:CQ,"NaN")))</f>
        <v>7</v>
      </c>
      <c r="CZ10" s="5">
        <f>IF(_xlfn.XLOOKUP($B10,rf1_data!$B:$B,rf1_data!CR:CR,"NaN")="","NaN",(_xlfn.XLOOKUP($B10,rf1_data!$B:$B,rf1_data!CR:CR,"NaN")))</f>
        <v>1</v>
      </c>
      <c r="DA10" s="5">
        <f>IF(_xlfn.XLOOKUP($B10,rf1_data!$B:$B,rf1_data!CS:CS,"NaN")="","NaN",(_xlfn.XLOOKUP($B10,rf1_data!$B:$B,rf1_data!CS:CS,"NaN")))</f>
        <v>1</v>
      </c>
      <c r="DB10" s="4">
        <f>IF(_xlfn.XLOOKUP($B10,island_data!$B:$B,island_data!H:H,"NaN")="","NaN",_xlfn.XLOOKUP($B10,island_data!$B:$B,island_data!H:H,"NaN"))</f>
        <v>1</v>
      </c>
      <c r="DC10" s="4">
        <f>IF(_xlfn.XLOOKUP($B10,island_data!$B:$B,island_data!I:I,"NaN")="","NaN",_xlfn.XLOOKUP($B10,island_data!$B:$B,island_data!I:I,"NaN"))</f>
        <v>0</v>
      </c>
      <c r="DD10" s="4">
        <f>IF(_xlfn.XLOOKUP($B10,island_data!$B:$B,island_data!J:J,"NaN")="","NaN",_xlfn.XLOOKUP($B10,island_data!$B:$B,island_data!J:J,"NaN"))</f>
        <v>2</v>
      </c>
      <c r="DE10" s="4">
        <f>IF(_xlfn.XLOOKUP($B10,island_data!$B:$B,island_data!K:K,"NaN")="","NaN",_xlfn.XLOOKUP($B10,island_data!$B:$B,island_data!K:K,"NaN"))</f>
        <v>6</v>
      </c>
      <c r="DF10" s="4">
        <f>IF(_xlfn.XLOOKUP($B10,island_data!$B:$B,island_data!L:L,"NaN")="","NaN",_xlfn.XLOOKUP($B10,island_data!$B:$B,island_data!L:L,"NaN"))</f>
        <v>28</v>
      </c>
      <c r="DG10" s="4">
        <f>IF(_xlfn.XLOOKUP($B10,island_data!$B:$B,island_data!M:M,"NaN")="","NaN",_xlfn.XLOOKUP($B10,island_data!$B:$B,island_data!M:M,"NaN"))</f>
        <v>2.2222222222222001</v>
      </c>
      <c r="DH10" s="4">
        <f>IF(_xlfn.XLOOKUP($B10,island_data!$B:$B,island_data!N:N,"NaN")="","NaN",_xlfn.XLOOKUP($B10,island_data!$B:$B,island_data!N:N,"NaN"))</f>
        <v>12</v>
      </c>
      <c r="DI10" s="4" t="str">
        <f>IF(_xlfn.XLOOKUP($B10,island_data!$B:$B,island_data!O:O,"NaN")=999,"NaN",_xlfn.XLOOKUP($B10,island_data!$B:$B,island_data!O:O,"NaN"))</f>
        <v>NaN</v>
      </c>
      <c r="DJ10" s="4">
        <f>IF(_xlfn.XLOOKUP($B10,island_data!$B:$B,island_data!P:P,"NaN")="","NaN",_xlfn.XLOOKUP($B10,island_data!$B:$B,island_data!P:P,"NaN"))</f>
        <v>7</v>
      </c>
      <c r="DK10" s="4">
        <f>IF(_xlfn.XLOOKUP($B10,island_data!$B:$B,island_data!Q:Q,"NaN")="","NaN",_xlfn.XLOOKUP($B10,island_data!$B:$B,island_data!Q:Q,"NaN"))</f>
        <v>0</v>
      </c>
      <c r="DL10" s="4" t="str">
        <f>IF(_xlfn.XLOOKUP($B10,island_data!$B:$B,island_data!R:R,"NaN")=999,"NaN",_xlfn.XLOOKUP($B10,island_data!$B:$B,island_data!R:R,"NaN"))</f>
        <v>NaN</v>
      </c>
      <c r="DM10" s="4">
        <f>IF(_xlfn.XLOOKUP($B10,island_data!$B:$B,island_data!S:S,"NaN")="","NaN",_xlfn.XLOOKUP($B10,island_data!$B:$B,island_data!S:S,"NaN"))</f>
        <v>11</v>
      </c>
      <c r="DN10" s="4">
        <f>IF(_xlfn.XLOOKUP($B10,island_data!$B:$B,island_data!T:T,"NaN")="","NaN",_xlfn.XLOOKUP($B10,island_data!$B:$B,island_data!T:T,"NaN"))</f>
        <v>3.5</v>
      </c>
      <c r="DO10" s="4">
        <f>IF(_xlfn.XLOOKUP($B10,island_data!$B:$B,island_data!U:U,"NaN")="","NaN",_xlfn.XLOOKUP($B10,island_data!$B:$B,island_data!U:U,"NaN"))</f>
        <v>1</v>
      </c>
      <c r="DP10" s="4">
        <f>IF(_xlfn.XLOOKUP($B10,island_data!$B:$B,island_data!V:V,"NaN")="","NaN",_xlfn.XLOOKUP($B10,island_data!$B:$B,island_data!V:V,"NaN"))</f>
        <v>0</v>
      </c>
      <c r="DQ10" s="4">
        <f>IF(_xlfn.XLOOKUP($B10,island_data!$B:$B,island_data!W:W,"NaN")="","NaN",_xlfn.XLOOKUP($B10,island_data!$B:$B,island_data!W:W,"NaN"))</f>
        <v>1</v>
      </c>
      <c r="DR10" s="4">
        <f>IF(_xlfn.XLOOKUP($B10,island_data!$B:$B,island_data!X:X,"NaN")="","NaN",_xlfn.XLOOKUP($B10,island_data!$B:$B,island_data!X:X,"NaN"))</f>
        <v>1</v>
      </c>
      <c r="DS10" s="4" t="str">
        <f>IF(_xlfn.XLOOKUP($B10,island_data!$B:$B,island_data!Y:Y,"NaN")="","NaN",_xlfn.XLOOKUP($B10,island_data!$B:$B,island_data!Y:Y,"NaN"))</f>
        <v>NaN</v>
      </c>
      <c r="DT10" s="4" t="str">
        <f>IF(_xlfn.XLOOKUP($B10,island_data!$B:$B,island_data!Z:Z,"NaN")="","NaN",_xlfn.XLOOKUP($B10,island_data!$B:$B,island_data!Z:Z,"NaN"))</f>
        <v>NaN</v>
      </c>
      <c r="DU10" s="4" t="str">
        <f>IF(_xlfn.XLOOKUP($B10,island_data!$B:$B,island_data!AA:AA,"NaN")="","NaN",_xlfn.XLOOKUP($B10,island_data!$B:$B,island_data!AA:AA,"NaN"))</f>
        <v>NaN</v>
      </c>
      <c r="DV10" s="4" t="str">
        <f>IF(_xlfn.XLOOKUP($B10,island_data!$B:$B,island_data!AB:AB,"NaN")="","NaN",_xlfn.XLOOKUP($B10,island_data!$B:$B,island_data!AB:AB,"NaN"))</f>
        <v>NaN</v>
      </c>
      <c r="DW10" s="4">
        <f>IF(_xlfn.XLOOKUP($B10,island_data!$B:$B,island_data!AC:AC,"NaN")="","NaN",_xlfn.XLOOKUP($B10,island_data!$B:$B,island_data!AC:AC,"NaN"))</f>
        <v>19120</v>
      </c>
      <c r="DX10" s="4">
        <f>IF(_xlfn.XLOOKUP($B10,island_data!$B:$B,island_data!AD:AD,"NaN")="","NaN",_xlfn.XLOOKUP($B10,island_data!$B:$B,island_data!AD:AD,"NaN"))</f>
        <v>1</v>
      </c>
      <c r="DY10" s="4">
        <f>IF(_xlfn.XLOOKUP($B10,island_data!$B:$B,island_data!AE:AE,"NaN")="","NaN",_xlfn.XLOOKUP($B10,island_data!$B:$B,island_data!AE:AE,"NaN"))</f>
        <v>0</v>
      </c>
      <c r="DZ10" s="4" t="str">
        <f>IF(_xlfn.XLOOKUP($B10,island_data!$B:$B,island_data!AF:AF,"NaN")="","NaN",_xlfn.XLOOKUP($B10,island_data!$B:$B,island_data!AF:AF,"NaN"))</f>
        <v>NaN</v>
      </c>
      <c r="EA10" s="4" t="str">
        <f>IF(_xlfn.XLOOKUP($B10,island_data!$B:$B,island_data!AG:AG,"NaN")="","NaN",_xlfn.XLOOKUP($B10,island_data!$B:$B,island_data!AG:AG,"NaN"))</f>
        <v>NaN</v>
      </c>
      <c r="EB10" s="4" t="str">
        <f>IF(_xlfn.XLOOKUP($B10,island_data!$B:$B,island_data!AH:AH,"NaN")="","NaN",_xlfn.XLOOKUP($B10,island_data!$B:$B,island_data!AH:AH,"NaN"))</f>
        <v>NaN</v>
      </c>
      <c r="EC10" s="4" t="str">
        <f>IF(_xlfn.XLOOKUP($B10,island_data!$B:$B,island_data!AI:AI,"NaN")="","NaN",_xlfn.XLOOKUP($B10,island_data!$B:$B,island_data!AI:AI,"NaN"))</f>
        <v>NaN</v>
      </c>
      <c r="ED10" s="4" t="str">
        <f>IF(_xlfn.XLOOKUP($B10,island_data!$B:$B,island_data!AJ:AJ,"NaN")="","NaN",_xlfn.XLOOKUP($B10,island_data!$B:$B,island_data!AJ:AJ,"NaN"))</f>
        <v>NaN</v>
      </c>
      <c r="EE10" s="4" t="str">
        <f>IF(_xlfn.XLOOKUP($B10,island_data!$B:$B,island_data!AK:AK,"NaN")="","NaN",_xlfn.XLOOKUP($B10,island_data!$B:$B,island_data!AK:AK,"NaN"))</f>
        <v>NaN</v>
      </c>
      <c r="EF10" s="4" t="str">
        <f>IF(_xlfn.XLOOKUP($B10,island_data!$B:$B,island_data!AL:AL,"NaN")="","NaN",_xlfn.XLOOKUP($B10,island_data!$B:$B,island_data!AL:AL,"NaN"))</f>
        <v>NaN</v>
      </c>
      <c r="EG10" s="4" t="str">
        <f>IF(_xlfn.XLOOKUP($B10,island_data!$B:$B,island_data!AM:AM,"NaN")="","NaN",_xlfn.XLOOKUP($B10,island_data!$B:$B,island_data!AM:AM,"NaN"))</f>
        <v>NaN</v>
      </c>
      <c r="EH10" s="4">
        <f>IF(_xlfn.XLOOKUP($B10,island_data!$B:$B,island_data!AN:AN,"NaN")="","NaN",_xlfn.XLOOKUP($B10,island_data!$B:$B,island_data!AN:AN,"NaN"))</f>
        <v>0</v>
      </c>
      <c r="EI10" s="4" t="str">
        <f>IF(_xlfn.XLOOKUP($B10,island_data!$B:$B,island_data!AO:AO,"NaN")="","NaN",_xlfn.XLOOKUP($B10,island_data!$B:$B,island_data!AO:AO,"NaN"))</f>
        <v>NaN</v>
      </c>
      <c r="EJ10" s="8">
        <f>IF(_xlfn.XLOOKUP($A10,TabCAT!$A:$A,TabCAT!AU:AU,"NaN")="","NaN",(_xlfn.XLOOKUP($A10,TabCAT!$A:$A,TabCAT!AU:AU,"NaN")))</f>
        <v>191</v>
      </c>
      <c r="EK10" s="8" t="b">
        <f>IF(_xlfn.XLOOKUP($A10,TabCAT!$A:$A,TabCAT!AV:AV,"NaN")="","NaN",(_xlfn.XLOOKUP($A10,TabCAT!$A:$A,TabCAT!AV:AV,"NaN")))</f>
        <v>1</v>
      </c>
      <c r="EL10" s="8">
        <f>IF(_xlfn.XLOOKUP($A10,TabCAT!$A:$A,TabCAT!AW:AW,"NaN")="","NaN",(_xlfn.XLOOKUP($A10,TabCAT!$A:$A,TabCAT!AW:AW,"NaN")))</f>
        <v>3</v>
      </c>
      <c r="EM10" s="8">
        <f>IF(_xlfn.XLOOKUP($A10,TabCAT!$A:$A,TabCAT!AX:AX,"NaN")="","NaN",(_xlfn.XLOOKUP($A10,TabCAT!$A:$A,TabCAT!AX:AX,"NaN")))</f>
        <v>6</v>
      </c>
      <c r="EN10" s="8">
        <f>IF(_xlfn.XLOOKUP($A10,TabCAT!$A:$A,TabCAT!AY:AY,"NaN")="","NaN",(_xlfn.XLOOKUP($A10,TabCAT!$A:$A,TabCAT!AY:AY,"NaN")))</f>
        <v>8.8000000000000007</v>
      </c>
      <c r="EO10" s="8">
        <f>IF(_xlfn.XLOOKUP($A10,TabCAT!$A:$A,TabCAT!AZ:AZ,"NaN")="","NaN",(_xlfn.XLOOKUP($A10,TabCAT!$A:$A,TabCAT!AZ:AZ,"NaN")))</f>
        <v>32</v>
      </c>
      <c r="EP10" s="8">
        <f>IF(_xlfn.XLOOKUP($A10,TabCAT!$A:$A,TabCAT!BA:BA,"NaN")="","NaN",(_xlfn.XLOOKUP($A10,TabCAT!$A:$A,TabCAT!BA:BA,"NaN")))</f>
        <v>0.75856449999999997</v>
      </c>
      <c r="EQ10" s="8">
        <f>IF(_xlfn.XLOOKUP($A10,TabCAT!$A:$A,TabCAT!BB:BB,"NaN")="","NaN",(_xlfn.XLOOKUP($A10,TabCAT!$A:$A,TabCAT!BB:BB,"NaN")))</f>
        <v>9.6650160064998505E-2</v>
      </c>
      <c r="ER10" s="8">
        <f>IF(_xlfn.XLOOKUP($A10,TabCAT!$A:$A,TabCAT!BC:BC,"NaN")="","NaN",(_xlfn.XLOOKUP($A10,TabCAT!$A:$A,TabCAT!BC:BC,"NaN")))</f>
        <v>16</v>
      </c>
      <c r="ES10" s="8">
        <f>IF(_xlfn.XLOOKUP($A10,TabCAT!$A:$A,TabCAT!BD:BD,"NaN")="","NaN",(_xlfn.XLOOKUP($A10,TabCAT!$A:$A,TabCAT!BD:BD,"NaN")))</f>
        <v>0.74011549999999904</v>
      </c>
      <c r="ET10" s="8">
        <f>IF(_xlfn.XLOOKUP($A10,TabCAT!$A:$A,TabCAT!BE:BE,"NaN")="","NaN",(_xlfn.XLOOKUP($A10,TabCAT!$A:$A,TabCAT!BE:BE,"NaN")))</f>
        <v>16</v>
      </c>
      <c r="EU10" s="8">
        <f>IF(_xlfn.XLOOKUP($A10,TabCAT!$A:$A,TabCAT!BF:BF,"NaN")="","NaN",(_xlfn.XLOOKUP($A10,TabCAT!$A:$A,TabCAT!BF:BF,"NaN")))</f>
        <v>0.76677249999999997</v>
      </c>
      <c r="EV10" s="8" t="str">
        <f>IF(_xlfn.XLOOKUP($A10,TabCAT!$A:$A,TabCAT!BG:BG,"NaN")="","NaN",(_xlfn.XLOOKUP($A10,TabCAT!$A:$A,TabCAT!BG:BG,"NaN")))</f>
        <v>NaN</v>
      </c>
      <c r="EW10" s="8" t="str">
        <f>IF(_xlfn.XLOOKUP($A10,TabCAT!$A:$A,TabCAT!BH:BH,"NaN")="","NaN",(_xlfn.XLOOKUP($A10,TabCAT!$A:$A,TabCAT!BH:BH,"NaN")))</f>
        <v>3.0.0</v>
      </c>
      <c r="EX10" s="8" t="str">
        <f>IF(_xlfn.XLOOKUP($A10,TabCAT!$A:$A,TabCAT!BI:BI,"NaN")="","NaN",(_xlfn.XLOOKUP($A10,TabCAT!$A:$A,TabCAT!BI:BI,"NaN")))</f>
        <v>English</v>
      </c>
      <c r="EY10" s="8">
        <f>IF(_xlfn.XLOOKUP($A10,TabCAT!$A:$A,TabCAT!BJ:BJ,"NaN")="","NaN",(_xlfn.XLOOKUP($A10,TabCAT!$A:$A,TabCAT!BJ:BJ,"NaN")))</f>
        <v>244</v>
      </c>
      <c r="EZ10" s="8">
        <f>IF(_xlfn.XLOOKUP($A10,TabCAT!$A:$A,TabCAT!BK:BK,"NaN")="","NaN",(_xlfn.XLOOKUP($A10,TabCAT!$A:$A,TabCAT!BK:BK,"NaN")))</f>
        <v>1</v>
      </c>
      <c r="FA10" s="8">
        <f>IF(_xlfn.XLOOKUP($A10,TabCAT!$A:$A,TabCAT!BL:BL,"NaN")="","NaN",(_xlfn.XLOOKUP($A10,TabCAT!$A:$A,TabCAT!BL:BL,"NaN")))</f>
        <v>6</v>
      </c>
      <c r="FB10" s="8">
        <f>IF(_xlfn.XLOOKUP($A10,TabCAT!$A:$A,TabCAT!BM:BM,"NaN")="","NaN",(_xlfn.XLOOKUP($A10,TabCAT!$A:$A,TabCAT!BM:BM,"NaN")))</f>
        <v>1</v>
      </c>
      <c r="FC10" s="8">
        <f>IF(_xlfn.XLOOKUP($A10,TabCAT!$A:$A,TabCAT!BN:BN,"NaN")="","NaN",(_xlfn.XLOOKUP($A10,TabCAT!$A:$A,TabCAT!BN:BN,"NaN")))</f>
        <v>5</v>
      </c>
      <c r="FD10" s="8">
        <f>IF(_xlfn.XLOOKUP($A10,TabCAT!$A:$A,TabCAT!BO:BO,"NaN")="","NaN",(_xlfn.XLOOKUP($A10,TabCAT!$A:$A,TabCAT!BO:BO,"NaN")))</f>
        <v>8</v>
      </c>
      <c r="FE10" s="8">
        <f>IF(_xlfn.XLOOKUP($A10,TabCAT!$A:$A,TabCAT!BP:BP,"NaN")="","NaN",(_xlfn.XLOOKUP($A10,TabCAT!$A:$A,TabCAT!BP:BP,"NaN")))</f>
        <v>0.88888888888888795</v>
      </c>
      <c r="FF10" s="8">
        <f>IF(_xlfn.XLOOKUP($A10,TabCAT!$A:$A,TabCAT!BQ:BQ,"NaN")="","NaN",(_xlfn.XLOOKUP($A10,TabCAT!$A:$A,TabCAT!BQ:BQ,"NaN")))</f>
        <v>6</v>
      </c>
      <c r="FG10" s="8">
        <f>IF(_xlfn.XLOOKUP($A10,TabCAT!$A:$A,TabCAT!BR:BR,"NaN")="","NaN",(_xlfn.XLOOKUP($A10,TabCAT!$A:$A,TabCAT!BR:BR,"NaN")))</f>
        <v>11</v>
      </c>
      <c r="FH10" s="8">
        <f>IF(_xlfn.XLOOKUP($A10,TabCAT!$A:$A,TabCAT!BS:BS,"NaN")="","NaN",(_xlfn.XLOOKUP($A10,TabCAT!$A:$A,TabCAT!BS:BS,"NaN")))</f>
        <v>0.91666666666666596</v>
      </c>
      <c r="FI10" s="8">
        <f>IF(_xlfn.XLOOKUP($A10,TabCAT!$A:$A,TabCAT!BT:BT,"NaN")="","NaN",(_xlfn.XLOOKUP($A10,TabCAT!$A:$A,TabCAT!BT:BT,"NaN")))</f>
        <v>5.5</v>
      </c>
      <c r="FJ10" s="8">
        <f>IF(_xlfn.XLOOKUP($A10,TabCAT!$A:$A,TabCAT!BU:BU,"NaN")="","NaN",(_xlfn.XLOOKUP($A10,TabCAT!$A:$A,TabCAT!BU:BU,"NaN")))</f>
        <v>12</v>
      </c>
      <c r="FK10" s="8">
        <f>IF(_xlfn.XLOOKUP($A10,TabCAT!$A:$A,TabCAT!BV:BV,"NaN")="","NaN",(_xlfn.XLOOKUP($A10,TabCAT!$A:$A,TabCAT!BV:BV,"NaN")))</f>
        <v>0.8</v>
      </c>
      <c r="FL10" s="8">
        <f>IF(_xlfn.XLOOKUP($A10,TabCAT!$A:$A,TabCAT!BW:BW,"NaN")="","NaN",(_xlfn.XLOOKUP($A10,TabCAT!$A:$A,TabCAT!BW:BW,"NaN")))</f>
        <v>7.5</v>
      </c>
      <c r="FM10" s="8">
        <f>IF(_xlfn.XLOOKUP($A10,TabCAT!$A:$A,TabCAT!BX:BX,"NaN")="","NaN",(_xlfn.XLOOKUP($A10,TabCAT!$A:$A,TabCAT!BX:BX,"NaN")))</f>
        <v>37</v>
      </c>
      <c r="FN10" s="8">
        <f>IF(_xlfn.XLOOKUP($A10,TabCAT!$A:$A,TabCAT!BY:BY,"NaN")="","NaN",(_xlfn.XLOOKUP($A10,TabCAT!$A:$A,TabCAT!BY:BY,"NaN")))</f>
        <v>0.88095238095238004</v>
      </c>
      <c r="FO10" s="8">
        <f>IF(_xlfn.XLOOKUP($A10,TabCAT!$A:$A,TabCAT!BZ:BZ,"NaN")="","NaN",(_xlfn.XLOOKUP($A10,TabCAT!$A:$A,TabCAT!BZ:BZ,"NaN")))</f>
        <v>24</v>
      </c>
      <c r="FP10" s="8" t="str">
        <f>IF(_xlfn.XLOOKUP($A10,TabCAT!$A:$A,TabCAT!CA:CA,"NaN")="","NaN",(_xlfn.XLOOKUP($A10,TabCAT!$A:$A,TabCAT!CA:CA,"NaN")))</f>
        <v>3.0.0</v>
      </c>
      <c r="FQ10" s="8" t="str">
        <f>IF(_xlfn.XLOOKUP($A10,TabCAT!$A:$A,TabCAT!CB:CB,"NaN")="","NaN",(_xlfn.XLOOKUP($A10,TabCAT!$A:$A,TabCAT!CB:CB,"NaN")))</f>
        <v>English</v>
      </c>
      <c r="FR10" s="8">
        <f>IF(_xlfn.XLOOKUP($A10,TabCAT!$A:$A,TabCAT!CC:CC,"NaN")="","NaN",(_xlfn.XLOOKUP($A10,TabCAT!$A:$A,TabCAT!CC:CC,"NaN")))</f>
        <v>227</v>
      </c>
      <c r="FS10" s="8" t="b">
        <f>IF(_xlfn.XLOOKUP($A10,TabCAT!$A:$A,TabCAT!CD:CD,"NaN")="","NaN",(_xlfn.XLOOKUP($A10,TabCAT!$A:$A,TabCAT!CD:CD,"NaN")))</f>
        <v>1</v>
      </c>
      <c r="FT10" s="8">
        <f>IF(_xlfn.XLOOKUP($A10,TabCAT!$A:$A,TabCAT!CE:CE,"NaN")="","NaN",(_xlfn.XLOOKUP($A10,TabCAT!$A:$A,TabCAT!CE:CE,"NaN")))</f>
        <v>8</v>
      </c>
      <c r="FU10" s="8">
        <f>IF(_xlfn.XLOOKUP($A10,TabCAT!$A:$A,TabCAT!CF:CF,"NaN")="","NaN",(_xlfn.XLOOKUP($A10,TabCAT!$A:$A,TabCAT!CF:CF,"NaN")))</f>
        <v>0</v>
      </c>
      <c r="FV10" s="8">
        <f>IF(_xlfn.XLOOKUP($A10,TabCAT!$A:$A,TabCAT!CG:CG,"NaN")="","NaN",(_xlfn.XLOOKUP($A10,TabCAT!$A:$A,TabCAT!CG:CG,"NaN")))</f>
        <v>8.83</v>
      </c>
      <c r="FW10" s="8">
        <f>IF(_xlfn.XLOOKUP($A10,TabCAT!$A:$A,TabCAT!CH:CH,"NaN")="","NaN",(_xlfn.XLOOKUP($A10,TabCAT!$A:$A,TabCAT!CH:CH,"NaN")))</f>
        <v>16</v>
      </c>
      <c r="FX10" s="8">
        <f>IF(_xlfn.XLOOKUP($A10,TabCAT!$A:$A,TabCAT!CI:CI,"NaN")="","NaN",(_xlfn.XLOOKUP($A10,TabCAT!$A:$A,TabCAT!CI:CI,"NaN")))</f>
        <v>0.45895249999999999</v>
      </c>
      <c r="FY10" s="8">
        <f>IF(_xlfn.XLOOKUP($A10,TabCAT!$A:$A,TabCAT!CJ:CJ,"NaN")="","NaN",(_xlfn.XLOOKUP($A10,TabCAT!$A:$A,TabCAT!CJ:CJ,"NaN")))</f>
        <v>16</v>
      </c>
      <c r="FZ10" s="8">
        <f>IF(_xlfn.XLOOKUP($A10,TabCAT!$A:$A,TabCAT!CK:CK,"NaN")="","NaN",(_xlfn.XLOOKUP($A10,TabCAT!$A:$A,TabCAT!CK:CK,"NaN")))</f>
        <v>0.52989549999999996</v>
      </c>
      <c r="GA10" s="8">
        <f>IF(_xlfn.XLOOKUP($A10,TabCAT!$A:$A,TabCAT!CL:CL,"NaN")="","NaN",(_xlfn.XLOOKUP($A10,TabCAT!$A:$A,TabCAT!CL:CL,"NaN")))</f>
        <v>30</v>
      </c>
      <c r="GB10" s="8">
        <f>IF(_xlfn.XLOOKUP($A10,TabCAT!$A:$A,TabCAT!CM:CM,"NaN")="","NaN",(_xlfn.XLOOKUP($A10,TabCAT!$A:$A,TabCAT!CM:CM,"NaN")))</f>
        <v>0.59206950000000003</v>
      </c>
      <c r="GC10" s="8">
        <f>IF(_xlfn.XLOOKUP($A10,TabCAT!$A:$A,TabCAT!CN:CN,"NaN")="","NaN",(_xlfn.XLOOKUP($A10,TabCAT!$A:$A,TabCAT!CN:CN,"NaN")))</f>
        <v>21</v>
      </c>
      <c r="GD10" s="8">
        <f>IF(_xlfn.XLOOKUP($A10,TabCAT!$A:$A,TabCAT!CO:CO,"NaN")="","NaN",(_xlfn.XLOOKUP($A10,TabCAT!$A:$A,TabCAT!CO:CO,"NaN")))</f>
        <v>0.60432300000000005</v>
      </c>
      <c r="GE10" s="8">
        <f>IF(_xlfn.XLOOKUP($A10,TabCAT!$A:$A,TabCAT!CP:CP,"NaN")="","NaN",(_xlfn.XLOOKUP($A10,TabCAT!$A:$A,TabCAT!CP:CP,"NaN")))</f>
        <v>0.28285280807096902</v>
      </c>
      <c r="GF10" s="8">
        <f>IF(_xlfn.XLOOKUP($A10,TabCAT!$A:$A,TabCAT!CQ:CQ,"NaN")="","NaN",(_xlfn.XLOOKUP($A10,TabCAT!$A:$A,TabCAT!CQ:CQ,"NaN")))</f>
        <v>51</v>
      </c>
      <c r="GG10" s="8">
        <f>IF(_xlfn.XLOOKUP($A10,TabCAT!$A:$A,TabCAT!CR:CR,"NaN")="","NaN",(_xlfn.XLOOKUP($A10,TabCAT!$A:$A,TabCAT!CR:CR,"NaN")))</f>
        <v>0.52146800000000004</v>
      </c>
      <c r="GH10" s="8" t="str">
        <f>IF(_xlfn.XLOOKUP($A10,TabCAT!$A:$A,TabCAT!CS:CS,"NaN")="","NaN",(_xlfn.XLOOKUP($A10,TabCAT!$A:$A,TabCAT!CS:CS,"NaN")))</f>
        <v>NaN</v>
      </c>
    </row>
    <row r="11" spans="1:190" x14ac:dyDescent="0.2">
      <c r="A11">
        <v>10541</v>
      </c>
      <c r="B11">
        <f>_xlfn.XLOOKUP(bippity_poppity_boo!A11,rf1_data!A:A,rf1_data!B:B)</f>
        <v>30253</v>
      </c>
      <c r="C11" s="2">
        <f>(_xlfn.XLOOKUP($A11,trust!$A:$A,trust!B:B,"NaN"))</f>
        <v>5.3846150000000002</v>
      </c>
      <c r="D11" s="2">
        <f>(_xlfn.XLOOKUP($A11,trust!$A:$A,trust!C:C,"NaN"))</f>
        <v>5.1428570000000002</v>
      </c>
      <c r="E11" s="2">
        <f>(_xlfn.XLOOKUP($A11,trust!$A:$A,trust!D:D,"NaN"))</f>
        <v>3.8333330000000001</v>
      </c>
      <c r="F11" s="2">
        <f>(_xlfn.XLOOKUP($A11,trust!$A:$A,trust!E:E,"NaN"))</f>
        <v>4.5</v>
      </c>
      <c r="G11" s="2">
        <f>(_xlfn.XLOOKUP($A11,trust!$A:$A,trust!F:F,"NaN"))</f>
        <v>6</v>
      </c>
      <c r="H11" s="2">
        <f>(_xlfn.XLOOKUP($A11,trust!$A:$A,trust!G:G,"NaN"))</f>
        <v>4.1666670000000003</v>
      </c>
      <c r="I11" s="3">
        <f>IF(_xlfn.XLOOKUP($B11,island_data!$B:$B,island_data!C:C,"NaN")="","NaN",_xlfn.XLOOKUP($B11,island_data!$B:$B,island_data!C:C,"NaN"))</f>
        <v>45106</v>
      </c>
      <c r="J11" s="3">
        <f>IF(_xlfn.XLOOKUP($B11,island_data!$B:$B,island_data!D:D,"NaN")="","NaN",_xlfn.XLOOKUP($B11,island_data!$B:$B,island_data!D:D,"NaN"))</f>
        <v>19652</v>
      </c>
      <c r="K11" s="4">
        <f>IF(_xlfn.XLOOKUP($B11,island_data!$B:$B,island_data!E:E,"NaN")="","NaN",_xlfn.XLOOKUP($B11,island_data!$B:$B,island_data!E:E,"NaN"))</f>
        <v>69.69</v>
      </c>
      <c r="L11" s="5">
        <f>IF(_xlfn.XLOOKUP($B11,rf1_data!$B:$B,rf1_data!D:D,"NaN")="","NaN",(_xlfn.XLOOKUP($B11,rf1_data!$B:$B,rf1_data!D:D,"NaN")))</f>
        <v>69.16</v>
      </c>
      <c r="M11" s="5" t="str">
        <f>IF(_xlfn.XLOOKUP($B11,rf1_data!$B:$B,rf1_data!E:E,"NaN")="","NaN",(_xlfn.XLOOKUP($B11,rf1_data!$B:$B,rf1_data!E:E,"NaN")))</f>
        <v>White</v>
      </c>
      <c r="N11" s="5" t="str">
        <f>IF(_xlfn.XLOOKUP($B11,rf1_data!$B:$B,rf1_data!F:F,"NaN")="","NaN",(_xlfn.XLOOKUP($B11,rf1_data!$B:$B,rf1_data!F:F,"NaN")))</f>
        <v>Not Hispanic or Latino</v>
      </c>
      <c r="O11" s="5" t="str">
        <f>IF(_xlfn.XLOOKUP($B11,rf1_data!$B:$B,rf1_data!G:G,"NaN")="","NaN",(_xlfn.XLOOKUP($B11,rf1_data!$B:$B,rf1_data!G:G,"NaN")))</f>
        <v>Male</v>
      </c>
      <c r="P11" s="5">
        <f>IF(_xlfn.XLOOKUP($B11,rf1_data!$B:$B,rf1_data!H:H,"NaN")="","NaN",(_xlfn.XLOOKUP($B11,rf1_data!$B:$B,rf1_data!H:H,"NaN")))</f>
        <v>4.22</v>
      </c>
      <c r="Q11" s="5">
        <f>IF(_xlfn.XLOOKUP($B11,rf1_data!$B:$B,rf1_data!I:I,"NaN")="","NaN",(_xlfn.XLOOKUP($B11,rf1_data!$B:$B,rf1_data!I:I,"NaN")))</f>
        <v>2.67</v>
      </c>
      <c r="R11" s="5">
        <f>IF(_xlfn.XLOOKUP($B11,rf1_data!$B:$B,rf1_data!J:J,"NaN")="","NaN",(_xlfn.XLOOKUP($B11,rf1_data!$B:$B,rf1_data!J:J,"NaN")))</f>
        <v>3</v>
      </c>
      <c r="S11" s="5">
        <f>IF(_xlfn.XLOOKUP($B11,rf1_data!$B:$B,rf1_data!K:K,"NaN")="","NaN",(_xlfn.XLOOKUP($B11,rf1_data!$B:$B,rf1_data!K:K,"NaN")))</f>
        <v>14</v>
      </c>
      <c r="T11" s="5">
        <f>IF(_xlfn.XLOOKUP($B11,rf1_data!$B:$B,rf1_data!L:L,"NaN")="","NaN",(_xlfn.XLOOKUP($B11,rf1_data!$B:$B,rf1_data!L:L,"NaN")))</f>
        <v>0</v>
      </c>
      <c r="U11" s="5" t="str">
        <f>IF(_xlfn.XLOOKUP($B11,rf1_data!$B:$B,rf1_data!M:M,"NaN")="","NaN",(_xlfn.XLOOKUP($B11,rf1_data!$B:$B,rf1_data!M:M,"NaN")))</f>
        <v>NaN</v>
      </c>
      <c r="V11" s="5" t="str">
        <f>IF(_xlfn.XLOOKUP($B11,rf1_data!$B:$B,rf1_data!N:N,"NaN")="","NaN",(_xlfn.XLOOKUP($B11,rf1_data!$B:$B,rf1_data!N:N,"NaN")))</f>
        <v>NaN</v>
      </c>
      <c r="W11" s="5" t="str">
        <f>IF(_xlfn.XLOOKUP($B11,rf1_data!$B:$B,rf1_data!O:O,"NaN")="","NaN",(_xlfn.XLOOKUP($B11,rf1_data!$B:$B,rf1_data!O:O,"NaN")))</f>
        <v>NaN</v>
      </c>
      <c r="X11" s="5" t="str">
        <f>IF(_xlfn.XLOOKUP($B11,rf1_data!$B:$B,rf1_data!P:P,"NaN")="","NaN",(_xlfn.XLOOKUP($B11,rf1_data!$B:$B,rf1_data!P:P,"NaN")))</f>
        <v>NaN</v>
      </c>
      <c r="Y11" s="5" t="str">
        <f>IF(_xlfn.XLOOKUP($B11,rf1_data!$B:$B,rf1_data!Q:Q,"NaN")="","NaN",(_xlfn.XLOOKUP($B11,rf1_data!$B:$B,rf1_data!Q:Q,"NaN")))</f>
        <v>NaN</v>
      </c>
      <c r="Z11" s="5">
        <f>IF(_xlfn.XLOOKUP($B11,rf1_data!$B:$B,rf1_data!R:R,"NaN")="","NaN",(_xlfn.XLOOKUP($B11,rf1_data!$B:$B,rf1_data!R:R,"NaN")))</f>
        <v>20</v>
      </c>
      <c r="AA11" s="5">
        <f>IF(_xlfn.XLOOKUP($B11,rf1_data!$B:$B,rf1_data!S:S,"NaN")="","NaN",(_xlfn.XLOOKUP($B11,rf1_data!$B:$B,rf1_data!S:S,"NaN")))</f>
        <v>1</v>
      </c>
      <c r="AB11" s="5">
        <f>IF(_xlfn.XLOOKUP($B11,rf1_data!$B:$B,rf1_data!T:T,"NaN")="","NaN",(_xlfn.XLOOKUP($B11,rf1_data!$B:$B,rf1_data!T:T,"NaN")))</f>
        <v>5</v>
      </c>
      <c r="AC11" s="5">
        <f>IF(_xlfn.XLOOKUP($B11,rf1_data!$B:$B,rf1_data!U:U,"NaN")="","NaN",(_xlfn.XLOOKUP($B11,rf1_data!$B:$B,rf1_data!U:U,"NaN")))</f>
        <v>2</v>
      </c>
      <c r="AD11" s="5">
        <f>IF(_xlfn.XLOOKUP($B11,rf1_data!$B:$B,rf1_data!V:V,"NaN")="","NaN",(_xlfn.XLOOKUP($B11,rf1_data!$B:$B,rf1_data!V:V,"NaN")))</f>
        <v>12</v>
      </c>
      <c r="AE11" s="5">
        <f>IF(_xlfn.XLOOKUP($B11,rf1_data!$B:$B,rf1_data!W:W,"NaN")="","NaN",(_xlfn.XLOOKUP($B11,rf1_data!$B:$B,rf1_data!W:W,"NaN")))</f>
        <v>8</v>
      </c>
      <c r="AF11" s="5">
        <f>IF(_xlfn.XLOOKUP($B11,rf1_data!$B:$B,rf1_data!X:X,"NaN")="","NaN",(_xlfn.XLOOKUP($B11,rf1_data!$B:$B,rf1_data!X:X,"NaN")))</f>
        <v>6</v>
      </c>
      <c r="AG11" s="5">
        <f>IF(_xlfn.XLOOKUP($B11,rf1_data!$B:$B,rf1_data!Y:Y,"NaN")="","NaN",(_xlfn.XLOOKUP($B11,rf1_data!$B:$B,rf1_data!Y:Y,"NaN")))</f>
        <v>6</v>
      </c>
      <c r="AH11" s="5">
        <f>IF(_xlfn.XLOOKUP($B11,rf1_data!$B:$B,rf1_data!Z:Z,"NaN")="","NaN",(_xlfn.XLOOKUP($B11,rf1_data!$B:$B,rf1_data!Z:Z,"NaN")))</f>
        <v>7</v>
      </c>
      <c r="AI11" s="5">
        <f>IF(_xlfn.XLOOKUP($B11,rf1_data!$B:$B,rf1_data!AA:AA,"NaN")="","NaN",(_xlfn.XLOOKUP($B11,rf1_data!$B:$B,rf1_data!AA:AA,"NaN")))</f>
        <v>5</v>
      </c>
      <c r="AJ11" s="5">
        <f>IF(_xlfn.XLOOKUP($B11,rf1_data!$B:$B,rf1_data!AB:AB,"NaN")="","NaN",(_xlfn.XLOOKUP($B11,rf1_data!$B:$B,rf1_data!AB:AB,"NaN")))</f>
        <v>32</v>
      </c>
      <c r="AK11" s="5">
        <f>IF(_xlfn.XLOOKUP($B11,rf1_data!$B:$B,rf1_data!AC:AC,"NaN")="","NaN",(_xlfn.XLOOKUP($B11,rf1_data!$B:$B,rf1_data!AC:AC,"NaN")))</f>
        <v>25</v>
      </c>
      <c r="AL11" s="5">
        <f>IF(_xlfn.XLOOKUP($B11,rf1_data!$B:$B,rf1_data!AD:AD,"NaN")="","NaN",(_xlfn.XLOOKUP($B11,rf1_data!$B:$B,rf1_data!AD:AD,"NaN")))</f>
        <v>10</v>
      </c>
      <c r="AM11" s="5">
        <f>IF(_xlfn.XLOOKUP($B11,rf1_data!$B:$B,rf1_data!AE:AE,"NaN")="","NaN",(_xlfn.XLOOKUP($B11,rf1_data!$B:$B,rf1_data!AE:AE,"NaN")))</f>
        <v>0</v>
      </c>
      <c r="AN11" s="5">
        <f>IF(_xlfn.XLOOKUP($B11,rf1_data!$B:$B,rf1_data!AF:AF,"NaN")="","NaN",(_xlfn.XLOOKUP($B11,rf1_data!$B:$B,rf1_data!AF:AF,"NaN")))</f>
        <v>0</v>
      </c>
      <c r="AO11" s="5">
        <f>IF(_xlfn.XLOOKUP($B11,rf1_data!$B:$B,rf1_data!AG:AG,"NaN")="","NaN",(_xlfn.XLOOKUP($B11,rf1_data!$B:$B,rf1_data!AG:AG,"NaN")))</f>
        <v>4.25</v>
      </c>
      <c r="AP11" s="5">
        <f>IF(_xlfn.XLOOKUP($B11,rf1_data!$B:$B,rf1_data!AH:AH,"NaN")="","NaN",(_xlfn.XLOOKUP($B11,rf1_data!$B:$B,rf1_data!AH:AH,"NaN")))</f>
        <v>4</v>
      </c>
      <c r="AQ11" s="5">
        <f>IF(_xlfn.XLOOKUP($B11,rf1_data!$B:$B,rf1_data!AI:AI,"NaN")="","NaN",(_xlfn.XLOOKUP($B11,rf1_data!$B:$B,rf1_data!AI:AI,"NaN")))</f>
        <v>5.5</v>
      </c>
      <c r="AR11" s="5">
        <f>IF(_xlfn.XLOOKUP($B11,rf1_data!$B:$B,rf1_data!AJ:AJ,"NaN")="","NaN",(_xlfn.XLOOKUP($B11,rf1_data!$B:$B,rf1_data!AJ:AJ,"NaN")))</f>
        <v>3.25</v>
      </c>
      <c r="AS11" s="5">
        <f>IF(_xlfn.XLOOKUP($B11,rf1_data!$B:$B,rf1_data!AK:AK,"NaN")="","NaN",(_xlfn.XLOOKUP($B11,rf1_data!$B:$B,rf1_data!AK:AK,"NaN")))</f>
        <v>2.8</v>
      </c>
      <c r="AT11" s="5">
        <f>IF(_xlfn.XLOOKUP($B11,rf1_data!$B:$B,rf1_data!AL:AL,"NaN")="","NaN",(_xlfn.XLOOKUP($B11,rf1_data!$B:$B,rf1_data!AL:AL,"NaN")))</f>
        <v>7</v>
      </c>
      <c r="AU11" s="5">
        <f>IF(_xlfn.XLOOKUP($B11,rf1_data!$B:$B,rf1_data!AM:AM,"NaN")="","NaN",(_xlfn.XLOOKUP($B11,rf1_data!$B:$B,rf1_data!AM:AM,"NaN")))</f>
        <v>3.75</v>
      </c>
      <c r="AV11" s="5">
        <f>IF(_xlfn.XLOOKUP($B11,rf1_data!$B:$B,rf1_data!AN:AN,"NaN")="","NaN",(_xlfn.XLOOKUP($B11,rf1_data!$B:$B,rf1_data!AN:AN,"NaN")))</f>
        <v>9</v>
      </c>
      <c r="AW11" s="5">
        <f>IF(_xlfn.XLOOKUP($B11,rf1_data!$B:$B,rf1_data!AO:AO,"NaN")="","NaN",(_xlfn.XLOOKUP($B11,rf1_data!$B:$B,rf1_data!AO:AO,"NaN")))</f>
        <v>3.17</v>
      </c>
      <c r="AX11" s="5">
        <f>IF(_xlfn.XLOOKUP($B11,rf1_data!$B:$B,rf1_data!AP:AP,"NaN")="","NaN",(_xlfn.XLOOKUP($B11,rf1_data!$B:$B,rf1_data!AP:AP,"NaN")))</f>
        <v>4.1100000000000003</v>
      </c>
      <c r="AY11" s="5" t="str">
        <f>IF(_xlfn.XLOOKUP($B11,rf1_data!$B:$B,rf1_data!AQ:AQ,"NaN")="","NaN",(_xlfn.XLOOKUP($B11,rf1_data!$B:$B,rf1_data!AQ:AQ,"NaN")))</f>
        <v>NaN</v>
      </c>
      <c r="AZ11" s="5" t="str">
        <f>IF(_xlfn.XLOOKUP($B11,rf1_data!$B:$B,rf1_data!AR:AR,"NaN")="","NaN",(_xlfn.XLOOKUP($B11,rf1_data!$B:$B,rf1_data!AR:AR,"NaN")))</f>
        <v>NaN</v>
      </c>
      <c r="BA11" s="5" t="str">
        <f>IF(_xlfn.XLOOKUP($B11,rf1_data!$B:$B,rf1_data!AS:AS,"NaN")="","NaN",(_xlfn.XLOOKUP($B11,rf1_data!$B:$B,rf1_data!AS:AS,"NaN")))</f>
        <v>NaN</v>
      </c>
      <c r="BB11" s="5" t="str">
        <f>IF(_xlfn.XLOOKUP($B11,rf1_data!$B:$B,rf1_data!AT:AT,"NaN")="","NaN",(_xlfn.XLOOKUP($B11,rf1_data!$B:$B,rf1_data!AT:AT,"NaN")))</f>
        <v>NaN</v>
      </c>
      <c r="BC11" s="5" t="str">
        <f>IF(_xlfn.XLOOKUP($B11,rf1_data!$B:$B,rf1_data!AU:AU,"NaN")="","NaN",(_xlfn.XLOOKUP($B11,rf1_data!$B:$B,rf1_data!AU:AU,"NaN")))</f>
        <v>NaN</v>
      </c>
      <c r="BD11" s="5" t="str">
        <f>IF(_xlfn.XLOOKUP($B11,rf1_data!$B:$B,rf1_data!AV:AV,"NaN")="","NaN",(_xlfn.XLOOKUP($B11,rf1_data!$B:$B,rf1_data!AV:AV,"NaN")))</f>
        <v>NaN</v>
      </c>
      <c r="BE11" s="5" t="str">
        <f>IF(_xlfn.XLOOKUP($B11,rf1_data!$B:$B,rf1_data!AW:AW,"NaN")="","NaN",(_xlfn.XLOOKUP($B11,rf1_data!$B:$B,rf1_data!AW:AW,"NaN")))</f>
        <v>NaN</v>
      </c>
      <c r="BF11" s="5" t="str">
        <f>IF(_xlfn.XLOOKUP($B11,rf1_data!$B:$B,rf1_data!AX:AX,"NaN")="","NaN",(_xlfn.XLOOKUP($B11,rf1_data!$B:$B,rf1_data!AX:AX,"NaN")))</f>
        <v>NaN</v>
      </c>
      <c r="BG11" s="5" t="str">
        <f>IF(_xlfn.XLOOKUP($B11,rf1_data!$B:$B,rf1_data!AY:AY,"NaN")="","NaN",(_xlfn.XLOOKUP($B11,rf1_data!$B:$B,rf1_data!AY:AY,"NaN")))</f>
        <v>NaN</v>
      </c>
      <c r="BH11" s="5" t="str">
        <f>IF(_xlfn.XLOOKUP($B11,rf1_data!$B:$B,rf1_data!AZ:AZ,"NaN")="","NaN",(_xlfn.XLOOKUP($B11,rf1_data!$B:$B,rf1_data!AZ:AZ,"NaN")))</f>
        <v>NaN</v>
      </c>
      <c r="BI11" s="5">
        <f>IF(_xlfn.XLOOKUP($B11,rf1_data!$B:$B,rf1_data!BA:BA,"NaN")="","NaN",(_xlfn.XLOOKUP($B11,rf1_data!$B:$B,rf1_data!BA:BA,"NaN")))</f>
        <v>20</v>
      </c>
      <c r="BJ11" s="5" t="str">
        <f>IF(_xlfn.XLOOKUP($B11,rf1_data!$B:$B,rf1_data!BB:BB,"NaN")="","NaN",(_xlfn.XLOOKUP($B11,rf1_data!$B:$B,rf1_data!BB:BB,"NaN")))</f>
        <v>NaN</v>
      </c>
      <c r="BK11" s="5" t="str">
        <f>IF(_xlfn.XLOOKUP($B11,rf1_data!$B:$B,rf1_data!BC:BC,"NaN")="","NaN",(_xlfn.XLOOKUP($B11,rf1_data!$B:$B,rf1_data!BC:BC,"NaN")))</f>
        <v>NaN</v>
      </c>
      <c r="BL11" s="5" t="str">
        <f>IF(_xlfn.XLOOKUP($B11,rf1_data!$B:$B,rf1_data!BD:BD,"NaN")="","NaN",(_xlfn.XLOOKUP($B11,rf1_data!$B:$B,rf1_data!BD:BD,"NaN")))</f>
        <v>NaN</v>
      </c>
      <c r="BM11" s="5" t="str">
        <f>IF(_xlfn.XLOOKUP($B11,rf1_data!$B:$B,rf1_data!BE:BE,"NaN")="","NaN",(_xlfn.XLOOKUP($B11,rf1_data!$B:$B,rf1_data!BE:BE,"NaN")))</f>
        <v>NaN</v>
      </c>
      <c r="BN11" s="5" t="str">
        <f>IF(_xlfn.XLOOKUP($B11,rf1_data!$B:$B,rf1_data!BF:BF,"NaN")="","NaN",(_xlfn.XLOOKUP($B11,rf1_data!$B:$B,rf1_data!BF:BF,"NaN")))</f>
        <v>NaN</v>
      </c>
      <c r="BO11" s="5" t="str">
        <f>IF(_xlfn.XLOOKUP($B11,rf1_data!$B:$B,rf1_data!BG:BG,"NaN")="","NaN",(_xlfn.XLOOKUP($B11,rf1_data!$B:$B,rf1_data!BG:BG,"NaN")))</f>
        <v>NaN</v>
      </c>
      <c r="BP11" s="5" t="str">
        <f>IF(_xlfn.XLOOKUP($B11,rf1_data!$B:$B,rf1_data!BH:BH,"NaN")="","NaN",(_xlfn.XLOOKUP($B11,rf1_data!$B:$B,rf1_data!BH:BH,"NaN")))</f>
        <v>NaN</v>
      </c>
      <c r="BQ11" s="5" t="str">
        <f>IF(_xlfn.XLOOKUP($B11,rf1_data!$B:$B,rf1_data!BI:BI,"NaN")="","NaN",(_xlfn.XLOOKUP($B11,rf1_data!$B:$B,rf1_data!BI:BI,"NaN")))</f>
        <v>NaN</v>
      </c>
      <c r="BR11" s="5">
        <f>IF(_xlfn.XLOOKUP($B11,rf1_data!$B:$B,rf1_data!BJ:BJ,"NaN")="","NaN",(_xlfn.XLOOKUP($B11,rf1_data!$B:$B,rf1_data!BJ:BJ,"NaN")))</f>
        <v>8991</v>
      </c>
      <c r="BS11" s="5" t="str">
        <f>IF(_xlfn.XLOOKUP($B11,rf1_data!$B:$B,rf1_data!BK:BK,"NaN")="","NaN",(_xlfn.XLOOKUP($B11,rf1_data!$B:$B,rf1_data!BK:BK,"NaN")))</f>
        <v>NaN</v>
      </c>
      <c r="BT11" s="5" t="str">
        <f>IF(_xlfn.XLOOKUP($B11,rf1_data!$B:$B,rf1_data!BL:BL,"NaN")="","NaN",(_xlfn.XLOOKUP($B11,rf1_data!$B:$B,rf1_data!BL:BL,"NaN")))</f>
        <v>NaN</v>
      </c>
      <c r="BU11" s="5" t="str">
        <f>IF(_xlfn.XLOOKUP($B11,rf1_data!$B:$B,rf1_data!BM:BM,"NaN")="","NaN",(_xlfn.XLOOKUP($B11,rf1_data!$B:$B,rf1_data!BM:BM,"NaN")))</f>
        <v>NaN</v>
      </c>
      <c r="BV11" s="5" t="str">
        <f>IF(_xlfn.XLOOKUP($B11,rf1_data!$B:$B,rf1_data!BN:BN,"NaN")="","NaN",(_xlfn.XLOOKUP($B11,rf1_data!$B:$B,rf1_data!BN:BN,"NaN")))</f>
        <v>NaN</v>
      </c>
      <c r="BW11" s="5">
        <f>IF(_xlfn.XLOOKUP($B11,rf1_data!$B:$B,rf1_data!BO:BO,"NaN")="","NaN",(_xlfn.XLOOKUP($B11,rf1_data!$B:$B,rf1_data!BO:BO,"NaN")))</f>
        <v>3.4</v>
      </c>
      <c r="BX11" s="5">
        <f>IF(_xlfn.XLOOKUP($B11,rf1_data!$B:$B,rf1_data!BP:BP,"NaN")="","NaN",(_xlfn.XLOOKUP($B11,rf1_data!$B:$B,rf1_data!BP:BP,"NaN")))</f>
        <v>3.1</v>
      </c>
      <c r="BY11" s="5">
        <f>IF(_xlfn.XLOOKUP($B11,rf1_data!$B:$B,rf1_data!BQ:BQ,"NaN")="","NaN",(_xlfn.XLOOKUP($B11,rf1_data!$B:$B,rf1_data!BQ:BQ,"NaN")))</f>
        <v>3.4</v>
      </c>
      <c r="BZ11" s="5">
        <f>IF(_xlfn.XLOOKUP($B11,rf1_data!$B:$B,rf1_data!BR:BR,"NaN")="","NaN",(_xlfn.XLOOKUP($B11,rf1_data!$B:$B,rf1_data!BR:BR,"NaN")))</f>
        <v>3.3</v>
      </c>
      <c r="CA11" s="5">
        <f>IF(_xlfn.XLOOKUP($B11,rf1_data!$B:$B,rf1_data!BS:BS,"NaN")="","NaN",(_xlfn.XLOOKUP($B11,rf1_data!$B:$B,rf1_data!BS:BS,"NaN")))</f>
        <v>2.3333333333333299</v>
      </c>
      <c r="CB11" s="5">
        <f>IF(_xlfn.XLOOKUP($B11,rf1_data!$B:$B,rf1_data!BT:BT,"NaN")="","NaN",(_xlfn.XLOOKUP($B11,rf1_data!$B:$B,rf1_data!BT:BT,"NaN")))</f>
        <v>3.6666666666666599</v>
      </c>
      <c r="CC11" s="5">
        <f>IF(_xlfn.XLOOKUP($B11,rf1_data!$B:$B,rf1_data!BU:BU,"NaN")="","NaN",(_xlfn.XLOOKUP($B11,rf1_data!$B:$B,rf1_data!BU:BU,"NaN")))</f>
        <v>4.5</v>
      </c>
      <c r="CD11" s="5">
        <f>IF(_xlfn.XLOOKUP($B11,rf1_data!$B:$B,rf1_data!BV:BV,"NaN")="","NaN",(_xlfn.XLOOKUP($B11,rf1_data!$B:$B,rf1_data!BV:BV,"NaN")))</f>
        <v>3.5</v>
      </c>
      <c r="CE11" s="5">
        <f>IF(_xlfn.XLOOKUP($B11,rf1_data!$B:$B,rf1_data!BW:BW,"NaN")="","NaN",(_xlfn.XLOOKUP($B11,rf1_data!$B:$B,rf1_data!BW:BW,"NaN")))</f>
        <v>1.3</v>
      </c>
      <c r="CF11" s="5">
        <f>IF(_xlfn.XLOOKUP($B11,rf1_data!$B:$B,rf1_data!BX:BX,"NaN")="","NaN",(_xlfn.XLOOKUP($B11,rf1_data!$B:$B,rf1_data!BX:BX,"NaN")))</f>
        <v>2</v>
      </c>
      <c r="CG11" s="5">
        <f>IF(_xlfn.XLOOKUP($B11,rf1_data!$B:$B,rf1_data!BY:BY,"NaN")="","NaN",(_xlfn.XLOOKUP($B11,rf1_data!$B:$B,rf1_data!BY:BY,"NaN")))</f>
        <v>0</v>
      </c>
      <c r="CH11" s="5">
        <f>IF(_xlfn.XLOOKUP($B11,rf1_data!$B:$B,rf1_data!BZ:BZ,"NaN")="","NaN",(_xlfn.XLOOKUP($B11,rf1_data!$B:$B,rf1_data!BZ:BZ,"NaN")))</f>
        <v>27</v>
      </c>
      <c r="CI11" s="5">
        <f>IF(_xlfn.XLOOKUP($B11,rf1_data!$B:$B,rf1_data!CA:CA,"NaN")="","NaN",(_xlfn.XLOOKUP($B11,rf1_data!$B:$B,rf1_data!CA:CA,"NaN")))</f>
        <v>16</v>
      </c>
      <c r="CJ11" s="5">
        <f>IF(_xlfn.XLOOKUP($B11,rf1_data!$B:$B,rf1_data!CB:CB,"NaN")="","NaN",(_xlfn.XLOOKUP($B11,rf1_data!$B:$B,rf1_data!CB:CB,"NaN")))</f>
        <v>11</v>
      </c>
      <c r="CK11" s="5">
        <f>IF(_xlfn.XLOOKUP($B11,rf1_data!$B:$B,rf1_data!CC:CC,"NaN")="","NaN",(_xlfn.XLOOKUP($B11,rf1_data!$B:$B,rf1_data!CC:CC,"NaN")))</f>
        <v>1.1000000000000001</v>
      </c>
      <c r="CL11" s="5">
        <f>IF(_xlfn.XLOOKUP($B11,rf1_data!$B:$B,rf1_data!CD:CD,"NaN")=0,"NaN",(_xlfn.XLOOKUP($B11,rf1_data!$B:$B,rf1_data!CD:CD,"NaN")))</f>
        <v>35</v>
      </c>
      <c r="CM11" s="5">
        <f>IF(_xlfn.XLOOKUP($B11,rf1_data!$B:$B,rf1_data!CE:CE,"NaN")="","NaN",(_xlfn.XLOOKUP($B11,rf1_data!$B:$B,rf1_data!CE:CE,"NaN")))</f>
        <v>27</v>
      </c>
      <c r="CN11" s="5">
        <f>IF(_xlfn.XLOOKUP($B11,rf1_data!$B:$B,rf1_data!CF:CF,"NaN")="","NaN",(_xlfn.XLOOKUP($B11,rf1_data!$B:$B,rf1_data!CF:CF,"NaN")))</f>
        <v>36</v>
      </c>
      <c r="CO11" s="5">
        <f>IF(_xlfn.XLOOKUP($B11,rf1_data!$B:$B,rf1_data!CG:CG,"NaN")="","NaN",(_xlfn.XLOOKUP($B11,rf1_data!$B:$B,rf1_data!CG:CG,"NaN")))</f>
        <v>30</v>
      </c>
      <c r="CP11" s="5">
        <f>IF(_xlfn.XLOOKUP($B11,rf1_data!$B:$B,rf1_data!CH:CH,"NaN")=0,"NaN",(_xlfn.XLOOKUP($B11,rf1_data!$B:$B,rf1_data!CH:CH,"NaN")))</f>
        <v>31</v>
      </c>
      <c r="CQ11" s="5">
        <f>IF(_xlfn.XLOOKUP($B11,rf1_data!$B:$B,rf1_data!CI:CI,"NaN")="","NaN",(_xlfn.XLOOKUP($B11,rf1_data!$B:$B,rf1_data!CI:CI,"NaN")))</f>
        <v>48</v>
      </c>
      <c r="CR11" s="5">
        <f>IF(_xlfn.XLOOKUP($B11,rf1_data!$B:$B,rf1_data!CJ:CJ,"NaN")="","NaN",(_xlfn.XLOOKUP($B11,rf1_data!$B:$B,rf1_data!CJ:CJ,"NaN")))</f>
        <v>57</v>
      </c>
      <c r="CS11" s="5">
        <f>IF(_xlfn.XLOOKUP($B11,rf1_data!$B:$B,rf1_data!CK:CK,"NaN")="","NaN",(_xlfn.XLOOKUP($B11,rf1_data!$B:$B,rf1_data!CK:CK,"NaN")))</f>
        <v>48</v>
      </c>
      <c r="CT11" s="5">
        <f>IF(_xlfn.XLOOKUP($B11,rf1_data!$B:$B,rf1_data!CL:CL,"NaN")="","NaN",(_xlfn.XLOOKUP($B11,rf1_data!$B:$B,rf1_data!CL:CL,"NaN")))</f>
        <v>58</v>
      </c>
      <c r="CU11" s="5">
        <f>IF(_xlfn.XLOOKUP($B11,rf1_data!$B:$B,rf1_data!CM:CM,"NaN")="","NaN",(_xlfn.XLOOKUP($B11,rf1_data!$B:$B,rf1_data!CM:CM,"NaN")))</f>
        <v>41</v>
      </c>
      <c r="CV11" s="5">
        <f>IF(_xlfn.XLOOKUP($B11,rf1_data!$B:$B,rf1_data!CN:CN,"NaN")="","NaN",(_xlfn.XLOOKUP($B11,rf1_data!$B:$B,rf1_data!CN:CN,"NaN")))</f>
        <v>60</v>
      </c>
      <c r="CW11" s="5" t="str">
        <f>IF(_xlfn.XLOOKUP($B11,rf1_data!$B:$B,rf1_data!CO:CO,"NaN")="","NaN",(_xlfn.XLOOKUP($B11,rf1_data!$B:$B,rf1_data!CO:CO,"NaN")))</f>
        <v>NaN</v>
      </c>
      <c r="CX11" s="5" t="str">
        <f>IF(_xlfn.XLOOKUP($B11,rf1_data!$B:$B,rf1_data!CP:CP,"NaN")="","NaN",(_xlfn.XLOOKUP($B11,rf1_data!$B:$B,rf1_data!CP:CP,"NaN")))</f>
        <v>NaN</v>
      </c>
      <c r="CY11" s="5">
        <f>IF(_xlfn.XLOOKUP($B11,rf1_data!$B:$B,rf1_data!CQ:CQ,"NaN")="","NaN",(_xlfn.XLOOKUP($B11,rf1_data!$B:$B,rf1_data!CQ:CQ,"NaN")))</f>
        <v>3</v>
      </c>
      <c r="CZ11" s="5">
        <f>IF(_xlfn.XLOOKUP($B11,rf1_data!$B:$B,rf1_data!CR:CR,"NaN")="","NaN",(_xlfn.XLOOKUP($B11,rf1_data!$B:$B,rf1_data!CR:CR,"NaN")))</f>
        <v>1</v>
      </c>
      <c r="DA11" s="5">
        <f>IF(_xlfn.XLOOKUP($B11,rf1_data!$B:$B,rf1_data!CS:CS,"NaN")="","NaN",(_xlfn.XLOOKUP($B11,rf1_data!$B:$B,rf1_data!CS:CS,"NaN")))</f>
        <v>1</v>
      </c>
      <c r="DB11" s="4">
        <f>IF(_xlfn.XLOOKUP($B11,island_data!$B:$B,island_data!H:H,"NaN")="","NaN",_xlfn.XLOOKUP($B11,island_data!$B:$B,island_data!H:H,"NaN"))</f>
        <v>1</v>
      </c>
      <c r="DC11" s="4">
        <f>IF(_xlfn.XLOOKUP($B11,island_data!$B:$B,island_data!I:I,"NaN")="","NaN",_xlfn.XLOOKUP($B11,island_data!$B:$B,island_data!I:I,"NaN"))</f>
        <v>0</v>
      </c>
      <c r="DD11" s="4">
        <f>IF(_xlfn.XLOOKUP($B11,island_data!$B:$B,island_data!J:J,"NaN")="","NaN",_xlfn.XLOOKUP($B11,island_data!$B:$B,island_data!J:J,"NaN"))</f>
        <v>0</v>
      </c>
      <c r="DE11" s="4">
        <f>IF(_xlfn.XLOOKUP($B11,island_data!$B:$B,island_data!K:K,"NaN")="","NaN",_xlfn.XLOOKUP($B11,island_data!$B:$B,island_data!K:K,"NaN"))</f>
        <v>0</v>
      </c>
      <c r="DF11" s="4">
        <f>IF(_xlfn.XLOOKUP($B11,island_data!$B:$B,island_data!L:L,"NaN")="","NaN",_xlfn.XLOOKUP($B11,island_data!$B:$B,island_data!L:L,"NaN"))</f>
        <v>24</v>
      </c>
      <c r="DG11" s="4">
        <f>IF(_xlfn.XLOOKUP($B11,island_data!$B:$B,island_data!M:M,"NaN")="","NaN",_xlfn.XLOOKUP($B11,island_data!$B:$B,island_data!M:M,"NaN"))</f>
        <v>1.9444444444444</v>
      </c>
      <c r="DH11" s="4">
        <f>IF(_xlfn.XLOOKUP($B11,island_data!$B:$B,island_data!N:N,"NaN")="","NaN",_xlfn.XLOOKUP($B11,island_data!$B:$B,island_data!N:N,"NaN"))</f>
        <v>12</v>
      </c>
      <c r="DI11" s="4" t="str">
        <f>IF(_xlfn.XLOOKUP($B11,island_data!$B:$B,island_data!O:O,"NaN")=999,"NaN",_xlfn.XLOOKUP($B11,island_data!$B:$B,island_data!O:O,"NaN"))</f>
        <v>NaN</v>
      </c>
      <c r="DJ11" s="4">
        <f>IF(_xlfn.XLOOKUP($B11,island_data!$B:$B,island_data!P:P,"NaN")="","NaN",_xlfn.XLOOKUP($B11,island_data!$B:$B,island_data!P:P,"NaN"))</f>
        <v>4</v>
      </c>
      <c r="DK11" s="4">
        <f>IF(_xlfn.XLOOKUP($B11,island_data!$B:$B,island_data!Q:Q,"NaN")="","NaN",_xlfn.XLOOKUP($B11,island_data!$B:$B,island_data!Q:Q,"NaN"))</f>
        <v>1</v>
      </c>
      <c r="DL11" s="4" t="str">
        <f>IF(_xlfn.XLOOKUP($B11,island_data!$B:$B,island_data!R:R,"NaN")=999,"NaN",_xlfn.XLOOKUP($B11,island_data!$B:$B,island_data!R:R,"NaN"))</f>
        <v>NaN</v>
      </c>
      <c r="DM11" s="4">
        <f>IF(_xlfn.XLOOKUP($B11,island_data!$B:$B,island_data!S:S,"NaN")="","NaN",_xlfn.XLOOKUP($B11,island_data!$B:$B,island_data!S:S,"NaN"))</f>
        <v>9</v>
      </c>
      <c r="DN11" s="4">
        <f>IF(_xlfn.XLOOKUP($B11,island_data!$B:$B,island_data!T:T,"NaN")="","NaN",_xlfn.XLOOKUP($B11,island_data!$B:$B,island_data!T:T,"NaN"))</f>
        <v>3.5833333333333299</v>
      </c>
      <c r="DO11" s="4">
        <f>IF(_xlfn.XLOOKUP($B11,island_data!$B:$B,island_data!U:U,"NaN")="","NaN",_xlfn.XLOOKUP($B11,island_data!$B:$B,island_data!U:U,"NaN"))</f>
        <v>5</v>
      </c>
      <c r="DP11" s="4">
        <f>IF(_xlfn.XLOOKUP($B11,island_data!$B:$B,island_data!V:V,"NaN")="","NaN",_xlfn.XLOOKUP($B11,island_data!$B:$B,island_data!V:V,"NaN"))</f>
        <v>4</v>
      </c>
      <c r="DQ11" s="4">
        <f>IF(_xlfn.XLOOKUP($B11,island_data!$B:$B,island_data!W:W,"NaN")="","NaN",_xlfn.XLOOKUP($B11,island_data!$B:$B,island_data!W:W,"NaN"))</f>
        <v>8</v>
      </c>
      <c r="DR11" s="4">
        <f>IF(_xlfn.XLOOKUP($B11,island_data!$B:$B,island_data!X:X,"NaN")="","NaN",_xlfn.XLOOKUP($B11,island_data!$B:$B,island_data!X:X,"NaN"))</f>
        <v>5</v>
      </c>
      <c r="DS11" s="4" t="str">
        <f>IF(_xlfn.XLOOKUP($B11,island_data!$B:$B,island_data!Y:Y,"NaN")="","NaN",_xlfn.XLOOKUP($B11,island_data!$B:$B,island_data!Y:Y,"NaN"))</f>
        <v>NaN</v>
      </c>
      <c r="DT11" s="4" t="str">
        <f>IF(_xlfn.XLOOKUP($B11,island_data!$B:$B,island_data!Z:Z,"NaN")="","NaN",_xlfn.XLOOKUP($B11,island_data!$B:$B,island_data!Z:Z,"NaN"))</f>
        <v>NaN</v>
      </c>
      <c r="DU11" s="4" t="str">
        <f>IF(_xlfn.XLOOKUP($B11,island_data!$B:$B,island_data!AA:AA,"NaN")="","NaN",_xlfn.XLOOKUP($B11,island_data!$B:$B,island_data!AA:AA,"NaN"))</f>
        <v>NaN</v>
      </c>
      <c r="DV11" s="4">
        <f>IF(_xlfn.XLOOKUP($B11,island_data!$B:$B,island_data!AB:AB,"NaN")="","NaN",_xlfn.XLOOKUP($B11,island_data!$B:$B,island_data!AB:AB,"NaN"))</f>
        <v>1</v>
      </c>
      <c r="DW11" s="4">
        <f>IF(_xlfn.XLOOKUP($B11,island_data!$B:$B,island_data!AC:AC,"NaN")="","NaN",_xlfn.XLOOKUP($B11,island_data!$B:$B,island_data!AC:AC,"NaN"))</f>
        <v>7067</v>
      </c>
      <c r="DX11" s="4">
        <f>IF(_xlfn.XLOOKUP($B11,island_data!$B:$B,island_data!AD:AD,"NaN")="","NaN",_xlfn.XLOOKUP($B11,island_data!$B:$B,island_data!AD:AD,"NaN"))</f>
        <v>8</v>
      </c>
      <c r="DY11" s="4">
        <f>IF(_xlfn.XLOOKUP($B11,island_data!$B:$B,island_data!AE:AE,"NaN")="","NaN",_xlfn.XLOOKUP($B11,island_data!$B:$B,island_data!AE:AE,"NaN"))</f>
        <v>1</v>
      </c>
      <c r="DZ11" s="4" t="str">
        <f>IF(_xlfn.XLOOKUP($B11,island_data!$B:$B,island_data!AF:AF,"NaN")="","NaN",_xlfn.XLOOKUP($B11,island_data!$B:$B,island_data!AF:AF,"NaN"))</f>
        <v>NaN</v>
      </c>
      <c r="EA11" s="4" t="str">
        <f>IF(_xlfn.XLOOKUP($B11,island_data!$B:$B,island_data!AG:AG,"NaN")="","NaN",_xlfn.XLOOKUP($B11,island_data!$B:$B,island_data!AG:AG,"NaN"))</f>
        <v>NaN</v>
      </c>
      <c r="EB11" s="4" t="str">
        <f>IF(_xlfn.XLOOKUP($B11,island_data!$B:$B,island_data!AH:AH,"NaN")="","NaN",_xlfn.XLOOKUP($B11,island_data!$B:$B,island_data!AH:AH,"NaN"))</f>
        <v>NaN</v>
      </c>
      <c r="EC11" s="4" t="str">
        <f>IF(_xlfn.XLOOKUP($B11,island_data!$B:$B,island_data!AI:AI,"NaN")="","NaN",_xlfn.XLOOKUP($B11,island_data!$B:$B,island_data!AI:AI,"NaN"))</f>
        <v>NaN</v>
      </c>
      <c r="ED11" s="4" t="str">
        <f>IF(_xlfn.XLOOKUP($B11,island_data!$B:$B,island_data!AJ:AJ,"NaN")="","NaN",_xlfn.XLOOKUP($B11,island_data!$B:$B,island_data!AJ:AJ,"NaN"))</f>
        <v>NaN</v>
      </c>
      <c r="EE11" s="4" t="str">
        <f>IF(_xlfn.XLOOKUP($B11,island_data!$B:$B,island_data!AK:AK,"NaN")="","NaN",_xlfn.XLOOKUP($B11,island_data!$B:$B,island_data!AK:AK,"NaN"))</f>
        <v>NaN</v>
      </c>
      <c r="EF11" s="4" t="str">
        <f>IF(_xlfn.XLOOKUP($B11,island_data!$B:$B,island_data!AL:AL,"NaN")="","NaN",_xlfn.XLOOKUP($B11,island_data!$B:$B,island_data!AL:AL,"NaN"))</f>
        <v>NaN</v>
      </c>
      <c r="EG11" s="4" t="str">
        <f>IF(_xlfn.XLOOKUP($B11,island_data!$B:$B,island_data!AM:AM,"NaN")="","NaN",_xlfn.XLOOKUP($B11,island_data!$B:$B,island_data!AM:AM,"NaN"))</f>
        <v>NaN</v>
      </c>
      <c r="EH11" s="4">
        <f>IF(_xlfn.XLOOKUP($B11,island_data!$B:$B,island_data!AN:AN,"NaN")="","NaN",_xlfn.XLOOKUP($B11,island_data!$B:$B,island_data!AN:AN,"NaN"))</f>
        <v>0</v>
      </c>
      <c r="EI11" s="4" t="str">
        <f>IF(_xlfn.XLOOKUP($B11,island_data!$B:$B,island_data!AO:AO,"NaN")="","NaN",_xlfn.XLOOKUP($B11,island_data!$B:$B,island_data!AO:AO,"NaN"))</f>
        <v>NaN</v>
      </c>
      <c r="EJ11" s="8">
        <f>IF(_xlfn.XLOOKUP($A11,TabCAT!$A:$A,TabCAT!AU:AU,"NaN")="","NaN",(_xlfn.XLOOKUP($A11,TabCAT!$A:$A,TabCAT!AU:AU,"NaN")))</f>
        <v>180</v>
      </c>
      <c r="EK11" s="8" t="b">
        <f>IF(_xlfn.XLOOKUP($A11,TabCAT!$A:$A,TabCAT!AV:AV,"NaN")="","NaN",(_xlfn.XLOOKUP($A11,TabCAT!$A:$A,TabCAT!AV:AV,"NaN")))</f>
        <v>1</v>
      </c>
      <c r="EL11" s="8">
        <f>IF(_xlfn.XLOOKUP($A11,TabCAT!$A:$A,TabCAT!AW:AW,"NaN")="","NaN",(_xlfn.XLOOKUP($A11,TabCAT!$A:$A,TabCAT!AW:AW,"NaN")))</f>
        <v>6</v>
      </c>
      <c r="EM11" s="8">
        <f>IF(_xlfn.XLOOKUP($A11,TabCAT!$A:$A,TabCAT!AX:AX,"NaN")="","NaN",(_xlfn.XLOOKUP($A11,TabCAT!$A:$A,TabCAT!AX:AX,"NaN")))</f>
        <v>0</v>
      </c>
      <c r="EN11" s="8">
        <f>IF(_xlfn.XLOOKUP($A11,TabCAT!$A:$A,TabCAT!AY:AY,"NaN")="","NaN",(_xlfn.XLOOKUP($A11,TabCAT!$A:$A,TabCAT!AY:AY,"NaN")))</f>
        <v>8.75</v>
      </c>
      <c r="EO11" s="8">
        <f>IF(_xlfn.XLOOKUP($A11,TabCAT!$A:$A,TabCAT!AZ:AZ,"NaN")="","NaN",(_xlfn.XLOOKUP($A11,TabCAT!$A:$A,TabCAT!AZ:AZ,"NaN")))</f>
        <v>32</v>
      </c>
      <c r="EP11" s="8">
        <f>IF(_xlfn.XLOOKUP($A11,TabCAT!$A:$A,TabCAT!BA:BA,"NaN")="","NaN",(_xlfn.XLOOKUP($A11,TabCAT!$A:$A,TabCAT!BA:BA,"NaN")))</f>
        <v>0.73359149999999995</v>
      </c>
      <c r="EQ11" s="8">
        <f>IF(_xlfn.XLOOKUP($A11,TabCAT!$A:$A,TabCAT!BB:BB,"NaN")="","NaN",(_xlfn.XLOOKUP($A11,TabCAT!$A:$A,TabCAT!BB:BB,"NaN")))</f>
        <v>9.93951103596806E-2</v>
      </c>
      <c r="ER11" s="8">
        <f>IF(_xlfn.XLOOKUP($A11,TabCAT!$A:$A,TabCAT!BC:BC,"NaN")="","NaN",(_xlfn.XLOOKUP($A11,TabCAT!$A:$A,TabCAT!BC:BC,"NaN")))</f>
        <v>16</v>
      </c>
      <c r="ES11" s="8">
        <f>IF(_xlfn.XLOOKUP($A11,TabCAT!$A:$A,TabCAT!BD:BD,"NaN")="","NaN",(_xlfn.XLOOKUP($A11,TabCAT!$A:$A,TabCAT!BD:BD,"NaN")))</f>
        <v>0.69478149999999905</v>
      </c>
      <c r="ET11" s="8">
        <f>IF(_xlfn.XLOOKUP($A11,TabCAT!$A:$A,TabCAT!BE:BE,"NaN")="","NaN",(_xlfn.XLOOKUP($A11,TabCAT!$A:$A,TabCAT!BE:BE,"NaN")))</f>
        <v>16</v>
      </c>
      <c r="EU11" s="8">
        <f>IF(_xlfn.XLOOKUP($A11,TabCAT!$A:$A,TabCAT!BF:BF,"NaN")="","NaN",(_xlfn.XLOOKUP($A11,TabCAT!$A:$A,TabCAT!BF:BF,"NaN")))</f>
        <v>0.774976</v>
      </c>
      <c r="EV11" s="8" t="str">
        <f>IF(_xlfn.XLOOKUP($A11,TabCAT!$A:$A,TabCAT!BG:BG,"NaN")="","NaN",(_xlfn.XLOOKUP($A11,TabCAT!$A:$A,TabCAT!BG:BG,"NaN")))</f>
        <v>NaN</v>
      </c>
      <c r="EW11" s="8" t="str">
        <f>IF(_xlfn.XLOOKUP($A11,TabCAT!$A:$A,TabCAT!BH:BH,"NaN")="","NaN",(_xlfn.XLOOKUP($A11,TabCAT!$A:$A,TabCAT!BH:BH,"NaN")))</f>
        <v>3.0.0</v>
      </c>
      <c r="EX11" s="8" t="str">
        <f>IF(_xlfn.XLOOKUP($A11,TabCAT!$A:$A,TabCAT!BI:BI,"NaN")="","NaN",(_xlfn.XLOOKUP($A11,TabCAT!$A:$A,TabCAT!BI:BI,"NaN")))</f>
        <v>English</v>
      </c>
      <c r="EY11" s="8">
        <f>IF(_xlfn.XLOOKUP($A11,TabCAT!$A:$A,TabCAT!BJ:BJ,"NaN")="","NaN",(_xlfn.XLOOKUP($A11,TabCAT!$A:$A,TabCAT!BJ:BJ,"NaN")))</f>
        <v>276</v>
      </c>
      <c r="EZ11" s="8">
        <f>IF(_xlfn.XLOOKUP($A11,TabCAT!$A:$A,TabCAT!BK:BK,"NaN")="","NaN",(_xlfn.XLOOKUP($A11,TabCAT!$A:$A,TabCAT!BK:BK,"NaN")))</f>
        <v>1</v>
      </c>
      <c r="FA11" s="8">
        <f>IF(_xlfn.XLOOKUP($A11,TabCAT!$A:$A,TabCAT!BL:BL,"NaN")="","NaN",(_xlfn.XLOOKUP($A11,TabCAT!$A:$A,TabCAT!BL:BL,"NaN")))</f>
        <v>6</v>
      </c>
      <c r="FB11" s="8">
        <f>IF(_xlfn.XLOOKUP($A11,TabCAT!$A:$A,TabCAT!BM:BM,"NaN")="","NaN",(_xlfn.XLOOKUP($A11,TabCAT!$A:$A,TabCAT!BM:BM,"NaN")))</f>
        <v>1</v>
      </c>
      <c r="FC11" s="8">
        <f>IF(_xlfn.XLOOKUP($A11,TabCAT!$A:$A,TabCAT!BN:BN,"NaN")="","NaN",(_xlfn.XLOOKUP($A11,TabCAT!$A:$A,TabCAT!BN:BN,"NaN")))</f>
        <v>4</v>
      </c>
      <c r="FD11" s="8">
        <f>IF(_xlfn.XLOOKUP($A11,TabCAT!$A:$A,TabCAT!BO:BO,"NaN")="","NaN",(_xlfn.XLOOKUP($A11,TabCAT!$A:$A,TabCAT!BO:BO,"NaN")))</f>
        <v>8</v>
      </c>
      <c r="FE11" s="8">
        <f>IF(_xlfn.XLOOKUP($A11,TabCAT!$A:$A,TabCAT!BP:BP,"NaN")="","NaN",(_xlfn.XLOOKUP($A11,TabCAT!$A:$A,TabCAT!BP:BP,"NaN")))</f>
        <v>0.88888888888888795</v>
      </c>
      <c r="FF11" s="8">
        <f>IF(_xlfn.XLOOKUP($A11,TabCAT!$A:$A,TabCAT!BQ:BQ,"NaN")="","NaN",(_xlfn.XLOOKUP($A11,TabCAT!$A:$A,TabCAT!BQ:BQ,"NaN")))</f>
        <v>8</v>
      </c>
      <c r="FG11" s="8">
        <f>IF(_xlfn.XLOOKUP($A11,TabCAT!$A:$A,TabCAT!BR:BR,"NaN")="","NaN",(_xlfn.XLOOKUP($A11,TabCAT!$A:$A,TabCAT!BR:BR,"NaN")))</f>
        <v>11</v>
      </c>
      <c r="FH11" s="8">
        <f>IF(_xlfn.XLOOKUP($A11,TabCAT!$A:$A,TabCAT!BS:BS,"NaN")="","NaN",(_xlfn.XLOOKUP($A11,TabCAT!$A:$A,TabCAT!BS:BS,"NaN")))</f>
        <v>0.91666666666666596</v>
      </c>
      <c r="FI11" s="8">
        <f>IF(_xlfn.XLOOKUP($A11,TabCAT!$A:$A,TabCAT!BT:BT,"NaN")="","NaN",(_xlfn.XLOOKUP($A11,TabCAT!$A:$A,TabCAT!BT:BT,"NaN")))</f>
        <v>10.5</v>
      </c>
      <c r="FJ11" s="8">
        <f>IF(_xlfn.XLOOKUP($A11,TabCAT!$A:$A,TabCAT!BU:BU,"NaN")="","NaN",(_xlfn.XLOOKUP($A11,TabCAT!$A:$A,TabCAT!BU:BU,"NaN")))</f>
        <v>12</v>
      </c>
      <c r="FK11" s="8">
        <f>IF(_xlfn.XLOOKUP($A11,TabCAT!$A:$A,TabCAT!BV:BV,"NaN")="","NaN",(_xlfn.XLOOKUP($A11,TabCAT!$A:$A,TabCAT!BV:BV,"NaN")))</f>
        <v>0.8</v>
      </c>
      <c r="FL11" s="8">
        <f>IF(_xlfn.XLOOKUP($A11,TabCAT!$A:$A,TabCAT!BW:BW,"NaN")="","NaN",(_xlfn.XLOOKUP($A11,TabCAT!$A:$A,TabCAT!BW:BW,"NaN")))</f>
        <v>8.5</v>
      </c>
      <c r="FM11" s="8">
        <f>IF(_xlfn.XLOOKUP($A11,TabCAT!$A:$A,TabCAT!BX:BX,"NaN")="","NaN",(_xlfn.XLOOKUP($A11,TabCAT!$A:$A,TabCAT!BX:BX,"NaN")))</f>
        <v>37</v>
      </c>
      <c r="FN11" s="8">
        <f>IF(_xlfn.XLOOKUP($A11,TabCAT!$A:$A,TabCAT!BY:BY,"NaN")="","NaN",(_xlfn.XLOOKUP($A11,TabCAT!$A:$A,TabCAT!BY:BY,"NaN")))</f>
        <v>0.88095238095238004</v>
      </c>
      <c r="FO11" s="8">
        <f>IF(_xlfn.XLOOKUP($A11,TabCAT!$A:$A,TabCAT!BZ:BZ,"NaN")="","NaN",(_xlfn.XLOOKUP($A11,TabCAT!$A:$A,TabCAT!BZ:BZ,"NaN")))</f>
        <v>31</v>
      </c>
      <c r="FP11" s="8" t="str">
        <f>IF(_xlfn.XLOOKUP($A11,TabCAT!$A:$A,TabCAT!CA:CA,"NaN")="","NaN",(_xlfn.XLOOKUP($A11,TabCAT!$A:$A,TabCAT!CA:CA,"NaN")))</f>
        <v>3.0.0</v>
      </c>
      <c r="FQ11" s="8" t="str">
        <f>IF(_xlfn.XLOOKUP($A11,TabCAT!$A:$A,TabCAT!CB:CB,"NaN")="","NaN",(_xlfn.XLOOKUP($A11,TabCAT!$A:$A,TabCAT!CB:CB,"NaN")))</f>
        <v>English</v>
      </c>
      <c r="FR11" s="8">
        <f>IF(_xlfn.XLOOKUP($A11,TabCAT!$A:$A,TabCAT!CC:CC,"NaN")="","NaN",(_xlfn.XLOOKUP($A11,TabCAT!$A:$A,TabCAT!CC:CC,"NaN")))</f>
        <v>226</v>
      </c>
      <c r="FS11" s="8" t="b">
        <f>IF(_xlfn.XLOOKUP($A11,TabCAT!$A:$A,TabCAT!CD:CD,"NaN")="","NaN",(_xlfn.XLOOKUP($A11,TabCAT!$A:$A,TabCAT!CD:CD,"NaN")))</f>
        <v>1</v>
      </c>
      <c r="FT11" s="8">
        <f>IF(_xlfn.XLOOKUP($A11,TabCAT!$A:$A,TabCAT!CE:CE,"NaN")="","NaN",(_xlfn.XLOOKUP($A11,TabCAT!$A:$A,TabCAT!CE:CE,"NaN")))</f>
        <v>7</v>
      </c>
      <c r="FU11" s="8">
        <f>IF(_xlfn.XLOOKUP($A11,TabCAT!$A:$A,TabCAT!CF:CF,"NaN")="","NaN",(_xlfn.XLOOKUP($A11,TabCAT!$A:$A,TabCAT!CF:CF,"NaN")))</f>
        <v>0</v>
      </c>
      <c r="FV11" s="8">
        <f>IF(_xlfn.XLOOKUP($A11,TabCAT!$A:$A,TabCAT!CG:CG,"NaN")="","NaN",(_xlfn.XLOOKUP($A11,TabCAT!$A:$A,TabCAT!CG:CG,"NaN")))</f>
        <v>7.49</v>
      </c>
      <c r="FW11" s="8">
        <f>IF(_xlfn.XLOOKUP($A11,TabCAT!$A:$A,TabCAT!CH:CH,"NaN")="","NaN",(_xlfn.XLOOKUP($A11,TabCAT!$A:$A,TabCAT!CH:CH,"NaN")))</f>
        <v>15</v>
      </c>
      <c r="FX11" s="8">
        <f>IF(_xlfn.XLOOKUP($A11,TabCAT!$A:$A,TabCAT!CI:CI,"NaN")="","NaN",(_xlfn.XLOOKUP($A11,TabCAT!$A:$A,TabCAT!CI:CI,"NaN")))</f>
        <v>0.60481099999999999</v>
      </c>
      <c r="FY11" s="8">
        <f>IF(_xlfn.XLOOKUP($A11,TabCAT!$A:$A,TabCAT!CJ:CJ,"NaN")="","NaN",(_xlfn.XLOOKUP($A11,TabCAT!$A:$A,TabCAT!CJ:CJ,"NaN")))</f>
        <v>15</v>
      </c>
      <c r="FZ11" s="8">
        <f>IF(_xlfn.XLOOKUP($A11,TabCAT!$A:$A,TabCAT!CK:CK,"NaN")="","NaN",(_xlfn.XLOOKUP($A11,TabCAT!$A:$A,TabCAT!CK:CK,"NaN")))</f>
        <v>0.62145300000000003</v>
      </c>
      <c r="GA11" s="8">
        <f>IF(_xlfn.XLOOKUP($A11,TabCAT!$A:$A,TabCAT!CL:CL,"NaN")="","NaN",(_xlfn.XLOOKUP($A11,TabCAT!$A:$A,TabCAT!CL:CL,"NaN")))</f>
        <v>28</v>
      </c>
      <c r="GB11" s="8">
        <f>IF(_xlfn.XLOOKUP($A11,TabCAT!$A:$A,TabCAT!CM:CM,"NaN")="","NaN",(_xlfn.XLOOKUP($A11,TabCAT!$A:$A,TabCAT!CM:CM,"NaN")))</f>
        <v>0.80039400000000005</v>
      </c>
      <c r="GC11" s="8">
        <f>IF(_xlfn.XLOOKUP($A11,TabCAT!$A:$A,TabCAT!CN:CN,"NaN")="","NaN",(_xlfn.XLOOKUP($A11,TabCAT!$A:$A,TabCAT!CN:CN,"NaN")))</f>
        <v>18</v>
      </c>
      <c r="GD11" s="8">
        <f>IF(_xlfn.XLOOKUP($A11,TabCAT!$A:$A,TabCAT!CO:CO,"NaN")="","NaN",(_xlfn.XLOOKUP($A11,TabCAT!$A:$A,TabCAT!CO:CO,"NaN")))</f>
        <v>0.81294599999999995</v>
      </c>
      <c r="GE11" s="8">
        <f>IF(_xlfn.XLOOKUP($A11,TabCAT!$A:$A,TabCAT!CP:CP,"NaN")="","NaN",(_xlfn.XLOOKUP($A11,TabCAT!$A:$A,TabCAT!CP:CP,"NaN")))</f>
        <v>0.22070633295431</v>
      </c>
      <c r="GF11" s="8">
        <f>IF(_xlfn.XLOOKUP($A11,TabCAT!$A:$A,TabCAT!CQ:CQ,"NaN")="","NaN",(_xlfn.XLOOKUP($A11,TabCAT!$A:$A,TabCAT!CQ:CQ,"NaN")))</f>
        <v>49</v>
      </c>
      <c r="GG11" s="8">
        <f>IF(_xlfn.XLOOKUP($A11,TabCAT!$A:$A,TabCAT!CR:CR,"NaN")="","NaN",(_xlfn.XLOOKUP($A11,TabCAT!$A:$A,TabCAT!CR:CR,"NaN")))</f>
        <v>0.69660900000000003</v>
      </c>
      <c r="GH11" s="8" t="str">
        <f>IF(_xlfn.XLOOKUP($A11,TabCAT!$A:$A,TabCAT!CS:CS,"NaN")="","NaN",(_xlfn.XLOOKUP($A11,TabCAT!$A:$A,TabCAT!CS:CS,"NaN")))</f>
        <v>NaN</v>
      </c>
    </row>
    <row r="12" spans="1:190" x14ac:dyDescent="0.2">
      <c r="A12">
        <v>10555</v>
      </c>
      <c r="B12">
        <f>_xlfn.XLOOKUP(bippity_poppity_boo!A12,rf1_data!A:A,rf1_data!B:B)</f>
        <v>141294</v>
      </c>
      <c r="C12" s="2" t="str">
        <f>(_xlfn.XLOOKUP($A12,trust!$A:$A,trust!B:B,"NaN"))</f>
        <v>NaN</v>
      </c>
      <c r="D12" s="2" t="str">
        <f>(_xlfn.XLOOKUP($A12,trust!$A:$A,trust!C:C,"NaN"))</f>
        <v>NaN</v>
      </c>
      <c r="E12" s="2" t="str">
        <f>(_xlfn.XLOOKUP($A12,trust!$A:$A,trust!D:D,"NaN"))</f>
        <v>NaN</v>
      </c>
      <c r="F12" s="2" t="str">
        <f>(_xlfn.XLOOKUP($A12,trust!$A:$A,trust!E:E,"NaN"))</f>
        <v>NaN</v>
      </c>
      <c r="G12" s="2" t="str">
        <f>(_xlfn.XLOOKUP($A12,trust!$A:$A,trust!F:F,"NaN"))</f>
        <v>NaN</v>
      </c>
      <c r="H12" s="2" t="str">
        <f>(_xlfn.XLOOKUP($A12,trust!$A:$A,trust!G:G,"NaN"))</f>
        <v>NaN</v>
      </c>
      <c r="I12" s="3">
        <f>IF(_xlfn.XLOOKUP($B12,island_data!$B:$B,island_data!C:C,"NaN")="","NaN",_xlfn.XLOOKUP($B12,island_data!$B:$B,island_data!C:C,"NaN"))</f>
        <v>45106</v>
      </c>
      <c r="J12" s="3">
        <f>IF(_xlfn.XLOOKUP($B12,island_data!$B:$B,island_data!D:D,"NaN")="","NaN",_xlfn.XLOOKUP($B12,island_data!$B:$B,island_data!D:D,"NaN"))</f>
        <v>34427</v>
      </c>
      <c r="K12" s="4">
        <f>IF(_xlfn.XLOOKUP($B12,island_data!$B:$B,island_data!E:E,"NaN")="","NaN",_xlfn.XLOOKUP($B12,island_data!$B:$B,island_data!E:E,"NaN"))</f>
        <v>29.24</v>
      </c>
      <c r="L12" s="5">
        <f>IF(_xlfn.XLOOKUP($B12,rf1_data!$B:$B,rf1_data!D:D,"NaN")="","NaN",(_xlfn.XLOOKUP($B12,rf1_data!$B:$B,rf1_data!D:D,"NaN")))</f>
        <v>28.86</v>
      </c>
      <c r="M12" s="5" t="str">
        <f>IF(_xlfn.XLOOKUP($B12,rf1_data!$B:$B,rf1_data!E:E,"NaN")="","NaN",(_xlfn.XLOOKUP($B12,rf1_data!$B:$B,rf1_data!E:E,"NaN")))</f>
        <v xml:space="preserve">White </v>
      </c>
      <c r="N12" s="5" t="str">
        <f>IF(_xlfn.XLOOKUP($B12,rf1_data!$B:$B,rf1_data!F:F,"NaN")="","NaN",(_xlfn.XLOOKUP($B12,rf1_data!$B:$B,rf1_data!F:F,"NaN")))</f>
        <v>Not Hispanic or Latino</v>
      </c>
      <c r="O12" s="5" t="str">
        <f>IF(_xlfn.XLOOKUP($B12,rf1_data!$B:$B,rf1_data!G:G,"NaN")="","NaN",(_xlfn.XLOOKUP($B12,rf1_data!$B:$B,rf1_data!G:G,"NaN")))</f>
        <v xml:space="preserve">Female </v>
      </c>
      <c r="P12" s="5">
        <f>IF(_xlfn.XLOOKUP($B12,rf1_data!$B:$B,rf1_data!H:H,"NaN")="","NaN",(_xlfn.XLOOKUP($B12,rf1_data!$B:$B,rf1_data!H:H,"NaN")))</f>
        <v>3.67</v>
      </c>
      <c r="Q12" s="5">
        <f>IF(_xlfn.XLOOKUP($B12,rf1_data!$B:$B,rf1_data!I:I,"NaN")="","NaN",(_xlfn.XLOOKUP($B12,rf1_data!$B:$B,rf1_data!I:I,"NaN")))</f>
        <v>3.67</v>
      </c>
      <c r="R12" s="5">
        <f>IF(_xlfn.XLOOKUP($B12,rf1_data!$B:$B,rf1_data!J:J,"NaN")="","NaN",(_xlfn.XLOOKUP($B12,rf1_data!$B:$B,rf1_data!J:J,"NaN")))</f>
        <v>5</v>
      </c>
      <c r="S12" s="5">
        <f>IF(_xlfn.XLOOKUP($B12,rf1_data!$B:$B,rf1_data!K:K,"NaN")="","NaN",(_xlfn.XLOOKUP($B12,rf1_data!$B:$B,rf1_data!K:K,"NaN")))</f>
        <v>18</v>
      </c>
      <c r="T12" s="5">
        <f>IF(_xlfn.XLOOKUP($B12,rf1_data!$B:$B,rf1_data!L:L,"NaN")="","NaN",(_xlfn.XLOOKUP($B12,rf1_data!$B:$B,rf1_data!L:L,"NaN")))</f>
        <v>0</v>
      </c>
      <c r="U12" s="5">
        <f>IF(_xlfn.XLOOKUP($B12,rf1_data!$B:$B,rf1_data!M:M,"NaN")="","NaN",(_xlfn.XLOOKUP($B12,rf1_data!$B:$B,rf1_data!M:M,"NaN")))</f>
        <v>3.83</v>
      </c>
      <c r="V12" s="5">
        <f>IF(_xlfn.XLOOKUP($B12,rf1_data!$B:$B,rf1_data!N:N,"NaN")="","NaN",(_xlfn.XLOOKUP($B12,rf1_data!$B:$B,rf1_data!N:N,"NaN")))</f>
        <v>2.67</v>
      </c>
      <c r="W12" s="5">
        <f>IF(_xlfn.XLOOKUP($B12,rf1_data!$B:$B,rf1_data!O:O,"NaN")="","NaN",(_xlfn.XLOOKUP($B12,rf1_data!$B:$B,rf1_data!O:O,"NaN")))</f>
        <v>4.5</v>
      </c>
      <c r="X12" s="5">
        <f>IF(_xlfn.XLOOKUP($B12,rf1_data!$B:$B,rf1_data!P:P,"NaN")="","NaN",(_xlfn.XLOOKUP($B12,rf1_data!$B:$B,rf1_data!P:P,"NaN")))</f>
        <v>4.5</v>
      </c>
      <c r="Y12" s="5">
        <f>IF(_xlfn.XLOOKUP($B12,rf1_data!$B:$B,rf1_data!Q:Q,"NaN")="","NaN",(_xlfn.XLOOKUP($B12,rf1_data!$B:$B,rf1_data!Q:Q,"NaN")))</f>
        <v>3.83</v>
      </c>
      <c r="Z12" s="5">
        <f>IF(_xlfn.XLOOKUP($B12,rf1_data!$B:$B,rf1_data!R:R,"NaN")="","NaN",(_xlfn.XLOOKUP($B12,rf1_data!$B:$B,rf1_data!R:R,"NaN")))</f>
        <v>71</v>
      </c>
      <c r="AA12" s="5">
        <f>IF(_xlfn.XLOOKUP($B12,rf1_data!$B:$B,rf1_data!S:S,"NaN")="","NaN",(_xlfn.XLOOKUP($B12,rf1_data!$B:$B,rf1_data!S:S,"NaN")))</f>
        <v>25</v>
      </c>
      <c r="AB12" s="5">
        <f>IF(_xlfn.XLOOKUP($B12,rf1_data!$B:$B,rf1_data!T:T,"NaN")="","NaN",(_xlfn.XLOOKUP($B12,rf1_data!$B:$B,rf1_data!T:T,"NaN")))</f>
        <v>25</v>
      </c>
      <c r="AC12" s="5">
        <f>IF(_xlfn.XLOOKUP($B12,rf1_data!$B:$B,rf1_data!U:U,"NaN")="","NaN",(_xlfn.XLOOKUP($B12,rf1_data!$B:$B,rf1_data!U:U,"NaN")))</f>
        <v>7</v>
      </c>
      <c r="AD12" s="5">
        <f>IF(_xlfn.XLOOKUP($B12,rf1_data!$B:$B,rf1_data!V:V,"NaN")="","NaN",(_xlfn.XLOOKUP($B12,rf1_data!$B:$B,rf1_data!V:V,"NaN")))</f>
        <v>14</v>
      </c>
      <c r="AE12" s="5">
        <f>IF(_xlfn.XLOOKUP($B12,rf1_data!$B:$B,rf1_data!W:W,"NaN")="","NaN",(_xlfn.XLOOKUP($B12,rf1_data!$B:$B,rf1_data!W:W,"NaN")))</f>
        <v>7</v>
      </c>
      <c r="AF12" s="5">
        <f>IF(_xlfn.XLOOKUP($B12,rf1_data!$B:$B,rf1_data!X:X,"NaN")="","NaN",(_xlfn.XLOOKUP($B12,rf1_data!$B:$B,rf1_data!X:X,"NaN")))</f>
        <v>9</v>
      </c>
      <c r="AG12" s="5">
        <f>IF(_xlfn.XLOOKUP($B12,rf1_data!$B:$B,rf1_data!Y:Y,"NaN")="","NaN",(_xlfn.XLOOKUP($B12,rf1_data!$B:$B,rf1_data!Y:Y,"NaN")))</f>
        <v>7</v>
      </c>
      <c r="AH12" s="5">
        <f>IF(_xlfn.XLOOKUP($B12,rf1_data!$B:$B,rf1_data!Z:Z,"NaN")="","NaN",(_xlfn.XLOOKUP($B12,rf1_data!$B:$B,rf1_data!Z:Z,"NaN")))</f>
        <v>8</v>
      </c>
      <c r="AI12" s="5">
        <f>IF(_xlfn.XLOOKUP($B12,rf1_data!$B:$B,rf1_data!AA:AA,"NaN")="","NaN",(_xlfn.XLOOKUP($B12,rf1_data!$B:$B,rf1_data!AA:AA,"NaN")))</f>
        <v>2</v>
      </c>
      <c r="AJ12" s="5">
        <f>IF(_xlfn.XLOOKUP($B12,rf1_data!$B:$B,rf1_data!AB:AB,"NaN")="","NaN",(_xlfn.XLOOKUP($B12,rf1_data!$B:$B,rf1_data!AB:AB,"NaN")))</f>
        <v>33</v>
      </c>
      <c r="AK12" s="5">
        <f>IF(_xlfn.XLOOKUP($B12,rf1_data!$B:$B,rf1_data!AC:AC,"NaN")="","NaN",(_xlfn.XLOOKUP($B12,rf1_data!$B:$B,rf1_data!AC:AC,"NaN")))</f>
        <v>35</v>
      </c>
      <c r="AL12" s="5">
        <f>IF(_xlfn.XLOOKUP($B12,rf1_data!$B:$B,rf1_data!AD:AD,"NaN")="","NaN",(_xlfn.XLOOKUP($B12,rf1_data!$B:$B,rf1_data!AD:AD,"NaN")))</f>
        <v>17</v>
      </c>
      <c r="AM12" s="5">
        <f>IF(_xlfn.XLOOKUP($B12,rf1_data!$B:$B,rf1_data!AE:AE,"NaN")="","NaN",(_xlfn.XLOOKUP($B12,rf1_data!$B:$B,rf1_data!AE:AE,"NaN")))</f>
        <v>0</v>
      </c>
      <c r="AN12" s="5">
        <f>IF(_xlfn.XLOOKUP($B12,rf1_data!$B:$B,rf1_data!AF:AF,"NaN")="","NaN",(_xlfn.XLOOKUP($B12,rf1_data!$B:$B,rf1_data!AF:AF,"NaN")))</f>
        <v>0</v>
      </c>
      <c r="AO12" s="5" t="str">
        <f>IF(_xlfn.XLOOKUP($B12,rf1_data!$B:$B,rf1_data!AG:AG,"NaN")="","NaN",(_xlfn.XLOOKUP($B12,rf1_data!$B:$B,rf1_data!AG:AG,"NaN")))</f>
        <v>NaN</v>
      </c>
      <c r="AP12" s="5" t="str">
        <f>IF(_xlfn.XLOOKUP($B12,rf1_data!$B:$B,rf1_data!AH:AH,"NaN")="","NaN",(_xlfn.XLOOKUP($B12,rf1_data!$B:$B,rf1_data!AH:AH,"NaN")))</f>
        <v>NaN</v>
      </c>
      <c r="AQ12" s="5" t="str">
        <f>IF(_xlfn.XLOOKUP($B12,rf1_data!$B:$B,rf1_data!AI:AI,"NaN")="","NaN",(_xlfn.XLOOKUP($B12,rf1_data!$B:$B,rf1_data!AI:AI,"NaN")))</f>
        <v>NaN</v>
      </c>
      <c r="AR12" s="5" t="str">
        <f>IF(_xlfn.XLOOKUP($B12,rf1_data!$B:$B,rf1_data!AJ:AJ,"NaN")="","NaN",(_xlfn.XLOOKUP($B12,rf1_data!$B:$B,rf1_data!AJ:AJ,"NaN")))</f>
        <v>NaN</v>
      </c>
      <c r="AS12" s="5">
        <f>IF(_xlfn.XLOOKUP($B12,rf1_data!$B:$B,rf1_data!AK:AK,"NaN")="","NaN",(_xlfn.XLOOKUP($B12,rf1_data!$B:$B,rf1_data!AK:AK,"NaN")))</f>
        <v>3.6</v>
      </c>
      <c r="AT12" s="5">
        <f>IF(_xlfn.XLOOKUP($B12,rf1_data!$B:$B,rf1_data!AL:AL,"NaN")="","NaN",(_xlfn.XLOOKUP($B12,rf1_data!$B:$B,rf1_data!AL:AL,"NaN")))</f>
        <v>17</v>
      </c>
      <c r="AU12" s="5">
        <f>IF(_xlfn.XLOOKUP($B12,rf1_data!$B:$B,rf1_data!AM:AM,"NaN")="","NaN",(_xlfn.XLOOKUP($B12,rf1_data!$B:$B,rf1_data!AM:AM,"NaN")))</f>
        <v>3.25</v>
      </c>
      <c r="AV12" s="5">
        <f>IF(_xlfn.XLOOKUP($B12,rf1_data!$B:$B,rf1_data!AN:AN,"NaN")="","NaN",(_xlfn.XLOOKUP($B12,rf1_data!$B:$B,rf1_data!AN:AN,"NaN")))</f>
        <v>11</v>
      </c>
      <c r="AW12" s="5" t="str">
        <f>IF(_xlfn.XLOOKUP($B12,rf1_data!$B:$B,rf1_data!AO:AO,"NaN")="","NaN",(_xlfn.XLOOKUP($B12,rf1_data!$B:$B,rf1_data!AO:AO,"NaN")))</f>
        <v>NaN</v>
      </c>
      <c r="AX12" s="5">
        <f>IF(_xlfn.XLOOKUP($B12,rf1_data!$B:$B,rf1_data!AP:AP,"NaN")="","NaN",(_xlfn.XLOOKUP($B12,rf1_data!$B:$B,rf1_data!AP:AP,"NaN")))</f>
        <v>3.2</v>
      </c>
      <c r="AY12" s="5">
        <f>IF(_xlfn.XLOOKUP($B12,rf1_data!$B:$B,rf1_data!AQ:AQ,"NaN")="","NaN",(_xlfn.XLOOKUP($B12,rf1_data!$B:$B,rf1_data!AQ:AQ,"NaN")))</f>
        <v>49.1</v>
      </c>
      <c r="AZ12" s="5">
        <f>IF(_xlfn.XLOOKUP($B12,rf1_data!$B:$B,rf1_data!AR:AR,"NaN")="","NaN",(_xlfn.XLOOKUP($B12,rf1_data!$B:$B,rf1_data!AR:AR,"NaN")))</f>
        <v>41</v>
      </c>
      <c r="BA12" s="5">
        <f>IF(_xlfn.XLOOKUP($B12,rf1_data!$B:$B,rf1_data!AS:AS,"NaN")="","NaN",(_xlfn.XLOOKUP($B12,rf1_data!$B:$B,rf1_data!AS:AS,"NaN")))</f>
        <v>1.5</v>
      </c>
      <c r="BB12" s="5">
        <f>IF(_xlfn.XLOOKUP($B12,rf1_data!$B:$B,rf1_data!AT:AT,"NaN")="","NaN",(_xlfn.XLOOKUP($B12,rf1_data!$B:$B,rf1_data!AT:AT,"NaN")))</f>
        <v>1</v>
      </c>
      <c r="BC12" s="5">
        <f>IF(_xlfn.XLOOKUP($B12,rf1_data!$B:$B,rf1_data!AU:AU,"NaN")="","NaN",(_xlfn.XLOOKUP($B12,rf1_data!$B:$B,rf1_data!AU:AU,"NaN")))</f>
        <v>0</v>
      </c>
      <c r="BD12" s="5">
        <f>IF(_xlfn.XLOOKUP($B12,rf1_data!$B:$B,rf1_data!AV:AV,"NaN")="","NaN",(_xlfn.XLOOKUP($B12,rf1_data!$B:$B,rf1_data!AV:AV,"NaN")))</f>
        <v>0.75</v>
      </c>
      <c r="BE12" s="5">
        <f>IF(_xlfn.XLOOKUP($B12,rf1_data!$B:$B,rf1_data!AW:AW,"NaN")="","NaN",(_xlfn.XLOOKUP($B12,rf1_data!$B:$B,rf1_data!AW:AW,"NaN")))</f>
        <v>0.75</v>
      </c>
      <c r="BF12" s="5">
        <f>IF(_xlfn.XLOOKUP($B12,rf1_data!$B:$B,rf1_data!AX:AX,"NaN")="","NaN",(_xlfn.XLOOKUP($B12,rf1_data!$B:$B,rf1_data!AX:AX,"NaN")))</f>
        <v>0.75</v>
      </c>
      <c r="BG12" s="5">
        <f>IF(_xlfn.XLOOKUP($B12,rf1_data!$B:$B,rf1_data!AY:AY,"NaN")="","NaN",(_xlfn.XLOOKUP($B12,rf1_data!$B:$B,rf1_data!AY:AY,"NaN")))</f>
        <v>1.25</v>
      </c>
      <c r="BH12" s="5">
        <f>IF(_xlfn.XLOOKUP($B12,rf1_data!$B:$B,rf1_data!AZ:AZ,"NaN")="","NaN",(_xlfn.XLOOKUP($B12,rf1_data!$B:$B,rf1_data!AZ:AZ,"NaN")))</f>
        <v>0.85714285714285698</v>
      </c>
      <c r="BI12" s="5">
        <f>IF(_xlfn.XLOOKUP($B12,rf1_data!$B:$B,rf1_data!BA:BA,"NaN")="","NaN",(_xlfn.XLOOKUP($B12,rf1_data!$B:$B,rf1_data!BA:BA,"NaN")))</f>
        <v>100</v>
      </c>
      <c r="BJ12" s="5">
        <f>IF(_xlfn.XLOOKUP($B12,rf1_data!$B:$B,rf1_data!BB:BB,"NaN")="","NaN",(_xlfn.XLOOKUP($B12,rf1_data!$B:$B,rf1_data!BB:BB,"NaN")))</f>
        <v>80</v>
      </c>
      <c r="BK12" s="5" t="str">
        <f>IF(_xlfn.XLOOKUP($B12,rf1_data!$B:$B,rf1_data!BC:BC,"NaN")="","NaN",(_xlfn.XLOOKUP($B12,rf1_data!$B:$B,rf1_data!BC:BC,"NaN")))</f>
        <v>NaN</v>
      </c>
      <c r="BL12" s="5" t="str">
        <f>IF(_xlfn.XLOOKUP($B12,rf1_data!$B:$B,rf1_data!BD:BD,"NaN")="","NaN",(_xlfn.XLOOKUP($B12,rf1_data!$B:$B,rf1_data!BD:BD,"NaN")))</f>
        <v>NaN</v>
      </c>
      <c r="BM12" s="5" t="str">
        <f>IF(_xlfn.XLOOKUP($B12,rf1_data!$B:$B,rf1_data!BE:BE,"NaN")="","NaN",(_xlfn.XLOOKUP($B12,rf1_data!$B:$B,rf1_data!BE:BE,"NaN")))</f>
        <v>NaN</v>
      </c>
      <c r="BN12" s="5" t="str">
        <f>IF(_xlfn.XLOOKUP($B12,rf1_data!$B:$B,rf1_data!BF:BF,"NaN")="","NaN",(_xlfn.XLOOKUP($B12,rf1_data!$B:$B,rf1_data!BF:BF,"NaN")))</f>
        <v>NaN</v>
      </c>
      <c r="BO12" s="5" t="str">
        <f>IF(_xlfn.XLOOKUP($B12,rf1_data!$B:$B,rf1_data!BG:BG,"NaN")="","NaN",(_xlfn.XLOOKUP($B12,rf1_data!$B:$B,rf1_data!BG:BG,"NaN")))</f>
        <v>NaN</v>
      </c>
      <c r="BP12" s="5">
        <f>IF(_xlfn.XLOOKUP($B12,rf1_data!$B:$B,rf1_data!BH:BH,"NaN")="","NaN",(_xlfn.XLOOKUP($B12,rf1_data!$B:$B,rf1_data!BH:BH,"NaN")))</f>
        <v>32</v>
      </c>
      <c r="BQ12" s="5">
        <f>IF(_xlfn.XLOOKUP($B12,rf1_data!$B:$B,rf1_data!BI:BI,"NaN")="","NaN",(_xlfn.XLOOKUP($B12,rf1_data!$B:$B,rf1_data!BI:BI,"NaN")))</f>
        <v>27</v>
      </c>
      <c r="BR12" s="5">
        <f>IF(_xlfn.XLOOKUP($B12,rf1_data!$B:$B,rf1_data!BJ:BJ,"NaN")="","NaN",(_xlfn.XLOOKUP($B12,rf1_data!$B:$B,rf1_data!BJ:BJ,"NaN")))</f>
        <v>8991</v>
      </c>
      <c r="BS12" s="5" t="str">
        <f>IF(_xlfn.XLOOKUP($B12,rf1_data!$B:$B,rf1_data!BK:BK,"NaN")="","NaN",(_xlfn.XLOOKUP($B12,rf1_data!$B:$B,rf1_data!BK:BK,"NaN")))</f>
        <v>NaN</v>
      </c>
      <c r="BT12" s="5" t="str">
        <f>IF(_xlfn.XLOOKUP($B12,rf1_data!$B:$B,rf1_data!BL:BL,"NaN")="","NaN",(_xlfn.XLOOKUP($B12,rf1_data!$B:$B,rf1_data!BL:BL,"NaN")))</f>
        <v>NaN</v>
      </c>
      <c r="BU12" s="5" t="str">
        <f>IF(_xlfn.XLOOKUP($B12,rf1_data!$B:$B,rf1_data!BM:BM,"NaN")="","NaN",(_xlfn.XLOOKUP($B12,rf1_data!$B:$B,rf1_data!BM:BM,"NaN")))</f>
        <v>NaN</v>
      </c>
      <c r="BV12" s="5" t="str">
        <f>IF(_xlfn.XLOOKUP($B12,rf1_data!$B:$B,rf1_data!BN:BN,"NaN")="","NaN",(_xlfn.XLOOKUP($B12,rf1_data!$B:$B,rf1_data!BN:BN,"NaN")))</f>
        <v>NaN</v>
      </c>
      <c r="BW12" s="5">
        <f>IF(_xlfn.XLOOKUP($B12,rf1_data!$B:$B,rf1_data!BO:BO,"NaN")="","NaN",(_xlfn.XLOOKUP($B12,rf1_data!$B:$B,rf1_data!BO:BO,"NaN")))</f>
        <v>3.8</v>
      </c>
      <c r="BX12" s="5">
        <f>IF(_xlfn.XLOOKUP($B12,rf1_data!$B:$B,rf1_data!BP:BP,"NaN")="","NaN",(_xlfn.XLOOKUP($B12,rf1_data!$B:$B,rf1_data!BP:BP,"NaN")))</f>
        <v>4.2</v>
      </c>
      <c r="BY12" s="5">
        <f>IF(_xlfn.XLOOKUP($B12,rf1_data!$B:$B,rf1_data!BQ:BQ,"NaN")="","NaN",(_xlfn.XLOOKUP($B12,rf1_data!$B:$B,rf1_data!BQ:BQ,"NaN")))</f>
        <v>3.6</v>
      </c>
      <c r="BZ12" s="5">
        <f>IF(_xlfn.XLOOKUP($B12,rf1_data!$B:$B,rf1_data!BR:BR,"NaN")="","NaN",(_xlfn.XLOOKUP($B12,rf1_data!$B:$B,rf1_data!BR:BR,"NaN")))</f>
        <v>3.87</v>
      </c>
      <c r="CA12" s="5">
        <f>IF(_xlfn.XLOOKUP($B12,rf1_data!$B:$B,rf1_data!BS:BS,"NaN")="","NaN",(_xlfn.XLOOKUP($B12,rf1_data!$B:$B,rf1_data!BS:BS,"NaN")))</f>
        <v>5</v>
      </c>
      <c r="CB12" s="5">
        <f>IF(_xlfn.XLOOKUP($B12,rf1_data!$B:$B,rf1_data!BT:BT,"NaN")="","NaN",(_xlfn.XLOOKUP($B12,rf1_data!$B:$B,rf1_data!BT:BT,"NaN")))</f>
        <v>5.6666666666666599</v>
      </c>
      <c r="CC12" s="5">
        <f>IF(_xlfn.XLOOKUP($B12,rf1_data!$B:$B,rf1_data!BU:BU,"NaN")="","NaN",(_xlfn.XLOOKUP($B12,rf1_data!$B:$B,rf1_data!BU:BU,"NaN")))</f>
        <v>6</v>
      </c>
      <c r="CD12" s="5">
        <f>IF(_xlfn.XLOOKUP($B12,rf1_data!$B:$B,rf1_data!BV:BV,"NaN")="","NaN",(_xlfn.XLOOKUP($B12,rf1_data!$B:$B,rf1_data!BV:BV,"NaN")))</f>
        <v>5.1666666666666599</v>
      </c>
      <c r="CE12" s="5">
        <f>IF(_xlfn.XLOOKUP($B12,rf1_data!$B:$B,rf1_data!BW:BW,"NaN")="","NaN",(_xlfn.XLOOKUP($B12,rf1_data!$B:$B,rf1_data!BW:BW,"NaN")))</f>
        <v>2.35</v>
      </c>
      <c r="CF12" s="5">
        <f>IF(_xlfn.XLOOKUP($B12,rf1_data!$B:$B,rf1_data!BX:BX,"NaN")="","NaN",(_xlfn.XLOOKUP($B12,rf1_data!$B:$B,rf1_data!BX:BX,"NaN")))</f>
        <v>0</v>
      </c>
      <c r="CG12" s="5">
        <f>IF(_xlfn.XLOOKUP($B12,rf1_data!$B:$B,rf1_data!BY:BY,"NaN")="","NaN",(_xlfn.XLOOKUP($B12,rf1_data!$B:$B,rf1_data!BY:BY,"NaN")))</f>
        <v>0</v>
      </c>
      <c r="CH12" s="5">
        <f>IF(_xlfn.XLOOKUP($B12,rf1_data!$B:$B,rf1_data!BZ:BZ,"NaN")="","NaN",(_xlfn.XLOOKUP($B12,rf1_data!$B:$B,rf1_data!BZ:BZ,"NaN")))</f>
        <v>33</v>
      </c>
      <c r="CI12" s="5">
        <f>IF(_xlfn.XLOOKUP($B12,rf1_data!$B:$B,rf1_data!CA:CA,"NaN")="","NaN",(_xlfn.XLOOKUP($B12,rf1_data!$B:$B,rf1_data!CA:CA,"NaN")))</f>
        <v>19</v>
      </c>
      <c r="CJ12" s="5">
        <f>IF(_xlfn.XLOOKUP($B12,rf1_data!$B:$B,rf1_data!CB:CB,"NaN")="","NaN",(_xlfn.XLOOKUP($B12,rf1_data!$B:$B,rf1_data!CB:CB,"NaN")))</f>
        <v>12</v>
      </c>
      <c r="CK12" s="5">
        <f>IF(_xlfn.XLOOKUP($B12,rf1_data!$B:$B,rf1_data!CC:CC,"NaN")="","NaN",(_xlfn.XLOOKUP($B12,rf1_data!$B:$B,rf1_data!CC:CC,"NaN")))</f>
        <v>1</v>
      </c>
      <c r="CL12" s="5">
        <f>IF(_xlfn.XLOOKUP($B12,rf1_data!$B:$B,rf1_data!CD:CD,"NaN")=0,"NaN",(_xlfn.XLOOKUP($B12,rf1_data!$B:$B,rf1_data!CD:CD,"NaN")))</f>
        <v>45</v>
      </c>
      <c r="CM12" s="5">
        <f>IF(_xlfn.XLOOKUP($B12,rf1_data!$B:$B,rf1_data!CE:CE,"NaN")="","NaN",(_xlfn.XLOOKUP($B12,rf1_data!$B:$B,rf1_data!CE:CE,"NaN")))</f>
        <v>30</v>
      </c>
      <c r="CN12" s="5">
        <f>IF(_xlfn.XLOOKUP($B12,rf1_data!$B:$B,rf1_data!CF:CF,"NaN")="","NaN",(_xlfn.XLOOKUP($B12,rf1_data!$B:$B,rf1_data!CF:CF,"NaN")))</f>
        <v>47</v>
      </c>
      <c r="CO12" s="5">
        <f>IF(_xlfn.XLOOKUP($B12,rf1_data!$B:$B,rf1_data!CG:CG,"NaN")="","NaN",(_xlfn.XLOOKUP($B12,rf1_data!$B:$B,rf1_data!CG:CG,"NaN")))</f>
        <v>26</v>
      </c>
      <c r="CP12" s="5" t="str">
        <f>IF(_xlfn.XLOOKUP($B12,rf1_data!$B:$B,rf1_data!CH:CH,"NaN")=0,"NaN",(_xlfn.XLOOKUP($B12,rf1_data!$B:$B,rf1_data!CH:CH,"NaN")))</f>
        <v>NaN</v>
      </c>
      <c r="CQ12" s="5">
        <f>IF(_xlfn.XLOOKUP($B12,rf1_data!$B:$B,rf1_data!CI:CI,"NaN")="","NaN",(_xlfn.XLOOKUP($B12,rf1_data!$B:$B,rf1_data!CI:CI,"NaN")))</f>
        <v>48</v>
      </c>
      <c r="CR12" s="5">
        <f>IF(_xlfn.XLOOKUP($B12,rf1_data!$B:$B,rf1_data!CJ:CJ,"NaN")="","NaN",(_xlfn.XLOOKUP($B12,rf1_data!$B:$B,rf1_data!CJ:CJ,"NaN")))</f>
        <v>59</v>
      </c>
      <c r="CS12" s="5">
        <f>IF(_xlfn.XLOOKUP($B12,rf1_data!$B:$B,rf1_data!CK:CK,"NaN")="","NaN",(_xlfn.XLOOKUP($B12,rf1_data!$B:$B,rf1_data!CK:CK,"NaN")))</f>
        <v>35</v>
      </c>
      <c r="CT12" s="5">
        <f>IF(_xlfn.XLOOKUP($B12,rf1_data!$B:$B,rf1_data!CL:CL,"NaN")="","NaN",(_xlfn.XLOOKUP($B12,rf1_data!$B:$B,rf1_data!CL:CL,"NaN")))</f>
        <v>60</v>
      </c>
      <c r="CU12" s="5">
        <f>IF(_xlfn.XLOOKUP($B12,rf1_data!$B:$B,rf1_data!CM:CM,"NaN")="","NaN",(_xlfn.XLOOKUP($B12,rf1_data!$B:$B,rf1_data!CM:CM,"NaN")))</f>
        <v>45</v>
      </c>
      <c r="CV12" s="5">
        <f>IF(_xlfn.XLOOKUP($B12,rf1_data!$B:$B,rf1_data!CN:CN,"NaN")="","NaN",(_xlfn.XLOOKUP($B12,rf1_data!$B:$B,rf1_data!CN:CN,"NaN")))</f>
        <v>60</v>
      </c>
      <c r="CW12" s="5" t="str">
        <f>IF(_xlfn.XLOOKUP($B12,rf1_data!$B:$B,rf1_data!CO:CO,"NaN")="","NaN",(_xlfn.XLOOKUP($B12,rf1_data!$B:$B,rf1_data!CO:CO,"NaN")))</f>
        <v>NaN</v>
      </c>
      <c r="CX12" s="5" t="str">
        <f>IF(_xlfn.XLOOKUP($B12,rf1_data!$B:$B,rf1_data!CP:CP,"NaN")="","NaN",(_xlfn.XLOOKUP($B12,rf1_data!$B:$B,rf1_data!CP:CP,"NaN")))</f>
        <v>NaN</v>
      </c>
      <c r="CY12" s="5">
        <f>IF(_xlfn.XLOOKUP($B12,rf1_data!$B:$B,rf1_data!CQ:CQ,"NaN")="","NaN",(_xlfn.XLOOKUP($B12,rf1_data!$B:$B,rf1_data!CQ:CQ,"NaN")))</f>
        <v>5</v>
      </c>
      <c r="CZ12" s="5">
        <f>IF(_xlfn.XLOOKUP($B12,rf1_data!$B:$B,rf1_data!CR:CR,"NaN")="","NaN",(_xlfn.XLOOKUP($B12,rf1_data!$B:$B,rf1_data!CR:CR,"NaN")))</f>
        <v>1</v>
      </c>
      <c r="DA12" s="5">
        <f>IF(_xlfn.XLOOKUP($B12,rf1_data!$B:$B,rf1_data!CS:CS,"NaN")="","NaN",(_xlfn.XLOOKUP($B12,rf1_data!$B:$B,rf1_data!CS:CS,"NaN")))</f>
        <v>1</v>
      </c>
      <c r="DB12" s="4">
        <f>IF(_xlfn.XLOOKUP($B12,island_data!$B:$B,island_data!H:H,"NaN")="","NaN",_xlfn.XLOOKUP($B12,island_data!$B:$B,island_data!H:H,"NaN"))</f>
        <v>3</v>
      </c>
      <c r="DC12" s="4">
        <f>IF(_xlfn.XLOOKUP($B12,island_data!$B:$B,island_data!I:I,"NaN")="","NaN",_xlfn.XLOOKUP($B12,island_data!$B:$B,island_data!I:I,"NaN"))</f>
        <v>8</v>
      </c>
      <c r="DD12" s="4">
        <f>IF(_xlfn.XLOOKUP($B12,island_data!$B:$B,island_data!J:J,"NaN")="","NaN",_xlfn.XLOOKUP($B12,island_data!$B:$B,island_data!J:J,"NaN"))</f>
        <v>5</v>
      </c>
      <c r="DE12" s="4" t="str">
        <f>IF(_xlfn.XLOOKUP($B12,island_data!$B:$B,island_data!K:K,"NaN")="","NaN",_xlfn.XLOOKUP($B12,island_data!$B:$B,island_data!K:K,"NaN"))</f>
        <v>NaN</v>
      </c>
      <c r="DF12" s="4">
        <f>IF(_xlfn.XLOOKUP($B12,island_data!$B:$B,island_data!L:L,"NaN")="","NaN",_xlfn.XLOOKUP($B12,island_data!$B:$B,island_data!L:L,"NaN"))</f>
        <v>0</v>
      </c>
      <c r="DG12" s="4">
        <f>IF(_xlfn.XLOOKUP($B12,island_data!$B:$B,island_data!M:M,"NaN")="","NaN",_xlfn.XLOOKUP($B12,island_data!$B:$B,island_data!M:M,"NaN"))</f>
        <v>3.1666666666666998</v>
      </c>
      <c r="DH12" s="4">
        <f>IF(_xlfn.XLOOKUP($B12,island_data!$B:$B,island_data!N:N,"NaN")="","NaN",_xlfn.XLOOKUP($B12,island_data!$B:$B,island_data!N:N,"NaN"))</f>
        <v>7</v>
      </c>
      <c r="DI12" s="4" t="str">
        <f>IF(_xlfn.XLOOKUP($B12,island_data!$B:$B,island_data!O:O,"NaN")=999,"NaN",_xlfn.XLOOKUP($B12,island_data!$B:$B,island_data!O:O,"NaN"))</f>
        <v>NaN</v>
      </c>
      <c r="DJ12" s="4">
        <f>IF(_xlfn.XLOOKUP($B12,island_data!$B:$B,island_data!P:P,"NaN")="","NaN",_xlfn.XLOOKUP($B12,island_data!$B:$B,island_data!P:P,"NaN"))</f>
        <v>6</v>
      </c>
      <c r="DK12" s="4">
        <f>IF(_xlfn.XLOOKUP($B12,island_data!$B:$B,island_data!Q:Q,"NaN")="","NaN",_xlfn.XLOOKUP($B12,island_data!$B:$B,island_data!Q:Q,"NaN"))</f>
        <v>11</v>
      </c>
      <c r="DL12" s="4" t="str">
        <f>IF(_xlfn.XLOOKUP($B12,island_data!$B:$B,island_data!R:R,"NaN")=999,"NaN",_xlfn.XLOOKUP($B12,island_data!$B:$B,island_data!R:R,"NaN"))</f>
        <v>NaN</v>
      </c>
      <c r="DM12" s="4">
        <f>IF(_xlfn.XLOOKUP($B12,island_data!$B:$B,island_data!S:S,"NaN")="","NaN",_xlfn.XLOOKUP($B12,island_data!$B:$B,island_data!S:S,"NaN"))</f>
        <v>11</v>
      </c>
      <c r="DN12" s="4">
        <f>IF(_xlfn.XLOOKUP($B12,island_data!$B:$B,island_data!T:T,"NaN")="","NaN",_xlfn.XLOOKUP($B12,island_data!$B:$B,island_data!T:T,"NaN"))</f>
        <v>4.5</v>
      </c>
      <c r="DO12" s="4">
        <f>IF(_xlfn.XLOOKUP($B12,island_data!$B:$B,island_data!U:U,"NaN")="","NaN",_xlfn.XLOOKUP($B12,island_data!$B:$B,island_data!U:U,"NaN"))</f>
        <v>4</v>
      </c>
      <c r="DP12" s="4">
        <f>IF(_xlfn.XLOOKUP($B12,island_data!$B:$B,island_data!V:V,"NaN")="","NaN",_xlfn.XLOOKUP($B12,island_data!$B:$B,island_data!V:V,"NaN"))</f>
        <v>2</v>
      </c>
      <c r="DQ12" s="4">
        <f>IF(_xlfn.XLOOKUP($B12,island_data!$B:$B,island_data!W:W,"NaN")="","NaN",_xlfn.XLOOKUP($B12,island_data!$B:$B,island_data!W:W,"NaN"))</f>
        <v>5</v>
      </c>
      <c r="DR12" s="4">
        <f>IF(_xlfn.XLOOKUP($B12,island_data!$B:$B,island_data!X:X,"NaN")="","NaN",_xlfn.XLOOKUP($B12,island_data!$B:$B,island_data!X:X,"NaN"))</f>
        <v>4</v>
      </c>
      <c r="DS12" s="4" t="str">
        <f>IF(_xlfn.XLOOKUP($B12,island_data!$B:$B,island_data!Y:Y,"NaN")="","NaN",_xlfn.XLOOKUP($B12,island_data!$B:$B,island_data!Y:Y,"NaN"))</f>
        <v>NaN</v>
      </c>
      <c r="DT12" s="4" t="str">
        <f>IF(_xlfn.XLOOKUP($B12,island_data!$B:$B,island_data!Z:Z,"NaN")="","NaN",_xlfn.XLOOKUP($B12,island_data!$B:$B,island_data!Z:Z,"NaN"))</f>
        <v>NaN</v>
      </c>
      <c r="DU12" s="4" t="str">
        <f>IF(_xlfn.XLOOKUP($B12,island_data!$B:$B,island_data!AA:AA,"NaN")="","NaN",_xlfn.XLOOKUP($B12,island_data!$B:$B,island_data!AA:AA,"NaN"))</f>
        <v>NaN</v>
      </c>
      <c r="DV12" s="4">
        <f>IF(_xlfn.XLOOKUP($B12,island_data!$B:$B,island_data!AB:AB,"NaN")="","NaN",_xlfn.XLOOKUP($B12,island_data!$B:$B,island_data!AB:AB,"NaN"))</f>
        <v>1</v>
      </c>
      <c r="DW12" s="4">
        <f>IF(_xlfn.XLOOKUP($B12,island_data!$B:$B,island_data!AC:AC,"NaN")="","NaN",_xlfn.XLOOKUP($B12,island_data!$B:$B,island_data!AC:AC,"NaN"))</f>
        <v>18077</v>
      </c>
      <c r="DX12" s="4">
        <f>IF(_xlfn.XLOOKUP($B12,island_data!$B:$B,island_data!AD:AD,"NaN")="","NaN",_xlfn.XLOOKUP($B12,island_data!$B:$B,island_data!AD:AD,"NaN"))</f>
        <v>5</v>
      </c>
      <c r="DY12" s="4">
        <f>IF(_xlfn.XLOOKUP($B12,island_data!$B:$B,island_data!AE:AE,"NaN")="","NaN",_xlfn.XLOOKUP($B12,island_data!$B:$B,island_data!AE:AE,"NaN"))</f>
        <v>1</v>
      </c>
      <c r="DZ12" s="4" t="str">
        <f>IF(_xlfn.XLOOKUP($B12,island_data!$B:$B,island_data!AF:AF,"NaN")="","NaN",_xlfn.XLOOKUP($B12,island_data!$B:$B,island_data!AF:AF,"NaN"))</f>
        <v>NaN</v>
      </c>
      <c r="EA12" s="4" t="str">
        <f>IF(_xlfn.XLOOKUP($B12,island_data!$B:$B,island_data!AG:AG,"NaN")="","NaN",_xlfn.XLOOKUP($B12,island_data!$B:$B,island_data!AG:AG,"NaN"))</f>
        <v>NaN</v>
      </c>
      <c r="EB12" s="4" t="str">
        <f>IF(_xlfn.XLOOKUP($B12,island_data!$B:$B,island_data!AH:AH,"NaN")="","NaN",_xlfn.XLOOKUP($B12,island_data!$B:$B,island_data!AH:AH,"NaN"))</f>
        <v>NaN</v>
      </c>
      <c r="EC12" s="4" t="str">
        <f>IF(_xlfn.XLOOKUP($B12,island_data!$B:$B,island_data!AI:AI,"NaN")="","NaN",_xlfn.XLOOKUP($B12,island_data!$B:$B,island_data!AI:AI,"NaN"))</f>
        <v>NaN</v>
      </c>
      <c r="ED12" s="4" t="str">
        <f>IF(_xlfn.XLOOKUP($B12,island_data!$B:$B,island_data!AJ:AJ,"NaN")="","NaN",_xlfn.XLOOKUP($B12,island_data!$B:$B,island_data!AJ:AJ,"NaN"))</f>
        <v>NaN</v>
      </c>
      <c r="EE12" s="4" t="str">
        <f>IF(_xlfn.XLOOKUP($B12,island_data!$B:$B,island_data!AK:AK,"NaN")="","NaN",_xlfn.XLOOKUP($B12,island_data!$B:$B,island_data!AK:AK,"NaN"))</f>
        <v>NaN</v>
      </c>
      <c r="EF12" s="4" t="str">
        <f>IF(_xlfn.XLOOKUP($B12,island_data!$B:$B,island_data!AL:AL,"NaN")="","NaN",_xlfn.XLOOKUP($B12,island_data!$B:$B,island_data!AL:AL,"NaN"))</f>
        <v>NaN</v>
      </c>
      <c r="EG12" s="4" t="str">
        <f>IF(_xlfn.XLOOKUP($B12,island_data!$B:$B,island_data!AM:AM,"NaN")="","NaN",_xlfn.XLOOKUP($B12,island_data!$B:$B,island_data!AM:AM,"NaN"))</f>
        <v>NaN</v>
      </c>
      <c r="EH12" s="4" t="str">
        <f>IF(_xlfn.XLOOKUP($B12,island_data!$B:$B,island_data!AN:AN,"NaN")="","NaN",_xlfn.XLOOKUP($B12,island_data!$B:$B,island_data!AN:AN,"NaN"))</f>
        <v>NaN</v>
      </c>
      <c r="EI12" s="4" t="str">
        <f>IF(_xlfn.XLOOKUP($B12,island_data!$B:$B,island_data!AO:AO,"NaN")="","NaN",_xlfn.XLOOKUP($B12,island_data!$B:$B,island_data!AO:AO,"NaN"))</f>
        <v>NaN</v>
      </c>
      <c r="EJ12" s="8">
        <f>IF(_xlfn.XLOOKUP($A12,TabCAT!$A:$A,TabCAT!AU:AU,"NaN")="","NaN",(_xlfn.XLOOKUP($A12,TabCAT!$A:$A,TabCAT!AU:AU,"NaN")))</f>
        <v>158</v>
      </c>
      <c r="EK12" s="8" t="b">
        <f>IF(_xlfn.XLOOKUP($A12,TabCAT!$A:$A,TabCAT!AV:AV,"NaN")="","NaN",(_xlfn.XLOOKUP($A12,TabCAT!$A:$A,TabCAT!AV:AV,"NaN")))</f>
        <v>1</v>
      </c>
      <c r="EL12" s="8">
        <f>IF(_xlfn.XLOOKUP($A12,TabCAT!$A:$A,TabCAT!AW:AW,"NaN")="","NaN",(_xlfn.XLOOKUP($A12,TabCAT!$A:$A,TabCAT!AW:AW,"NaN")))</f>
        <v>6</v>
      </c>
      <c r="EM12" s="8">
        <f>IF(_xlfn.XLOOKUP($A12,TabCAT!$A:$A,TabCAT!AX:AX,"NaN")="","NaN",(_xlfn.XLOOKUP($A12,TabCAT!$A:$A,TabCAT!AX:AX,"NaN")))</f>
        <v>0</v>
      </c>
      <c r="EN12" s="8">
        <f>IF(_xlfn.XLOOKUP($A12,TabCAT!$A:$A,TabCAT!AY:AY,"NaN")="","NaN",(_xlfn.XLOOKUP($A12,TabCAT!$A:$A,TabCAT!AY:AY,"NaN")))</f>
        <v>8.4499999999999993</v>
      </c>
      <c r="EO12" s="8">
        <f>IF(_xlfn.XLOOKUP($A12,TabCAT!$A:$A,TabCAT!AZ:AZ,"NaN")="","NaN",(_xlfn.XLOOKUP($A12,TabCAT!$A:$A,TabCAT!AZ:AZ,"NaN")))</f>
        <v>28</v>
      </c>
      <c r="EP12" s="8">
        <f>IF(_xlfn.XLOOKUP($A12,TabCAT!$A:$A,TabCAT!BA:BA,"NaN")="","NaN",(_xlfn.XLOOKUP($A12,TabCAT!$A:$A,TabCAT!BA:BA,"NaN")))</f>
        <v>0.76668950000000002</v>
      </c>
      <c r="EQ12" s="8">
        <f>IF(_xlfn.XLOOKUP($A12,TabCAT!$A:$A,TabCAT!BB:BB,"NaN")="","NaN",(_xlfn.XLOOKUP($A12,TabCAT!$A:$A,TabCAT!BB:BB,"NaN")))</f>
        <v>0.127606194093525</v>
      </c>
      <c r="ER12" s="8">
        <f>IF(_xlfn.XLOOKUP($A12,TabCAT!$A:$A,TabCAT!BC:BC,"NaN")="","NaN",(_xlfn.XLOOKUP($A12,TabCAT!$A:$A,TabCAT!BC:BC,"NaN")))</f>
        <v>13</v>
      </c>
      <c r="ES12" s="8">
        <f>IF(_xlfn.XLOOKUP($A12,TabCAT!$A:$A,TabCAT!BD:BD,"NaN")="","NaN",(_xlfn.XLOOKUP($A12,TabCAT!$A:$A,TabCAT!BD:BD,"NaN")))</f>
        <v>0.74599899999999997</v>
      </c>
      <c r="ET12" s="8">
        <f>IF(_xlfn.XLOOKUP($A12,TabCAT!$A:$A,TabCAT!BE:BE,"NaN")="","NaN",(_xlfn.XLOOKUP($A12,TabCAT!$A:$A,TabCAT!BE:BE,"NaN")))</f>
        <v>15</v>
      </c>
      <c r="EU12" s="8">
        <f>IF(_xlfn.XLOOKUP($A12,TabCAT!$A:$A,TabCAT!BF:BF,"NaN")="","NaN",(_xlfn.XLOOKUP($A12,TabCAT!$A:$A,TabCAT!BF:BF,"NaN")))</f>
        <v>0.77349900000000005</v>
      </c>
      <c r="EV12" s="8" t="str">
        <f>IF(_xlfn.XLOOKUP($A12,TabCAT!$A:$A,TabCAT!BG:BG,"NaN")="","NaN",(_xlfn.XLOOKUP($A12,TabCAT!$A:$A,TabCAT!BG:BG,"NaN")))</f>
        <v>NaN</v>
      </c>
      <c r="EW12" s="8" t="str">
        <f>IF(_xlfn.XLOOKUP($A12,TabCAT!$A:$A,TabCAT!BH:BH,"NaN")="","NaN",(_xlfn.XLOOKUP($A12,TabCAT!$A:$A,TabCAT!BH:BH,"NaN")))</f>
        <v>3.0.0</v>
      </c>
      <c r="EX12" s="8" t="str">
        <f>IF(_xlfn.XLOOKUP($A12,TabCAT!$A:$A,TabCAT!BI:BI,"NaN")="","NaN",(_xlfn.XLOOKUP($A12,TabCAT!$A:$A,TabCAT!BI:BI,"NaN")))</f>
        <v>English</v>
      </c>
      <c r="EY12" s="8">
        <f>IF(_xlfn.XLOOKUP($A12,TabCAT!$A:$A,TabCAT!BJ:BJ,"NaN")="","NaN",(_xlfn.XLOOKUP($A12,TabCAT!$A:$A,TabCAT!BJ:BJ,"NaN")))</f>
        <v>265</v>
      </c>
      <c r="EZ12" s="8">
        <f>IF(_xlfn.XLOOKUP($A12,TabCAT!$A:$A,TabCAT!BK:BK,"NaN")="","NaN",(_xlfn.XLOOKUP($A12,TabCAT!$A:$A,TabCAT!BK:BK,"NaN")))</f>
        <v>1</v>
      </c>
      <c r="FA12" s="8">
        <f>IF(_xlfn.XLOOKUP($A12,TabCAT!$A:$A,TabCAT!BL:BL,"NaN")="","NaN",(_xlfn.XLOOKUP($A12,TabCAT!$A:$A,TabCAT!BL:BL,"NaN")))</f>
        <v>6</v>
      </c>
      <c r="FB12" s="8">
        <f>IF(_xlfn.XLOOKUP($A12,TabCAT!$A:$A,TabCAT!BM:BM,"NaN")="","NaN",(_xlfn.XLOOKUP($A12,TabCAT!$A:$A,TabCAT!BM:BM,"NaN")))</f>
        <v>1</v>
      </c>
      <c r="FC12" s="8">
        <f>IF(_xlfn.XLOOKUP($A12,TabCAT!$A:$A,TabCAT!BN:BN,"NaN")="","NaN",(_xlfn.XLOOKUP($A12,TabCAT!$A:$A,TabCAT!BN:BN,"NaN")))</f>
        <v>6</v>
      </c>
      <c r="FD12" s="8">
        <f>IF(_xlfn.XLOOKUP($A12,TabCAT!$A:$A,TabCAT!BO:BO,"NaN")="","NaN",(_xlfn.XLOOKUP($A12,TabCAT!$A:$A,TabCAT!BO:BO,"NaN")))</f>
        <v>9</v>
      </c>
      <c r="FE12" s="8">
        <f>IF(_xlfn.XLOOKUP($A12,TabCAT!$A:$A,TabCAT!BP:BP,"NaN")="","NaN",(_xlfn.XLOOKUP($A12,TabCAT!$A:$A,TabCAT!BP:BP,"NaN")))</f>
        <v>1</v>
      </c>
      <c r="FF12" s="8">
        <f>IF(_xlfn.XLOOKUP($A12,TabCAT!$A:$A,TabCAT!BQ:BQ,"NaN")="","NaN",(_xlfn.XLOOKUP($A12,TabCAT!$A:$A,TabCAT!BQ:BQ,"NaN")))</f>
        <v>7.5</v>
      </c>
      <c r="FG12" s="8">
        <f>IF(_xlfn.XLOOKUP($A12,TabCAT!$A:$A,TabCAT!BR:BR,"NaN")="","NaN",(_xlfn.XLOOKUP($A12,TabCAT!$A:$A,TabCAT!BR:BR,"NaN")))</f>
        <v>12</v>
      </c>
      <c r="FH12" s="8">
        <f>IF(_xlfn.XLOOKUP($A12,TabCAT!$A:$A,TabCAT!BS:BS,"NaN")="","NaN",(_xlfn.XLOOKUP($A12,TabCAT!$A:$A,TabCAT!BS:BS,"NaN")))</f>
        <v>1</v>
      </c>
      <c r="FI12" s="8">
        <f>IF(_xlfn.XLOOKUP($A12,TabCAT!$A:$A,TabCAT!BT:BT,"NaN")="","NaN",(_xlfn.XLOOKUP($A12,TabCAT!$A:$A,TabCAT!BT:BT,"NaN")))</f>
        <v>11</v>
      </c>
      <c r="FJ12" s="8">
        <f>IF(_xlfn.XLOOKUP($A12,TabCAT!$A:$A,TabCAT!BU:BU,"NaN")="","NaN",(_xlfn.XLOOKUP($A12,TabCAT!$A:$A,TabCAT!BU:BU,"NaN")))</f>
        <v>10</v>
      </c>
      <c r="FK12" s="8">
        <f>IF(_xlfn.XLOOKUP($A12,TabCAT!$A:$A,TabCAT!BV:BV,"NaN")="","NaN",(_xlfn.XLOOKUP($A12,TabCAT!$A:$A,TabCAT!BV:BV,"NaN")))</f>
        <v>0.66666666666666596</v>
      </c>
      <c r="FL12" s="8">
        <f>IF(_xlfn.XLOOKUP($A12,TabCAT!$A:$A,TabCAT!BW:BW,"NaN")="","NaN",(_xlfn.XLOOKUP($A12,TabCAT!$A:$A,TabCAT!BW:BW,"NaN")))</f>
        <v>5.5</v>
      </c>
      <c r="FM12" s="8">
        <f>IF(_xlfn.XLOOKUP($A12,TabCAT!$A:$A,TabCAT!BX:BX,"NaN")="","NaN",(_xlfn.XLOOKUP($A12,TabCAT!$A:$A,TabCAT!BX:BX,"NaN")))</f>
        <v>37</v>
      </c>
      <c r="FN12" s="8">
        <f>IF(_xlfn.XLOOKUP($A12,TabCAT!$A:$A,TabCAT!BY:BY,"NaN")="","NaN",(_xlfn.XLOOKUP($A12,TabCAT!$A:$A,TabCAT!BY:BY,"NaN")))</f>
        <v>0.88095238095238004</v>
      </c>
      <c r="FO12" s="8">
        <f>IF(_xlfn.XLOOKUP($A12,TabCAT!$A:$A,TabCAT!BZ:BZ,"NaN")="","NaN",(_xlfn.XLOOKUP($A12,TabCAT!$A:$A,TabCAT!BZ:BZ,"NaN")))</f>
        <v>30</v>
      </c>
      <c r="FP12" s="8" t="str">
        <f>IF(_xlfn.XLOOKUP($A12,TabCAT!$A:$A,TabCAT!CA:CA,"NaN")="","NaN",(_xlfn.XLOOKUP($A12,TabCAT!$A:$A,TabCAT!CA:CA,"NaN")))</f>
        <v>3.0.0</v>
      </c>
      <c r="FQ12" s="8" t="str">
        <f>IF(_xlfn.XLOOKUP($A12,TabCAT!$A:$A,TabCAT!CB:CB,"NaN")="","NaN",(_xlfn.XLOOKUP($A12,TabCAT!$A:$A,TabCAT!CB:CB,"NaN")))</f>
        <v>English</v>
      </c>
      <c r="FR12" s="8">
        <f>IF(_xlfn.XLOOKUP($A12,TabCAT!$A:$A,TabCAT!CC:CC,"NaN")="","NaN",(_xlfn.XLOOKUP($A12,TabCAT!$A:$A,TabCAT!CC:CC,"NaN")))</f>
        <v>225</v>
      </c>
      <c r="FS12" s="8" t="b">
        <f>IF(_xlfn.XLOOKUP($A12,TabCAT!$A:$A,TabCAT!CD:CD,"NaN")="","NaN",(_xlfn.XLOOKUP($A12,TabCAT!$A:$A,TabCAT!CD:CD,"NaN")))</f>
        <v>1</v>
      </c>
      <c r="FT12" s="8">
        <f>IF(_xlfn.XLOOKUP($A12,TabCAT!$A:$A,TabCAT!CE:CE,"NaN")="","NaN",(_xlfn.XLOOKUP($A12,TabCAT!$A:$A,TabCAT!CE:CE,"NaN")))</f>
        <v>7</v>
      </c>
      <c r="FU12" s="8">
        <f>IF(_xlfn.XLOOKUP($A12,TabCAT!$A:$A,TabCAT!CF:CF,"NaN")="","NaN",(_xlfn.XLOOKUP($A12,TabCAT!$A:$A,TabCAT!CF:CF,"NaN")))</f>
        <v>0</v>
      </c>
      <c r="FV12" s="8">
        <f>IF(_xlfn.XLOOKUP($A12,TabCAT!$A:$A,TabCAT!CG:CG,"NaN")="","NaN",(_xlfn.XLOOKUP($A12,TabCAT!$A:$A,TabCAT!CG:CG,"NaN")))</f>
        <v>7.67</v>
      </c>
      <c r="FW12" s="8">
        <f>IF(_xlfn.XLOOKUP($A12,TabCAT!$A:$A,TabCAT!CH:CH,"NaN")="","NaN",(_xlfn.XLOOKUP($A12,TabCAT!$A:$A,TabCAT!CH:CH,"NaN")))</f>
        <v>16</v>
      </c>
      <c r="FX12" s="8">
        <f>IF(_xlfn.XLOOKUP($A12,TabCAT!$A:$A,TabCAT!CI:CI,"NaN")="","NaN",(_xlfn.XLOOKUP($A12,TabCAT!$A:$A,TabCAT!CI:CI,"NaN")))</f>
        <v>0.54653850000000004</v>
      </c>
      <c r="FY12" s="8">
        <f>IF(_xlfn.XLOOKUP($A12,TabCAT!$A:$A,TabCAT!CJ:CJ,"NaN")="","NaN",(_xlfn.XLOOKUP($A12,TabCAT!$A:$A,TabCAT!CJ:CJ,"NaN")))</f>
        <v>15</v>
      </c>
      <c r="FZ12" s="8">
        <f>IF(_xlfn.XLOOKUP($A12,TabCAT!$A:$A,TabCAT!CK:CK,"NaN")="","NaN",(_xlfn.XLOOKUP($A12,TabCAT!$A:$A,TabCAT!CK:CK,"NaN")))</f>
        <v>0.64623200000000003</v>
      </c>
      <c r="GA12" s="8">
        <f>IF(_xlfn.XLOOKUP($A12,TabCAT!$A:$A,TabCAT!CL:CL,"NaN")="","NaN",(_xlfn.XLOOKUP($A12,TabCAT!$A:$A,TabCAT!CL:CL,"NaN")))</f>
        <v>26</v>
      </c>
      <c r="GB12" s="8">
        <f>IF(_xlfn.XLOOKUP($A12,TabCAT!$A:$A,TabCAT!CM:CM,"NaN")="","NaN",(_xlfn.XLOOKUP($A12,TabCAT!$A:$A,TabCAT!CM:CM,"NaN")))</f>
        <v>0.69203149999999902</v>
      </c>
      <c r="GC12" s="8">
        <f>IF(_xlfn.XLOOKUP($A12,TabCAT!$A:$A,TabCAT!CN:CN,"NaN")="","NaN",(_xlfn.XLOOKUP($A12,TabCAT!$A:$A,TabCAT!CN:CN,"NaN")))</f>
        <v>15</v>
      </c>
      <c r="GD12" s="8">
        <f>IF(_xlfn.XLOOKUP($A12,TabCAT!$A:$A,TabCAT!CO:CO,"NaN")="","NaN",(_xlfn.XLOOKUP($A12,TabCAT!$A:$A,TabCAT!CO:CO,"NaN")))</f>
        <v>0.97115899999999999</v>
      </c>
      <c r="GE12" s="8">
        <f>IF(_xlfn.XLOOKUP($A12,TabCAT!$A:$A,TabCAT!CP:CP,"NaN")="","NaN",(_xlfn.XLOOKUP($A12,TabCAT!$A:$A,TabCAT!CP:CP,"NaN")))</f>
        <v>0.23909110342234699</v>
      </c>
      <c r="GF12" s="8">
        <f>IF(_xlfn.XLOOKUP($A12,TabCAT!$A:$A,TabCAT!CQ:CQ,"NaN")="","NaN",(_xlfn.XLOOKUP($A12,TabCAT!$A:$A,TabCAT!CQ:CQ,"NaN")))</f>
        <v>51</v>
      </c>
      <c r="GG12" s="8">
        <f>IF(_xlfn.XLOOKUP($A12,TabCAT!$A:$A,TabCAT!CR:CR,"NaN")="","NaN",(_xlfn.XLOOKUP($A12,TabCAT!$A:$A,TabCAT!CR:CR,"NaN")))</f>
        <v>0.61310100000000001</v>
      </c>
      <c r="GH12" s="8" t="str">
        <f>IF(_xlfn.XLOOKUP($A12,TabCAT!$A:$A,TabCAT!CS:CS,"NaN")="","NaN",(_xlfn.XLOOKUP($A12,TabCAT!$A:$A,TabCAT!CS:CS,"NaN")))</f>
        <v>NaN</v>
      </c>
    </row>
    <row r="13" spans="1:190" x14ac:dyDescent="0.2">
      <c r="A13">
        <v>10559</v>
      </c>
      <c r="B13">
        <f>_xlfn.XLOOKUP(bippity_poppity_boo!A13,rf1_data!A:A,rf1_data!B:B)</f>
        <v>131894</v>
      </c>
      <c r="C13" s="2" t="str">
        <f>(_xlfn.XLOOKUP($A13,trust!$A:$A,trust!B:B,"NaN"))</f>
        <v>NaN</v>
      </c>
      <c r="D13" s="2" t="str">
        <f>(_xlfn.XLOOKUP($A13,trust!$A:$A,trust!C:C,"NaN"))</f>
        <v>NaN</v>
      </c>
      <c r="E13" s="2" t="str">
        <f>(_xlfn.XLOOKUP($A13,trust!$A:$A,trust!D:D,"NaN"))</f>
        <v>NaN</v>
      </c>
      <c r="F13" s="2" t="str">
        <f>(_xlfn.XLOOKUP($A13,trust!$A:$A,trust!E:E,"NaN"))</f>
        <v>NaN</v>
      </c>
      <c r="G13" s="2" t="str">
        <f>(_xlfn.XLOOKUP($A13,trust!$A:$A,trust!F:F,"NaN"))</f>
        <v>NaN</v>
      </c>
      <c r="H13" s="2" t="str">
        <f>(_xlfn.XLOOKUP($A13,trust!$A:$A,trust!G:G,"NaN"))</f>
        <v>NaN</v>
      </c>
      <c r="I13" s="3" t="str">
        <f>IF(_xlfn.XLOOKUP($B13,island_data!$B:$B,island_data!C:C,"NaN")="","NaN",_xlfn.XLOOKUP($B13,island_data!$B:$B,island_data!C:C,"NaN"))</f>
        <v>NaN</v>
      </c>
      <c r="J13" s="3" t="str">
        <f>IF(_xlfn.XLOOKUP($B13,island_data!$B:$B,island_data!D:D,"NaN")="","NaN",_xlfn.XLOOKUP($B13,island_data!$B:$B,island_data!D:D,"NaN"))</f>
        <v>NaN</v>
      </c>
      <c r="K13" s="4" t="str">
        <f>IF(_xlfn.XLOOKUP($B13,island_data!$B:$B,island_data!E:E,"NaN")="","NaN",_xlfn.XLOOKUP($B13,island_data!$B:$B,island_data!E:E,"NaN"))</f>
        <v>NaN</v>
      </c>
      <c r="L13" s="5">
        <f>IF(_xlfn.XLOOKUP($B13,rf1_data!$B:$B,rf1_data!D:D,"NaN")="","NaN",(_xlfn.XLOOKUP($B13,rf1_data!$B:$B,rf1_data!D:D,"NaN")))</f>
        <v>28.31</v>
      </c>
      <c r="M13" s="5" t="str">
        <f>IF(_xlfn.XLOOKUP($B13,rf1_data!$B:$B,rf1_data!E:E,"NaN")="","NaN",(_xlfn.XLOOKUP($B13,rf1_data!$B:$B,rf1_data!E:E,"NaN")))</f>
        <v>Black or African American</v>
      </c>
      <c r="N13" s="5" t="str">
        <f>IF(_xlfn.XLOOKUP($B13,rf1_data!$B:$B,rf1_data!F:F,"NaN")="","NaN",(_xlfn.XLOOKUP($B13,rf1_data!$B:$B,rf1_data!F:F,"NaN")))</f>
        <v>Not Hispanic or Latino</v>
      </c>
      <c r="O13" s="5" t="str">
        <f>IF(_xlfn.XLOOKUP($B13,rf1_data!$B:$B,rf1_data!G:G,"NaN")="","NaN",(_xlfn.XLOOKUP($B13,rf1_data!$B:$B,rf1_data!G:G,"NaN")))</f>
        <v>Male</v>
      </c>
      <c r="P13" s="5">
        <f>IF(_xlfn.XLOOKUP($B13,rf1_data!$B:$B,rf1_data!H:H,"NaN")="","NaN",(_xlfn.XLOOKUP($B13,rf1_data!$B:$B,rf1_data!H:H,"NaN")))</f>
        <v>4.4400000000000004</v>
      </c>
      <c r="Q13" s="5">
        <f>IF(_xlfn.XLOOKUP($B13,rf1_data!$B:$B,rf1_data!I:I,"NaN")="","NaN",(_xlfn.XLOOKUP($B13,rf1_data!$B:$B,rf1_data!I:I,"NaN")))</f>
        <v>3.8</v>
      </c>
      <c r="R13" s="5">
        <f>IF(_xlfn.XLOOKUP($B13,rf1_data!$B:$B,rf1_data!J:J,"NaN")="","NaN",(_xlfn.XLOOKUP($B13,rf1_data!$B:$B,rf1_data!J:J,"NaN")))</f>
        <v>9</v>
      </c>
      <c r="S13" s="5">
        <f>IF(_xlfn.XLOOKUP($B13,rf1_data!$B:$B,rf1_data!K:K,"NaN")="","NaN",(_xlfn.XLOOKUP($B13,rf1_data!$B:$B,rf1_data!K:K,"NaN")))</f>
        <v>3</v>
      </c>
      <c r="T13" s="5">
        <f>IF(_xlfn.XLOOKUP($B13,rf1_data!$B:$B,rf1_data!L:L,"NaN")="","NaN",(_xlfn.XLOOKUP($B13,rf1_data!$B:$B,rf1_data!L:L,"NaN")))</f>
        <v>0</v>
      </c>
      <c r="U13" s="5" t="str">
        <f>IF(_xlfn.XLOOKUP($B13,rf1_data!$B:$B,rf1_data!M:M,"NaN")="","NaN",(_xlfn.XLOOKUP($B13,rf1_data!$B:$B,rf1_data!M:M,"NaN")))</f>
        <v>NaN</v>
      </c>
      <c r="V13" s="5" t="str">
        <f>IF(_xlfn.XLOOKUP($B13,rf1_data!$B:$B,rf1_data!N:N,"NaN")="","NaN",(_xlfn.XLOOKUP($B13,rf1_data!$B:$B,rf1_data!N:N,"NaN")))</f>
        <v>NaN</v>
      </c>
      <c r="W13" s="5" t="str">
        <f>IF(_xlfn.XLOOKUP($B13,rf1_data!$B:$B,rf1_data!O:O,"NaN")="","NaN",(_xlfn.XLOOKUP($B13,rf1_data!$B:$B,rf1_data!O:O,"NaN")))</f>
        <v>NaN</v>
      </c>
      <c r="X13" s="5" t="str">
        <f>IF(_xlfn.XLOOKUP($B13,rf1_data!$B:$B,rf1_data!P:P,"NaN")="","NaN",(_xlfn.XLOOKUP($B13,rf1_data!$B:$B,rf1_data!P:P,"NaN")))</f>
        <v>NaN</v>
      </c>
      <c r="Y13" s="5" t="str">
        <f>IF(_xlfn.XLOOKUP($B13,rf1_data!$B:$B,rf1_data!Q:Q,"NaN")="","NaN",(_xlfn.XLOOKUP($B13,rf1_data!$B:$B,rf1_data!Q:Q,"NaN")))</f>
        <v>NaN</v>
      </c>
      <c r="Z13" s="5" t="str">
        <f>IF(_xlfn.XLOOKUP($B13,rf1_data!$B:$B,rf1_data!R:R,"NaN")="","NaN",(_xlfn.XLOOKUP($B13,rf1_data!$B:$B,rf1_data!R:R,"NaN")))</f>
        <v>NaN</v>
      </c>
      <c r="AA13" s="5" t="str">
        <f>IF(_xlfn.XLOOKUP($B13,rf1_data!$B:$B,rf1_data!S:S,"NaN")="","NaN",(_xlfn.XLOOKUP($B13,rf1_data!$B:$B,rf1_data!S:S,"NaN")))</f>
        <v>NaN</v>
      </c>
      <c r="AB13" s="5" t="str">
        <f>IF(_xlfn.XLOOKUP($B13,rf1_data!$B:$B,rf1_data!T:T,"NaN")="","NaN",(_xlfn.XLOOKUP($B13,rf1_data!$B:$B,rf1_data!T:T,"NaN")))</f>
        <v>NaN</v>
      </c>
      <c r="AC13" s="5" t="str">
        <f>IF(_xlfn.XLOOKUP($B13,rf1_data!$B:$B,rf1_data!U:U,"NaN")="","NaN",(_xlfn.XLOOKUP($B13,rf1_data!$B:$B,rf1_data!U:U,"NaN")))</f>
        <v>NaN</v>
      </c>
      <c r="AD13" s="5" t="str">
        <f>IF(_xlfn.XLOOKUP($B13,rf1_data!$B:$B,rf1_data!V:V,"NaN")="","NaN",(_xlfn.XLOOKUP($B13,rf1_data!$B:$B,rf1_data!V:V,"NaN")))</f>
        <v>NaN</v>
      </c>
      <c r="AE13" s="5">
        <f>IF(_xlfn.XLOOKUP($B13,rf1_data!$B:$B,rf1_data!W:W,"NaN")="","NaN",(_xlfn.XLOOKUP($B13,rf1_data!$B:$B,rf1_data!W:W,"NaN")))</f>
        <v>0</v>
      </c>
      <c r="AF13" s="5">
        <f>IF(_xlfn.XLOOKUP($B13,rf1_data!$B:$B,rf1_data!X:X,"NaN")="","NaN",(_xlfn.XLOOKUP($B13,rf1_data!$B:$B,rf1_data!X:X,"NaN")))</f>
        <v>0</v>
      </c>
      <c r="AG13" s="5">
        <f>IF(_xlfn.XLOOKUP($B13,rf1_data!$B:$B,rf1_data!Y:Y,"NaN")="","NaN",(_xlfn.XLOOKUP($B13,rf1_data!$B:$B,rf1_data!Y:Y,"NaN")))</f>
        <v>0</v>
      </c>
      <c r="AH13" s="5">
        <f>IF(_xlfn.XLOOKUP($B13,rf1_data!$B:$B,rf1_data!Z:Z,"NaN")="","NaN",(_xlfn.XLOOKUP($B13,rf1_data!$B:$B,rf1_data!Z:Z,"NaN")))</f>
        <v>0</v>
      </c>
      <c r="AI13" s="5">
        <f>IF(_xlfn.XLOOKUP($B13,rf1_data!$B:$B,rf1_data!AA:AA,"NaN")="","NaN",(_xlfn.XLOOKUP($B13,rf1_data!$B:$B,rf1_data!AA:AA,"NaN")))</f>
        <v>0</v>
      </c>
      <c r="AJ13" s="5">
        <f>IF(_xlfn.XLOOKUP($B13,rf1_data!$B:$B,rf1_data!AB:AB,"NaN")="","NaN",(_xlfn.XLOOKUP($B13,rf1_data!$B:$B,rf1_data!AB:AB,"NaN")))</f>
        <v>0</v>
      </c>
      <c r="AK13" s="5">
        <f>IF(_xlfn.XLOOKUP($B13,rf1_data!$B:$B,rf1_data!AC:AC,"NaN")="","NaN",(_xlfn.XLOOKUP($B13,rf1_data!$B:$B,rf1_data!AC:AC,"NaN")))</f>
        <v>25</v>
      </c>
      <c r="AL13" s="5">
        <f>IF(_xlfn.XLOOKUP($B13,rf1_data!$B:$B,rf1_data!AD:AD,"NaN")="","NaN",(_xlfn.XLOOKUP($B13,rf1_data!$B:$B,rf1_data!AD:AD,"NaN")))</f>
        <v>12</v>
      </c>
      <c r="AM13" s="5">
        <f>IF(_xlfn.XLOOKUP($B13,rf1_data!$B:$B,rf1_data!AE:AE,"NaN")="","NaN",(_xlfn.XLOOKUP($B13,rf1_data!$B:$B,rf1_data!AE:AE,"NaN")))</f>
        <v>0</v>
      </c>
      <c r="AN13" s="5">
        <f>IF(_xlfn.XLOOKUP($B13,rf1_data!$B:$B,rf1_data!AF:AF,"NaN")="","NaN",(_xlfn.XLOOKUP($B13,rf1_data!$B:$B,rf1_data!AF:AF,"NaN")))</f>
        <v>0</v>
      </c>
      <c r="AO13" s="5">
        <f>IF(_xlfn.XLOOKUP($B13,rf1_data!$B:$B,rf1_data!AG:AG,"NaN")="","NaN",(_xlfn.XLOOKUP($B13,rf1_data!$B:$B,rf1_data!AG:AG,"NaN")))</f>
        <v>5</v>
      </c>
      <c r="AP13" s="5">
        <f>IF(_xlfn.XLOOKUP($B13,rf1_data!$B:$B,rf1_data!AH:AH,"NaN")="","NaN",(_xlfn.XLOOKUP($B13,rf1_data!$B:$B,rf1_data!AH:AH,"NaN")))</f>
        <v>5.5</v>
      </c>
      <c r="AQ13" s="5">
        <f>IF(_xlfn.XLOOKUP($B13,rf1_data!$B:$B,rf1_data!AI:AI,"NaN")="","NaN",(_xlfn.XLOOKUP($B13,rf1_data!$B:$B,rf1_data!AI:AI,"NaN")))</f>
        <v>5.25</v>
      </c>
      <c r="AR13" s="5">
        <f>IF(_xlfn.XLOOKUP($B13,rf1_data!$B:$B,rf1_data!AJ:AJ,"NaN")="","NaN",(_xlfn.XLOOKUP($B13,rf1_data!$B:$B,rf1_data!AJ:AJ,"NaN")))</f>
        <v>4.25</v>
      </c>
      <c r="AS13" s="5">
        <f>IF(_xlfn.XLOOKUP($B13,rf1_data!$B:$B,rf1_data!AK:AK,"NaN")="","NaN",(_xlfn.XLOOKUP($B13,rf1_data!$B:$B,rf1_data!AK:AK,"NaN")))</f>
        <v>2.5</v>
      </c>
      <c r="AT13" s="5">
        <f>IF(_xlfn.XLOOKUP($B13,rf1_data!$B:$B,rf1_data!AL:AL,"NaN")="","NaN",(_xlfn.XLOOKUP($B13,rf1_data!$B:$B,rf1_data!AL:AL,"NaN")))</f>
        <v>12</v>
      </c>
      <c r="AU13" s="5">
        <f>IF(_xlfn.XLOOKUP($B13,rf1_data!$B:$B,rf1_data!AM:AM,"NaN")="","NaN",(_xlfn.XLOOKUP($B13,rf1_data!$B:$B,rf1_data!AM:AM,"NaN")))</f>
        <v>1.08</v>
      </c>
      <c r="AV13" s="5">
        <f>IF(_xlfn.XLOOKUP($B13,rf1_data!$B:$B,rf1_data!AN:AN,"NaN")="","NaN",(_xlfn.XLOOKUP($B13,rf1_data!$B:$B,rf1_data!AN:AN,"NaN")))</f>
        <v>15</v>
      </c>
      <c r="AW13" s="5">
        <f>IF(_xlfn.XLOOKUP($B13,rf1_data!$B:$B,rf1_data!AO:AO,"NaN")="","NaN",(_xlfn.XLOOKUP($B13,rf1_data!$B:$B,rf1_data!AO:AO,"NaN")))</f>
        <v>1.67</v>
      </c>
      <c r="AX13" s="5">
        <f>IF(_xlfn.XLOOKUP($B13,rf1_data!$B:$B,rf1_data!AP:AP,"NaN")="","NaN",(_xlfn.XLOOKUP($B13,rf1_data!$B:$B,rf1_data!AP:AP,"NaN")))</f>
        <v>1.63</v>
      </c>
      <c r="AY13" s="5" t="str">
        <f>IF(_xlfn.XLOOKUP($B13,rf1_data!$B:$B,rf1_data!AQ:AQ,"NaN")="","NaN",(_xlfn.XLOOKUP($B13,rf1_data!$B:$B,rf1_data!AQ:AQ,"NaN")))</f>
        <v>NaN</v>
      </c>
      <c r="AZ13" s="5" t="str">
        <f>IF(_xlfn.XLOOKUP($B13,rf1_data!$B:$B,rf1_data!AR:AR,"NaN")="","NaN",(_xlfn.XLOOKUP($B13,rf1_data!$B:$B,rf1_data!AR:AR,"NaN")))</f>
        <v>NaN</v>
      </c>
      <c r="BA13" s="5" t="str">
        <f>IF(_xlfn.XLOOKUP($B13,rf1_data!$B:$B,rf1_data!AS:AS,"NaN")="","NaN",(_xlfn.XLOOKUP($B13,rf1_data!$B:$B,rf1_data!AS:AS,"NaN")))</f>
        <v>NaN</v>
      </c>
      <c r="BB13" s="5" t="str">
        <f>IF(_xlfn.XLOOKUP($B13,rf1_data!$B:$B,rf1_data!AT:AT,"NaN")="","NaN",(_xlfn.XLOOKUP($B13,rf1_data!$B:$B,rf1_data!AT:AT,"NaN")))</f>
        <v>NaN</v>
      </c>
      <c r="BC13" s="5" t="str">
        <f>IF(_xlfn.XLOOKUP($B13,rf1_data!$B:$B,rf1_data!AU:AU,"NaN")="","NaN",(_xlfn.XLOOKUP($B13,rf1_data!$B:$B,rf1_data!AU:AU,"NaN")))</f>
        <v>NaN</v>
      </c>
      <c r="BD13" s="5" t="str">
        <f>IF(_xlfn.XLOOKUP($B13,rf1_data!$B:$B,rf1_data!AV:AV,"NaN")="","NaN",(_xlfn.XLOOKUP($B13,rf1_data!$B:$B,rf1_data!AV:AV,"NaN")))</f>
        <v>NaN</v>
      </c>
      <c r="BE13" s="5" t="str">
        <f>IF(_xlfn.XLOOKUP($B13,rf1_data!$B:$B,rf1_data!AW:AW,"NaN")="","NaN",(_xlfn.XLOOKUP($B13,rf1_data!$B:$B,rf1_data!AW:AW,"NaN")))</f>
        <v>NaN</v>
      </c>
      <c r="BF13" s="5" t="str">
        <f>IF(_xlfn.XLOOKUP($B13,rf1_data!$B:$B,rf1_data!AX:AX,"NaN")="","NaN",(_xlfn.XLOOKUP($B13,rf1_data!$B:$B,rf1_data!AX:AX,"NaN")))</f>
        <v>NaN</v>
      </c>
      <c r="BG13" s="5" t="str">
        <f>IF(_xlfn.XLOOKUP($B13,rf1_data!$B:$B,rf1_data!AY:AY,"NaN")="","NaN",(_xlfn.XLOOKUP($B13,rf1_data!$B:$B,rf1_data!AY:AY,"NaN")))</f>
        <v>NaN</v>
      </c>
      <c r="BH13" s="5" t="str">
        <f>IF(_xlfn.XLOOKUP($B13,rf1_data!$B:$B,rf1_data!AZ:AZ,"NaN")="","NaN",(_xlfn.XLOOKUP($B13,rf1_data!$B:$B,rf1_data!AZ:AZ,"NaN")))</f>
        <v>NaN</v>
      </c>
      <c r="BI13" s="5">
        <f>IF(_xlfn.XLOOKUP($B13,rf1_data!$B:$B,rf1_data!BA:BA,"NaN")="","NaN",(_xlfn.XLOOKUP($B13,rf1_data!$B:$B,rf1_data!BA:BA,"NaN")))</f>
        <v>20</v>
      </c>
      <c r="BJ13" s="5" t="str">
        <f>IF(_xlfn.XLOOKUP($B13,rf1_data!$B:$B,rf1_data!BB:BB,"NaN")="","NaN",(_xlfn.XLOOKUP($B13,rf1_data!$B:$B,rf1_data!BB:BB,"NaN")))</f>
        <v>NaN</v>
      </c>
      <c r="BK13" s="5" t="str">
        <f>IF(_xlfn.XLOOKUP($B13,rf1_data!$B:$B,rf1_data!BC:BC,"NaN")="","NaN",(_xlfn.XLOOKUP($B13,rf1_data!$B:$B,rf1_data!BC:BC,"NaN")))</f>
        <v>NaN</v>
      </c>
      <c r="BL13" s="5" t="str">
        <f>IF(_xlfn.XLOOKUP($B13,rf1_data!$B:$B,rf1_data!BD:BD,"NaN")="","NaN",(_xlfn.XLOOKUP($B13,rf1_data!$B:$B,rf1_data!BD:BD,"NaN")))</f>
        <v>NaN</v>
      </c>
      <c r="BM13" s="5" t="str">
        <f>IF(_xlfn.XLOOKUP($B13,rf1_data!$B:$B,rf1_data!BE:BE,"NaN")="","NaN",(_xlfn.XLOOKUP($B13,rf1_data!$B:$B,rf1_data!BE:BE,"NaN")))</f>
        <v>NaN</v>
      </c>
      <c r="BN13" s="5" t="str">
        <f>IF(_xlfn.XLOOKUP($B13,rf1_data!$B:$B,rf1_data!BF:BF,"NaN")="","NaN",(_xlfn.XLOOKUP($B13,rf1_data!$B:$B,rf1_data!BF:BF,"NaN")))</f>
        <v>NaN</v>
      </c>
      <c r="BO13" s="5" t="str">
        <f>IF(_xlfn.XLOOKUP($B13,rf1_data!$B:$B,rf1_data!BG:BG,"NaN")="","NaN",(_xlfn.XLOOKUP($B13,rf1_data!$B:$B,rf1_data!BG:BG,"NaN")))</f>
        <v>NaN</v>
      </c>
      <c r="BP13" s="5" t="str">
        <f>IF(_xlfn.XLOOKUP($B13,rf1_data!$B:$B,rf1_data!BH:BH,"NaN")="","NaN",(_xlfn.XLOOKUP($B13,rf1_data!$B:$B,rf1_data!BH:BH,"NaN")))</f>
        <v>NaN</v>
      </c>
      <c r="BQ13" s="5" t="str">
        <f>IF(_xlfn.XLOOKUP($B13,rf1_data!$B:$B,rf1_data!BI:BI,"NaN")="","NaN",(_xlfn.XLOOKUP($B13,rf1_data!$B:$B,rf1_data!BI:BI,"NaN")))</f>
        <v>NaN</v>
      </c>
      <c r="BR13" s="5">
        <f>IF(_xlfn.XLOOKUP($B13,rf1_data!$B:$B,rf1_data!BJ:BJ,"NaN")="","NaN",(_xlfn.XLOOKUP($B13,rf1_data!$B:$B,rf1_data!BJ:BJ,"NaN")))</f>
        <v>8991</v>
      </c>
      <c r="BS13" s="5" t="str">
        <f>IF(_xlfn.XLOOKUP($B13,rf1_data!$B:$B,rf1_data!BK:BK,"NaN")="","NaN",(_xlfn.XLOOKUP($B13,rf1_data!$B:$B,rf1_data!BK:BK,"NaN")))</f>
        <v>NaN</v>
      </c>
      <c r="BT13" s="5" t="str">
        <f>IF(_xlfn.XLOOKUP($B13,rf1_data!$B:$B,rf1_data!BL:BL,"NaN")="","NaN",(_xlfn.XLOOKUP($B13,rf1_data!$B:$B,rf1_data!BL:BL,"NaN")))</f>
        <v>NaN</v>
      </c>
      <c r="BU13" s="5" t="str">
        <f>IF(_xlfn.XLOOKUP($B13,rf1_data!$B:$B,rf1_data!BM:BM,"NaN")="","NaN",(_xlfn.XLOOKUP($B13,rf1_data!$B:$B,rf1_data!BM:BM,"NaN")))</f>
        <v>NaN</v>
      </c>
      <c r="BV13" s="5" t="str">
        <f>IF(_xlfn.XLOOKUP($B13,rf1_data!$B:$B,rf1_data!BN:BN,"NaN")="","NaN",(_xlfn.XLOOKUP($B13,rf1_data!$B:$B,rf1_data!BN:BN,"NaN")))</f>
        <v>NaN</v>
      </c>
      <c r="BW13" s="5">
        <f>IF(_xlfn.XLOOKUP($B13,rf1_data!$B:$B,rf1_data!BO:BO,"NaN")="","NaN",(_xlfn.XLOOKUP($B13,rf1_data!$B:$B,rf1_data!BO:BO,"NaN")))</f>
        <v>4</v>
      </c>
      <c r="BX13" s="5">
        <f>IF(_xlfn.XLOOKUP($B13,rf1_data!$B:$B,rf1_data!BP:BP,"NaN")="","NaN",(_xlfn.XLOOKUP($B13,rf1_data!$B:$B,rf1_data!BP:BP,"NaN")))</f>
        <v>4.4000000000000004</v>
      </c>
      <c r="BY13" s="5">
        <f>IF(_xlfn.XLOOKUP($B13,rf1_data!$B:$B,rf1_data!BQ:BQ,"NaN")="","NaN",(_xlfn.XLOOKUP($B13,rf1_data!$B:$B,rf1_data!BQ:BQ,"NaN")))</f>
        <v>4.0999999999999996</v>
      </c>
      <c r="BZ13" s="5">
        <f>IF(_xlfn.XLOOKUP($B13,rf1_data!$B:$B,rf1_data!BR:BR,"NaN")="","NaN",(_xlfn.XLOOKUP($B13,rf1_data!$B:$B,rf1_data!BR:BR,"NaN")))</f>
        <v>4.17</v>
      </c>
      <c r="CA13" s="5">
        <f>IF(_xlfn.XLOOKUP($B13,rf1_data!$B:$B,rf1_data!BS:BS,"NaN")="","NaN",(_xlfn.XLOOKUP($B13,rf1_data!$B:$B,rf1_data!BS:BS,"NaN")))</f>
        <v>1</v>
      </c>
      <c r="CB13" s="5">
        <f>IF(_xlfn.XLOOKUP($B13,rf1_data!$B:$B,rf1_data!BT:BT,"NaN")="","NaN",(_xlfn.XLOOKUP($B13,rf1_data!$B:$B,rf1_data!BT:BT,"NaN")))</f>
        <v>1</v>
      </c>
      <c r="CC13" s="5">
        <f>IF(_xlfn.XLOOKUP($B13,rf1_data!$B:$B,rf1_data!BU:BU,"NaN")="","NaN",(_xlfn.XLOOKUP($B13,rf1_data!$B:$B,rf1_data!BU:BU,"NaN")))</f>
        <v>1</v>
      </c>
      <c r="CD13" s="5">
        <f>IF(_xlfn.XLOOKUP($B13,rf1_data!$B:$B,rf1_data!BV:BV,"NaN")="","NaN",(_xlfn.XLOOKUP($B13,rf1_data!$B:$B,rf1_data!BV:BV,"NaN")))</f>
        <v>1</v>
      </c>
      <c r="CE13" s="5">
        <f>IF(_xlfn.XLOOKUP($B13,rf1_data!$B:$B,rf1_data!BW:BW,"NaN")="","NaN",(_xlfn.XLOOKUP($B13,rf1_data!$B:$B,rf1_data!BW:BW,"NaN")))</f>
        <v>2.4</v>
      </c>
      <c r="CF13" s="5">
        <f>IF(_xlfn.XLOOKUP($B13,rf1_data!$B:$B,rf1_data!BX:BX,"NaN")="","NaN",(_xlfn.XLOOKUP($B13,rf1_data!$B:$B,rf1_data!BX:BX,"NaN")))</f>
        <v>0</v>
      </c>
      <c r="CG13" s="5">
        <f>IF(_xlfn.XLOOKUP($B13,rf1_data!$B:$B,rf1_data!BY:BY,"NaN")="","NaN",(_xlfn.XLOOKUP($B13,rf1_data!$B:$B,rf1_data!BY:BY,"NaN")))</f>
        <v>0</v>
      </c>
      <c r="CH13" s="5">
        <f>IF(_xlfn.XLOOKUP($B13,rf1_data!$B:$B,rf1_data!BZ:BZ,"NaN")="","NaN",(_xlfn.XLOOKUP($B13,rf1_data!$B:$B,rf1_data!BZ:BZ,"NaN")))</f>
        <v>23</v>
      </c>
      <c r="CI13" s="5">
        <f>IF(_xlfn.XLOOKUP($B13,rf1_data!$B:$B,rf1_data!CA:CA,"NaN")="","NaN",(_xlfn.XLOOKUP($B13,rf1_data!$B:$B,rf1_data!CA:CA,"NaN")))</f>
        <v>20</v>
      </c>
      <c r="CJ13" s="5">
        <f>IF(_xlfn.XLOOKUP($B13,rf1_data!$B:$B,rf1_data!CB:CB,"NaN")="","NaN",(_xlfn.XLOOKUP($B13,rf1_data!$B:$B,rf1_data!CB:CB,"NaN")))</f>
        <v>10</v>
      </c>
      <c r="CK13" s="5">
        <f>IF(_xlfn.XLOOKUP($B13,rf1_data!$B:$B,rf1_data!CC:CC,"NaN")="","NaN",(_xlfn.XLOOKUP($B13,rf1_data!$B:$B,rf1_data!CC:CC,"NaN")))</f>
        <v>1</v>
      </c>
      <c r="CL13" s="5">
        <f>IF(_xlfn.XLOOKUP($B13,rf1_data!$B:$B,rf1_data!CD:CD,"NaN")=0,"NaN",(_xlfn.XLOOKUP($B13,rf1_data!$B:$B,rf1_data!CD:CD,"NaN")))</f>
        <v>33</v>
      </c>
      <c r="CM13" s="5">
        <f>IF(_xlfn.XLOOKUP($B13,rf1_data!$B:$B,rf1_data!CE:CE,"NaN")="","NaN",(_xlfn.XLOOKUP($B13,rf1_data!$B:$B,rf1_data!CE:CE,"NaN")))</f>
        <v>43</v>
      </c>
      <c r="CN13" s="5">
        <f>IF(_xlfn.XLOOKUP($B13,rf1_data!$B:$B,rf1_data!CF:CF,"NaN")="","NaN",(_xlfn.XLOOKUP($B13,rf1_data!$B:$B,rf1_data!CF:CF,"NaN")))</f>
        <v>42</v>
      </c>
      <c r="CO13" s="5">
        <f>IF(_xlfn.XLOOKUP($B13,rf1_data!$B:$B,rf1_data!CG:CG,"NaN")="","NaN",(_xlfn.XLOOKUP($B13,rf1_data!$B:$B,rf1_data!CG:CG,"NaN")))</f>
        <v>19</v>
      </c>
      <c r="CP13" s="5">
        <f>IF(_xlfn.XLOOKUP($B13,rf1_data!$B:$B,rf1_data!CH:CH,"NaN")=0,"NaN",(_xlfn.XLOOKUP($B13,rf1_data!$B:$B,rf1_data!CH:CH,"NaN")))</f>
        <v>32</v>
      </c>
      <c r="CQ13" s="5">
        <f>IF(_xlfn.XLOOKUP($B13,rf1_data!$B:$B,rf1_data!CI:CI,"NaN")="","NaN",(_xlfn.XLOOKUP($B13,rf1_data!$B:$B,rf1_data!CI:CI,"NaN")))</f>
        <v>48</v>
      </c>
      <c r="CR13" s="5">
        <f>IF(_xlfn.XLOOKUP($B13,rf1_data!$B:$B,rf1_data!CJ:CJ,"NaN")="","NaN",(_xlfn.XLOOKUP($B13,rf1_data!$B:$B,rf1_data!CJ:CJ,"NaN")))</f>
        <v>44</v>
      </c>
      <c r="CS13" s="5">
        <f>IF(_xlfn.XLOOKUP($B13,rf1_data!$B:$B,rf1_data!CK:CK,"NaN")="","NaN",(_xlfn.XLOOKUP($B13,rf1_data!$B:$B,rf1_data!CK:CK,"NaN")))</f>
        <v>47</v>
      </c>
      <c r="CT13" s="5">
        <f>IF(_xlfn.XLOOKUP($B13,rf1_data!$B:$B,rf1_data!CL:CL,"NaN")="","NaN",(_xlfn.XLOOKUP($B13,rf1_data!$B:$B,rf1_data!CL:CL,"NaN")))</f>
        <v>57</v>
      </c>
      <c r="CU13" s="5">
        <f>IF(_xlfn.XLOOKUP($B13,rf1_data!$B:$B,rf1_data!CM:CM,"NaN")="","NaN",(_xlfn.XLOOKUP($B13,rf1_data!$B:$B,rf1_data!CM:CM,"NaN")))</f>
        <v>48</v>
      </c>
      <c r="CV13" s="5">
        <f>IF(_xlfn.XLOOKUP($B13,rf1_data!$B:$B,rf1_data!CN:CN,"NaN")="","NaN",(_xlfn.XLOOKUP($B13,rf1_data!$B:$B,rf1_data!CN:CN,"NaN")))</f>
        <v>60</v>
      </c>
      <c r="CW13" s="5" t="str">
        <f>IF(_xlfn.XLOOKUP($B13,rf1_data!$B:$B,rf1_data!CO:CO,"NaN")="","NaN",(_xlfn.XLOOKUP($B13,rf1_data!$B:$B,rf1_data!CO:CO,"NaN")))</f>
        <v>NaN</v>
      </c>
      <c r="CX13" s="5" t="str">
        <f>IF(_xlfn.XLOOKUP($B13,rf1_data!$B:$B,rf1_data!CP:CP,"NaN")="","NaN",(_xlfn.XLOOKUP($B13,rf1_data!$B:$B,rf1_data!CP:CP,"NaN")))</f>
        <v>NaN</v>
      </c>
      <c r="CY13" s="5">
        <f>IF(_xlfn.XLOOKUP($B13,rf1_data!$B:$B,rf1_data!CQ:CQ,"NaN")="","NaN",(_xlfn.XLOOKUP($B13,rf1_data!$B:$B,rf1_data!CQ:CQ,"NaN")))</f>
        <v>5</v>
      </c>
      <c r="CZ13" s="5">
        <f>IF(_xlfn.XLOOKUP($B13,rf1_data!$B:$B,rf1_data!CR:CR,"NaN")="","NaN",(_xlfn.XLOOKUP($B13,rf1_data!$B:$B,rf1_data!CR:CR,"NaN")))</f>
        <v>2</v>
      </c>
      <c r="DA13" s="5">
        <f>IF(_xlfn.XLOOKUP($B13,rf1_data!$B:$B,rf1_data!CS:CS,"NaN")="","NaN",(_xlfn.XLOOKUP($B13,rf1_data!$B:$B,rf1_data!CS:CS,"NaN")))</f>
        <v>1</v>
      </c>
      <c r="DB13" s="4">
        <f>IF(_xlfn.XLOOKUP($B13,island_data!$B:$B,island_data!H:H,"NaN")="","NaN",_xlfn.XLOOKUP($B13,island_data!$B:$B,island_data!H:H,"NaN"))</f>
        <v>13</v>
      </c>
      <c r="DC13" s="4">
        <f>IF(_xlfn.XLOOKUP($B13,island_data!$B:$B,island_data!I:I,"NaN")="","NaN",_xlfn.XLOOKUP($B13,island_data!$B:$B,island_data!I:I,"NaN"))</f>
        <v>5</v>
      </c>
      <c r="DD13" s="4">
        <f>IF(_xlfn.XLOOKUP($B13,island_data!$B:$B,island_data!J:J,"NaN")="","NaN",_xlfn.XLOOKUP($B13,island_data!$B:$B,island_data!J:J,"NaN"))</f>
        <v>2</v>
      </c>
      <c r="DE13" s="4">
        <f>IF(_xlfn.XLOOKUP($B13,island_data!$B:$B,island_data!K:K,"NaN")="","NaN",_xlfn.XLOOKUP($B13,island_data!$B:$B,island_data!K:K,"NaN"))</f>
        <v>16</v>
      </c>
      <c r="DF13" s="4">
        <f>IF(_xlfn.XLOOKUP($B13,island_data!$B:$B,island_data!L:L,"NaN")="","NaN",_xlfn.XLOOKUP($B13,island_data!$B:$B,island_data!L:L,"NaN"))</f>
        <v>0</v>
      </c>
      <c r="DG13" s="4">
        <f>IF(_xlfn.XLOOKUP($B13,island_data!$B:$B,island_data!M:M,"NaN")="","NaN",_xlfn.XLOOKUP($B13,island_data!$B:$B,island_data!M:M,"NaN"))</f>
        <v>2.5625</v>
      </c>
      <c r="DH13" s="4">
        <f>IF(_xlfn.XLOOKUP($B13,island_data!$B:$B,island_data!N:N,"NaN")="","NaN",_xlfn.XLOOKUP($B13,island_data!$B:$B,island_data!N:N,"NaN"))</f>
        <v>1</v>
      </c>
      <c r="DI13" s="4">
        <f>IF(_xlfn.XLOOKUP($B13,island_data!$B:$B,island_data!O:O,"NaN")=999,"NaN",_xlfn.XLOOKUP($B13,island_data!$B:$B,island_data!O:O,"NaN"))</f>
        <v>10</v>
      </c>
      <c r="DJ13" s="4">
        <f>IF(_xlfn.XLOOKUP($B13,island_data!$B:$B,island_data!P:P,"NaN")="","NaN",_xlfn.XLOOKUP($B13,island_data!$B:$B,island_data!P:P,"NaN"))</f>
        <v>7</v>
      </c>
      <c r="DK13" s="4">
        <f>IF(_xlfn.XLOOKUP($B13,island_data!$B:$B,island_data!Q:Q,"NaN")="","NaN",_xlfn.XLOOKUP($B13,island_data!$B:$B,island_data!Q:Q,"NaN"))</f>
        <v>0</v>
      </c>
      <c r="DL13" s="4">
        <f>IF(_xlfn.XLOOKUP($B13,island_data!$B:$B,island_data!R:R,"NaN")=999,"NaN",_xlfn.XLOOKUP($B13,island_data!$B:$B,island_data!R:R,"NaN"))</f>
        <v>14</v>
      </c>
      <c r="DM13" s="4">
        <f>IF(_xlfn.XLOOKUP($B13,island_data!$B:$B,island_data!S:S,"NaN")="","NaN",_xlfn.XLOOKUP($B13,island_data!$B:$B,island_data!S:S,"NaN"))</f>
        <v>9</v>
      </c>
      <c r="DN13" s="4">
        <f>IF(_xlfn.XLOOKUP($B13,island_data!$B:$B,island_data!T:T,"NaN")="","NaN",_xlfn.XLOOKUP($B13,island_data!$B:$B,island_data!T:T,"NaN"))</f>
        <v>4.0833333333333002</v>
      </c>
      <c r="DO13" s="4">
        <f>IF(_xlfn.XLOOKUP($B13,island_data!$B:$B,island_data!U:U,"NaN")="","NaN",_xlfn.XLOOKUP($B13,island_data!$B:$B,island_data!U:U,"NaN"))</f>
        <v>5</v>
      </c>
      <c r="DP13" s="4">
        <f>IF(_xlfn.XLOOKUP($B13,island_data!$B:$B,island_data!V:V,"NaN")="","NaN",_xlfn.XLOOKUP($B13,island_data!$B:$B,island_data!V:V,"NaN"))</f>
        <v>5</v>
      </c>
      <c r="DQ13" s="4">
        <f>IF(_xlfn.XLOOKUP($B13,island_data!$B:$B,island_data!W:W,"NaN")="","NaN",_xlfn.XLOOKUP($B13,island_data!$B:$B,island_data!W:W,"NaN"))</f>
        <v>7</v>
      </c>
      <c r="DR13" s="4">
        <f>IF(_xlfn.XLOOKUP($B13,island_data!$B:$B,island_data!X:X,"NaN")="","NaN",_xlfn.XLOOKUP($B13,island_data!$B:$B,island_data!X:X,"NaN"))</f>
        <v>5</v>
      </c>
      <c r="DS13" s="4" t="str">
        <f>IF(_xlfn.XLOOKUP($B13,island_data!$B:$B,island_data!Y:Y,"NaN")="","NaN",_xlfn.XLOOKUP($B13,island_data!$B:$B,island_data!Y:Y,"NaN"))</f>
        <v>NaN</v>
      </c>
      <c r="DT13" s="4" t="str">
        <f>IF(_xlfn.XLOOKUP($B13,island_data!$B:$B,island_data!Z:Z,"NaN")="","NaN",_xlfn.XLOOKUP($B13,island_data!$B:$B,island_data!Z:Z,"NaN"))</f>
        <v>NaN</v>
      </c>
      <c r="DU13" s="4" t="str">
        <f>IF(_xlfn.XLOOKUP($B13,island_data!$B:$B,island_data!AA:AA,"NaN")="","NaN",_xlfn.XLOOKUP($B13,island_data!$B:$B,island_data!AA:AA,"NaN"))</f>
        <v>NaN</v>
      </c>
      <c r="DV13" s="4">
        <f>IF(_xlfn.XLOOKUP($B13,island_data!$B:$B,island_data!AB:AB,"NaN")="","NaN",_xlfn.XLOOKUP($B13,island_data!$B:$B,island_data!AB:AB,"NaN"))</f>
        <v>4</v>
      </c>
      <c r="DW13" s="4">
        <f>IF(_xlfn.XLOOKUP($B13,island_data!$B:$B,island_data!AC:AC,"NaN")="","NaN",_xlfn.XLOOKUP($B13,island_data!$B:$B,island_data!AC:AC,"NaN"))</f>
        <v>19454</v>
      </c>
      <c r="DX13" s="4">
        <f>IF(_xlfn.XLOOKUP($B13,island_data!$B:$B,island_data!AD:AD,"NaN")="","NaN",_xlfn.XLOOKUP($B13,island_data!$B:$B,island_data!AD:AD,"NaN"))</f>
        <v>7</v>
      </c>
      <c r="DY13" s="4">
        <f>IF(_xlfn.XLOOKUP($B13,island_data!$B:$B,island_data!AE:AE,"NaN")="","NaN",_xlfn.XLOOKUP($B13,island_data!$B:$B,island_data!AE:AE,"NaN"))</f>
        <v>1</v>
      </c>
      <c r="DZ13" s="4" t="str">
        <f>IF(_xlfn.XLOOKUP($B13,island_data!$B:$B,island_data!AF:AF,"NaN")="","NaN",_xlfn.XLOOKUP($B13,island_data!$B:$B,island_data!AF:AF,"NaN"))</f>
        <v>NaN</v>
      </c>
      <c r="EA13" s="4" t="str">
        <f>IF(_xlfn.XLOOKUP($B13,island_data!$B:$B,island_data!AG:AG,"NaN")="","NaN",_xlfn.XLOOKUP($B13,island_data!$B:$B,island_data!AG:AG,"NaN"))</f>
        <v>NaN</v>
      </c>
      <c r="EB13" s="4" t="str">
        <f>IF(_xlfn.XLOOKUP($B13,island_data!$B:$B,island_data!AH:AH,"NaN")="","NaN",_xlfn.XLOOKUP($B13,island_data!$B:$B,island_data!AH:AH,"NaN"))</f>
        <v>NaN</v>
      </c>
      <c r="EC13" s="4" t="str">
        <f>IF(_xlfn.XLOOKUP($B13,island_data!$B:$B,island_data!AI:AI,"NaN")="","NaN",_xlfn.XLOOKUP($B13,island_data!$B:$B,island_data!AI:AI,"NaN"))</f>
        <v>NaN</v>
      </c>
      <c r="ED13" s="4" t="str">
        <f>IF(_xlfn.XLOOKUP($B13,island_data!$B:$B,island_data!AJ:AJ,"NaN")="","NaN",_xlfn.XLOOKUP($B13,island_data!$B:$B,island_data!AJ:AJ,"NaN"))</f>
        <v>NaN</v>
      </c>
      <c r="EE13" s="4" t="str">
        <f>IF(_xlfn.XLOOKUP($B13,island_data!$B:$B,island_data!AK:AK,"NaN")="","NaN",_xlfn.XLOOKUP($B13,island_data!$B:$B,island_data!AK:AK,"NaN"))</f>
        <v>NaN</v>
      </c>
      <c r="EF13" s="4" t="str">
        <f>IF(_xlfn.XLOOKUP($B13,island_data!$B:$B,island_data!AL:AL,"NaN")="","NaN",_xlfn.XLOOKUP($B13,island_data!$B:$B,island_data!AL:AL,"NaN"))</f>
        <v>NaN</v>
      </c>
      <c r="EG13" s="4" t="str">
        <f>IF(_xlfn.XLOOKUP($B13,island_data!$B:$B,island_data!AM:AM,"NaN")="","NaN",_xlfn.XLOOKUP($B13,island_data!$B:$B,island_data!AM:AM,"NaN"))</f>
        <v>NaN</v>
      </c>
      <c r="EH13" s="4" t="str">
        <f>IF(_xlfn.XLOOKUP($B13,island_data!$B:$B,island_data!AN:AN,"NaN")="","NaN",_xlfn.XLOOKUP($B13,island_data!$B:$B,island_data!AN:AN,"NaN"))</f>
        <v>NaN</v>
      </c>
      <c r="EI13" s="4" t="str">
        <f>IF(_xlfn.XLOOKUP($B13,island_data!$B:$B,island_data!AO:AO,"NaN")="","NaN",_xlfn.XLOOKUP($B13,island_data!$B:$B,island_data!AO:AO,"NaN"))</f>
        <v>NaN</v>
      </c>
      <c r="EJ13" s="8">
        <f>IF(_xlfn.XLOOKUP($A13,TabCAT!$A:$A,TabCAT!AU:AU,"NaN")="","NaN",(_xlfn.XLOOKUP($A13,TabCAT!$A:$A,TabCAT!AU:AU,"NaN")))</f>
        <v>180</v>
      </c>
      <c r="EK13" s="8" t="b">
        <f>IF(_xlfn.XLOOKUP($A13,TabCAT!$A:$A,TabCAT!AV:AV,"NaN")="","NaN",(_xlfn.XLOOKUP($A13,TabCAT!$A:$A,TabCAT!AV:AV,"NaN")))</f>
        <v>1</v>
      </c>
      <c r="EL13" s="8">
        <f>IF(_xlfn.XLOOKUP($A13,TabCAT!$A:$A,TabCAT!AW:AW,"NaN")="","NaN",(_xlfn.XLOOKUP($A13,TabCAT!$A:$A,TabCAT!AW:AW,"NaN")))</f>
        <v>6</v>
      </c>
      <c r="EM13" s="8">
        <f>IF(_xlfn.XLOOKUP($A13,TabCAT!$A:$A,TabCAT!AX:AX,"NaN")="","NaN",(_xlfn.XLOOKUP($A13,TabCAT!$A:$A,TabCAT!AX:AX,"NaN")))</f>
        <v>0</v>
      </c>
      <c r="EN13" s="8">
        <f>IF(_xlfn.XLOOKUP($A13,TabCAT!$A:$A,TabCAT!AY:AY,"NaN")="","NaN",(_xlfn.XLOOKUP($A13,TabCAT!$A:$A,TabCAT!AY:AY,"NaN")))</f>
        <v>9.1</v>
      </c>
      <c r="EO13" s="8">
        <f>IF(_xlfn.XLOOKUP($A13,TabCAT!$A:$A,TabCAT!AZ:AZ,"NaN")="","NaN",(_xlfn.XLOOKUP($A13,TabCAT!$A:$A,TabCAT!AZ:AZ,"NaN")))</f>
        <v>32</v>
      </c>
      <c r="EP13" s="8">
        <f>IF(_xlfn.XLOOKUP($A13,TabCAT!$A:$A,TabCAT!BA:BA,"NaN")="","NaN",(_xlfn.XLOOKUP($A13,TabCAT!$A:$A,TabCAT!BA:BA,"NaN")))</f>
        <v>0.69184500000000004</v>
      </c>
      <c r="EQ13" s="8">
        <f>IF(_xlfn.XLOOKUP($A13,TabCAT!$A:$A,TabCAT!BB:BB,"NaN")="","NaN",(_xlfn.XLOOKUP($A13,TabCAT!$A:$A,TabCAT!BB:BB,"NaN")))</f>
        <v>0.18746561227235101</v>
      </c>
      <c r="ER13" s="8">
        <f>IF(_xlfn.XLOOKUP($A13,TabCAT!$A:$A,TabCAT!BC:BC,"NaN")="","NaN",(_xlfn.XLOOKUP($A13,TabCAT!$A:$A,TabCAT!BC:BC,"NaN")))</f>
        <v>16</v>
      </c>
      <c r="ES13" s="8">
        <f>IF(_xlfn.XLOOKUP($A13,TabCAT!$A:$A,TabCAT!BD:BD,"NaN")="","NaN",(_xlfn.XLOOKUP($A13,TabCAT!$A:$A,TabCAT!BD:BD,"NaN")))</f>
        <v>0.62105900000000003</v>
      </c>
      <c r="ET13" s="8">
        <f>IF(_xlfn.XLOOKUP($A13,TabCAT!$A:$A,TabCAT!BE:BE,"NaN")="","NaN",(_xlfn.XLOOKUP($A13,TabCAT!$A:$A,TabCAT!BE:BE,"NaN")))</f>
        <v>16</v>
      </c>
      <c r="EU13" s="8">
        <f>IF(_xlfn.XLOOKUP($A13,TabCAT!$A:$A,TabCAT!BF:BF,"NaN")="","NaN",(_xlfn.XLOOKUP($A13,TabCAT!$A:$A,TabCAT!BF:BF,"NaN")))</f>
        <v>0.71269850000000001</v>
      </c>
      <c r="EV13" s="8" t="str">
        <f>IF(_xlfn.XLOOKUP($A13,TabCAT!$A:$A,TabCAT!BG:BG,"NaN")="","NaN",(_xlfn.XLOOKUP($A13,TabCAT!$A:$A,TabCAT!BG:BG,"NaN")))</f>
        <v>NaN</v>
      </c>
      <c r="EW13" s="8" t="str">
        <f>IF(_xlfn.XLOOKUP($A13,TabCAT!$A:$A,TabCAT!BH:BH,"NaN")="","NaN",(_xlfn.XLOOKUP($A13,TabCAT!$A:$A,TabCAT!BH:BH,"NaN")))</f>
        <v>3.0.0</v>
      </c>
      <c r="EX13" s="8" t="str">
        <f>IF(_xlfn.XLOOKUP($A13,TabCAT!$A:$A,TabCAT!BI:BI,"NaN")="","NaN",(_xlfn.XLOOKUP($A13,TabCAT!$A:$A,TabCAT!BI:BI,"NaN")))</f>
        <v>English</v>
      </c>
      <c r="EY13" s="8">
        <f>IF(_xlfn.XLOOKUP($A13,TabCAT!$A:$A,TabCAT!BJ:BJ,"NaN")="","NaN",(_xlfn.XLOOKUP($A13,TabCAT!$A:$A,TabCAT!BJ:BJ,"NaN")))</f>
        <v>241</v>
      </c>
      <c r="EZ13" s="8">
        <f>IF(_xlfn.XLOOKUP($A13,TabCAT!$A:$A,TabCAT!BK:BK,"NaN")="","NaN",(_xlfn.XLOOKUP($A13,TabCAT!$A:$A,TabCAT!BK:BK,"NaN")))</f>
        <v>1</v>
      </c>
      <c r="FA13" s="8">
        <f>IF(_xlfn.XLOOKUP($A13,TabCAT!$A:$A,TabCAT!BL:BL,"NaN")="","NaN",(_xlfn.XLOOKUP($A13,TabCAT!$A:$A,TabCAT!BL:BL,"NaN")))</f>
        <v>6</v>
      </c>
      <c r="FB13" s="8">
        <f>IF(_xlfn.XLOOKUP($A13,TabCAT!$A:$A,TabCAT!BM:BM,"NaN")="","NaN",(_xlfn.XLOOKUP($A13,TabCAT!$A:$A,TabCAT!BM:BM,"NaN")))</f>
        <v>1</v>
      </c>
      <c r="FC13" s="8">
        <f>IF(_xlfn.XLOOKUP($A13,TabCAT!$A:$A,TabCAT!BN:BN,"NaN")="","NaN",(_xlfn.XLOOKUP($A13,TabCAT!$A:$A,TabCAT!BN:BN,"NaN")))</f>
        <v>6</v>
      </c>
      <c r="FD13" s="8">
        <f>IF(_xlfn.XLOOKUP($A13,TabCAT!$A:$A,TabCAT!BO:BO,"NaN")="","NaN",(_xlfn.XLOOKUP($A13,TabCAT!$A:$A,TabCAT!BO:BO,"NaN")))</f>
        <v>8</v>
      </c>
      <c r="FE13" s="8">
        <f>IF(_xlfn.XLOOKUP($A13,TabCAT!$A:$A,TabCAT!BP:BP,"NaN")="","NaN",(_xlfn.XLOOKUP($A13,TabCAT!$A:$A,TabCAT!BP:BP,"NaN")))</f>
        <v>0.88888888888888795</v>
      </c>
      <c r="FF13" s="8">
        <f>IF(_xlfn.XLOOKUP($A13,TabCAT!$A:$A,TabCAT!BQ:BQ,"NaN")="","NaN",(_xlfn.XLOOKUP($A13,TabCAT!$A:$A,TabCAT!BQ:BQ,"NaN")))</f>
        <v>8</v>
      </c>
      <c r="FG13" s="8">
        <f>IF(_xlfn.XLOOKUP($A13,TabCAT!$A:$A,TabCAT!BR:BR,"NaN")="","NaN",(_xlfn.XLOOKUP($A13,TabCAT!$A:$A,TabCAT!BR:BR,"NaN")))</f>
        <v>12</v>
      </c>
      <c r="FH13" s="8">
        <f>IF(_xlfn.XLOOKUP($A13,TabCAT!$A:$A,TabCAT!BS:BS,"NaN")="","NaN",(_xlfn.XLOOKUP($A13,TabCAT!$A:$A,TabCAT!BS:BS,"NaN")))</f>
        <v>1</v>
      </c>
      <c r="FI13" s="8">
        <f>IF(_xlfn.XLOOKUP($A13,TabCAT!$A:$A,TabCAT!BT:BT,"NaN")="","NaN",(_xlfn.XLOOKUP($A13,TabCAT!$A:$A,TabCAT!BT:BT,"NaN")))</f>
        <v>10</v>
      </c>
      <c r="FJ13" s="8">
        <f>IF(_xlfn.XLOOKUP($A13,TabCAT!$A:$A,TabCAT!BU:BU,"NaN")="","NaN",(_xlfn.XLOOKUP($A13,TabCAT!$A:$A,TabCAT!BU:BU,"NaN")))</f>
        <v>11</v>
      </c>
      <c r="FK13" s="8">
        <f>IF(_xlfn.XLOOKUP($A13,TabCAT!$A:$A,TabCAT!BV:BV,"NaN")="","NaN",(_xlfn.XLOOKUP($A13,TabCAT!$A:$A,TabCAT!BV:BV,"NaN")))</f>
        <v>0.73333333333333295</v>
      </c>
      <c r="FL13" s="8">
        <f>IF(_xlfn.XLOOKUP($A13,TabCAT!$A:$A,TabCAT!BW:BW,"NaN")="","NaN",(_xlfn.XLOOKUP($A13,TabCAT!$A:$A,TabCAT!BW:BW,"NaN")))</f>
        <v>7.5</v>
      </c>
      <c r="FM13" s="8">
        <f>IF(_xlfn.XLOOKUP($A13,TabCAT!$A:$A,TabCAT!BX:BX,"NaN")="","NaN",(_xlfn.XLOOKUP($A13,TabCAT!$A:$A,TabCAT!BX:BX,"NaN")))</f>
        <v>37</v>
      </c>
      <c r="FN13" s="8">
        <f>IF(_xlfn.XLOOKUP($A13,TabCAT!$A:$A,TabCAT!BY:BY,"NaN")="","NaN",(_xlfn.XLOOKUP($A13,TabCAT!$A:$A,TabCAT!BY:BY,"NaN")))</f>
        <v>0.88095238095238004</v>
      </c>
      <c r="FO13" s="8">
        <f>IF(_xlfn.XLOOKUP($A13,TabCAT!$A:$A,TabCAT!BZ:BZ,"NaN")="","NaN",(_xlfn.XLOOKUP($A13,TabCAT!$A:$A,TabCAT!BZ:BZ,"NaN")))</f>
        <v>31.5</v>
      </c>
      <c r="FP13" s="8" t="str">
        <f>IF(_xlfn.XLOOKUP($A13,TabCAT!$A:$A,TabCAT!CA:CA,"NaN")="","NaN",(_xlfn.XLOOKUP($A13,TabCAT!$A:$A,TabCAT!CA:CA,"NaN")))</f>
        <v>3.0.0</v>
      </c>
      <c r="FQ13" s="8" t="str">
        <f>IF(_xlfn.XLOOKUP($A13,TabCAT!$A:$A,TabCAT!CB:CB,"NaN")="","NaN",(_xlfn.XLOOKUP($A13,TabCAT!$A:$A,TabCAT!CB:CB,"NaN")))</f>
        <v>English</v>
      </c>
      <c r="FR13" s="8">
        <f>IF(_xlfn.XLOOKUP($A13,TabCAT!$A:$A,TabCAT!CC:CC,"NaN")="","NaN",(_xlfn.XLOOKUP($A13,TabCAT!$A:$A,TabCAT!CC:CC,"NaN")))</f>
        <v>215</v>
      </c>
      <c r="FS13" s="8" t="b">
        <f>IF(_xlfn.XLOOKUP($A13,TabCAT!$A:$A,TabCAT!CD:CD,"NaN")="","NaN",(_xlfn.XLOOKUP($A13,TabCAT!$A:$A,TabCAT!CD:CD,"NaN")))</f>
        <v>1</v>
      </c>
      <c r="FT13" s="8">
        <f>IF(_xlfn.XLOOKUP($A13,TabCAT!$A:$A,TabCAT!CE:CE,"NaN")="","NaN",(_xlfn.XLOOKUP($A13,TabCAT!$A:$A,TabCAT!CE:CE,"NaN")))</f>
        <v>8</v>
      </c>
      <c r="FU13" s="8">
        <f>IF(_xlfn.XLOOKUP($A13,TabCAT!$A:$A,TabCAT!CF:CF,"NaN")="","NaN",(_xlfn.XLOOKUP($A13,TabCAT!$A:$A,TabCAT!CF:CF,"NaN")))</f>
        <v>0</v>
      </c>
      <c r="FV13" s="8">
        <f>IF(_xlfn.XLOOKUP($A13,TabCAT!$A:$A,TabCAT!CG:CG,"NaN")="","NaN",(_xlfn.XLOOKUP($A13,TabCAT!$A:$A,TabCAT!CG:CG,"NaN")))</f>
        <v>8.2799999999999994</v>
      </c>
      <c r="FW13" s="8">
        <f>IF(_xlfn.XLOOKUP($A13,TabCAT!$A:$A,TabCAT!CH:CH,"NaN")="","NaN",(_xlfn.XLOOKUP($A13,TabCAT!$A:$A,TabCAT!CH:CH,"NaN")))</f>
        <v>16</v>
      </c>
      <c r="FX13" s="8">
        <f>IF(_xlfn.XLOOKUP($A13,TabCAT!$A:$A,TabCAT!CI:CI,"NaN")="","NaN",(_xlfn.XLOOKUP($A13,TabCAT!$A:$A,TabCAT!CI:CI,"NaN")))</f>
        <v>0.56730049999999999</v>
      </c>
      <c r="FY13" s="8">
        <f>IF(_xlfn.XLOOKUP($A13,TabCAT!$A:$A,TabCAT!CJ:CJ,"NaN")="","NaN",(_xlfn.XLOOKUP($A13,TabCAT!$A:$A,TabCAT!CJ:CJ,"NaN")))</f>
        <v>15</v>
      </c>
      <c r="FZ13" s="8">
        <f>IF(_xlfn.XLOOKUP($A13,TabCAT!$A:$A,TabCAT!CK:CK,"NaN")="","NaN",(_xlfn.XLOOKUP($A13,TabCAT!$A:$A,TabCAT!CK:CK,"NaN")))</f>
        <v>0.77141499999999996</v>
      </c>
      <c r="GA13" s="8">
        <f>IF(_xlfn.XLOOKUP($A13,TabCAT!$A:$A,TabCAT!CL:CL,"NaN")="","NaN",(_xlfn.XLOOKUP($A13,TabCAT!$A:$A,TabCAT!CL:CL,"NaN")))</f>
        <v>32</v>
      </c>
      <c r="GB13" s="8">
        <f>IF(_xlfn.XLOOKUP($A13,TabCAT!$A:$A,TabCAT!CM:CM,"NaN")="","NaN",(_xlfn.XLOOKUP($A13,TabCAT!$A:$A,TabCAT!CM:CM,"NaN")))</f>
        <v>0.76301649999999999</v>
      </c>
      <c r="GC13" s="8">
        <f>IF(_xlfn.XLOOKUP($A13,TabCAT!$A:$A,TabCAT!CN:CN,"NaN")="","NaN",(_xlfn.XLOOKUP($A13,TabCAT!$A:$A,TabCAT!CN:CN,"NaN")))</f>
        <v>20</v>
      </c>
      <c r="GD13" s="8">
        <f>IF(_xlfn.XLOOKUP($A13,TabCAT!$A:$A,TabCAT!CO:CO,"NaN")="","NaN",(_xlfn.XLOOKUP($A13,TabCAT!$A:$A,TabCAT!CO:CO,"NaN")))</f>
        <v>0.78792299999999904</v>
      </c>
      <c r="GE13" s="8">
        <f>IF(_xlfn.XLOOKUP($A13,TabCAT!$A:$A,TabCAT!CP:CP,"NaN")="","NaN",(_xlfn.XLOOKUP($A13,TabCAT!$A:$A,TabCAT!CP:CP,"NaN")))</f>
        <v>0.28199865810214397</v>
      </c>
      <c r="GF13" s="8">
        <f>IF(_xlfn.XLOOKUP($A13,TabCAT!$A:$A,TabCAT!CQ:CQ,"NaN")="","NaN",(_xlfn.XLOOKUP($A13,TabCAT!$A:$A,TabCAT!CQ:CQ,"NaN")))</f>
        <v>53</v>
      </c>
      <c r="GG13" s="8">
        <f>IF(_xlfn.XLOOKUP($A13,TabCAT!$A:$A,TabCAT!CR:CR,"NaN")="","NaN",(_xlfn.XLOOKUP($A13,TabCAT!$A:$A,TabCAT!CR:CR,"NaN")))</f>
        <v>0.67988899999999997</v>
      </c>
      <c r="GH13" s="8" t="str">
        <f>IF(_xlfn.XLOOKUP($A13,TabCAT!$A:$A,TabCAT!CS:CS,"NaN")="","NaN",(_xlfn.XLOOKUP($A13,TabCAT!$A:$A,TabCAT!CS:CS,"NaN")))</f>
        <v>NaN</v>
      </c>
    </row>
    <row r="14" spans="1:190" x14ac:dyDescent="0.2">
      <c r="A14">
        <v>10572</v>
      </c>
      <c r="B14">
        <f>_xlfn.XLOOKUP(bippity_poppity_boo!A14,rf1_data!A:A,rf1_data!B:B)</f>
        <v>10252</v>
      </c>
      <c r="C14" s="2">
        <f>(_xlfn.XLOOKUP($A14,trust!$A:$A,trust!B:B,"NaN"))</f>
        <v>3</v>
      </c>
      <c r="D14" s="2">
        <f>(_xlfn.XLOOKUP($A14,trust!$A:$A,trust!C:C,"NaN"))</f>
        <v>3.0909089999999999</v>
      </c>
      <c r="E14" s="2">
        <f>(_xlfn.XLOOKUP($A14,trust!$A:$A,trust!D:D,"NaN"))</f>
        <v>3.5</v>
      </c>
      <c r="F14" s="2">
        <f>(_xlfn.XLOOKUP($A14,trust!$A:$A,trust!E:E,"NaN"))</f>
        <v>3.454545</v>
      </c>
      <c r="G14" s="2">
        <f>(_xlfn.XLOOKUP($A14,trust!$A:$A,trust!F:F,"NaN"))</f>
        <v>4.5454549999999996</v>
      </c>
      <c r="H14" s="2">
        <f>(_xlfn.XLOOKUP($A14,trust!$A:$A,trust!G:G,"NaN"))</f>
        <v>3.1666669999999999</v>
      </c>
      <c r="I14" s="3">
        <f>IF(_xlfn.XLOOKUP($B14,island_data!$B:$B,island_data!C:C,"NaN")="","NaN",_xlfn.XLOOKUP($B14,island_data!$B:$B,island_data!C:C,"NaN"))</f>
        <v>45106</v>
      </c>
      <c r="J14" s="3">
        <f>IF(_xlfn.XLOOKUP($B14,island_data!$B:$B,island_data!D:D,"NaN")="","NaN",_xlfn.XLOOKUP($B14,island_data!$B:$B,island_data!D:D,"NaN"))</f>
        <v>19250</v>
      </c>
      <c r="K14" s="4">
        <f>IF(_xlfn.XLOOKUP($B14,island_data!$B:$B,island_data!E:E,"NaN")="","NaN",_xlfn.XLOOKUP($B14,island_data!$B:$B,island_data!E:E,"NaN"))</f>
        <v>70.790000000000006</v>
      </c>
      <c r="L14" s="5">
        <f>IF(_xlfn.XLOOKUP($B14,rf1_data!$B:$B,rf1_data!D:D,"NaN")="","NaN",(_xlfn.XLOOKUP($B14,rf1_data!$B:$B,rf1_data!D:D,"NaN")))</f>
        <v>70.459999999999994</v>
      </c>
      <c r="M14" s="5" t="str">
        <f>IF(_xlfn.XLOOKUP($B14,rf1_data!$B:$B,rf1_data!E:E,"NaN")="","NaN",(_xlfn.XLOOKUP($B14,rf1_data!$B:$B,rf1_data!E:E,"NaN")))</f>
        <v>White</v>
      </c>
      <c r="N14" s="5" t="str">
        <f>IF(_xlfn.XLOOKUP($B14,rf1_data!$B:$B,rf1_data!F:F,"NaN")="","NaN",(_xlfn.XLOOKUP($B14,rf1_data!$B:$B,rf1_data!F:F,"NaN")))</f>
        <v>Not Hispanic or Latino</v>
      </c>
      <c r="O14" s="5" t="str">
        <f>IF(_xlfn.XLOOKUP($B14,rf1_data!$B:$B,rf1_data!G:G,"NaN")="","NaN",(_xlfn.XLOOKUP($B14,rf1_data!$B:$B,rf1_data!G:G,"NaN")))</f>
        <v>Female</v>
      </c>
      <c r="P14" s="5">
        <f>IF(_xlfn.XLOOKUP($B14,rf1_data!$B:$B,rf1_data!H:H,"NaN")="","NaN",(_xlfn.XLOOKUP($B14,rf1_data!$B:$B,rf1_data!H:H,"NaN")))</f>
        <v>4.22</v>
      </c>
      <c r="Q14" s="5">
        <f>IF(_xlfn.XLOOKUP($B14,rf1_data!$B:$B,rf1_data!I:I,"NaN")="","NaN",(_xlfn.XLOOKUP($B14,rf1_data!$B:$B,rf1_data!I:I,"NaN")))</f>
        <v>3.1</v>
      </c>
      <c r="R14" s="5">
        <f>IF(_xlfn.XLOOKUP($B14,rf1_data!$B:$B,rf1_data!J:J,"NaN")="","NaN",(_xlfn.XLOOKUP($B14,rf1_data!$B:$B,rf1_data!J:J,"NaN")))</f>
        <v>0</v>
      </c>
      <c r="S14" s="5">
        <f>IF(_xlfn.XLOOKUP($B14,rf1_data!$B:$B,rf1_data!K:K,"NaN")="","NaN",(_xlfn.XLOOKUP($B14,rf1_data!$B:$B,rf1_data!K:K,"NaN")))</f>
        <v>0</v>
      </c>
      <c r="T14" s="5">
        <f>IF(_xlfn.XLOOKUP($B14,rf1_data!$B:$B,rf1_data!L:L,"NaN")="","NaN",(_xlfn.XLOOKUP($B14,rf1_data!$B:$B,rf1_data!L:L,"NaN")))</f>
        <v>0</v>
      </c>
      <c r="U14" s="5">
        <f>IF(_xlfn.XLOOKUP($B14,rf1_data!$B:$B,rf1_data!M:M,"NaN")="","NaN",(_xlfn.XLOOKUP($B14,rf1_data!$B:$B,rf1_data!M:M,"NaN")))</f>
        <v>6.17</v>
      </c>
      <c r="V14" s="5">
        <f>IF(_xlfn.XLOOKUP($B14,rf1_data!$B:$B,rf1_data!N:N,"NaN")="","NaN",(_xlfn.XLOOKUP($B14,rf1_data!$B:$B,rf1_data!N:N,"NaN")))</f>
        <v>5.67</v>
      </c>
      <c r="W14" s="5">
        <f>IF(_xlfn.XLOOKUP($B14,rf1_data!$B:$B,rf1_data!O:O,"NaN")="","NaN",(_xlfn.XLOOKUP($B14,rf1_data!$B:$B,rf1_data!O:O,"NaN")))</f>
        <v>6.13</v>
      </c>
      <c r="X14" s="5">
        <f>IF(_xlfn.XLOOKUP($B14,rf1_data!$B:$B,rf1_data!P:P,"NaN")="","NaN",(_xlfn.XLOOKUP($B14,rf1_data!$B:$B,rf1_data!P:P,"NaN")))</f>
        <v>5.17</v>
      </c>
      <c r="Y14" s="5">
        <f>IF(_xlfn.XLOOKUP($B14,rf1_data!$B:$B,rf1_data!Q:Q,"NaN")="","NaN",(_xlfn.XLOOKUP($B14,rf1_data!$B:$B,rf1_data!Q:Q,"NaN")))</f>
        <v>5.83</v>
      </c>
      <c r="Z14" s="5">
        <f>IF(_xlfn.XLOOKUP($B14,rf1_data!$B:$B,rf1_data!R:R,"NaN")="","NaN",(_xlfn.XLOOKUP($B14,rf1_data!$B:$B,rf1_data!R:R,"NaN")))</f>
        <v>4</v>
      </c>
      <c r="AA14" s="5">
        <f>IF(_xlfn.XLOOKUP($B14,rf1_data!$B:$B,rf1_data!S:S,"NaN")="","NaN",(_xlfn.XLOOKUP($B14,rf1_data!$B:$B,rf1_data!S:S,"NaN")))</f>
        <v>0</v>
      </c>
      <c r="AB14" s="5">
        <f>IF(_xlfn.XLOOKUP($B14,rf1_data!$B:$B,rf1_data!T:T,"NaN")="","NaN",(_xlfn.XLOOKUP($B14,rf1_data!$B:$B,rf1_data!T:T,"NaN")))</f>
        <v>1</v>
      </c>
      <c r="AC14" s="5">
        <f>IF(_xlfn.XLOOKUP($B14,rf1_data!$B:$B,rf1_data!U:U,"NaN")="","NaN",(_xlfn.XLOOKUP($B14,rf1_data!$B:$B,rf1_data!U:U,"NaN")))</f>
        <v>0</v>
      </c>
      <c r="AD14" s="5">
        <f>IF(_xlfn.XLOOKUP($B14,rf1_data!$B:$B,rf1_data!V:V,"NaN")="","NaN",(_xlfn.XLOOKUP($B14,rf1_data!$B:$B,rf1_data!V:V,"NaN")))</f>
        <v>3</v>
      </c>
      <c r="AE14" s="5">
        <f>IF(_xlfn.XLOOKUP($B14,rf1_data!$B:$B,rf1_data!W:W,"NaN")="","NaN",(_xlfn.XLOOKUP($B14,rf1_data!$B:$B,rf1_data!W:W,"NaN")))</f>
        <v>2</v>
      </c>
      <c r="AF14" s="5">
        <f>IF(_xlfn.XLOOKUP($B14,rf1_data!$B:$B,rf1_data!X:X,"NaN")="","NaN",(_xlfn.XLOOKUP($B14,rf1_data!$B:$B,rf1_data!X:X,"NaN")))</f>
        <v>4</v>
      </c>
      <c r="AG14" s="5">
        <f>IF(_xlfn.XLOOKUP($B14,rf1_data!$B:$B,rf1_data!Y:Y,"NaN")="","NaN",(_xlfn.XLOOKUP($B14,rf1_data!$B:$B,rf1_data!Y:Y,"NaN")))</f>
        <v>5</v>
      </c>
      <c r="AH14" s="5">
        <f>IF(_xlfn.XLOOKUP($B14,rf1_data!$B:$B,rf1_data!Z:Z,"NaN")="","NaN",(_xlfn.XLOOKUP($B14,rf1_data!$B:$B,rf1_data!Z:Z,"NaN")))</f>
        <v>3</v>
      </c>
      <c r="AI14" s="5">
        <f>IF(_xlfn.XLOOKUP($B14,rf1_data!$B:$B,rf1_data!AA:AA,"NaN")="","NaN",(_xlfn.XLOOKUP($B14,rf1_data!$B:$B,rf1_data!AA:AA,"NaN")))</f>
        <v>4</v>
      </c>
      <c r="AJ14" s="5">
        <f>IF(_xlfn.XLOOKUP($B14,rf1_data!$B:$B,rf1_data!AB:AB,"NaN")="","NaN",(_xlfn.XLOOKUP($B14,rf1_data!$B:$B,rf1_data!AB:AB,"NaN")))</f>
        <v>18</v>
      </c>
      <c r="AK14" s="5">
        <f>IF(_xlfn.XLOOKUP($B14,rf1_data!$B:$B,rf1_data!AC:AC,"NaN")="","NaN",(_xlfn.XLOOKUP($B14,rf1_data!$B:$B,rf1_data!AC:AC,"NaN")))</f>
        <v>31</v>
      </c>
      <c r="AL14" s="5">
        <f>IF(_xlfn.XLOOKUP($B14,rf1_data!$B:$B,rf1_data!AD:AD,"NaN")="","NaN",(_xlfn.XLOOKUP($B14,rf1_data!$B:$B,rf1_data!AD:AD,"NaN")))</f>
        <v>12</v>
      </c>
      <c r="AM14" s="5">
        <f>IF(_xlfn.XLOOKUP($B14,rf1_data!$B:$B,rf1_data!AE:AE,"NaN")="","NaN",(_xlfn.XLOOKUP($B14,rf1_data!$B:$B,rf1_data!AE:AE,"NaN")))</f>
        <v>0</v>
      </c>
      <c r="AN14" s="5">
        <f>IF(_xlfn.XLOOKUP($B14,rf1_data!$B:$B,rf1_data!AF:AF,"NaN")="","NaN",(_xlfn.XLOOKUP($B14,rf1_data!$B:$B,rf1_data!AF:AF,"NaN")))</f>
        <v>0</v>
      </c>
      <c r="AO14" s="5">
        <f>IF(_xlfn.XLOOKUP($B14,rf1_data!$B:$B,rf1_data!AG:AG,"NaN")="","NaN",(_xlfn.XLOOKUP($B14,rf1_data!$B:$B,rf1_data!AG:AG,"NaN")))</f>
        <v>6</v>
      </c>
      <c r="AP14" s="5">
        <f>IF(_xlfn.XLOOKUP($B14,rf1_data!$B:$B,rf1_data!AH:AH,"NaN")="","NaN",(_xlfn.XLOOKUP($B14,rf1_data!$B:$B,rf1_data!AH:AH,"NaN")))</f>
        <v>6</v>
      </c>
      <c r="AQ14" s="5">
        <f>IF(_xlfn.XLOOKUP($B14,rf1_data!$B:$B,rf1_data!AI:AI,"NaN")="","NaN",(_xlfn.XLOOKUP($B14,rf1_data!$B:$B,rf1_data!AI:AI,"NaN")))</f>
        <v>6</v>
      </c>
      <c r="AR14" s="5">
        <f>IF(_xlfn.XLOOKUP($B14,rf1_data!$B:$B,rf1_data!AJ:AJ,"NaN")="","NaN",(_xlfn.XLOOKUP($B14,rf1_data!$B:$B,rf1_data!AJ:AJ,"NaN")))</f>
        <v>6</v>
      </c>
      <c r="AS14" s="5">
        <f>IF(_xlfn.XLOOKUP($B14,rf1_data!$B:$B,rf1_data!AK:AK,"NaN")="","NaN",(_xlfn.XLOOKUP($B14,rf1_data!$B:$B,rf1_data!AK:AK,"NaN")))</f>
        <v>2.6</v>
      </c>
      <c r="AT14" s="5">
        <f>IF(_xlfn.XLOOKUP($B14,rf1_data!$B:$B,rf1_data!AL:AL,"NaN")="","NaN",(_xlfn.XLOOKUP($B14,rf1_data!$B:$B,rf1_data!AL:AL,"NaN")))</f>
        <v>6</v>
      </c>
      <c r="AU14" s="5">
        <f>IF(_xlfn.XLOOKUP($B14,rf1_data!$B:$B,rf1_data!AM:AM,"NaN")="","NaN",(_xlfn.XLOOKUP($B14,rf1_data!$B:$B,rf1_data!AM:AM,"NaN")))</f>
        <v>2.25</v>
      </c>
      <c r="AV14" s="5">
        <f>IF(_xlfn.XLOOKUP($B14,rf1_data!$B:$B,rf1_data!AN:AN,"NaN")="","NaN",(_xlfn.XLOOKUP($B14,rf1_data!$B:$B,rf1_data!AN:AN,"NaN")))</f>
        <v>0</v>
      </c>
      <c r="AW14" s="5">
        <f>IF(_xlfn.XLOOKUP($B14,rf1_data!$B:$B,rf1_data!AO:AO,"NaN")="","NaN",(_xlfn.XLOOKUP($B14,rf1_data!$B:$B,rf1_data!AO:AO,"NaN")))</f>
        <v>3.17</v>
      </c>
      <c r="AX14" s="5">
        <f>IF(_xlfn.XLOOKUP($B14,rf1_data!$B:$B,rf1_data!AP:AP,"NaN")="","NaN",(_xlfn.XLOOKUP($B14,rf1_data!$B:$B,rf1_data!AP:AP,"NaN")))</f>
        <v>2.69</v>
      </c>
      <c r="AY14" s="5">
        <f>IF(_xlfn.XLOOKUP($B14,rf1_data!$B:$B,rf1_data!AQ:AQ,"NaN")="","NaN",(_xlfn.XLOOKUP($B14,rf1_data!$B:$B,rf1_data!AQ:AQ,"NaN")))</f>
        <v>72</v>
      </c>
      <c r="AZ14" s="5" t="str">
        <f>IF(_xlfn.XLOOKUP($B14,rf1_data!$B:$B,rf1_data!AR:AR,"NaN")="","NaN",(_xlfn.XLOOKUP($B14,rf1_data!$B:$B,rf1_data!AR:AR,"NaN")))</f>
        <v>NaN</v>
      </c>
      <c r="BA14" s="5" t="str">
        <f>IF(_xlfn.XLOOKUP($B14,rf1_data!$B:$B,rf1_data!AS:AS,"NaN")="","NaN",(_xlfn.XLOOKUP($B14,rf1_data!$B:$B,rf1_data!AS:AS,"NaN")))</f>
        <v>NaN</v>
      </c>
      <c r="BB14" s="5" t="str">
        <f>IF(_xlfn.XLOOKUP($B14,rf1_data!$B:$B,rf1_data!AT:AT,"NaN")="","NaN",(_xlfn.XLOOKUP($B14,rf1_data!$B:$B,rf1_data!AT:AT,"NaN")))</f>
        <v>NaN</v>
      </c>
      <c r="BC14" s="5" t="str">
        <f>IF(_xlfn.XLOOKUP($B14,rf1_data!$B:$B,rf1_data!AU:AU,"NaN")="","NaN",(_xlfn.XLOOKUP($B14,rf1_data!$B:$B,rf1_data!AU:AU,"NaN")))</f>
        <v>NaN</v>
      </c>
      <c r="BD14" s="5" t="str">
        <f>IF(_xlfn.XLOOKUP($B14,rf1_data!$B:$B,rf1_data!AV:AV,"NaN")="","NaN",(_xlfn.XLOOKUP($B14,rf1_data!$B:$B,rf1_data!AV:AV,"NaN")))</f>
        <v>NaN</v>
      </c>
      <c r="BE14" s="5" t="str">
        <f>IF(_xlfn.XLOOKUP($B14,rf1_data!$B:$B,rf1_data!AW:AW,"NaN")="","NaN",(_xlfn.XLOOKUP($B14,rf1_data!$B:$B,rf1_data!AW:AW,"NaN")))</f>
        <v>NaN</v>
      </c>
      <c r="BF14" s="5" t="str">
        <f>IF(_xlfn.XLOOKUP($B14,rf1_data!$B:$B,rf1_data!AX:AX,"NaN")="","NaN",(_xlfn.XLOOKUP($B14,rf1_data!$B:$B,rf1_data!AX:AX,"NaN")))</f>
        <v>NaN</v>
      </c>
      <c r="BG14" s="5" t="str">
        <f>IF(_xlfn.XLOOKUP($B14,rf1_data!$B:$B,rf1_data!AY:AY,"NaN")="","NaN",(_xlfn.XLOOKUP($B14,rf1_data!$B:$B,rf1_data!AY:AY,"NaN")))</f>
        <v>NaN</v>
      </c>
      <c r="BH14" s="5" t="str">
        <f>IF(_xlfn.XLOOKUP($B14,rf1_data!$B:$B,rf1_data!AZ:AZ,"NaN")="","NaN",(_xlfn.XLOOKUP($B14,rf1_data!$B:$B,rf1_data!AZ:AZ,"NaN")))</f>
        <v>NaN</v>
      </c>
      <c r="BI14" s="5">
        <f>IF(_xlfn.XLOOKUP($B14,rf1_data!$B:$B,rf1_data!BA:BA,"NaN")="","NaN",(_xlfn.XLOOKUP($B14,rf1_data!$B:$B,rf1_data!BA:BA,"NaN")))</f>
        <v>20</v>
      </c>
      <c r="BJ14" s="5" t="str">
        <f>IF(_xlfn.XLOOKUP($B14,rf1_data!$B:$B,rf1_data!BB:BB,"NaN")="","NaN",(_xlfn.XLOOKUP($B14,rf1_data!$B:$B,rf1_data!BB:BB,"NaN")))</f>
        <v>NaN</v>
      </c>
      <c r="BK14" s="5" t="str">
        <f>IF(_xlfn.XLOOKUP($B14,rf1_data!$B:$B,rf1_data!BC:BC,"NaN")="","NaN",(_xlfn.XLOOKUP($B14,rf1_data!$B:$B,rf1_data!BC:BC,"NaN")))</f>
        <v>NaN</v>
      </c>
      <c r="BL14" s="5" t="str">
        <f>IF(_xlfn.XLOOKUP($B14,rf1_data!$B:$B,rf1_data!BD:BD,"NaN")="","NaN",(_xlfn.XLOOKUP($B14,rf1_data!$B:$B,rf1_data!BD:BD,"NaN")))</f>
        <v>NaN</v>
      </c>
      <c r="BM14" s="5" t="str">
        <f>IF(_xlfn.XLOOKUP($B14,rf1_data!$B:$B,rf1_data!BE:BE,"NaN")="","NaN",(_xlfn.XLOOKUP($B14,rf1_data!$B:$B,rf1_data!BE:BE,"NaN")))</f>
        <v>NaN</v>
      </c>
      <c r="BN14" s="5" t="str">
        <f>IF(_xlfn.XLOOKUP($B14,rf1_data!$B:$B,rf1_data!BF:BF,"NaN")="","NaN",(_xlfn.XLOOKUP($B14,rf1_data!$B:$B,rf1_data!BF:BF,"NaN")))</f>
        <v>NaN</v>
      </c>
      <c r="BO14" s="5" t="str">
        <f>IF(_xlfn.XLOOKUP($B14,rf1_data!$B:$B,rf1_data!BG:BG,"NaN")="","NaN",(_xlfn.XLOOKUP($B14,rf1_data!$B:$B,rf1_data!BG:BG,"NaN")))</f>
        <v>NaN</v>
      </c>
      <c r="BP14" s="5" t="str">
        <f>IF(_xlfn.XLOOKUP($B14,rf1_data!$B:$B,rf1_data!BH:BH,"NaN")="","NaN",(_xlfn.XLOOKUP($B14,rf1_data!$B:$B,rf1_data!BH:BH,"NaN")))</f>
        <v>NaN</v>
      </c>
      <c r="BQ14" s="5" t="str">
        <f>IF(_xlfn.XLOOKUP($B14,rf1_data!$B:$B,rf1_data!BI:BI,"NaN")="","NaN",(_xlfn.XLOOKUP($B14,rf1_data!$B:$B,rf1_data!BI:BI,"NaN")))</f>
        <v>NaN</v>
      </c>
      <c r="BR14" s="5">
        <f>IF(_xlfn.XLOOKUP($B14,rf1_data!$B:$B,rf1_data!BJ:BJ,"NaN")="","NaN",(_xlfn.XLOOKUP($B14,rf1_data!$B:$B,rf1_data!BJ:BJ,"NaN")))</f>
        <v>8991</v>
      </c>
      <c r="BS14" s="5" t="str">
        <f>IF(_xlfn.XLOOKUP($B14,rf1_data!$B:$B,rf1_data!BK:BK,"NaN")="","NaN",(_xlfn.XLOOKUP($B14,rf1_data!$B:$B,rf1_data!BK:BK,"NaN")))</f>
        <v>NaN</v>
      </c>
      <c r="BT14" s="5" t="str">
        <f>IF(_xlfn.XLOOKUP($B14,rf1_data!$B:$B,rf1_data!BL:BL,"NaN")="","NaN",(_xlfn.XLOOKUP($B14,rf1_data!$B:$B,rf1_data!BL:BL,"NaN")))</f>
        <v>NaN</v>
      </c>
      <c r="BU14" s="5" t="str">
        <f>IF(_xlfn.XLOOKUP($B14,rf1_data!$B:$B,rf1_data!BM:BM,"NaN")="","NaN",(_xlfn.XLOOKUP($B14,rf1_data!$B:$B,rf1_data!BM:BM,"NaN")))</f>
        <v>NaN</v>
      </c>
      <c r="BV14" s="5" t="str">
        <f>IF(_xlfn.XLOOKUP($B14,rf1_data!$B:$B,rf1_data!BN:BN,"NaN")="","NaN",(_xlfn.XLOOKUP($B14,rf1_data!$B:$B,rf1_data!BN:BN,"NaN")))</f>
        <v>NaN</v>
      </c>
      <c r="BW14" s="5">
        <f>IF(_xlfn.XLOOKUP($B14,rf1_data!$B:$B,rf1_data!BO:BO,"NaN")="","NaN",(_xlfn.XLOOKUP($B14,rf1_data!$B:$B,rf1_data!BO:BO,"NaN")))</f>
        <v>3.2</v>
      </c>
      <c r="BX14" s="5">
        <f>IF(_xlfn.XLOOKUP($B14,rf1_data!$B:$B,rf1_data!BP:BP,"NaN")="","NaN",(_xlfn.XLOOKUP($B14,rf1_data!$B:$B,rf1_data!BP:BP,"NaN")))</f>
        <v>3.3</v>
      </c>
      <c r="BY14" s="5">
        <f>IF(_xlfn.XLOOKUP($B14,rf1_data!$B:$B,rf1_data!BQ:BQ,"NaN")="","NaN",(_xlfn.XLOOKUP($B14,rf1_data!$B:$B,rf1_data!BQ:BQ,"NaN")))</f>
        <v>3.7</v>
      </c>
      <c r="BZ14" s="5">
        <f>IF(_xlfn.XLOOKUP($B14,rf1_data!$B:$B,rf1_data!BR:BR,"NaN")="","NaN",(_xlfn.XLOOKUP($B14,rf1_data!$B:$B,rf1_data!BR:BR,"NaN")))</f>
        <v>3.4</v>
      </c>
      <c r="CA14" s="5">
        <f>IF(_xlfn.XLOOKUP($B14,rf1_data!$B:$B,rf1_data!BS:BS,"NaN")="","NaN",(_xlfn.XLOOKUP($B14,rf1_data!$B:$B,rf1_data!BS:BS,"NaN")))</f>
        <v>2.6666666666666599</v>
      </c>
      <c r="CB14" s="5">
        <f>IF(_xlfn.XLOOKUP($B14,rf1_data!$B:$B,rf1_data!BT:BT,"NaN")="","NaN",(_xlfn.XLOOKUP($B14,rf1_data!$B:$B,rf1_data!BT:BT,"NaN")))</f>
        <v>2.6666666666666599</v>
      </c>
      <c r="CC14" s="5">
        <f>IF(_xlfn.XLOOKUP($B14,rf1_data!$B:$B,rf1_data!BU:BU,"NaN")="","NaN",(_xlfn.XLOOKUP($B14,rf1_data!$B:$B,rf1_data!BU:BU,"NaN")))</f>
        <v>4.3333333333333304</v>
      </c>
      <c r="CD14" s="5">
        <f>IF(_xlfn.XLOOKUP($B14,rf1_data!$B:$B,rf1_data!BV:BV,"NaN")="","NaN",(_xlfn.XLOOKUP($B14,rf1_data!$B:$B,rf1_data!BV:BV,"NaN")))</f>
        <v>2.6666666666666599</v>
      </c>
      <c r="CE14" s="5">
        <f>IF(_xlfn.XLOOKUP($B14,rf1_data!$B:$B,rf1_data!BW:BW,"NaN")="","NaN",(_xlfn.XLOOKUP($B14,rf1_data!$B:$B,rf1_data!BW:BW,"NaN")))</f>
        <v>0.3</v>
      </c>
      <c r="CF14" s="5">
        <f>IF(_xlfn.XLOOKUP($B14,rf1_data!$B:$B,rf1_data!BX:BX,"NaN")="","NaN",(_xlfn.XLOOKUP($B14,rf1_data!$B:$B,rf1_data!BX:BX,"NaN")))</f>
        <v>0</v>
      </c>
      <c r="CG14" s="5">
        <f>IF(_xlfn.XLOOKUP($B14,rf1_data!$B:$B,rf1_data!BY:BY,"NaN")="","NaN",(_xlfn.XLOOKUP($B14,rf1_data!$B:$B,rf1_data!BY:BY,"NaN")))</f>
        <v>0</v>
      </c>
      <c r="CH14" s="5">
        <f>IF(_xlfn.XLOOKUP($B14,rf1_data!$B:$B,rf1_data!BZ:BZ,"NaN")="","NaN",(_xlfn.XLOOKUP($B14,rf1_data!$B:$B,rf1_data!BZ:BZ,"NaN")))</f>
        <v>29</v>
      </c>
      <c r="CI14" s="5">
        <f>IF(_xlfn.XLOOKUP($B14,rf1_data!$B:$B,rf1_data!CA:CA,"NaN")="","NaN",(_xlfn.XLOOKUP($B14,rf1_data!$B:$B,rf1_data!CA:CA,"NaN")))</f>
        <v>18</v>
      </c>
      <c r="CJ14" s="5">
        <f>IF(_xlfn.XLOOKUP($B14,rf1_data!$B:$B,rf1_data!CB:CB,"NaN")="","NaN",(_xlfn.XLOOKUP($B14,rf1_data!$B:$B,rf1_data!CB:CB,"NaN")))</f>
        <v>11</v>
      </c>
      <c r="CK14" s="5">
        <f>IF(_xlfn.XLOOKUP($B14,rf1_data!$B:$B,rf1_data!CC:CC,"NaN")="","NaN",(_xlfn.XLOOKUP($B14,rf1_data!$B:$B,rf1_data!CC:CC,"NaN")))</f>
        <v>0.91666666666666596</v>
      </c>
      <c r="CL14" s="5">
        <f>IF(_xlfn.XLOOKUP($B14,rf1_data!$B:$B,rf1_data!CD:CD,"NaN")=0,"NaN",(_xlfn.XLOOKUP($B14,rf1_data!$B:$B,rf1_data!CD:CD,"NaN")))</f>
        <v>40</v>
      </c>
      <c r="CM14" s="5">
        <f>IF(_xlfn.XLOOKUP($B14,rf1_data!$B:$B,rf1_data!CE:CE,"NaN")="","NaN",(_xlfn.XLOOKUP($B14,rf1_data!$B:$B,rf1_data!CE:CE,"NaN")))</f>
        <v>28</v>
      </c>
      <c r="CN14" s="5">
        <f>IF(_xlfn.XLOOKUP($B14,rf1_data!$B:$B,rf1_data!CF:CF,"NaN")="","NaN",(_xlfn.XLOOKUP($B14,rf1_data!$B:$B,rf1_data!CF:CF,"NaN")))</f>
        <v>42</v>
      </c>
      <c r="CO14" s="5">
        <f>IF(_xlfn.XLOOKUP($B14,rf1_data!$B:$B,rf1_data!CG:CG,"NaN")="","NaN",(_xlfn.XLOOKUP($B14,rf1_data!$B:$B,rf1_data!CG:CG,"NaN")))</f>
        <v>27</v>
      </c>
      <c r="CP14" s="5">
        <f>IF(_xlfn.XLOOKUP($B14,rf1_data!$B:$B,rf1_data!CH:CH,"NaN")=0,"NaN",(_xlfn.XLOOKUP($B14,rf1_data!$B:$B,rf1_data!CH:CH,"NaN")))</f>
        <v>29</v>
      </c>
      <c r="CQ14" s="5">
        <f>IF(_xlfn.XLOOKUP($B14,rf1_data!$B:$B,rf1_data!CI:CI,"NaN")="","NaN",(_xlfn.XLOOKUP($B14,rf1_data!$B:$B,rf1_data!CI:CI,"NaN")))</f>
        <v>46</v>
      </c>
      <c r="CR14" s="5">
        <f>IF(_xlfn.XLOOKUP($B14,rf1_data!$B:$B,rf1_data!CJ:CJ,"NaN")="","NaN",(_xlfn.XLOOKUP($B14,rf1_data!$B:$B,rf1_data!CJ:CJ,"NaN")))</f>
        <v>60</v>
      </c>
      <c r="CS14" s="5">
        <f>IF(_xlfn.XLOOKUP($B14,rf1_data!$B:$B,rf1_data!CK:CK,"NaN")="","NaN",(_xlfn.XLOOKUP($B14,rf1_data!$B:$B,rf1_data!CK:CK,"NaN")))</f>
        <v>42</v>
      </c>
      <c r="CT14" s="5">
        <f>IF(_xlfn.XLOOKUP($B14,rf1_data!$B:$B,rf1_data!CL:CL,"NaN")="","NaN",(_xlfn.XLOOKUP($B14,rf1_data!$B:$B,rf1_data!CL:CL,"NaN")))</f>
        <v>60</v>
      </c>
      <c r="CU14" s="5">
        <f>IF(_xlfn.XLOOKUP($B14,rf1_data!$B:$B,rf1_data!CM:CM,"NaN")="","NaN",(_xlfn.XLOOKUP($B14,rf1_data!$B:$B,rf1_data!CM:CM,"NaN")))</f>
        <v>29</v>
      </c>
      <c r="CV14" s="5">
        <f>IF(_xlfn.XLOOKUP($B14,rf1_data!$B:$B,rf1_data!CN:CN,"NaN")="","NaN",(_xlfn.XLOOKUP($B14,rf1_data!$B:$B,rf1_data!CN:CN,"NaN")))</f>
        <v>60</v>
      </c>
      <c r="CW14" s="5" t="str">
        <f>IF(_xlfn.XLOOKUP($B14,rf1_data!$B:$B,rf1_data!CO:CO,"NaN")="","NaN",(_xlfn.XLOOKUP($B14,rf1_data!$B:$B,rf1_data!CO:CO,"NaN")))</f>
        <v>NaN</v>
      </c>
      <c r="CX14" s="5" t="str">
        <f>IF(_xlfn.XLOOKUP($B14,rf1_data!$B:$B,rf1_data!CP:CP,"NaN")="","NaN",(_xlfn.XLOOKUP($B14,rf1_data!$B:$B,rf1_data!CP:CP,"NaN")))</f>
        <v>NaN</v>
      </c>
      <c r="CY14" s="5">
        <f>IF(_xlfn.XLOOKUP($B14,rf1_data!$B:$B,rf1_data!CQ:CQ,"NaN")="","NaN",(_xlfn.XLOOKUP($B14,rf1_data!$B:$B,rf1_data!CQ:CQ,"NaN")))</f>
        <v>2</v>
      </c>
      <c r="CZ14" s="5">
        <f>IF(_xlfn.XLOOKUP($B14,rf1_data!$B:$B,rf1_data!CR:CR,"NaN")="","NaN",(_xlfn.XLOOKUP($B14,rf1_data!$B:$B,rf1_data!CR:CR,"NaN")))</f>
        <v>1</v>
      </c>
      <c r="DA14" s="5">
        <f>IF(_xlfn.XLOOKUP($B14,rf1_data!$B:$B,rf1_data!CS:CS,"NaN")="","NaN",(_xlfn.XLOOKUP($B14,rf1_data!$B:$B,rf1_data!CS:CS,"NaN")))</f>
        <v>1</v>
      </c>
      <c r="DB14" s="4">
        <f>IF(_xlfn.XLOOKUP($B14,island_data!$B:$B,island_data!H:H,"NaN")="","NaN",_xlfn.XLOOKUP($B14,island_data!$B:$B,island_data!H:H,"NaN"))</f>
        <v>1</v>
      </c>
      <c r="DC14" s="4">
        <f>IF(_xlfn.XLOOKUP($B14,island_data!$B:$B,island_data!I:I,"NaN")="","NaN",_xlfn.XLOOKUP($B14,island_data!$B:$B,island_data!I:I,"NaN"))</f>
        <v>0</v>
      </c>
      <c r="DD14" s="4">
        <f>IF(_xlfn.XLOOKUP($B14,island_data!$B:$B,island_data!J:J,"NaN")="","NaN",_xlfn.XLOOKUP($B14,island_data!$B:$B,island_data!J:J,"NaN"))</f>
        <v>0</v>
      </c>
      <c r="DE14" s="4" t="str">
        <f>IF(_xlfn.XLOOKUP($B14,island_data!$B:$B,island_data!K:K,"NaN")="","NaN",_xlfn.XLOOKUP($B14,island_data!$B:$B,island_data!K:K,"NaN"))</f>
        <v>NaN</v>
      </c>
      <c r="DF14" s="4">
        <f>IF(_xlfn.XLOOKUP($B14,island_data!$B:$B,island_data!L:L,"NaN")="","NaN",_xlfn.XLOOKUP($B14,island_data!$B:$B,island_data!L:L,"NaN"))</f>
        <v>28</v>
      </c>
      <c r="DG14" s="4">
        <f>IF(_xlfn.XLOOKUP($B14,island_data!$B:$B,island_data!M:M,"NaN")="","NaN",_xlfn.XLOOKUP($B14,island_data!$B:$B,island_data!M:M,"NaN"))</f>
        <v>2.3333333333333002</v>
      </c>
      <c r="DH14" s="4">
        <f>IF(_xlfn.XLOOKUP($B14,island_data!$B:$B,island_data!N:N,"NaN")="","NaN",_xlfn.XLOOKUP($B14,island_data!$B:$B,island_data!N:N,"NaN"))</f>
        <v>12</v>
      </c>
      <c r="DI14" s="4" t="str">
        <f>IF(_xlfn.XLOOKUP($B14,island_data!$B:$B,island_data!O:O,"NaN")=999,"NaN",_xlfn.XLOOKUP($B14,island_data!$B:$B,island_data!O:O,"NaN"))</f>
        <v>NaN</v>
      </c>
      <c r="DJ14" s="4">
        <f>IF(_xlfn.XLOOKUP($B14,island_data!$B:$B,island_data!P:P,"NaN")="","NaN",_xlfn.XLOOKUP($B14,island_data!$B:$B,island_data!P:P,"NaN"))</f>
        <v>6</v>
      </c>
      <c r="DK14" s="4">
        <f>IF(_xlfn.XLOOKUP($B14,island_data!$B:$B,island_data!Q:Q,"NaN")="","NaN",_xlfn.XLOOKUP($B14,island_data!$B:$B,island_data!Q:Q,"NaN"))</f>
        <v>2</v>
      </c>
      <c r="DL14" s="4" t="str">
        <f>IF(_xlfn.XLOOKUP($B14,island_data!$B:$B,island_data!R:R,"NaN")=999,"NaN",_xlfn.XLOOKUP($B14,island_data!$B:$B,island_data!R:R,"NaN"))</f>
        <v>NaN</v>
      </c>
      <c r="DM14" s="4">
        <f>IF(_xlfn.XLOOKUP($B14,island_data!$B:$B,island_data!S:S,"NaN")="","NaN",_xlfn.XLOOKUP($B14,island_data!$B:$B,island_data!S:S,"NaN"))</f>
        <v>8</v>
      </c>
      <c r="DN14" s="4" t="str">
        <f>IF(_xlfn.XLOOKUP($B14,island_data!$B:$B,island_data!T:T,"NaN")="","NaN",_xlfn.XLOOKUP($B14,island_data!$B:$B,island_data!T:T,"NaN"))</f>
        <v>NaN</v>
      </c>
      <c r="DO14" s="4">
        <f>IF(_xlfn.XLOOKUP($B14,island_data!$B:$B,island_data!U:U,"NaN")="","NaN",_xlfn.XLOOKUP($B14,island_data!$B:$B,island_data!U:U,"NaN"))</f>
        <v>5</v>
      </c>
      <c r="DP14" s="4">
        <f>IF(_xlfn.XLOOKUP($B14,island_data!$B:$B,island_data!V:V,"NaN")="","NaN",_xlfn.XLOOKUP($B14,island_data!$B:$B,island_data!V:V,"NaN"))</f>
        <v>1</v>
      </c>
      <c r="DQ14" s="4">
        <f>IF(_xlfn.XLOOKUP($B14,island_data!$B:$B,island_data!W:W,"NaN")="","NaN",_xlfn.XLOOKUP($B14,island_data!$B:$B,island_data!W:W,"NaN"))</f>
        <v>7</v>
      </c>
      <c r="DR14" s="4">
        <f>IF(_xlfn.XLOOKUP($B14,island_data!$B:$B,island_data!X:X,"NaN")="","NaN",_xlfn.XLOOKUP($B14,island_data!$B:$B,island_data!X:X,"NaN"))</f>
        <v>5</v>
      </c>
      <c r="DS14" s="4" t="str">
        <f>IF(_xlfn.XLOOKUP($B14,island_data!$B:$B,island_data!Y:Y,"NaN")="","NaN",_xlfn.XLOOKUP($B14,island_data!$B:$B,island_data!Y:Y,"NaN"))</f>
        <v>NaN</v>
      </c>
      <c r="DT14" s="4" t="str">
        <f>IF(_xlfn.XLOOKUP($B14,island_data!$B:$B,island_data!Z:Z,"NaN")="","NaN",_xlfn.XLOOKUP($B14,island_data!$B:$B,island_data!Z:Z,"NaN"))</f>
        <v>NaN</v>
      </c>
      <c r="DU14" s="4" t="str">
        <f>IF(_xlfn.XLOOKUP($B14,island_data!$B:$B,island_data!AA:AA,"NaN")="","NaN",_xlfn.XLOOKUP($B14,island_data!$B:$B,island_data!AA:AA,"NaN"))</f>
        <v>NaN</v>
      </c>
      <c r="DV14" s="4">
        <f>IF(_xlfn.XLOOKUP($B14,island_data!$B:$B,island_data!AB:AB,"NaN")="","NaN",_xlfn.XLOOKUP($B14,island_data!$B:$B,island_data!AB:AB,"NaN"))</f>
        <v>1</v>
      </c>
      <c r="DW14" s="4">
        <f>IF(_xlfn.XLOOKUP($B14,island_data!$B:$B,island_data!AC:AC,"NaN")="","NaN",_xlfn.XLOOKUP($B14,island_data!$B:$B,island_data!AC:AC,"NaN"))</f>
        <v>18249</v>
      </c>
      <c r="DX14" s="4">
        <f>IF(_xlfn.XLOOKUP($B14,island_data!$B:$B,island_data!AD:AD,"NaN")="","NaN",_xlfn.XLOOKUP($B14,island_data!$B:$B,island_data!AD:AD,"NaN"))</f>
        <v>7</v>
      </c>
      <c r="DY14" s="4">
        <f>IF(_xlfn.XLOOKUP($B14,island_data!$B:$B,island_data!AE:AE,"NaN")="","NaN",_xlfn.XLOOKUP($B14,island_data!$B:$B,island_data!AE:AE,"NaN"))</f>
        <v>1</v>
      </c>
      <c r="DZ14" s="4" t="str">
        <f>IF(_xlfn.XLOOKUP($B14,island_data!$B:$B,island_data!AF:AF,"NaN")="","NaN",_xlfn.XLOOKUP($B14,island_data!$B:$B,island_data!AF:AF,"NaN"))</f>
        <v>NaN</v>
      </c>
      <c r="EA14" s="4" t="str">
        <f>IF(_xlfn.XLOOKUP($B14,island_data!$B:$B,island_data!AG:AG,"NaN")="","NaN",_xlfn.XLOOKUP($B14,island_data!$B:$B,island_data!AG:AG,"NaN"))</f>
        <v>NaN</v>
      </c>
      <c r="EB14" s="4" t="str">
        <f>IF(_xlfn.XLOOKUP($B14,island_data!$B:$B,island_data!AH:AH,"NaN")="","NaN",_xlfn.XLOOKUP($B14,island_data!$B:$B,island_data!AH:AH,"NaN"))</f>
        <v>NaN</v>
      </c>
      <c r="EC14" s="4" t="str">
        <f>IF(_xlfn.XLOOKUP($B14,island_data!$B:$B,island_data!AI:AI,"NaN")="","NaN",_xlfn.XLOOKUP($B14,island_data!$B:$B,island_data!AI:AI,"NaN"))</f>
        <v>NaN</v>
      </c>
      <c r="ED14" s="4" t="str">
        <f>IF(_xlfn.XLOOKUP($B14,island_data!$B:$B,island_data!AJ:AJ,"NaN")="","NaN",_xlfn.XLOOKUP($B14,island_data!$B:$B,island_data!AJ:AJ,"NaN"))</f>
        <v>NaN</v>
      </c>
      <c r="EE14" s="4" t="str">
        <f>IF(_xlfn.XLOOKUP($B14,island_data!$B:$B,island_data!AK:AK,"NaN")="","NaN",_xlfn.XLOOKUP($B14,island_data!$B:$B,island_data!AK:AK,"NaN"))</f>
        <v>NaN</v>
      </c>
      <c r="EF14" s="4" t="str">
        <f>IF(_xlfn.XLOOKUP($B14,island_data!$B:$B,island_data!AL:AL,"NaN")="","NaN",_xlfn.XLOOKUP($B14,island_data!$B:$B,island_data!AL:AL,"NaN"))</f>
        <v>NaN</v>
      </c>
      <c r="EG14" s="4" t="str">
        <f>IF(_xlfn.XLOOKUP($B14,island_data!$B:$B,island_data!AM:AM,"NaN")="","NaN",_xlfn.XLOOKUP($B14,island_data!$B:$B,island_data!AM:AM,"NaN"))</f>
        <v>NaN</v>
      </c>
      <c r="EH14" s="4">
        <f>IF(_xlfn.XLOOKUP($B14,island_data!$B:$B,island_data!AN:AN,"NaN")="","NaN",_xlfn.XLOOKUP($B14,island_data!$B:$B,island_data!AN:AN,"NaN"))</f>
        <v>0</v>
      </c>
      <c r="EI14" s="4" t="str">
        <f>IF(_xlfn.XLOOKUP($B14,island_data!$B:$B,island_data!AO:AO,"NaN")="","NaN",_xlfn.XLOOKUP($B14,island_data!$B:$B,island_data!AO:AO,"NaN"))</f>
        <v>NaN</v>
      </c>
      <c r="EJ14" s="8">
        <f>IF(_xlfn.XLOOKUP($A14,TabCAT!$A:$A,TabCAT!AU:AU,"NaN")="","NaN",(_xlfn.XLOOKUP($A14,TabCAT!$A:$A,TabCAT!AU:AU,"NaN")))</f>
        <v>184</v>
      </c>
      <c r="EK14" s="8" t="b">
        <f>IF(_xlfn.XLOOKUP($A14,TabCAT!$A:$A,TabCAT!AV:AV,"NaN")="","NaN",(_xlfn.XLOOKUP($A14,TabCAT!$A:$A,TabCAT!AV:AV,"NaN")))</f>
        <v>1</v>
      </c>
      <c r="EL14" s="8">
        <f>IF(_xlfn.XLOOKUP($A14,TabCAT!$A:$A,TabCAT!AW:AW,"NaN")="","NaN",(_xlfn.XLOOKUP($A14,TabCAT!$A:$A,TabCAT!AW:AW,"NaN")))</f>
        <v>6</v>
      </c>
      <c r="EM14" s="8">
        <f>IF(_xlfn.XLOOKUP($A14,TabCAT!$A:$A,TabCAT!AX:AX,"NaN")="","NaN",(_xlfn.XLOOKUP($A14,TabCAT!$A:$A,TabCAT!AX:AX,"NaN")))</f>
        <v>0</v>
      </c>
      <c r="EN14" s="8">
        <f>IF(_xlfn.XLOOKUP($A14,TabCAT!$A:$A,TabCAT!AY:AY,"NaN")="","NaN",(_xlfn.XLOOKUP($A14,TabCAT!$A:$A,TabCAT!AY:AY,"NaN")))</f>
        <v>7.12</v>
      </c>
      <c r="EO14" s="8">
        <f>IF(_xlfn.XLOOKUP($A14,TabCAT!$A:$A,TabCAT!AZ:AZ,"NaN")="","NaN",(_xlfn.XLOOKUP($A14,TabCAT!$A:$A,TabCAT!AZ:AZ,"NaN")))</f>
        <v>32</v>
      </c>
      <c r="EP14" s="8">
        <f>IF(_xlfn.XLOOKUP($A14,TabCAT!$A:$A,TabCAT!BA:BA,"NaN")="","NaN",(_xlfn.XLOOKUP($A14,TabCAT!$A:$A,TabCAT!BA:BA,"NaN")))</f>
        <v>1.1169514999999901</v>
      </c>
      <c r="EQ14" s="8">
        <f>IF(_xlfn.XLOOKUP($A14,TabCAT!$A:$A,TabCAT!BB:BB,"NaN")="","NaN",(_xlfn.XLOOKUP($A14,TabCAT!$A:$A,TabCAT!BB:BB,"NaN")))</f>
        <v>0.107613146960495</v>
      </c>
      <c r="ER14" s="8">
        <f>IF(_xlfn.XLOOKUP($A14,TabCAT!$A:$A,TabCAT!BC:BC,"NaN")="","NaN",(_xlfn.XLOOKUP($A14,TabCAT!$A:$A,TabCAT!BC:BC,"NaN")))</f>
        <v>16</v>
      </c>
      <c r="ES14" s="8">
        <f>IF(_xlfn.XLOOKUP($A14,TabCAT!$A:$A,TabCAT!BD:BD,"NaN")="","NaN",(_xlfn.XLOOKUP($A14,TabCAT!$A:$A,TabCAT!BD:BD,"NaN")))</f>
        <v>1.1042615</v>
      </c>
      <c r="ET14" s="8">
        <f>IF(_xlfn.XLOOKUP($A14,TabCAT!$A:$A,TabCAT!BE:BE,"NaN")="","NaN",(_xlfn.XLOOKUP($A14,TabCAT!$A:$A,TabCAT!BE:BE,"NaN")))</f>
        <v>16</v>
      </c>
      <c r="EU14" s="8">
        <f>IF(_xlfn.XLOOKUP($A14,TabCAT!$A:$A,TabCAT!BF:BF,"NaN")="","NaN",(_xlfn.XLOOKUP($A14,TabCAT!$A:$A,TabCAT!BF:BF,"NaN")))</f>
        <v>1.145953</v>
      </c>
      <c r="EV14" s="8" t="str">
        <f>IF(_xlfn.XLOOKUP($A14,TabCAT!$A:$A,TabCAT!BG:BG,"NaN")="","NaN",(_xlfn.XLOOKUP($A14,TabCAT!$A:$A,TabCAT!BG:BG,"NaN")))</f>
        <v>NaN</v>
      </c>
      <c r="EW14" s="8" t="str">
        <f>IF(_xlfn.XLOOKUP($A14,TabCAT!$A:$A,TabCAT!BH:BH,"NaN")="","NaN",(_xlfn.XLOOKUP($A14,TabCAT!$A:$A,TabCAT!BH:BH,"NaN")))</f>
        <v>3.0.0</v>
      </c>
      <c r="EX14" s="8" t="str">
        <f>IF(_xlfn.XLOOKUP($A14,TabCAT!$A:$A,TabCAT!BI:BI,"NaN")="","NaN",(_xlfn.XLOOKUP($A14,TabCAT!$A:$A,TabCAT!BI:BI,"NaN")))</f>
        <v>English</v>
      </c>
      <c r="EY14" s="8">
        <f>IF(_xlfn.XLOOKUP($A14,TabCAT!$A:$A,TabCAT!BJ:BJ,"NaN")="","NaN",(_xlfn.XLOOKUP($A14,TabCAT!$A:$A,TabCAT!BJ:BJ,"NaN")))</f>
        <v>321</v>
      </c>
      <c r="EZ14" s="8">
        <f>IF(_xlfn.XLOOKUP($A14,TabCAT!$A:$A,TabCAT!BK:BK,"NaN")="","NaN",(_xlfn.XLOOKUP($A14,TabCAT!$A:$A,TabCAT!BK:BK,"NaN")))</f>
        <v>1</v>
      </c>
      <c r="FA14" s="8">
        <f>IF(_xlfn.XLOOKUP($A14,TabCAT!$A:$A,TabCAT!BL:BL,"NaN")="","NaN",(_xlfn.XLOOKUP($A14,TabCAT!$A:$A,TabCAT!BL:BL,"NaN")))</f>
        <v>5</v>
      </c>
      <c r="FB14" s="8">
        <f>IF(_xlfn.XLOOKUP($A14,TabCAT!$A:$A,TabCAT!BM:BM,"NaN")="","NaN",(_xlfn.XLOOKUP($A14,TabCAT!$A:$A,TabCAT!BM:BM,"NaN")))</f>
        <v>0.83333333333333304</v>
      </c>
      <c r="FC14" s="8">
        <f>IF(_xlfn.XLOOKUP($A14,TabCAT!$A:$A,TabCAT!BN:BN,"NaN")="","NaN",(_xlfn.XLOOKUP($A14,TabCAT!$A:$A,TabCAT!BN:BN,"NaN")))</f>
        <v>5</v>
      </c>
      <c r="FD14" s="8">
        <f>IF(_xlfn.XLOOKUP($A14,TabCAT!$A:$A,TabCAT!BO:BO,"NaN")="","NaN",(_xlfn.XLOOKUP($A14,TabCAT!$A:$A,TabCAT!BO:BO,"NaN")))</f>
        <v>9</v>
      </c>
      <c r="FE14" s="8">
        <f>IF(_xlfn.XLOOKUP($A14,TabCAT!$A:$A,TabCAT!BP:BP,"NaN")="","NaN",(_xlfn.XLOOKUP($A14,TabCAT!$A:$A,TabCAT!BP:BP,"NaN")))</f>
        <v>1</v>
      </c>
      <c r="FF14" s="8">
        <f>IF(_xlfn.XLOOKUP($A14,TabCAT!$A:$A,TabCAT!BQ:BQ,"NaN")="","NaN",(_xlfn.XLOOKUP($A14,TabCAT!$A:$A,TabCAT!BQ:BQ,"NaN")))</f>
        <v>9</v>
      </c>
      <c r="FG14" s="8">
        <f>IF(_xlfn.XLOOKUP($A14,TabCAT!$A:$A,TabCAT!BR:BR,"NaN")="","NaN",(_xlfn.XLOOKUP($A14,TabCAT!$A:$A,TabCAT!BR:BR,"NaN")))</f>
        <v>8</v>
      </c>
      <c r="FH14" s="8">
        <f>IF(_xlfn.XLOOKUP($A14,TabCAT!$A:$A,TabCAT!BS:BS,"NaN")="","NaN",(_xlfn.XLOOKUP($A14,TabCAT!$A:$A,TabCAT!BS:BS,"NaN")))</f>
        <v>0.66666666666666596</v>
      </c>
      <c r="FI14" s="8">
        <f>IF(_xlfn.XLOOKUP($A14,TabCAT!$A:$A,TabCAT!BT:BT,"NaN")="","NaN",(_xlfn.XLOOKUP($A14,TabCAT!$A:$A,TabCAT!BT:BT,"NaN")))</f>
        <v>7</v>
      </c>
      <c r="FJ14" s="8">
        <f>IF(_xlfn.XLOOKUP($A14,TabCAT!$A:$A,TabCAT!BU:BU,"NaN")="","NaN",(_xlfn.XLOOKUP($A14,TabCAT!$A:$A,TabCAT!BU:BU,"NaN")))</f>
        <v>6</v>
      </c>
      <c r="FK14" s="8">
        <f>IF(_xlfn.XLOOKUP($A14,TabCAT!$A:$A,TabCAT!BV:BV,"NaN")="","NaN",(_xlfn.XLOOKUP($A14,TabCAT!$A:$A,TabCAT!BV:BV,"NaN")))</f>
        <v>0.4</v>
      </c>
      <c r="FL14" s="8">
        <f>IF(_xlfn.XLOOKUP($A14,TabCAT!$A:$A,TabCAT!BW:BW,"NaN")="","NaN",(_xlfn.XLOOKUP($A14,TabCAT!$A:$A,TabCAT!BW:BW,"NaN")))</f>
        <v>3</v>
      </c>
      <c r="FM14" s="8">
        <f>IF(_xlfn.XLOOKUP($A14,TabCAT!$A:$A,TabCAT!BX:BX,"NaN")="","NaN",(_xlfn.XLOOKUP($A14,TabCAT!$A:$A,TabCAT!BX:BX,"NaN")))</f>
        <v>28</v>
      </c>
      <c r="FN14" s="8">
        <f>IF(_xlfn.XLOOKUP($A14,TabCAT!$A:$A,TabCAT!BY:BY,"NaN")="","NaN",(_xlfn.XLOOKUP($A14,TabCAT!$A:$A,TabCAT!BY:BY,"NaN")))</f>
        <v>0.66666666666666596</v>
      </c>
      <c r="FO14" s="8">
        <f>IF(_xlfn.XLOOKUP($A14,TabCAT!$A:$A,TabCAT!BZ:BZ,"NaN")="","NaN",(_xlfn.XLOOKUP($A14,TabCAT!$A:$A,TabCAT!BZ:BZ,"NaN")))</f>
        <v>24</v>
      </c>
      <c r="FP14" s="8" t="str">
        <f>IF(_xlfn.XLOOKUP($A14,TabCAT!$A:$A,TabCAT!CA:CA,"NaN")="","NaN",(_xlfn.XLOOKUP($A14,TabCAT!$A:$A,TabCAT!CA:CA,"NaN")))</f>
        <v>3.0.0</v>
      </c>
      <c r="FQ14" s="8" t="str">
        <f>IF(_xlfn.XLOOKUP($A14,TabCAT!$A:$A,TabCAT!CB:CB,"NaN")="","NaN",(_xlfn.XLOOKUP($A14,TabCAT!$A:$A,TabCAT!CB:CB,"NaN")))</f>
        <v>English</v>
      </c>
      <c r="FR14" s="8">
        <f>IF(_xlfn.XLOOKUP($A14,TabCAT!$A:$A,TabCAT!CC:CC,"NaN")="","NaN",(_xlfn.XLOOKUP($A14,TabCAT!$A:$A,TabCAT!CC:CC,"NaN")))</f>
        <v>239</v>
      </c>
      <c r="FS14" s="8" t="b">
        <f>IF(_xlfn.XLOOKUP($A14,TabCAT!$A:$A,TabCAT!CD:CD,"NaN")="","NaN",(_xlfn.XLOOKUP($A14,TabCAT!$A:$A,TabCAT!CD:CD,"NaN")))</f>
        <v>1</v>
      </c>
      <c r="FT14" s="8">
        <f>IF(_xlfn.XLOOKUP($A14,TabCAT!$A:$A,TabCAT!CE:CE,"NaN")="","NaN",(_xlfn.XLOOKUP($A14,TabCAT!$A:$A,TabCAT!CE:CE,"NaN")))</f>
        <v>7</v>
      </c>
      <c r="FU14" s="8">
        <f>IF(_xlfn.XLOOKUP($A14,TabCAT!$A:$A,TabCAT!CF:CF,"NaN")="","NaN",(_xlfn.XLOOKUP($A14,TabCAT!$A:$A,TabCAT!CF:CF,"NaN")))</f>
        <v>0</v>
      </c>
      <c r="FV14" s="8">
        <f>IF(_xlfn.XLOOKUP($A14,TabCAT!$A:$A,TabCAT!CG:CG,"NaN")="","NaN",(_xlfn.XLOOKUP($A14,TabCAT!$A:$A,TabCAT!CG:CG,"NaN")))</f>
        <v>9.06</v>
      </c>
      <c r="FW14" s="8">
        <f>IF(_xlfn.XLOOKUP($A14,TabCAT!$A:$A,TabCAT!CH:CH,"NaN")="","NaN",(_xlfn.XLOOKUP($A14,TabCAT!$A:$A,TabCAT!CH:CH,"NaN")))</f>
        <v>16</v>
      </c>
      <c r="FX14" s="8">
        <f>IF(_xlfn.XLOOKUP($A14,TabCAT!$A:$A,TabCAT!CI:CI,"NaN")="","NaN",(_xlfn.XLOOKUP($A14,TabCAT!$A:$A,TabCAT!CI:CI,"NaN")))</f>
        <v>0.70906800000000003</v>
      </c>
      <c r="FY14" s="8">
        <f>IF(_xlfn.XLOOKUP($A14,TabCAT!$A:$A,TabCAT!CJ:CJ,"NaN")="","NaN",(_xlfn.XLOOKUP($A14,TabCAT!$A:$A,TabCAT!CJ:CJ,"NaN")))</f>
        <v>16</v>
      </c>
      <c r="FZ14" s="8">
        <f>IF(_xlfn.XLOOKUP($A14,TabCAT!$A:$A,TabCAT!CK:CK,"NaN")="","NaN",(_xlfn.XLOOKUP($A14,TabCAT!$A:$A,TabCAT!CK:CK,"NaN")))</f>
        <v>0.71735249999999995</v>
      </c>
      <c r="GA14" s="8">
        <f>IF(_xlfn.XLOOKUP($A14,TabCAT!$A:$A,TabCAT!CL:CL,"NaN")="","NaN",(_xlfn.XLOOKUP($A14,TabCAT!$A:$A,TabCAT!CL:CL,"NaN")))</f>
        <v>31</v>
      </c>
      <c r="GB14" s="8">
        <f>IF(_xlfn.XLOOKUP($A14,TabCAT!$A:$A,TabCAT!CM:CM,"NaN")="","NaN",(_xlfn.XLOOKUP($A14,TabCAT!$A:$A,TabCAT!CM:CM,"NaN")))</f>
        <v>0.57982100000000003</v>
      </c>
      <c r="GC14" s="8">
        <f>IF(_xlfn.XLOOKUP($A14,TabCAT!$A:$A,TabCAT!CN:CN,"NaN")="","NaN",(_xlfn.XLOOKUP($A14,TabCAT!$A:$A,TabCAT!CN:CN,"NaN")))</f>
        <v>17</v>
      </c>
      <c r="GD14" s="8">
        <f>IF(_xlfn.XLOOKUP($A14,TabCAT!$A:$A,TabCAT!CO:CO,"NaN")="","NaN",(_xlfn.XLOOKUP($A14,TabCAT!$A:$A,TabCAT!CO:CO,"NaN")))</f>
        <v>0.57143900000000003</v>
      </c>
      <c r="GE14" s="8">
        <f>IF(_xlfn.XLOOKUP($A14,TabCAT!$A:$A,TabCAT!CP:CP,"NaN")="","NaN",(_xlfn.XLOOKUP($A14,TabCAT!$A:$A,TabCAT!CP:CP,"NaN")))</f>
        <v>0.14769271528581901</v>
      </c>
      <c r="GF14" s="8">
        <f>IF(_xlfn.XLOOKUP($A14,TabCAT!$A:$A,TabCAT!CQ:CQ,"NaN")="","NaN",(_xlfn.XLOOKUP($A14,TabCAT!$A:$A,TabCAT!CQ:CQ,"NaN")))</f>
        <v>55</v>
      </c>
      <c r="GG14" s="8">
        <f>IF(_xlfn.XLOOKUP($A14,TabCAT!$A:$A,TabCAT!CR:CR,"NaN")="","NaN",(_xlfn.XLOOKUP($A14,TabCAT!$A:$A,TabCAT!CR:CR,"NaN")))</f>
        <v>0.71332499999999999</v>
      </c>
      <c r="GH14" s="8" t="str">
        <f>IF(_xlfn.XLOOKUP($A14,TabCAT!$A:$A,TabCAT!CS:CS,"NaN")="","NaN",(_xlfn.XLOOKUP($A14,TabCAT!$A:$A,TabCAT!CS:CS,"NaN")))</f>
        <v>NaN</v>
      </c>
    </row>
    <row r="15" spans="1:190" x14ac:dyDescent="0.2">
      <c r="A15">
        <v>10581</v>
      </c>
      <c r="B15">
        <f>_xlfn.XLOOKUP(bippity_poppity_boo!A15,rf1_data!A:A,rf1_data!B:B)</f>
        <v>101274</v>
      </c>
      <c r="C15" s="2">
        <f>(_xlfn.XLOOKUP($A15,trust!$A:$A,trust!B:B,"NaN"))</f>
        <v>3.4</v>
      </c>
      <c r="D15" s="2">
        <f>(_xlfn.XLOOKUP($A15,trust!$A:$A,trust!C:C,"NaN"))</f>
        <v>2.25</v>
      </c>
      <c r="E15" s="2">
        <f>(_xlfn.XLOOKUP($A15,trust!$A:$A,trust!D:D,"NaN"))</f>
        <v>4.5454549999999996</v>
      </c>
      <c r="F15" s="2">
        <f>(_xlfn.XLOOKUP($A15,trust!$A:$A,trust!E:E,"NaN"))</f>
        <v>3</v>
      </c>
      <c r="G15" s="2">
        <f>(_xlfn.XLOOKUP($A15,trust!$A:$A,trust!F:F,"NaN"))</f>
        <v>6.5454549999999996</v>
      </c>
      <c r="H15" s="2">
        <f>(_xlfn.XLOOKUP($A15,trust!$A:$A,trust!G:G,"NaN"))</f>
        <v>5.5714290000000002</v>
      </c>
      <c r="I15" s="3">
        <f>IF(_xlfn.XLOOKUP($B15,island_data!$B:$B,island_data!C:C,"NaN")="","NaN",_xlfn.XLOOKUP($B15,island_data!$B:$B,island_data!C:C,"NaN"))</f>
        <v>45106</v>
      </c>
      <c r="J15" s="3">
        <f>IF(_xlfn.XLOOKUP($B15,island_data!$B:$B,island_data!D:D,"NaN")="","NaN",_xlfn.XLOOKUP($B15,island_data!$B:$B,island_data!D:D,"NaN"))</f>
        <v>27360</v>
      </c>
      <c r="K15" s="4">
        <f>IF(_xlfn.XLOOKUP($B15,island_data!$B:$B,island_data!E:E,"NaN")="","NaN",_xlfn.XLOOKUP($B15,island_data!$B:$B,island_data!E:E,"NaN"))</f>
        <v>48.59</v>
      </c>
      <c r="L15" s="5">
        <f>IF(_xlfn.XLOOKUP($B15,rf1_data!$B:$B,rf1_data!D:D,"NaN")="","NaN",(_xlfn.XLOOKUP($B15,rf1_data!$B:$B,rf1_data!D:D,"NaN")))</f>
        <v>48.03</v>
      </c>
      <c r="M15" s="5" t="str">
        <f>IF(_xlfn.XLOOKUP($B15,rf1_data!$B:$B,rf1_data!E:E,"NaN")="","NaN",(_xlfn.XLOOKUP($B15,rf1_data!$B:$B,rf1_data!E:E,"NaN")))</f>
        <v>Black or African American</v>
      </c>
      <c r="N15" s="5" t="str">
        <f>IF(_xlfn.XLOOKUP($B15,rf1_data!$B:$B,rf1_data!F:F,"NaN")="","NaN",(_xlfn.XLOOKUP($B15,rf1_data!$B:$B,rf1_data!F:F,"NaN")))</f>
        <v>Not Hispanic or Latino</v>
      </c>
      <c r="O15" s="5" t="str">
        <f>IF(_xlfn.XLOOKUP($B15,rf1_data!$B:$B,rf1_data!G:G,"NaN")="","NaN",(_xlfn.XLOOKUP($B15,rf1_data!$B:$B,rf1_data!G:G,"NaN")))</f>
        <v>Male</v>
      </c>
      <c r="P15" s="5">
        <f>IF(_xlfn.XLOOKUP($B15,rf1_data!$B:$B,rf1_data!H:H,"NaN")="","NaN",(_xlfn.XLOOKUP($B15,rf1_data!$B:$B,rf1_data!H:H,"NaN")))</f>
        <v>4.4400000000000004</v>
      </c>
      <c r="Q15" s="5">
        <f>IF(_xlfn.XLOOKUP($B15,rf1_data!$B:$B,rf1_data!I:I,"NaN")="","NaN",(_xlfn.XLOOKUP($B15,rf1_data!$B:$B,rf1_data!I:I,"NaN")))</f>
        <v>3.78</v>
      </c>
      <c r="R15" s="5">
        <f>IF(_xlfn.XLOOKUP($B15,rf1_data!$B:$B,rf1_data!J:J,"NaN")="","NaN",(_xlfn.XLOOKUP($B15,rf1_data!$B:$B,rf1_data!J:J,"NaN")))</f>
        <v>4</v>
      </c>
      <c r="S15" s="5">
        <f>IF(_xlfn.XLOOKUP($B15,rf1_data!$B:$B,rf1_data!K:K,"NaN")="","NaN",(_xlfn.XLOOKUP($B15,rf1_data!$B:$B,rf1_data!K:K,"NaN")))</f>
        <v>2</v>
      </c>
      <c r="T15" s="5">
        <f>IF(_xlfn.XLOOKUP($B15,rf1_data!$B:$B,rf1_data!L:L,"NaN")="","NaN",(_xlfn.XLOOKUP($B15,rf1_data!$B:$B,rf1_data!L:L,"NaN")))</f>
        <v>0</v>
      </c>
      <c r="U15" s="5" t="str">
        <f>IF(_xlfn.XLOOKUP($B15,rf1_data!$B:$B,rf1_data!M:M,"NaN")="","NaN",(_xlfn.XLOOKUP($B15,rf1_data!$B:$B,rf1_data!M:M,"NaN")))</f>
        <v>NaN</v>
      </c>
      <c r="V15" s="5" t="str">
        <f>IF(_xlfn.XLOOKUP($B15,rf1_data!$B:$B,rf1_data!N:N,"NaN")="","NaN",(_xlfn.XLOOKUP($B15,rf1_data!$B:$B,rf1_data!N:N,"NaN")))</f>
        <v>NaN</v>
      </c>
      <c r="W15" s="5" t="str">
        <f>IF(_xlfn.XLOOKUP($B15,rf1_data!$B:$B,rf1_data!O:O,"NaN")="","NaN",(_xlfn.XLOOKUP($B15,rf1_data!$B:$B,rf1_data!O:O,"NaN")))</f>
        <v>NaN</v>
      </c>
      <c r="X15" s="5" t="str">
        <f>IF(_xlfn.XLOOKUP($B15,rf1_data!$B:$B,rf1_data!P:P,"NaN")="","NaN",(_xlfn.XLOOKUP($B15,rf1_data!$B:$B,rf1_data!P:P,"NaN")))</f>
        <v>NaN</v>
      </c>
      <c r="Y15" s="5" t="str">
        <f>IF(_xlfn.XLOOKUP($B15,rf1_data!$B:$B,rf1_data!Q:Q,"NaN")="","NaN",(_xlfn.XLOOKUP($B15,rf1_data!$B:$B,rf1_data!Q:Q,"NaN")))</f>
        <v>NaN</v>
      </c>
      <c r="Z15" s="5">
        <f>IF(_xlfn.XLOOKUP($B15,rf1_data!$B:$B,rf1_data!R:R,"NaN")="","NaN",(_xlfn.XLOOKUP($B15,rf1_data!$B:$B,rf1_data!R:R,"NaN")))</f>
        <v>18</v>
      </c>
      <c r="AA15" s="5">
        <f>IF(_xlfn.XLOOKUP($B15,rf1_data!$B:$B,rf1_data!S:S,"NaN")="","NaN",(_xlfn.XLOOKUP($B15,rf1_data!$B:$B,rf1_data!S:S,"NaN")))</f>
        <v>2</v>
      </c>
      <c r="AB15" s="5">
        <f>IF(_xlfn.XLOOKUP($B15,rf1_data!$B:$B,rf1_data!T:T,"NaN")="","NaN",(_xlfn.XLOOKUP($B15,rf1_data!$B:$B,rf1_data!T:T,"NaN")))</f>
        <v>7</v>
      </c>
      <c r="AC15" s="5">
        <f>IF(_xlfn.XLOOKUP($B15,rf1_data!$B:$B,rf1_data!U:U,"NaN")="","NaN",(_xlfn.XLOOKUP($B15,rf1_data!$B:$B,rf1_data!U:U,"NaN")))</f>
        <v>2</v>
      </c>
      <c r="AD15" s="5">
        <f>IF(_xlfn.XLOOKUP($B15,rf1_data!$B:$B,rf1_data!V:V,"NaN")="","NaN",(_xlfn.XLOOKUP($B15,rf1_data!$B:$B,rf1_data!V:V,"NaN")))</f>
        <v>7</v>
      </c>
      <c r="AE15" s="5">
        <f>IF(_xlfn.XLOOKUP($B15,rf1_data!$B:$B,rf1_data!W:W,"NaN")="","NaN",(_xlfn.XLOOKUP($B15,rf1_data!$B:$B,rf1_data!W:W,"NaN")))</f>
        <v>1</v>
      </c>
      <c r="AF15" s="5">
        <f>IF(_xlfn.XLOOKUP($B15,rf1_data!$B:$B,rf1_data!X:X,"NaN")="","NaN",(_xlfn.XLOOKUP($B15,rf1_data!$B:$B,rf1_data!X:X,"NaN")))</f>
        <v>5</v>
      </c>
      <c r="AG15" s="5">
        <f>IF(_xlfn.XLOOKUP($B15,rf1_data!$B:$B,rf1_data!Y:Y,"NaN")="","NaN",(_xlfn.XLOOKUP($B15,rf1_data!$B:$B,rf1_data!Y:Y,"NaN")))</f>
        <v>4</v>
      </c>
      <c r="AH15" s="5">
        <f>IF(_xlfn.XLOOKUP($B15,rf1_data!$B:$B,rf1_data!Z:Z,"NaN")="","NaN",(_xlfn.XLOOKUP($B15,rf1_data!$B:$B,rf1_data!Z:Z,"NaN")))</f>
        <v>3</v>
      </c>
      <c r="AI15" s="5">
        <f>IF(_xlfn.XLOOKUP($B15,rf1_data!$B:$B,rf1_data!AA:AA,"NaN")="","NaN",(_xlfn.XLOOKUP($B15,rf1_data!$B:$B,rf1_data!AA:AA,"NaN")))</f>
        <v>3</v>
      </c>
      <c r="AJ15" s="5">
        <f>IF(_xlfn.XLOOKUP($B15,rf1_data!$B:$B,rf1_data!AB:AB,"NaN")="","NaN",(_xlfn.XLOOKUP($B15,rf1_data!$B:$B,rf1_data!AB:AB,"NaN")))</f>
        <v>16</v>
      </c>
      <c r="AK15" s="5">
        <f>IF(_xlfn.XLOOKUP($B15,rf1_data!$B:$B,rf1_data!AC:AC,"NaN")="","NaN",(_xlfn.XLOOKUP($B15,rf1_data!$B:$B,rf1_data!AC:AC,"NaN")))</f>
        <v>29</v>
      </c>
      <c r="AL15" s="5">
        <f>IF(_xlfn.XLOOKUP($B15,rf1_data!$B:$B,rf1_data!AD:AD,"NaN")="","NaN",(_xlfn.XLOOKUP($B15,rf1_data!$B:$B,rf1_data!AD:AD,"NaN")))</f>
        <v>9</v>
      </c>
      <c r="AM15" s="5">
        <f>IF(_xlfn.XLOOKUP($B15,rf1_data!$B:$B,rf1_data!AE:AE,"NaN")="","NaN",(_xlfn.XLOOKUP($B15,rf1_data!$B:$B,rf1_data!AE:AE,"NaN")))</f>
        <v>0</v>
      </c>
      <c r="AN15" s="5">
        <f>IF(_xlfn.XLOOKUP($B15,rf1_data!$B:$B,rf1_data!AF:AF,"NaN")="","NaN",(_xlfn.XLOOKUP($B15,rf1_data!$B:$B,rf1_data!AF:AF,"NaN")))</f>
        <v>0</v>
      </c>
      <c r="AO15" s="5">
        <f>IF(_xlfn.XLOOKUP($B15,rf1_data!$B:$B,rf1_data!AG:AG,"NaN")="","NaN",(_xlfn.XLOOKUP($B15,rf1_data!$B:$B,rf1_data!AG:AG,"NaN")))</f>
        <v>5.67</v>
      </c>
      <c r="AP15" s="5">
        <f>IF(_xlfn.XLOOKUP($B15,rf1_data!$B:$B,rf1_data!AH:AH,"NaN")="","NaN",(_xlfn.XLOOKUP($B15,rf1_data!$B:$B,rf1_data!AH:AH,"NaN")))</f>
        <v>6</v>
      </c>
      <c r="AQ15" s="5">
        <f>IF(_xlfn.XLOOKUP($B15,rf1_data!$B:$B,rf1_data!AI:AI,"NaN")="","NaN",(_xlfn.XLOOKUP($B15,rf1_data!$B:$B,rf1_data!AI:AI,"NaN")))</f>
        <v>6</v>
      </c>
      <c r="AR15" s="5">
        <f>IF(_xlfn.XLOOKUP($B15,rf1_data!$B:$B,rf1_data!AJ:AJ,"NaN")="","NaN",(_xlfn.XLOOKUP($B15,rf1_data!$B:$B,rf1_data!AJ:AJ,"NaN")))</f>
        <v>5</v>
      </c>
      <c r="AS15" s="5">
        <f>IF(_xlfn.XLOOKUP($B15,rf1_data!$B:$B,rf1_data!AK:AK,"NaN")="","NaN",(_xlfn.XLOOKUP($B15,rf1_data!$B:$B,rf1_data!AK:AK,"NaN")))</f>
        <v>2.9</v>
      </c>
      <c r="AT15" s="5">
        <f>IF(_xlfn.XLOOKUP($B15,rf1_data!$B:$B,rf1_data!AL:AL,"NaN")="","NaN",(_xlfn.XLOOKUP($B15,rf1_data!$B:$B,rf1_data!AL:AL,"NaN")))</f>
        <v>6</v>
      </c>
      <c r="AU15" s="5">
        <f>IF(_xlfn.XLOOKUP($B15,rf1_data!$B:$B,rf1_data!AM:AM,"NaN")="","NaN",(_xlfn.XLOOKUP($B15,rf1_data!$B:$B,rf1_data!AM:AM,"NaN")))</f>
        <v>1.83</v>
      </c>
      <c r="AV15" s="5">
        <f>IF(_xlfn.XLOOKUP($B15,rf1_data!$B:$B,rf1_data!AN:AN,"NaN")="","NaN",(_xlfn.XLOOKUP($B15,rf1_data!$B:$B,rf1_data!AN:AN,"NaN")))</f>
        <v>8</v>
      </c>
      <c r="AW15" s="5" t="str">
        <f>IF(_xlfn.XLOOKUP($B15,rf1_data!$B:$B,rf1_data!AO:AO,"NaN")="","NaN",(_xlfn.XLOOKUP($B15,rf1_data!$B:$B,rf1_data!AO:AO,"NaN")))</f>
        <v>NaN</v>
      </c>
      <c r="AX15" s="5">
        <f>IF(_xlfn.XLOOKUP($B15,rf1_data!$B:$B,rf1_data!AP:AP,"NaN")="","NaN",(_xlfn.XLOOKUP($B15,rf1_data!$B:$B,rf1_data!AP:AP,"NaN")))</f>
        <v>9999</v>
      </c>
      <c r="AY15" s="5">
        <f>IF(_xlfn.XLOOKUP($B15,rf1_data!$B:$B,rf1_data!AQ:AQ,"NaN")="","NaN",(_xlfn.XLOOKUP($B15,rf1_data!$B:$B,rf1_data!AQ:AQ,"NaN")))</f>
        <v>154.1</v>
      </c>
      <c r="AZ15" s="5" t="str">
        <f>IF(_xlfn.XLOOKUP($B15,rf1_data!$B:$B,rf1_data!AR:AR,"NaN")="","NaN",(_xlfn.XLOOKUP($B15,rf1_data!$B:$B,rf1_data!AR:AR,"NaN")))</f>
        <v>NaN</v>
      </c>
      <c r="BA15" s="5" t="str">
        <f>IF(_xlfn.XLOOKUP($B15,rf1_data!$B:$B,rf1_data!AS:AS,"NaN")="","NaN",(_xlfn.XLOOKUP($B15,rf1_data!$B:$B,rf1_data!AS:AS,"NaN")))</f>
        <v>NaN</v>
      </c>
      <c r="BB15" s="5" t="str">
        <f>IF(_xlfn.XLOOKUP($B15,rf1_data!$B:$B,rf1_data!AT:AT,"NaN")="","NaN",(_xlfn.XLOOKUP($B15,rf1_data!$B:$B,rf1_data!AT:AT,"NaN")))</f>
        <v>NaN</v>
      </c>
      <c r="BC15" s="5" t="str">
        <f>IF(_xlfn.XLOOKUP($B15,rf1_data!$B:$B,rf1_data!AU:AU,"NaN")="","NaN",(_xlfn.XLOOKUP($B15,rf1_data!$B:$B,rf1_data!AU:AU,"NaN")))</f>
        <v>NaN</v>
      </c>
      <c r="BD15" s="5" t="str">
        <f>IF(_xlfn.XLOOKUP($B15,rf1_data!$B:$B,rf1_data!AV:AV,"NaN")="","NaN",(_xlfn.XLOOKUP($B15,rf1_data!$B:$B,rf1_data!AV:AV,"NaN")))</f>
        <v>NaN</v>
      </c>
      <c r="BE15" s="5" t="str">
        <f>IF(_xlfn.XLOOKUP($B15,rf1_data!$B:$B,rf1_data!AW:AW,"NaN")="","NaN",(_xlfn.XLOOKUP($B15,rf1_data!$B:$B,rf1_data!AW:AW,"NaN")))</f>
        <v>NaN</v>
      </c>
      <c r="BF15" s="5" t="str">
        <f>IF(_xlfn.XLOOKUP($B15,rf1_data!$B:$B,rf1_data!AX:AX,"NaN")="","NaN",(_xlfn.XLOOKUP($B15,rf1_data!$B:$B,rf1_data!AX:AX,"NaN")))</f>
        <v>NaN</v>
      </c>
      <c r="BG15" s="5" t="str">
        <f>IF(_xlfn.XLOOKUP($B15,rf1_data!$B:$B,rf1_data!AY:AY,"NaN")="","NaN",(_xlfn.XLOOKUP($B15,rf1_data!$B:$B,rf1_data!AY:AY,"NaN")))</f>
        <v>NaN</v>
      </c>
      <c r="BH15" s="5" t="str">
        <f>IF(_xlfn.XLOOKUP($B15,rf1_data!$B:$B,rf1_data!AZ:AZ,"NaN")="","NaN",(_xlfn.XLOOKUP($B15,rf1_data!$B:$B,rf1_data!AZ:AZ,"NaN")))</f>
        <v>NaN</v>
      </c>
      <c r="BI15" s="5">
        <f>IF(_xlfn.XLOOKUP($B15,rf1_data!$B:$B,rf1_data!BA:BA,"NaN")="","NaN",(_xlfn.XLOOKUP($B15,rf1_data!$B:$B,rf1_data!BA:BA,"NaN")))</f>
        <v>20</v>
      </c>
      <c r="BJ15" s="5" t="str">
        <f>IF(_xlfn.XLOOKUP($B15,rf1_data!$B:$B,rf1_data!BB:BB,"NaN")="","NaN",(_xlfn.XLOOKUP($B15,rf1_data!$B:$B,rf1_data!BB:BB,"NaN")))</f>
        <v>NaN</v>
      </c>
      <c r="BK15" s="5" t="str">
        <f>IF(_xlfn.XLOOKUP($B15,rf1_data!$B:$B,rf1_data!BC:BC,"NaN")="","NaN",(_xlfn.XLOOKUP($B15,rf1_data!$B:$B,rf1_data!BC:BC,"NaN")))</f>
        <v>NaN</v>
      </c>
      <c r="BL15" s="5" t="str">
        <f>IF(_xlfn.XLOOKUP($B15,rf1_data!$B:$B,rf1_data!BD:BD,"NaN")="","NaN",(_xlfn.XLOOKUP($B15,rf1_data!$B:$B,rf1_data!BD:BD,"NaN")))</f>
        <v>NaN</v>
      </c>
      <c r="BM15" s="5" t="str">
        <f>IF(_xlfn.XLOOKUP($B15,rf1_data!$B:$B,rf1_data!BE:BE,"NaN")="","NaN",(_xlfn.XLOOKUP($B15,rf1_data!$B:$B,rf1_data!BE:BE,"NaN")))</f>
        <v>NaN</v>
      </c>
      <c r="BN15" s="5" t="str">
        <f>IF(_xlfn.XLOOKUP($B15,rf1_data!$B:$B,rf1_data!BF:BF,"NaN")="","NaN",(_xlfn.XLOOKUP($B15,rf1_data!$B:$B,rf1_data!BF:BF,"NaN")))</f>
        <v>NaN</v>
      </c>
      <c r="BO15" s="5" t="str">
        <f>IF(_xlfn.XLOOKUP($B15,rf1_data!$B:$B,rf1_data!BG:BG,"NaN")="","NaN",(_xlfn.XLOOKUP($B15,rf1_data!$B:$B,rf1_data!BG:BG,"NaN")))</f>
        <v>NaN</v>
      </c>
      <c r="BP15" s="5" t="str">
        <f>IF(_xlfn.XLOOKUP($B15,rf1_data!$B:$B,rf1_data!BH:BH,"NaN")="","NaN",(_xlfn.XLOOKUP($B15,rf1_data!$B:$B,rf1_data!BH:BH,"NaN")))</f>
        <v>NaN</v>
      </c>
      <c r="BQ15" s="5" t="str">
        <f>IF(_xlfn.XLOOKUP($B15,rf1_data!$B:$B,rf1_data!BI:BI,"NaN")="","NaN",(_xlfn.XLOOKUP($B15,rf1_data!$B:$B,rf1_data!BI:BI,"NaN")))</f>
        <v>NaN</v>
      </c>
      <c r="BR15" s="5">
        <f>IF(_xlfn.XLOOKUP($B15,rf1_data!$B:$B,rf1_data!BJ:BJ,"NaN")="","NaN",(_xlfn.XLOOKUP($B15,rf1_data!$B:$B,rf1_data!BJ:BJ,"NaN")))</f>
        <v>8991</v>
      </c>
      <c r="BS15" s="5" t="str">
        <f>IF(_xlfn.XLOOKUP($B15,rf1_data!$B:$B,rf1_data!BK:BK,"NaN")="","NaN",(_xlfn.XLOOKUP($B15,rf1_data!$B:$B,rf1_data!BK:BK,"NaN")))</f>
        <v>NaN</v>
      </c>
      <c r="BT15" s="5" t="str">
        <f>IF(_xlfn.XLOOKUP($B15,rf1_data!$B:$B,rf1_data!BL:BL,"NaN")="","NaN",(_xlfn.XLOOKUP($B15,rf1_data!$B:$B,rf1_data!BL:BL,"NaN")))</f>
        <v>NaN</v>
      </c>
      <c r="BU15" s="5" t="str">
        <f>IF(_xlfn.XLOOKUP($B15,rf1_data!$B:$B,rf1_data!BM:BM,"NaN")="","NaN",(_xlfn.XLOOKUP($B15,rf1_data!$B:$B,rf1_data!BM:BM,"NaN")))</f>
        <v>NaN</v>
      </c>
      <c r="BV15" s="5" t="str">
        <f>IF(_xlfn.XLOOKUP($B15,rf1_data!$B:$B,rf1_data!BN:BN,"NaN")="","NaN",(_xlfn.XLOOKUP($B15,rf1_data!$B:$B,rf1_data!BN:BN,"NaN")))</f>
        <v>NaN</v>
      </c>
      <c r="BW15" s="5">
        <f>IF(_xlfn.XLOOKUP($B15,rf1_data!$B:$B,rf1_data!BO:BO,"NaN")="","NaN",(_xlfn.XLOOKUP($B15,rf1_data!$B:$B,rf1_data!BO:BO,"NaN")))</f>
        <v>4.0999999999999996</v>
      </c>
      <c r="BX15" s="5">
        <f>IF(_xlfn.XLOOKUP($B15,rf1_data!$B:$B,rf1_data!BP:BP,"NaN")="","NaN",(_xlfn.XLOOKUP($B15,rf1_data!$B:$B,rf1_data!BP:BP,"NaN")))</f>
        <v>3.5</v>
      </c>
      <c r="BY15" s="5">
        <f>IF(_xlfn.XLOOKUP($B15,rf1_data!$B:$B,rf1_data!BQ:BQ,"NaN")="","NaN",(_xlfn.XLOOKUP($B15,rf1_data!$B:$B,rf1_data!BQ:BQ,"NaN")))</f>
        <v>4.2</v>
      </c>
      <c r="BZ15" s="5">
        <f>IF(_xlfn.XLOOKUP($B15,rf1_data!$B:$B,rf1_data!BR:BR,"NaN")="","NaN",(_xlfn.XLOOKUP($B15,rf1_data!$B:$B,rf1_data!BR:BR,"NaN")))</f>
        <v>3.93</v>
      </c>
      <c r="CA15" s="5">
        <f>IF(_xlfn.XLOOKUP($B15,rf1_data!$B:$B,rf1_data!BS:BS,"NaN")="","NaN",(_xlfn.XLOOKUP($B15,rf1_data!$B:$B,rf1_data!BS:BS,"NaN")))</f>
        <v>1</v>
      </c>
      <c r="CB15" s="5">
        <f>IF(_xlfn.XLOOKUP($B15,rf1_data!$B:$B,rf1_data!BT:BT,"NaN")="","NaN",(_xlfn.XLOOKUP($B15,rf1_data!$B:$B,rf1_data!BT:BT,"NaN")))</f>
        <v>1</v>
      </c>
      <c r="CC15" s="5">
        <f>IF(_xlfn.XLOOKUP($B15,rf1_data!$B:$B,rf1_data!BU:BU,"NaN")="","NaN",(_xlfn.XLOOKUP($B15,rf1_data!$B:$B,rf1_data!BU:BU,"NaN")))</f>
        <v>1</v>
      </c>
      <c r="CD15" s="5">
        <f>IF(_xlfn.XLOOKUP($B15,rf1_data!$B:$B,rf1_data!BV:BV,"NaN")="","NaN",(_xlfn.XLOOKUP($B15,rf1_data!$B:$B,rf1_data!BV:BV,"NaN")))</f>
        <v>1</v>
      </c>
      <c r="CE15" s="5">
        <f>IF(_xlfn.XLOOKUP($B15,rf1_data!$B:$B,rf1_data!BW:BW,"NaN")="","NaN",(_xlfn.XLOOKUP($B15,rf1_data!$B:$B,rf1_data!BW:BW,"NaN")))</f>
        <v>0.3</v>
      </c>
      <c r="CF15" s="5">
        <f>IF(_xlfn.XLOOKUP($B15,rf1_data!$B:$B,rf1_data!BX:BX,"NaN")="","NaN",(_xlfn.XLOOKUP($B15,rf1_data!$B:$B,rf1_data!BX:BX,"NaN")))</f>
        <v>4</v>
      </c>
      <c r="CG15" s="5">
        <f>IF(_xlfn.XLOOKUP($B15,rf1_data!$B:$B,rf1_data!BY:BY,"NaN")="","NaN",(_xlfn.XLOOKUP($B15,rf1_data!$B:$B,rf1_data!BY:BY,"NaN")))</f>
        <v>1</v>
      </c>
      <c r="CH15" s="5">
        <f>IF(_xlfn.XLOOKUP($B15,rf1_data!$B:$B,rf1_data!BZ:BZ,"NaN")="","NaN",(_xlfn.XLOOKUP($B15,rf1_data!$B:$B,rf1_data!BZ:BZ,"NaN")))</f>
        <v>20</v>
      </c>
      <c r="CI15" s="5">
        <f>IF(_xlfn.XLOOKUP($B15,rf1_data!$B:$B,rf1_data!CA:CA,"NaN")="","NaN",(_xlfn.XLOOKUP($B15,rf1_data!$B:$B,rf1_data!CA:CA,"NaN")))</f>
        <v>20</v>
      </c>
      <c r="CJ15" s="5">
        <f>IF(_xlfn.XLOOKUP($B15,rf1_data!$B:$B,rf1_data!CB:CB,"NaN")="","NaN",(_xlfn.XLOOKUP($B15,rf1_data!$B:$B,rf1_data!CB:CB,"NaN")))</f>
        <v>6</v>
      </c>
      <c r="CK15" s="5">
        <f>IF(_xlfn.XLOOKUP($B15,rf1_data!$B:$B,rf1_data!CC:CC,"NaN")="","NaN",(_xlfn.XLOOKUP($B15,rf1_data!$B:$B,rf1_data!CC:CC,"NaN")))</f>
        <v>0.66666666666666596</v>
      </c>
      <c r="CL15" s="5">
        <f>IF(_xlfn.XLOOKUP($B15,rf1_data!$B:$B,rf1_data!CD:CD,"NaN")=0,"NaN",(_xlfn.XLOOKUP($B15,rf1_data!$B:$B,rf1_data!CD:CD,"NaN")))</f>
        <v>20</v>
      </c>
      <c r="CM15" s="5">
        <f>IF(_xlfn.XLOOKUP($B15,rf1_data!$B:$B,rf1_data!CE:CE,"NaN")="","NaN",(_xlfn.XLOOKUP($B15,rf1_data!$B:$B,rf1_data!CE:CE,"NaN")))</f>
        <v>33</v>
      </c>
      <c r="CN15" s="5">
        <f>IF(_xlfn.XLOOKUP($B15,rf1_data!$B:$B,rf1_data!CF:CF,"NaN")="","NaN",(_xlfn.XLOOKUP($B15,rf1_data!$B:$B,rf1_data!CF:CF,"NaN")))</f>
        <v>43</v>
      </c>
      <c r="CO15" s="5">
        <f>IF(_xlfn.XLOOKUP($B15,rf1_data!$B:$B,rf1_data!CG:CG,"NaN")="","NaN",(_xlfn.XLOOKUP($B15,rf1_data!$B:$B,rf1_data!CG:CG,"NaN")))</f>
        <v>20</v>
      </c>
      <c r="CP15" s="5">
        <f>IF(_xlfn.XLOOKUP($B15,rf1_data!$B:$B,rf1_data!CH:CH,"NaN")=0,"NaN",(_xlfn.XLOOKUP($B15,rf1_data!$B:$B,rf1_data!CH:CH,"NaN")))</f>
        <v>20</v>
      </c>
      <c r="CQ15" s="5">
        <f>IF(_xlfn.XLOOKUP($B15,rf1_data!$B:$B,rf1_data!CI:CI,"NaN")="","NaN",(_xlfn.XLOOKUP($B15,rf1_data!$B:$B,rf1_data!CI:CI,"NaN")))</f>
        <v>42</v>
      </c>
      <c r="CR15" s="5">
        <f>IF(_xlfn.XLOOKUP($B15,rf1_data!$B:$B,rf1_data!CJ:CJ,"NaN")="","NaN",(_xlfn.XLOOKUP($B15,rf1_data!$B:$B,rf1_data!CJ:CJ,"NaN")))</f>
        <v>60</v>
      </c>
      <c r="CS15" s="5">
        <f>IF(_xlfn.XLOOKUP($B15,rf1_data!$B:$B,rf1_data!CK:CK,"NaN")="","NaN",(_xlfn.XLOOKUP($B15,rf1_data!$B:$B,rf1_data!CK:CK,"NaN")))</f>
        <v>30</v>
      </c>
      <c r="CT15" s="5">
        <f>IF(_xlfn.XLOOKUP($B15,rf1_data!$B:$B,rf1_data!CL:CL,"NaN")="","NaN",(_xlfn.XLOOKUP($B15,rf1_data!$B:$B,rf1_data!CL:CL,"NaN")))</f>
        <v>60</v>
      </c>
      <c r="CU15" s="5">
        <f>IF(_xlfn.XLOOKUP($B15,rf1_data!$B:$B,rf1_data!CM:CM,"NaN")="","NaN",(_xlfn.XLOOKUP($B15,rf1_data!$B:$B,rf1_data!CM:CM,"NaN")))</f>
        <v>30</v>
      </c>
      <c r="CV15" s="5">
        <f>IF(_xlfn.XLOOKUP($B15,rf1_data!$B:$B,rf1_data!CN:CN,"NaN")="","NaN",(_xlfn.XLOOKUP($B15,rf1_data!$B:$B,rf1_data!CN:CN,"NaN")))</f>
        <v>60</v>
      </c>
      <c r="CW15" s="5" t="str">
        <f>IF(_xlfn.XLOOKUP($B15,rf1_data!$B:$B,rf1_data!CO:CO,"NaN")="","NaN",(_xlfn.XLOOKUP($B15,rf1_data!$B:$B,rf1_data!CO:CO,"NaN")))</f>
        <v>NaN</v>
      </c>
      <c r="CX15" s="5" t="str">
        <f>IF(_xlfn.XLOOKUP($B15,rf1_data!$B:$B,rf1_data!CP:CP,"NaN")="","NaN",(_xlfn.XLOOKUP($B15,rf1_data!$B:$B,rf1_data!CP:CP,"NaN")))</f>
        <v>NaN</v>
      </c>
      <c r="CY15" s="5">
        <f>IF(_xlfn.XLOOKUP($B15,rf1_data!$B:$B,rf1_data!CQ:CQ,"NaN")="","NaN",(_xlfn.XLOOKUP($B15,rf1_data!$B:$B,rf1_data!CQ:CQ,"NaN")))</f>
        <v>2</v>
      </c>
      <c r="CZ15" s="5">
        <f>IF(_xlfn.XLOOKUP($B15,rf1_data!$B:$B,rf1_data!CR:CR,"NaN")="","NaN",(_xlfn.XLOOKUP($B15,rf1_data!$B:$B,rf1_data!CR:CR,"NaN")))</f>
        <v>2</v>
      </c>
      <c r="DA15" s="5">
        <f>IF(_xlfn.XLOOKUP($B15,rf1_data!$B:$B,rf1_data!CS:CS,"NaN")="","NaN",(_xlfn.XLOOKUP($B15,rf1_data!$B:$B,rf1_data!CS:CS,"NaN")))</f>
        <v>5</v>
      </c>
      <c r="DB15" s="4">
        <f>IF(_xlfn.XLOOKUP($B15,island_data!$B:$B,island_data!H:H,"NaN")="","NaN",_xlfn.XLOOKUP($B15,island_data!$B:$B,island_data!H:H,"NaN"))</f>
        <v>3</v>
      </c>
      <c r="DC15" s="4">
        <f>IF(_xlfn.XLOOKUP($B15,island_data!$B:$B,island_data!I:I,"NaN")="","NaN",_xlfn.XLOOKUP($B15,island_data!$B:$B,island_data!I:I,"NaN"))</f>
        <v>0</v>
      </c>
      <c r="DD15" s="4">
        <f>IF(_xlfn.XLOOKUP($B15,island_data!$B:$B,island_data!J:J,"NaN")="","NaN",_xlfn.XLOOKUP($B15,island_data!$B:$B,island_data!J:J,"NaN"))</f>
        <v>4</v>
      </c>
      <c r="DE15" s="4">
        <f>IF(_xlfn.XLOOKUP($B15,island_data!$B:$B,island_data!K:K,"NaN")="","NaN",_xlfn.XLOOKUP($B15,island_data!$B:$B,island_data!K:K,"NaN"))</f>
        <v>2</v>
      </c>
      <c r="DF15" s="4">
        <f>IF(_xlfn.XLOOKUP($B15,island_data!$B:$B,island_data!L:L,"NaN")="","NaN",_xlfn.XLOOKUP($B15,island_data!$B:$B,island_data!L:L,"NaN"))</f>
        <v>0</v>
      </c>
      <c r="DG15" s="4">
        <f>IF(_xlfn.XLOOKUP($B15,island_data!$B:$B,island_data!M:M,"NaN")="","NaN",_xlfn.XLOOKUP($B15,island_data!$B:$B,island_data!M:M,"NaN"))</f>
        <v>2.5</v>
      </c>
      <c r="DH15" s="4">
        <f>IF(_xlfn.XLOOKUP($B15,island_data!$B:$B,island_data!N:N,"NaN")="","NaN",_xlfn.XLOOKUP($B15,island_data!$B:$B,island_data!N:N,"NaN"))</f>
        <v>9</v>
      </c>
      <c r="DI15" s="4" t="str">
        <f>IF(_xlfn.XLOOKUP($B15,island_data!$B:$B,island_data!O:O,"NaN")=999,"NaN",_xlfn.XLOOKUP($B15,island_data!$B:$B,island_data!O:O,"NaN"))</f>
        <v>NaN</v>
      </c>
      <c r="DJ15" s="4">
        <f>IF(_xlfn.XLOOKUP($B15,island_data!$B:$B,island_data!P:P,"NaN")="","NaN",_xlfn.XLOOKUP($B15,island_data!$B:$B,island_data!P:P,"NaN"))</f>
        <v>6</v>
      </c>
      <c r="DK15" s="4">
        <f>IF(_xlfn.XLOOKUP($B15,island_data!$B:$B,island_data!Q:Q,"NaN")="","NaN",_xlfn.XLOOKUP($B15,island_data!$B:$B,island_data!Q:Q,"NaN"))</f>
        <v>0</v>
      </c>
      <c r="DL15" s="4" t="str">
        <f>IF(_xlfn.XLOOKUP($B15,island_data!$B:$B,island_data!R:R,"NaN")=999,"NaN",_xlfn.XLOOKUP($B15,island_data!$B:$B,island_data!R:R,"NaN"))</f>
        <v>NaN</v>
      </c>
      <c r="DM15" s="4">
        <f>IF(_xlfn.XLOOKUP($B15,island_data!$B:$B,island_data!S:S,"NaN")="","NaN",_xlfn.XLOOKUP($B15,island_data!$B:$B,island_data!S:S,"NaN"))</f>
        <v>9</v>
      </c>
      <c r="DN15" s="4">
        <f>IF(_xlfn.XLOOKUP($B15,island_data!$B:$B,island_data!T:T,"NaN")="","NaN",_xlfn.XLOOKUP($B15,island_data!$B:$B,island_data!T:T,"NaN"))</f>
        <v>5</v>
      </c>
      <c r="DO15" s="4">
        <f>IF(_xlfn.XLOOKUP($B15,island_data!$B:$B,island_data!U:U,"NaN")="","NaN",_xlfn.XLOOKUP($B15,island_data!$B:$B,island_data!U:U,"NaN"))</f>
        <v>1</v>
      </c>
      <c r="DP15" s="4">
        <f>IF(_xlfn.XLOOKUP($B15,island_data!$B:$B,island_data!V:V,"NaN")="","NaN",_xlfn.XLOOKUP($B15,island_data!$B:$B,island_data!V:V,"NaN"))</f>
        <v>0</v>
      </c>
      <c r="DQ15" s="4">
        <f>IF(_xlfn.XLOOKUP($B15,island_data!$B:$B,island_data!W:W,"NaN")="","NaN",_xlfn.XLOOKUP($B15,island_data!$B:$B,island_data!W:W,"NaN"))</f>
        <v>6</v>
      </c>
      <c r="DR15" s="4">
        <f>IF(_xlfn.XLOOKUP($B15,island_data!$B:$B,island_data!X:X,"NaN")="","NaN",_xlfn.XLOOKUP($B15,island_data!$B:$B,island_data!X:X,"NaN"))</f>
        <v>1</v>
      </c>
      <c r="DS15" s="4" t="str">
        <f>IF(_xlfn.XLOOKUP($B15,island_data!$B:$B,island_data!Y:Y,"NaN")="","NaN",_xlfn.XLOOKUP($B15,island_data!$B:$B,island_data!Y:Y,"NaN"))</f>
        <v>NaN</v>
      </c>
      <c r="DT15" s="4" t="str">
        <f>IF(_xlfn.XLOOKUP($B15,island_data!$B:$B,island_data!Z:Z,"NaN")="","NaN",_xlfn.XLOOKUP($B15,island_data!$B:$B,island_data!Z:Z,"NaN"))</f>
        <v>NaN</v>
      </c>
      <c r="DU15" s="4" t="str">
        <f>IF(_xlfn.XLOOKUP($B15,island_data!$B:$B,island_data!AA:AA,"NaN")="","NaN",_xlfn.XLOOKUP($B15,island_data!$B:$B,island_data!AA:AA,"NaN"))</f>
        <v>NaN</v>
      </c>
      <c r="DV15" s="4">
        <f>IF(_xlfn.XLOOKUP($B15,island_data!$B:$B,island_data!AB:AB,"NaN")="","NaN",_xlfn.XLOOKUP($B15,island_data!$B:$B,island_data!AB:AB,"NaN"))</f>
        <v>1</v>
      </c>
      <c r="DW15" s="4">
        <f>IF(_xlfn.XLOOKUP($B15,island_data!$B:$B,island_data!AC:AC,"NaN")="","NaN",_xlfn.XLOOKUP($B15,island_data!$B:$B,island_data!AC:AC,"NaN"))</f>
        <v>19138</v>
      </c>
      <c r="DX15" s="4">
        <f>IF(_xlfn.XLOOKUP($B15,island_data!$B:$B,island_data!AD:AD,"NaN")="","NaN",_xlfn.XLOOKUP($B15,island_data!$B:$B,island_data!AD:AD,"NaN"))</f>
        <v>6</v>
      </c>
      <c r="DY15" s="4">
        <f>IF(_xlfn.XLOOKUP($B15,island_data!$B:$B,island_data!AE:AE,"NaN")="","NaN",_xlfn.XLOOKUP($B15,island_data!$B:$B,island_data!AE:AE,"NaN"))</f>
        <v>1</v>
      </c>
      <c r="DZ15" s="4" t="str">
        <f>IF(_xlfn.XLOOKUP($B15,island_data!$B:$B,island_data!AF:AF,"NaN")="","NaN",_xlfn.XLOOKUP($B15,island_data!$B:$B,island_data!AF:AF,"NaN"))</f>
        <v>NaN</v>
      </c>
      <c r="EA15" s="4" t="str">
        <f>IF(_xlfn.XLOOKUP($B15,island_data!$B:$B,island_data!AG:AG,"NaN")="","NaN",_xlfn.XLOOKUP($B15,island_data!$B:$B,island_data!AG:AG,"NaN"))</f>
        <v>NaN</v>
      </c>
      <c r="EB15" s="4" t="str">
        <f>IF(_xlfn.XLOOKUP($B15,island_data!$B:$B,island_data!AH:AH,"NaN")="","NaN",_xlfn.XLOOKUP($B15,island_data!$B:$B,island_data!AH:AH,"NaN"))</f>
        <v>NaN</v>
      </c>
      <c r="EC15" s="4" t="str">
        <f>IF(_xlfn.XLOOKUP($B15,island_data!$B:$B,island_data!AI:AI,"NaN")="","NaN",_xlfn.XLOOKUP($B15,island_data!$B:$B,island_data!AI:AI,"NaN"))</f>
        <v>NaN</v>
      </c>
      <c r="ED15" s="4" t="str">
        <f>IF(_xlfn.XLOOKUP($B15,island_data!$B:$B,island_data!AJ:AJ,"NaN")="","NaN",_xlfn.XLOOKUP($B15,island_data!$B:$B,island_data!AJ:AJ,"NaN"))</f>
        <v>NaN</v>
      </c>
      <c r="EE15" s="4" t="str">
        <f>IF(_xlfn.XLOOKUP($B15,island_data!$B:$B,island_data!AK:AK,"NaN")="","NaN",_xlfn.XLOOKUP($B15,island_data!$B:$B,island_data!AK:AK,"NaN"))</f>
        <v>NaN</v>
      </c>
      <c r="EF15" s="4" t="str">
        <f>IF(_xlfn.XLOOKUP($B15,island_data!$B:$B,island_data!AL:AL,"NaN")="","NaN",_xlfn.XLOOKUP($B15,island_data!$B:$B,island_data!AL:AL,"NaN"))</f>
        <v>NaN</v>
      </c>
      <c r="EG15" s="4" t="str">
        <f>IF(_xlfn.XLOOKUP($B15,island_data!$B:$B,island_data!AM:AM,"NaN")="","NaN",_xlfn.XLOOKUP($B15,island_data!$B:$B,island_data!AM:AM,"NaN"))</f>
        <v>NaN</v>
      </c>
      <c r="EH15" s="4" t="str">
        <f>IF(_xlfn.XLOOKUP($B15,island_data!$B:$B,island_data!AN:AN,"NaN")="","NaN",_xlfn.XLOOKUP($B15,island_data!$B:$B,island_data!AN:AN,"NaN"))</f>
        <v>NaN</v>
      </c>
      <c r="EI15" s="4" t="str">
        <f>IF(_xlfn.XLOOKUP($B15,island_data!$B:$B,island_data!AO:AO,"NaN")="","NaN",_xlfn.XLOOKUP($B15,island_data!$B:$B,island_data!AO:AO,"NaN"))</f>
        <v>NaN</v>
      </c>
      <c r="EJ15" s="8" t="str">
        <f>IF(_xlfn.XLOOKUP($A15,TabCAT!$A:$A,TabCAT!AU:AU,"NaN")="","NaN",(_xlfn.XLOOKUP($A15,TabCAT!$A:$A,TabCAT!AU:AU,"NaN")))</f>
        <v>NaN</v>
      </c>
      <c r="EK15" s="8" t="str">
        <f>IF(_xlfn.XLOOKUP($A15,TabCAT!$A:$A,TabCAT!AV:AV,"NaN")="","NaN",(_xlfn.XLOOKUP($A15,TabCAT!$A:$A,TabCAT!AV:AV,"NaN")))</f>
        <v>NaN</v>
      </c>
      <c r="EL15" s="8" t="str">
        <f>IF(_xlfn.XLOOKUP($A15,TabCAT!$A:$A,TabCAT!AW:AW,"NaN")="","NaN",(_xlfn.XLOOKUP($A15,TabCAT!$A:$A,TabCAT!AW:AW,"NaN")))</f>
        <v>NaN</v>
      </c>
      <c r="EM15" s="8" t="str">
        <f>IF(_xlfn.XLOOKUP($A15,TabCAT!$A:$A,TabCAT!AX:AX,"NaN")="","NaN",(_xlfn.XLOOKUP($A15,TabCAT!$A:$A,TabCAT!AX:AX,"NaN")))</f>
        <v>NaN</v>
      </c>
      <c r="EN15" s="8" t="str">
        <f>IF(_xlfn.XLOOKUP($A15,TabCAT!$A:$A,TabCAT!AY:AY,"NaN")="","NaN",(_xlfn.XLOOKUP($A15,TabCAT!$A:$A,TabCAT!AY:AY,"NaN")))</f>
        <v>NaN</v>
      </c>
      <c r="EO15" s="8" t="str">
        <f>IF(_xlfn.XLOOKUP($A15,TabCAT!$A:$A,TabCAT!AZ:AZ,"NaN")="","NaN",(_xlfn.XLOOKUP($A15,TabCAT!$A:$A,TabCAT!AZ:AZ,"NaN")))</f>
        <v>NaN</v>
      </c>
      <c r="EP15" s="8" t="str">
        <f>IF(_xlfn.XLOOKUP($A15,TabCAT!$A:$A,TabCAT!BA:BA,"NaN")="","NaN",(_xlfn.XLOOKUP($A15,TabCAT!$A:$A,TabCAT!BA:BA,"NaN")))</f>
        <v>NaN</v>
      </c>
      <c r="EQ15" s="8" t="str">
        <f>IF(_xlfn.XLOOKUP($A15,TabCAT!$A:$A,TabCAT!BB:BB,"NaN")="","NaN",(_xlfn.XLOOKUP($A15,TabCAT!$A:$A,TabCAT!BB:BB,"NaN")))</f>
        <v>NaN</v>
      </c>
      <c r="ER15" s="8" t="str">
        <f>IF(_xlfn.XLOOKUP($A15,TabCAT!$A:$A,TabCAT!BC:BC,"NaN")="","NaN",(_xlfn.XLOOKUP($A15,TabCAT!$A:$A,TabCAT!BC:BC,"NaN")))</f>
        <v>NaN</v>
      </c>
      <c r="ES15" s="8" t="str">
        <f>IF(_xlfn.XLOOKUP($A15,TabCAT!$A:$A,TabCAT!BD:BD,"NaN")="","NaN",(_xlfn.XLOOKUP($A15,TabCAT!$A:$A,TabCAT!BD:BD,"NaN")))</f>
        <v>NaN</v>
      </c>
      <c r="ET15" s="8" t="str">
        <f>IF(_xlfn.XLOOKUP($A15,TabCAT!$A:$A,TabCAT!BE:BE,"NaN")="","NaN",(_xlfn.XLOOKUP($A15,TabCAT!$A:$A,TabCAT!BE:BE,"NaN")))</f>
        <v>NaN</v>
      </c>
      <c r="EU15" s="8" t="str">
        <f>IF(_xlfn.XLOOKUP($A15,TabCAT!$A:$A,TabCAT!BF:BF,"NaN")="","NaN",(_xlfn.XLOOKUP($A15,TabCAT!$A:$A,TabCAT!BF:BF,"NaN")))</f>
        <v>NaN</v>
      </c>
      <c r="EV15" s="8" t="str">
        <f>IF(_xlfn.XLOOKUP($A15,TabCAT!$A:$A,TabCAT!BG:BG,"NaN")="","NaN",(_xlfn.XLOOKUP($A15,TabCAT!$A:$A,TabCAT!BG:BG,"NaN")))</f>
        <v>NaN</v>
      </c>
      <c r="EW15" s="8" t="str">
        <f>IF(_xlfn.XLOOKUP($A15,TabCAT!$A:$A,TabCAT!BH:BH,"NaN")="","NaN",(_xlfn.XLOOKUP($A15,TabCAT!$A:$A,TabCAT!BH:BH,"NaN")))</f>
        <v>NaN</v>
      </c>
      <c r="EX15" s="8" t="str">
        <f>IF(_xlfn.XLOOKUP($A15,TabCAT!$A:$A,TabCAT!BI:BI,"NaN")="","NaN",(_xlfn.XLOOKUP($A15,TabCAT!$A:$A,TabCAT!BI:BI,"NaN")))</f>
        <v>NaN</v>
      </c>
      <c r="EY15" s="8" t="str">
        <f>IF(_xlfn.XLOOKUP($A15,TabCAT!$A:$A,TabCAT!BJ:BJ,"NaN")="","NaN",(_xlfn.XLOOKUP($A15,TabCAT!$A:$A,TabCAT!BJ:BJ,"NaN")))</f>
        <v>NaN</v>
      </c>
      <c r="EZ15" s="8" t="str">
        <f>IF(_xlfn.XLOOKUP($A15,TabCAT!$A:$A,TabCAT!BK:BK,"NaN")="","NaN",(_xlfn.XLOOKUP($A15,TabCAT!$A:$A,TabCAT!BK:BK,"NaN")))</f>
        <v>NaN</v>
      </c>
      <c r="FA15" s="8" t="str">
        <f>IF(_xlfn.XLOOKUP($A15,TabCAT!$A:$A,TabCAT!BL:BL,"NaN")="","NaN",(_xlfn.XLOOKUP($A15,TabCAT!$A:$A,TabCAT!BL:BL,"NaN")))</f>
        <v>NaN</v>
      </c>
      <c r="FB15" s="8" t="str">
        <f>IF(_xlfn.XLOOKUP($A15,TabCAT!$A:$A,TabCAT!BM:BM,"NaN")="","NaN",(_xlfn.XLOOKUP($A15,TabCAT!$A:$A,TabCAT!BM:BM,"NaN")))</f>
        <v>NaN</v>
      </c>
      <c r="FC15" s="8" t="str">
        <f>IF(_xlfn.XLOOKUP($A15,TabCAT!$A:$A,TabCAT!BN:BN,"NaN")="","NaN",(_xlfn.XLOOKUP($A15,TabCAT!$A:$A,TabCAT!BN:BN,"NaN")))</f>
        <v>NaN</v>
      </c>
      <c r="FD15" s="8" t="str">
        <f>IF(_xlfn.XLOOKUP($A15,TabCAT!$A:$A,TabCAT!BO:BO,"NaN")="","NaN",(_xlfn.XLOOKUP($A15,TabCAT!$A:$A,TabCAT!BO:BO,"NaN")))</f>
        <v>NaN</v>
      </c>
      <c r="FE15" s="8" t="str">
        <f>IF(_xlfn.XLOOKUP($A15,TabCAT!$A:$A,TabCAT!BP:BP,"NaN")="","NaN",(_xlfn.XLOOKUP($A15,TabCAT!$A:$A,TabCAT!BP:BP,"NaN")))</f>
        <v>NaN</v>
      </c>
      <c r="FF15" s="8" t="str">
        <f>IF(_xlfn.XLOOKUP($A15,TabCAT!$A:$A,TabCAT!BQ:BQ,"NaN")="","NaN",(_xlfn.XLOOKUP($A15,TabCAT!$A:$A,TabCAT!BQ:BQ,"NaN")))</f>
        <v>NaN</v>
      </c>
      <c r="FG15" s="8" t="str">
        <f>IF(_xlfn.XLOOKUP($A15,TabCAT!$A:$A,TabCAT!BR:BR,"NaN")="","NaN",(_xlfn.XLOOKUP($A15,TabCAT!$A:$A,TabCAT!BR:BR,"NaN")))</f>
        <v>NaN</v>
      </c>
      <c r="FH15" s="8" t="str">
        <f>IF(_xlfn.XLOOKUP($A15,TabCAT!$A:$A,TabCAT!BS:BS,"NaN")="","NaN",(_xlfn.XLOOKUP($A15,TabCAT!$A:$A,TabCAT!BS:BS,"NaN")))</f>
        <v>NaN</v>
      </c>
      <c r="FI15" s="8" t="str">
        <f>IF(_xlfn.XLOOKUP($A15,TabCAT!$A:$A,TabCAT!BT:BT,"NaN")="","NaN",(_xlfn.XLOOKUP($A15,TabCAT!$A:$A,TabCAT!BT:BT,"NaN")))</f>
        <v>NaN</v>
      </c>
      <c r="FJ15" s="8" t="str">
        <f>IF(_xlfn.XLOOKUP($A15,TabCAT!$A:$A,TabCAT!BU:BU,"NaN")="","NaN",(_xlfn.XLOOKUP($A15,TabCAT!$A:$A,TabCAT!BU:BU,"NaN")))</f>
        <v>NaN</v>
      </c>
      <c r="FK15" s="8" t="str">
        <f>IF(_xlfn.XLOOKUP($A15,TabCAT!$A:$A,TabCAT!BV:BV,"NaN")="","NaN",(_xlfn.XLOOKUP($A15,TabCAT!$A:$A,TabCAT!BV:BV,"NaN")))</f>
        <v>NaN</v>
      </c>
      <c r="FL15" s="8" t="str">
        <f>IF(_xlfn.XLOOKUP($A15,TabCAT!$A:$A,TabCAT!BW:BW,"NaN")="","NaN",(_xlfn.XLOOKUP($A15,TabCAT!$A:$A,TabCAT!BW:BW,"NaN")))</f>
        <v>NaN</v>
      </c>
      <c r="FM15" s="8" t="str">
        <f>IF(_xlfn.XLOOKUP($A15,TabCAT!$A:$A,TabCAT!BX:BX,"NaN")="","NaN",(_xlfn.XLOOKUP($A15,TabCAT!$A:$A,TabCAT!BX:BX,"NaN")))</f>
        <v>NaN</v>
      </c>
      <c r="FN15" s="8" t="str">
        <f>IF(_xlfn.XLOOKUP($A15,TabCAT!$A:$A,TabCAT!BY:BY,"NaN")="","NaN",(_xlfn.XLOOKUP($A15,TabCAT!$A:$A,TabCAT!BY:BY,"NaN")))</f>
        <v>NaN</v>
      </c>
      <c r="FO15" s="8" t="str">
        <f>IF(_xlfn.XLOOKUP($A15,TabCAT!$A:$A,TabCAT!BZ:BZ,"NaN")="","NaN",(_xlfn.XLOOKUP($A15,TabCAT!$A:$A,TabCAT!BZ:BZ,"NaN")))</f>
        <v>NaN</v>
      </c>
      <c r="FP15" s="8" t="str">
        <f>IF(_xlfn.XLOOKUP($A15,TabCAT!$A:$A,TabCAT!CA:CA,"NaN")="","NaN",(_xlfn.XLOOKUP($A15,TabCAT!$A:$A,TabCAT!CA:CA,"NaN")))</f>
        <v>NaN</v>
      </c>
      <c r="FQ15" s="8" t="str">
        <f>IF(_xlfn.XLOOKUP($A15,TabCAT!$A:$A,TabCAT!CB:CB,"NaN")="","NaN",(_xlfn.XLOOKUP($A15,TabCAT!$A:$A,TabCAT!CB:CB,"NaN")))</f>
        <v>NaN</v>
      </c>
      <c r="FR15" s="8" t="str">
        <f>IF(_xlfn.XLOOKUP($A15,TabCAT!$A:$A,TabCAT!CC:CC,"NaN")="","NaN",(_xlfn.XLOOKUP($A15,TabCAT!$A:$A,TabCAT!CC:CC,"NaN")))</f>
        <v>NaN</v>
      </c>
      <c r="FS15" s="8" t="str">
        <f>IF(_xlfn.XLOOKUP($A15,TabCAT!$A:$A,TabCAT!CD:CD,"NaN")="","NaN",(_xlfn.XLOOKUP($A15,TabCAT!$A:$A,TabCAT!CD:CD,"NaN")))</f>
        <v>NaN</v>
      </c>
      <c r="FT15" s="8" t="str">
        <f>IF(_xlfn.XLOOKUP($A15,TabCAT!$A:$A,TabCAT!CE:CE,"NaN")="","NaN",(_xlfn.XLOOKUP($A15,TabCAT!$A:$A,TabCAT!CE:CE,"NaN")))</f>
        <v>NaN</v>
      </c>
      <c r="FU15" s="8" t="str">
        <f>IF(_xlfn.XLOOKUP($A15,TabCAT!$A:$A,TabCAT!CF:CF,"NaN")="","NaN",(_xlfn.XLOOKUP($A15,TabCAT!$A:$A,TabCAT!CF:CF,"NaN")))</f>
        <v>NaN</v>
      </c>
      <c r="FV15" s="8" t="str">
        <f>IF(_xlfn.XLOOKUP($A15,TabCAT!$A:$A,TabCAT!CG:CG,"NaN")="","NaN",(_xlfn.XLOOKUP($A15,TabCAT!$A:$A,TabCAT!CG:CG,"NaN")))</f>
        <v>NaN</v>
      </c>
      <c r="FW15" s="8" t="str">
        <f>IF(_xlfn.XLOOKUP($A15,TabCAT!$A:$A,TabCAT!CH:CH,"NaN")="","NaN",(_xlfn.XLOOKUP($A15,TabCAT!$A:$A,TabCAT!CH:CH,"NaN")))</f>
        <v>NaN</v>
      </c>
      <c r="FX15" s="8" t="str">
        <f>IF(_xlfn.XLOOKUP($A15,TabCAT!$A:$A,TabCAT!CI:CI,"NaN")="","NaN",(_xlfn.XLOOKUP($A15,TabCAT!$A:$A,TabCAT!CI:CI,"NaN")))</f>
        <v>NaN</v>
      </c>
      <c r="FY15" s="8" t="str">
        <f>IF(_xlfn.XLOOKUP($A15,TabCAT!$A:$A,TabCAT!CJ:CJ,"NaN")="","NaN",(_xlfn.XLOOKUP($A15,TabCAT!$A:$A,TabCAT!CJ:CJ,"NaN")))</f>
        <v>NaN</v>
      </c>
      <c r="FZ15" s="8" t="str">
        <f>IF(_xlfn.XLOOKUP($A15,TabCAT!$A:$A,TabCAT!CK:CK,"NaN")="","NaN",(_xlfn.XLOOKUP($A15,TabCAT!$A:$A,TabCAT!CK:CK,"NaN")))</f>
        <v>NaN</v>
      </c>
      <c r="GA15" s="8" t="str">
        <f>IF(_xlfn.XLOOKUP($A15,TabCAT!$A:$A,TabCAT!CL:CL,"NaN")="","NaN",(_xlfn.XLOOKUP($A15,TabCAT!$A:$A,TabCAT!CL:CL,"NaN")))</f>
        <v>NaN</v>
      </c>
      <c r="GB15" s="8" t="str">
        <f>IF(_xlfn.XLOOKUP($A15,TabCAT!$A:$A,TabCAT!CM:CM,"NaN")="","NaN",(_xlfn.XLOOKUP($A15,TabCAT!$A:$A,TabCAT!CM:CM,"NaN")))</f>
        <v>NaN</v>
      </c>
      <c r="GC15" s="8" t="str">
        <f>IF(_xlfn.XLOOKUP($A15,TabCAT!$A:$A,TabCAT!CN:CN,"NaN")="","NaN",(_xlfn.XLOOKUP($A15,TabCAT!$A:$A,TabCAT!CN:CN,"NaN")))</f>
        <v>NaN</v>
      </c>
      <c r="GD15" s="8" t="str">
        <f>IF(_xlfn.XLOOKUP($A15,TabCAT!$A:$A,TabCAT!CO:CO,"NaN")="","NaN",(_xlfn.XLOOKUP($A15,TabCAT!$A:$A,TabCAT!CO:CO,"NaN")))</f>
        <v>NaN</v>
      </c>
      <c r="GE15" s="8" t="str">
        <f>IF(_xlfn.XLOOKUP($A15,TabCAT!$A:$A,TabCAT!CP:CP,"NaN")="","NaN",(_xlfn.XLOOKUP($A15,TabCAT!$A:$A,TabCAT!CP:CP,"NaN")))</f>
        <v>NaN</v>
      </c>
      <c r="GF15" s="8" t="str">
        <f>IF(_xlfn.XLOOKUP($A15,TabCAT!$A:$A,TabCAT!CQ:CQ,"NaN")="","NaN",(_xlfn.XLOOKUP($A15,TabCAT!$A:$A,TabCAT!CQ:CQ,"NaN")))</f>
        <v>NaN</v>
      </c>
      <c r="GG15" s="8" t="str">
        <f>IF(_xlfn.XLOOKUP($A15,TabCAT!$A:$A,TabCAT!CR:CR,"NaN")="","NaN",(_xlfn.XLOOKUP($A15,TabCAT!$A:$A,TabCAT!CR:CR,"NaN")))</f>
        <v>NaN</v>
      </c>
      <c r="GH15" s="8" t="str">
        <f>IF(_xlfn.XLOOKUP($A15,TabCAT!$A:$A,TabCAT!CS:CS,"NaN")="","NaN",(_xlfn.XLOOKUP($A15,TabCAT!$A:$A,TabCAT!CS:CS,"NaN")))</f>
        <v>NaN</v>
      </c>
    </row>
    <row r="16" spans="1:190" x14ac:dyDescent="0.2">
      <c r="A16">
        <v>10584</v>
      </c>
      <c r="B16">
        <f>_xlfn.XLOOKUP(bippity_poppity_boo!A16,rf1_data!A:A,rf1_data!B:B)</f>
        <v>221173</v>
      </c>
      <c r="C16" s="2">
        <f>(_xlfn.XLOOKUP($A16,trust!$A:$A,trust!B:B,"NaN"))</f>
        <v>3.5714290000000002</v>
      </c>
      <c r="D16" s="2">
        <f>(_xlfn.XLOOKUP($A16,trust!$A:$A,trust!C:C,"NaN"))</f>
        <v>3.8</v>
      </c>
      <c r="E16" s="2">
        <f>(_xlfn.XLOOKUP($A16,trust!$A:$A,trust!D:D,"NaN"))</f>
        <v>2.8333330000000001</v>
      </c>
      <c r="F16" s="2">
        <f>(_xlfn.XLOOKUP($A16,trust!$A:$A,trust!E:E,"NaN"))</f>
        <v>5.0909089999999999</v>
      </c>
      <c r="G16" s="2">
        <f>(_xlfn.XLOOKUP($A16,trust!$A:$A,trust!F:F,"NaN"))</f>
        <v>3.0909089999999999</v>
      </c>
      <c r="H16" s="2">
        <f>(_xlfn.XLOOKUP($A16,trust!$A:$A,trust!G:G,"NaN"))</f>
        <v>2.25</v>
      </c>
      <c r="I16" s="3">
        <f>IF(_xlfn.XLOOKUP($B16,island_data!$B:$B,island_data!C:C,"NaN")="","NaN",_xlfn.XLOOKUP($B16,island_data!$B:$B,island_data!C:C,"NaN"))</f>
        <v>45001</v>
      </c>
      <c r="J16" s="3">
        <f>IF(_xlfn.XLOOKUP($B16,island_data!$B:$B,island_data!D:D,"NaN")="","NaN",_xlfn.XLOOKUP($B16,island_data!$B:$B,island_data!D:D,"NaN"))</f>
        <v>26779</v>
      </c>
      <c r="K16" s="4">
        <f>IF(_xlfn.XLOOKUP($B16,island_data!$B:$B,island_data!E:E,"NaN")="","NaN",_xlfn.XLOOKUP($B16,island_data!$B:$B,island_data!E:E,"NaN"))</f>
        <v>49.89</v>
      </c>
      <c r="L16" s="5">
        <f>IF(_xlfn.XLOOKUP($B16,rf1_data!$B:$B,rf1_data!D:D,"NaN")="","NaN",(_xlfn.XLOOKUP($B16,rf1_data!$B:$B,rf1_data!D:D,"NaN")))</f>
        <v>49.64</v>
      </c>
      <c r="M16" s="5" t="str">
        <f>IF(_xlfn.XLOOKUP($B16,rf1_data!$B:$B,rf1_data!E:E,"NaN")="","NaN",(_xlfn.XLOOKUP($B16,rf1_data!$B:$B,rf1_data!E:E,"NaN")))</f>
        <v>White</v>
      </c>
      <c r="N16" s="5" t="str">
        <f>IF(_xlfn.XLOOKUP($B16,rf1_data!$B:$B,rf1_data!F:F,"NaN")="","NaN",(_xlfn.XLOOKUP($B16,rf1_data!$B:$B,rf1_data!F:F,"NaN")))</f>
        <v>Not Hispanic or Latino</v>
      </c>
      <c r="O16" s="5" t="str">
        <f>IF(_xlfn.XLOOKUP($B16,rf1_data!$B:$B,rf1_data!G:G,"NaN")="","NaN",(_xlfn.XLOOKUP($B16,rf1_data!$B:$B,rf1_data!G:G,"NaN")))</f>
        <v>Female</v>
      </c>
      <c r="P16" s="5">
        <f>IF(_xlfn.XLOOKUP($B16,rf1_data!$B:$B,rf1_data!H:H,"NaN")="","NaN",(_xlfn.XLOOKUP($B16,rf1_data!$B:$B,rf1_data!H:H,"NaN")))</f>
        <v>4.22</v>
      </c>
      <c r="Q16" s="5">
        <f>IF(_xlfn.XLOOKUP($B16,rf1_data!$B:$B,rf1_data!I:I,"NaN")="","NaN",(_xlfn.XLOOKUP($B16,rf1_data!$B:$B,rf1_data!I:I,"NaN")))</f>
        <v>3</v>
      </c>
      <c r="R16" s="5">
        <f>IF(_xlfn.XLOOKUP($B16,rf1_data!$B:$B,rf1_data!J:J,"NaN")="","NaN",(_xlfn.XLOOKUP($B16,rf1_data!$B:$B,rf1_data!J:J,"NaN")))</f>
        <v>1</v>
      </c>
      <c r="S16" s="5">
        <f>IF(_xlfn.XLOOKUP($B16,rf1_data!$B:$B,rf1_data!K:K,"NaN")="","NaN",(_xlfn.XLOOKUP($B16,rf1_data!$B:$B,rf1_data!K:K,"NaN")))</f>
        <v>3</v>
      </c>
      <c r="T16" s="5">
        <f>IF(_xlfn.XLOOKUP($B16,rf1_data!$B:$B,rf1_data!L:L,"NaN")="","NaN",(_xlfn.XLOOKUP($B16,rf1_data!$B:$B,rf1_data!L:L,"NaN")))</f>
        <v>0</v>
      </c>
      <c r="U16" s="5">
        <f>IF(_xlfn.XLOOKUP($B16,rf1_data!$B:$B,rf1_data!M:M,"NaN")="","NaN",(_xlfn.XLOOKUP($B16,rf1_data!$B:$B,rf1_data!M:M,"NaN")))</f>
        <v>5.83</v>
      </c>
      <c r="V16" s="5">
        <f>IF(_xlfn.XLOOKUP($B16,rf1_data!$B:$B,rf1_data!N:N,"NaN")="","NaN",(_xlfn.XLOOKUP($B16,rf1_data!$B:$B,rf1_data!N:N,"NaN")))</f>
        <v>4.83</v>
      </c>
      <c r="W16" s="5">
        <f>IF(_xlfn.XLOOKUP($B16,rf1_data!$B:$B,rf1_data!O:O,"NaN")="","NaN",(_xlfn.XLOOKUP($B16,rf1_data!$B:$B,rf1_data!O:O,"NaN")))</f>
        <v>5.63</v>
      </c>
      <c r="X16" s="5">
        <f>IF(_xlfn.XLOOKUP($B16,rf1_data!$B:$B,rf1_data!P:P,"NaN")="","NaN",(_xlfn.XLOOKUP($B16,rf1_data!$B:$B,rf1_data!P:P,"NaN")))</f>
        <v>4.33</v>
      </c>
      <c r="Y16" s="5">
        <f>IF(_xlfn.XLOOKUP($B16,rf1_data!$B:$B,rf1_data!Q:Q,"NaN")="","NaN",(_xlfn.XLOOKUP($B16,rf1_data!$B:$B,rf1_data!Q:Q,"NaN")))</f>
        <v>5.13</v>
      </c>
      <c r="Z16" s="5">
        <f>IF(_xlfn.XLOOKUP($B16,rf1_data!$B:$B,rf1_data!R:R,"NaN")="","NaN",(_xlfn.XLOOKUP($B16,rf1_data!$B:$B,rf1_data!R:R,"NaN")))</f>
        <v>16</v>
      </c>
      <c r="AA16" s="5">
        <f>IF(_xlfn.XLOOKUP($B16,rf1_data!$B:$B,rf1_data!S:S,"NaN")="","NaN",(_xlfn.XLOOKUP($B16,rf1_data!$B:$B,rf1_data!S:S,"NaN")))</f>
        <v>1</v>
      </c>
      <c r="AB16" s="5">
        <f>IF(_xlfn.XLOOKUP($B16,rf1_data!$B:$B,rf1_data!T:T,"NaN")="","NaN",(_xlfn.XLOOKUP($B16,rf1_data!$B:$B,rf1_data!T:T,"NaN")))</f>
        <v>5</v>
      </c>
      <c r="AC16" s="5">
        <f>IF(_xlfn.XLOOKUP($B16,rf1_data!$B:$B,rf1_data!U:U,"NaN")="","NaN",(_xlfn.XLOOKUP($B16,rf1_data!$B:$B,rf1_data!U:U,"NaN")))</f>
        <v>1</v>
      </c>
      <c r="AD16" s="5">
        <f>IF(_xlfn.XLOOKUP($B16,rf1_data!$B:$B,rf1_data!V:V,"NaN")="","NaN",(_xlfn.XLOOKUP($B16,rf1_data!$B:$B,rf1_data!V:V,"NaN")))</f>
        <v>9</v>
      </c>
      <c r="AE16" s="5">
        <f>IF(_xlfn.XLOOKUP($B16,rf1_data!$B:$B,rf1_data!W:W,"NaN")="","NaN",(_xlfn.XLOOKUP($B16,rf1_data!$B:$B,rf1_data!W:W,"NaN")))</f>
        <v>4</v>
      </c>
      <c r="AF16" s="5">
        <f>IF(_xlfn.XLOOKUP($B16,rf1_data!$B:$B,rf1_data!X:X,"NaN")="","NaN",(_xlfn.XLOOKUP($B16,rf1_data!$B:$B,rf1_data!X:X,"NaN")))</f>
        <v>6</v>
      </c>
      <c r="AG16" s="5">
        <f>IF(_xlfn.XLOOKUP($B16,rf1_data!$B:$B,rf1_data!Y:Y,"NaN")="","NaN",(_xlfn.XLOOKUP($B16,rf1_data!$B:$B,rf1_data!Y:Y,"NaN")))</f>
        <v>8</v>
      </c>
      <c r="AH16" s="5">
        <f>IF(_xlfn.XLOOKUP($B16,rf1_data!$B:$B,rf1_data!Z:Z,"NaN")="","NaN",(_xlfn.XLOOKUP($B16,rf1_data!$B:$B,rf1_data!Z:Z,"NaN")))</f>
        <v>6</v>
      </c>
      <c r="AI16" s="5">
        <f>IF(_xlfn.XLOOKUP($B16,rf1_data!$B:$B,rf1_data!AA:AA,"NaN")="","NaN",(_xlfn.XLOOKUP($B16,rf1_data!$B:$B,rf1_data!AA:AA,"NaN")))</f>
        <v>3</v>
      </c>
      <c r="AJ16" s="5">
        <f>IF(_xlfn.XLOOKUP($B16,rf1_data!$B:$B,rf1_data!AB:AB,"NaN")="","NaN",(_xlfn.XLOOKUP($B16,rf1_data!$B:$B,rf1_data!AB:AB,"NaN")))</f>
        <v>27</v>
      </c>
      <c r="AK16" s="5">
        <f>IF(_xlfn.XLOOKUP($B16,rf1_data!$B:$B,rf1_data!AC:AC,"NaN")="","NaN",(_xlfn.XLOOKUP($B16,rf1_data!$B:$B,rf1_data!AC:AC,"NaN")))</f>
        <v>30</v>
      </c>
      <c r="AL16" s="5">
        <f>IF(_xlfn.XLOOKUP($B16,rf1_data!$B:$B,rf1_data!AD:AD,"NaN")="","NaN",(_xlfn.XLOOKUP($B16,rf1_data!$B:$B,rf1_data!AD:AD,"NaN")))</f>
        <v>14</v>
      </c>
      <c r="AM16" s="5">
        <f>IF(_xlfn.XLOOKUP($B16,rf1_data!$B:$B,rf1_data!AE:AE,"NaN")="","NaN",(_xlfn.XLOOKUP($B16,rf1_data!$B:$B,rf1_data!AE:AE,"NaN")))</f>
        <v>0</v>
      </c>
      <c r="AN16" s="5">
        <f>IF(_xlfn.XLOOKUP($B16,rf1_data!$B:$B,rf1_data!AF:AF,"NaN")="","NaN",(_xlfn.XLOOKUP($B16,rf1_data!$B:$B,rf1_data!AF:AF,"NaN")))</f>
        <v>0</v>
      </c>
      <c r="AO16" s="5">
        <f>IF(_xlfn.XLOOKUP($B16,rf1_data!$B:$B,rf1_data!AG:AG,"NaN")="","NaN",(_xlfn.XLOOKUP($B16,rf1_data!$B:$B,rf1_data!AG:AG,"NaN")))</f>
        <v>5.5</v>
      </c>
      <c r="AP16" s="5">
        <f>IF(_xlfn.XLOOKUP($B16,rf1_data!$B:$B,rf1_data!AH:AH,"NaN")="","NaN",(_xlfn.XLOOKUP($B16,rf1_data!$B:$B,rf1_data!AH:AH,"NaN")))</f>
        <v>6</v>
      </c>
      <c r="AQ16" s="5">
        <f>IF(_xlfn.XLOOKUP($B16,rf1_data!$B:$B,rf1_data!AI:AI,"NaN")="","NaN",(_xlfn.XLOOKUP($B16,rf1_data!$B:$B,rf1_data!AI:AI,"NaN")))</f>
        <v>4.5</v>
      </c>
      <c r="AR16" s="5">
        <f>IF(_xlfn.XLOOKUP($B16,rf1_data!$B:$B,rf1_data!AJ:AJ,"NaN")="","NaN",(_xlfn.XLOOKUP($B16,rf1_data!$B:$B,rf1_data!AJ:AJ,"NaN")))</f>
        <v>6</v>
      </c>
      <c r="AS16" s="5">
        <f>IF(_xlfn.XLOOKUP($B16,rf1_data!$B:$B,rf1_data!AK:AK,"NaN")="","NaN",(_xlfn.XLOOKUP($B16,rf1_data!$B:$B,rf1_data!AK:AK,"NaN")))</f>
        <v>3</v>
      </c>
      <c r="AT16" s="5">
        <f>IF(_xlfn.XLOOKUP($B16,rf1_data!$B:$B,rf1_data!AL:AL,"NaN")="","NaN",(_xlfn.XLOOKUP($B16,rf1_data!$B:$B,rf1_data!AL:AL,"NaN")))</f>
        <v>15</v>
      </c>
      <c r="AU16" s="5">
        <f>IF(_xlfn.XLOOKUP($B16,rf1_data!$B:$B,rf1_data!AM:AM,"NaN")="","NaN",(_xlfn.XLOOKUP($B16,rf1_data!$B:$B,rf1_data!AM:AM,"NaN")))</f>
        <v>1.42</v>
      </c>
      <c r="AV16" s="5">
        <f>IF(_xlfn.XLOOKUP($B16,rf1_data!$B:$B,rf1_data!AN:AN,"NaN")="","NaN",(_xlfn.XLOOKUP($B16,rf1_data!$B:$B,rf1_data!AN:AN,"NaN")))</f>
        <v>0</v>
      </c>
      <c r="AW16" s="5" t="str">
        <f>IF(_xlfn.XLOOKUP($B16,rf1_data!$B:$B,rf1_data!AO:AO,"NaN")="","NaN",(_xlfn.XLOOKUP($B16,rf1_data!$B:$B,rf1_data!AO:AO,"NaN")))</f>
        <v>NaN</v>
      </c>
      <c r="AX16" s="5">
        <f>IF(_xlfn.XLOOKUP($B16,rf1_data!$B:$B,rf1_data!AP:AP,"NaN")="","NaN",(_xlfn.XLOOKUP($B16,rf1_data!$B:$B,rf1_data!AP:AP,"NaN")))</f>
        <v>2.63</v>
      </c>
      <c r="AY16" s="5">
        <f>IF(_xlfn.XLOOKUP($B16,rf1_data!$B:$B,rf1_data!AQ:AQ,"NaN")="","NaN",(_xlfn.XLOOKUP($B16,rf1_data!$B:$B,rf1_data!AQ:AQ,"NaN")))</f>
        <v>55</v>
      </c>
      <c r="AZ16" s="5">
        <f>IF(_xlfn.XLOOKUP($B16,rf1_data!$B:$B,rf1_data!AR:AR,"NaN")="","NaN",(_xlfn.XLOOKUP($B16,rf1_data!$B:$B,rf1_data!AR:AR,"NaN")))</f>
        <v>21</v>
      </c>
      <c r="BA16" s="5" t="str">
        <f>IF(_xlfn.XLOOKUP($B16,rf1_data!$B:$B,rf1_data!AS:AS,"NaN")="","NaN",(_xlfn.XLOOKUP($B16,rf1_data!$B:$B,rf1_data!AS:AS,"NaN")))</f>
        <v>NaN</v>
      </c>
      <c r="BB16" s="5" t="str">
        <f>IF(_xlfn.XLOOKUP($B16,rf1_data!$B:$B,rf1_data!AT:AT,"NaN")="","NaN",(_xlfn.XLOOKUP($B16,rf1_data!$B:$B,rf1_data!AT:AT,"NaN")))</f>
        <v>NaN</v>
      </c>
      <c r="BC16" s="5" t="str">
        <f>IF(_xlfn.XLOOKUP($B16,rf1_data!$B:$B,rf1_data!AU:AU,"NaN")="","NaN",(_xlfn.XLOOKUP($B16,rf1_data!$B:$B,rf1_data!AU:AU,"NaN")))</f>
        <v>NaN</v>
      </c>
      <c r="BD16" s="5" t="str">
        <f>IF(_xlfn.XLOOKUP($B16,rf1_data!$B:$B,rf1_data!AV:AV,"NaN")="","NaN",(_xlfn.XLOOKUP($B16,rf1_data!$B:$B,rf1_data!AV:AV,"NaN")))</f>
        <v>NaN</v>
      </c>
      <c r="BE16" s="5" t="str">
        <f>IF(_xlfn.XLOOKUP($B16,rf1_data!$B:$B,rf1_data!AW:AW,"NaN")="","NaN",(_xlfn.XLOOKUP($B16,rf1_data!$B:$B,rf1_data!AW:AW,"NaN")))</f>
        <v>NaN</v>
      </c>
      <c r="BF16" s="5" t="str">
        <f>IF(_xlfn.XLOOKUP($B16,rf1_data!$B:$B,rf1_data!AX:AX,"NaN")="","NaN",(_xlfn.XLOOKUP($B16,rf1_data!$B:$B,rf1_data!AX:AX,"NaN")))</f>
        <v>NaN</v>
      </c>
      <c r="BG16" s="5" t="str">
        <f>IF(_xlfn.XLOOKUP($B16,rf1_data!$B:$B,rf1_data!AY:AY,"NaN")="","NaN",(_xlfn.XLOOKUP($B16,rf1_data!$B:$B,rf1_data!AY:AY,"NaN")))</f>
        <v>NaN</v>
      </c>
      <c r="BH16" s="5" t="str">
        <f>IF(_xlfn.XLOOKUP($B16,rf1_data!$B:$B,rf1_data!AZ:AZ,"NaN")="","NaN",(_xlfn.XLOOKUP($B16,rf1_data!$B:$B,rf1_data!AZ:AZ,"NaN")))</f>
        <v>NaN</v>
      </c>
      <c r="BI16" s="5">
        <f>IF(_xlfn.XLOOKUP($B16,rf1_data!$B:$B,rf1_data!BA:BA,"NaN")="","NaN",(_xlfn.XLOOKUP($B16,rf1_data!$B:$B,rf1_data!BA:BA,"NaN")))</f>
        <v>94</v>
      </c>
      <c r="BJ16" s="5">
        <f>IF(_xlfn.XLOOKUP($B16,rf1_data!$B:$B,rf1_data!BB:BB,"NaN")="","NaN",(_xlfn.XLOOKUP($B16,rf1_data!$B:$B,rf1_data!BB:BB,"NaN")))</f>
        <v>74</v>
      </c>
      <c r="BK16" s="5" t="str">
        <f>IF(_xlfn.XLOOKUP($B16,rf1_data!$B:$B,rf1_data!BC:BC,"NaN")="","NaN",(_xlfn.XLOOKUP($B16,rf1_data!$B:$B,rf1_data!BC:BC,"NaN")))</f>
        <v>NaN</v>
      </c>
      <c r="BL16" s="5" t="str">
        <f>IF(_xlfn.XLOOKUP($B16,rf1_data!$B:$B,rf1_data!BD:BD,"NaN")="","NaN",(_xlfn.XLOOKUP($B16,rf1_data!$B:$B,rf1_data!BD:BD,"NaN")))</f>
        <v>NaN</v>
      </c>
      <c r="BM16" s="5" t="str">
        <f>IF(_xlfn.XLOOKUP($B16,rf1_data!$B:$B,rf1_data!BE:BE,"NaN")="","NaN",(_xlfn.XLOOKUP($B16,rf1_data!$B:$B,rf1_data!BE:BE,"NaN")))</f>
        <v>NaN</v>
      </c>
      <c r="BN16" s="5" t="str">
        <f>IF(_xlfn.XLOOKUP($B16,rf1_data!$B:$B,rf1_data!BF:BF,"NaN")="","NaN",(_xlfn.XLOOKUP($B16,rf1_data!$B:$B,rf1_data!BF:BF,"NaN")))</f>
        <v>NaN</v>
      </c>
      <c r="BO16" s="5" t="str">
        <f>IF(_xlfn.XLOOKUP($B16,rf1_data!$B:$B,rf1_data!BG:BG,"NaN")="","NaN",(_xlfn.XLOOKUP($B16,rf1_data!$B:$B,rf1_data!BG:BG,"NaN")))</f>
        <v>NaN</v>
      </c>
      <c r="BP16" s="5" t="str">
        <f>IF(_xlfn.XLOOKUP($B16,rf1_data!$B:$B,rf1_data!BH:BH,"NaN")="","NaN",(_xlfn.XLOOKUP($B16,rf1_data!$B:$B,rf1_data!BH:BH,"NaN")))</f>
        <v>NaN</v>
      </c>
      <c r="BQ16" s="5" t="str">
        <f>IF(_xlfn.XLOOKUP($B16,rf1_data!$B:$B,rf1_data!BI:BI,"NaN")="","NaN",(_xlfn.XLOOKUP($B16,rf1_data!$B:$B,rf1_data!BI:BI,"NaN")))</f>
        <v>NaN</v>
      </c>
      <c r="BR16" s="5">
        <f>IF(_xlfn.XLOOKUP($B16,rf1_data!$B:$B,rf1_data!BJ:BJ,"NaN")="","NaN",(_xlfn.XLOOKUP($B16,rf1_data!$B:$B,rf1_data!BJ:BJ,"NaN")))</f>
        <v>8991</v>
      </c>
      <c r="BS16" s="5" t="str">
        <f>IF(_xlfn.XLOOKUP($B16,rf1_data!$B:$B,rf1_data!BK:BK,"NaN")="","NaN",(_xlfn.XLOOKUP($B16,rf1_data!$B:$B,rf1_data!BK:BK,"NaN")))</f>
        <v>NaN</v>
      </c>
      <c r="BT16" s="5" t="str">
        <f>IF(_xlfn.XLOOKUP($B16,rf1_data!$B:$B,rf1_data!BL:BL,"NaN")="","NaN",(_xlfn.XLOOKUP($B16,rf1_data!$B:$B,rf1_data!BL:BL,"NaN")))</f>
        <v>NaN</v>
      </c>
      <c r="BU16" s="5" t="str">
        <f>IF(_xlfn.XLOOKUP($B16,rf1_data!$B:$B,rf1_data!BM:BM,"NaN")="","NaN",(_xlfn.XLOOKUP($B16,rf1_data!$B:$B,rf1_data!BM:BM,"NaN")))</f>
        <v>NaN</v>
      </c>
      <c r="BV16" s="5" t="str">
        <f>IF(_xlfn.XLOOKUP($B16,rf1_data!$B:$B,rf1_data!BN:BN,"NaN")="","NaN",(_xlfn.XLOOKUP($B16,rf1_data!$B:$B,rf1_data!BN:BN,"NaN")))</f>
        <v>NaN</v>
      </c>
      <c r="BW16" s="5">
        <f>IF(_xlfn.XLOOKUP($B16,rf1_data!$B:$B,rf1_data!BO:BO,"NaN")="","NaN",(_xlfn.XLOOKUP($B16,rf1_data!$B:$B,rf1_data!BO:BO,"NaN")))</f>
        <v>3.8</v>
      </c>
      <c r="BX16" s="5">
        <f>IF(_xlfn.XLOOKUP($B16,rf1_data!$B:$B,rf1_data!BP:BP,"NaN")="","NaN",(_xlfn.XLOOKUP($B16,rf1_data!$B:$B,rf1_data!BP:BP,"NaN")))</f>
        <v>4</v>
      </c>
      <c r="BY16" s="5">
        <f>IF(_xlfn.XLOOKUP($B16,rf1_data!$B:$B,rf1_data!BQ:BQ,"NaN")="","NaN",(_xlfn.XLOOKUP($B16,rf1_data!$B:$B,rf1_data!BQ:BQ,"NaN")))</f>
        <v>4.2</v>
      </c>
      <c r="BZ16" s="5">
        <f>IF(_xlfn.XLOOKUP($B16,rf1_data!$B:$B,rf1_data!BR:BR,"NaN")="","NaN",(_xlfn.XLOOKUP($B16,rf1_data!$B:$B,rf1_data!BR:BR,"NaN")))</f>
        <v>4</v>
      </c>
      <c r="CA16" s="5">
        <f>IF(_xlfn.XLOOKUP($B16,rf1_data!$B:$B,rf1_data!BS:BS,"NaN")="","NaN",(_xlfn.XLOOKUP($B16,rf1_data!$B:$B,rf1_data!BS:BS,"NaN")))</f>
        <v>6</v>
      </c>
      <c r="CB16" s="5">
        <f>IF(_xlfn.XLOOKUP($B16,rf1_data!$B:$B,rf1_data!BT:BT,"NaN")="","NaN",(_xlfn.XLOOKUP($B16,rf1_data!$B:$B,rf1_data!BT:BT,"NaN")))</f>
        <v>6</v>
      </c>
      <c r="CC16" s="5">
        <f>IF(_xlfn.XLOOKUP($B16,rf1_data!$B:$B,rf1_data!BU:BU,"NaN")="","NaN",(_xlfn.XLOOKUP($B16,rf1_data!$B:$B,rf1_data!BU:BU,"NaN")))</f>
        <v>6</v>
      </c>
      <c r="CD16" s="5">
        <f>IF(_xlfn.XLOOKUP($B16,rf1_data!$B:$B,rf1_data!BV:BV,"NaN")="","NaN",(_xlfn.XLOOKUP($B16,rf1_data!$B:$B,rf1_data!BV:BV,"NaN")))</f>
        <v>3.8333333333333299</v>
      </c>
      <c r="CE16" s="5">
        <f>IF(_xlfn.XLOOKUP($B16,rf1_data!$B:$B,rf1_data!BW:BW,"NaN")="","NaN",(_xlfn.XLOOKUP($B16,rf1_data!$B:$B,rf1_data!BW:BW,"NaN")))</f>
        <v>1.35</v>
      </c>
      <c r="CF16" s="5">
        <f>IF(_xlfn.XLOOKUP($B16,rf1_data!$B:$B,rf1_data!BX:BX,"NaN")="","NaN",(_xlfn.XLOOKUP($B16,rf1_data!$B:$B,rf1_data!BX:BX,"NaN")))</f>
        <v>0</v>
      </c>
      <c r="CG16" s="5">
        <f>IF(_xlfn.XLOOKUP($B16,rf1_data!$B:$B,rf1_data!BY:BY,"NaN")="","NaN",(_xlfn.XLOOKUP($B16,rf1_data!$B:$B,rf1_data!BY:BY,"NaN")))</f>
        <v>0</v>
      </c>
      <c r="CH16" s="5">
        <f>IF(_xlfn.XLOOKUP($B16,rf1_data!$B:$B,rf1_data!BZ:BZ,"NaN")="","NaN",(_xlfn.XLOOKUP($B16,rf1_data!$B:$B,rf1_data!BZ:BZ,"NaN")))</f>
        <v>28</v>
      </c>
      <c r="CI16" s="5">
        <f>IF(_xlfn.XLOOKUP($B16,rf1_data!$B:$B,rf1_data!CA:CA,"NaN")="","NaN",(_xlfn.XLOOKUP($B16,rf1_data!$B:$B,rf1_data!CA:CA,"NaN")))</f>
        <v>20</v>
      </c>
      <c r="CJ16" s="5">
        <f>IF(_xlfn.XLOOKUP($B16,rf1_data!$B:$B,rf1_data!CB:CB,"NaN")="","NaN",(_xlfn.XLOOKUP($B16,rf1_data!$B:$B,rf1_data!CB:CB,"NaN")))</f>
        <v>10</v>
      </c>
      <c r="CK16" s="5">
        <f>IF(_xlfn.XLOOKUP($B16,rf1_data!$B:$B,rf1_data!CC:CC,"NaN")="","NaN",(_xlfn.XLOOKUP($B16,rf1_data!$B:$B,rf1_data!CC:CC,"NaN")))</f>
        <v>0.90909090909090895</v>
      </c>
      <c r="CL16" s="5">
        <f>IF(_xlfn.XLOOKUP($B16,rf1_data!$B:$B,rf1_data!CD:CD,"NaN")=0,"NaN",(_xlfn.XLOOKUP($B16,rf1_data!$B:$B,rf1_data!CD:CD,"NaN")))</f>
        <v>38</v>
      </c>
      <c r="CM16" s="5">
        <f>IF(_xlfn.XLOOKUP($B16,rf1_data!$B:$B,rf1_data!CE:CE,"NaN")="","NaN",(_xlfn.XLOOKUP($B16,rf1_data!$B:$B,rf1_data!CE:CE,"NaN")))</f>
        <v>45</v>
      </c>
      <c r="CN16" s="5">
        <f>IF(_xlfn.XLOOKUP($B16,rf1_data!$B:$B,rf1_data!CF:CF,"NaN")="","NaN",(_xlfn.XLOOKUP($B16,rf1_data!$B:$B,rf1_data!CF:CF,"NaN")))</f>
        <v>44</v>
      </c>
      <c r="CO16" s="5">
        <f>IF(_xlfn.XLOOKUP($B16,rf1_data!$B:$B,rf1_data!CG:CG,"NaN")="","NaN",(_xlfn.XLOOKUP($B16,rf1_data!$B:$B,rf1_data!CG:CG,"NaN")))</f>
        <v>30</v>
      </c>
      <c r="CP16" s="5">
        <f>IF(_xlfn.XLOOKUP($B16,rf1_data!$B:$B,rf1_data!CH:CH,"NaN")=0,"NaN",(_xlfn.XLOOKUP($B16,rf1_data!$B:$B,rf1_data!CH:CH,"NaN")))</f>
        <v>38</v>
      </c>
      <c r="CQ16" s="5">
        <f>IF(_xlfn.XLOOKUP($B16,rf1_data!$B:$B,rf1_data!CI:CI,"NaN")="","NaN",(_xlfn.XLOOKUP($B16,rf1_data!$B:$B,rf1_data!CI:CI,"NaN")))</f>
        <v>48</v>
      </c>
      <c r="CR16" s="5">
        <f>IF(_xlfn.XLOOKUP($B16,rf1_data!$B:$B,rf1_data!CJ:CJ,"NaN")="","NaN",(_xlfn.XLOOKUP($B16,rf1_data!$B:$B,rf1_data!CJ:CJ,"NaN")))</f>
        <v>50</v>
      </c>
      <c r="CS16" s="5">
        <f>IF(_xlfn.XLOOKUP($B16,rf1_data!$B:$B,rf1_data!CK:CK,"NaN")="","NaN",(_xlfn.XLOOKUP($B16,rf1_data!$B:$B,rf1_data!CK:CK,"NaN")))</f>
        <v>47</v>
      </c>
      <c r="CT16" s="5">
        <f>IF(_xlfn.XLOOKUP($B16,rf1_data!$B:$B,rf1_data!CL:CL,"NaN")="","NaN",(_xlfn.XLOOKUP($B16,rf1_data!$B:$B,rf1_data!CL:CL,"NaN")))</f>
        <v>60</v>
      </c>
      <c r="CU16" s="5">
        <f>IF(_xlfn.XLOOKUP($B16,rf1_data!$B:$B,rf1_data!CM:CM,"NaN")="","NaN",(_xlfn.XLOOKUP($B16,rf1_data!$B:$B,rf1_data!CM:CM,"NaN")))</f>
        <v>39</v>
      </c>
      <c r="CV16" s="5">
        <f>IF(_xlfn.XLOOKUP($B16,rf1_data!$B:$B,rf1_data!CN:CN,"NaN")="","NaN",(_xlfn.XLOOKUP($B16,rf1_data!$B:$B,rf1_data!CN:CN,"NaN")))</f>
        <v>60</v>
      </c>
      <c r="CW16" s="5" t="str">
        <f>IF(_xlfn.XLOOKUP($B16,rf1_data!$B:$B,rf1_data!CO:CO,"NaN")="","NaN",(_xlfn.XLOOKUP($B16,rf1_data!$B:$B,rf1_data!CO:CO,"NaN")))</f>
        <v>NaN</v>
      </c>
      <c r="CX16" s="5" t="str">
        <f>IF(_xlfn.XLOOKUP($B16,rf1_data!$B:$B,rf1_data!CP:CP,"NaN")="","NaN",(_xlfn.XLOOKUP($B16,rf1_data!$B:$B,rf1_data!CP:CP,"NaN")))</f>
        <v>NaN</v>
      </c>
      <c r="CY16" s="5">
        <f>IF(_xlfn.XLOOKUP($B16,rf1_data!$B:$B,rf1_data!CQ:CQ,"NaN")="","NaN",(_xlfn.XLOOKUP($B16,rf1_data!$B:$B,rf1_data!CQ:CQ,"NaN")))</f>
        <v>6</v>
      </c>
      <c r="CZ16" s="5">
        <f>IF(_xlfn.XLOOKUP($B16,rf1_data!$B:$B,rf1_data!CR:CR,"NaN")="","NaN",(_xlfn.XLOOKUP($B16,rf1_data!$B:$B,rf1_data!CR:CR,"NaN")))</f>
        <v>2</v>
      </c>
      <c r="DA16" s="5">
        <f>IF(_xlfn.XLOOKUP($B16,rf1_data!$B:$B,rf1_data!CS:CS,"NaN")="","NaN",(_xlfn.XLOOKUP($B16,rf1_data!$B:$B,rf1_data!CS:CS,"NaN")))</f>
        <v>1</v>
      </c>
      <c r="DB16" s="4">
        <f>IF(_xlfn.XLOOKUP($B16,island_data!$B:$B,island_data!H:H,"NaN")="","NaN",_xlfn.XLOOKUP($B16,island_data!$B:$B,island_data!H:H,"NaN"))</f>
        <v>3</v>
      </c>
      <c r="DC16" s="4">
        <f>IF(_xlfn.XLOOKUP($B16,island_data!$B:$B,island_data!I:I,"NaN")="","NaN",_xlfn.XLOOKUP($B16,island_data!$B:$B,island_data!I:I,"NaN"))</f>
        <v>0</v>
      </c>
      <c r="DD16" s="4">
        <f>IF(_xlfn.XLOOKUP($B16,island_data!$B:$B,island_data!J:J,"NaN")="","NaN",_xlfn.XLOOKUP($B16,island_data!$B:$B,island_data!J:J,"NaN"))</f>
        <v>1</v>
      </c>
      <c r="DE16" s="4">
        <f>IF(_xlfn.XLOOKUP($B16,island_data!$B:$B,island_data!K:K,"NaN")="","NaN",_xlfn.XLOOKUP($B16,island_data!$B:$B,island_data!K:K,"NaN"))</f>
        <v>4</v>
      </c>
      <c r="DF16" s="4">
        <f>IF(_xlfn.XLOOKUP($B16,island_data!$B:$B,island_data!L:L,"NaN")="","NaN",_xlfn.XLOOKUP($B16,island_data!$B:$B,island_data!L:L,"NaN"))</f>
        <v>0</v>
      </c>
      <c r="DG16" s="4">
        <f>IF(_xlfn.XLOOKUP($B16,island_data!$B:$B,island_data!M:M,"NaN")="","NaN",_xlfn.XLOOKUP($B16,island_data!$B:$B,island_data!M:M,"NaN"))</f>
        <v>2.4444444444443998</v>
      </c>
      <c r="DH16" s="4">
        <f>IF(_xlfn.XLOOKUP($B16,island_data!$B:$B,island_data!N:N,"NaN")="","NaN",_xlfn.XLOOKUP($B16,island_data!$B:$B,island_data!N:N,"NaN"))</f>
        <v>12</v>
      </c>
      <c r="DI16" s="4" t="str">
        <f>IF(_xlfn.XLOOKUP($B16,island_data!$B:$B,island_data!O:O,"NaN")=999,"NaN",_xlfn.XLOOKUP($B16,island_data!$B:$B,island_data!O:O,"NaN"))</f>
        <v>NaN</v>
      </c>
      <c r="DJ16" s="4">
        <f>IF(_xlfn.XLOOKUP($B16,island_data!$B:$B,island_data!P:P,"NaN")="","NaN",_xlfn.XLOOKUP($B16,island_data!$B:$B,island_data!P:P,"NaN"))</f>
        <v>7</v>
      </c>
      <c r="DK16" s="4">
        <f>IF(_xlfn.XLOOKUP($B16,island_data!$B:$B,island_data!Q:Q,"NaN")="","NaN",_xlfn.XLOOKUP($B16,island_data!$B:$B,island_data!Q:Q,"NaN"))</f>
        <v>2</v>
      </c>
      <c r="DL16" s="4" t="str">
        <f>IF(_xlfn.XLOOKUP($B16,island_data!$B:$B,island_data!R:R,"NaN")=999,"NaN",_xlfn.XLOOKUP($B16,island_data!$B:$B,island_data!R:R,"NaN"))</f>
        <v>NaN</v>
      </c>
      <c r="DM16" s="4">
        <f>IF(_xlfn.XLOOKUP($B16,island_data!$B:$B,island_data!S:S,"NaN")="","NaN",_xlfn.XLOOKUP($B16,island_data!$B:$B,island_data!S:S,"NaN"))</f>
        <v>10</v>
      </c>
      <c r="DN16" s="4">
        <f>IF(_xlfn.XLOOKUP($B16,island_data!$B:$B,island_data!T:T,"NaN")="","NaN",_xlfn.XLOOKUP($B16,island_data!$B:$B,island_data!T:T,"NaN"))</f>
        <v>3.5</v>
      </c>
      <c r="DO16" s="4">
        <f>IF(_xlfn.XLOOKUP($B16,island_data!$B:$B,island_data!U:U,"NaN")="","NaN",_xlfn.XLOOKUP($B16,island_data!$B:$B,island_data!U:U,"NaN"))</f>
        <v>5</v>
      </c>
      <c r="DP16" s="4">
        <f>IF(_xlfn.XLOOKUP($B16,island_data!$B:$B,island_data!V:V,"NaN")="","NaN",_xlfn.XLOOKUP($B16,island_data!$B:$B,island_data!V:V,"NaN"))</f>
        <v>5</v>
      </c>
      <c r="DQ16" s="4">
        <f>IF(_xlfn.XLOOKUP($B16,island_data!$B:$B,island_data!W:W,"NaN")="","NaN",_xlfn.XLOOKUP($B16,island_data!$B:$B,island_data!W:W,"NaN"))</f>
        <v>8</v>
      </c>
      <c r="DR16" s="4">
        <f>IF(_xlfn.XLOOKUP($B16,island_data!$B:$B,island_data!X:X,"NaN")="","NaN",_xlfn.XLOOKUP($B16,island_data!$B:$B,island_data!X:X,"NaN"))</f>
        <v>5</v>
      </c>
      <c r="DS16" s="4" t="str">
        <f>IF(_xlfn.XLOOKUP($B16,island_data!$B:$B,island_data!Y:Y,"NaN")="","NaN",_xlfn.XLOOKUP($B16,island_data!$B:$B,island_data!Y:Y,"NaN"))</f>
        <v>NaN</v>
      </c>
      <c r="DT16" s="4" t="str">
        <f>IF(_xlfn.XLOOKUP($B16,island_data!$B:$B,island_data!Z:Z,"NaN")="","NaN",_xlfn.XLOOKUP($B16,island_data!$B:$B,island_data!Z:Z,"NaN"))</f>
        <v>NaN</v>
      </c>
      <c r="DU16" s="4" t="str">
        <f>IF(_xlfn.XLOOKUP($B16,island_data!$B:$B,island_data!AA:AA,"NaN")="","NaN",_xlfn.XLOOKUP($B16,island_data!$B:$B,island_data!AA:AA,"NaN"))</f>
        <v>NaN</v>
      </c>
      <c r="DV16" s="4" t="str">
        <f>IF(_xlfn.XLOOKUP($B16,island_data!$B:$B,island_data!AB:AB,"NaN")="","NaN",_xlfn.XLOOKUP($B16,island_data!$B:$B,island_data!AB:AB,"NaN"))</f>
        <v>NaN</v>
      </c>
      <c r="DW16" s="4">
        <f>IF(_xlfn.XLOOKUP($B16,island_data!$B:$B,island_data!AC:AC,"NaN")="","NaN",_xlfn.XLOOKUP($B16,island_data!$B:$B,island_data!AC:AC,"NaN"))</f>
        <v>19027</v>
      </c>
      <c r="DX16" s="4">
        <f>IF(_xlfn.XLOOKUP($B16,island_data!$B:$B,island_data!AD:AD,"NaN")="","NaN",_xlfn.XLOOKUP($B16,island_data!$B:$B,island_data!AD:AD,"NaN"))</f>
        <v>8</v>
      </c>
      <c r="DY16" s="4">
        <f>IF(_xlfn.XLOOKUP($B16,island_data!$B:$B,island_data!AE:AE,"NaN")="","NaN",_xlfn.XLOOKUP($B16,island_data!$B:$B,island_data!AE:AE,"NaN"))</f>
        <v>1</v>
      </c>
      <c r="DZ16" s="4" t="str">
        <f>IF(_xlfn.XLOOKUP($B16,island_data!$B:$B,island_data!AF:AF,"NaN")="","NaN",_xlfn.XLOOKUP($B16,island_data!$B:$B,island_data!AF:AF,"NaN"))</f>
        <v>NaN</v>
      </c>
      <c r="EA16" s="4" t="str">
        <f>IF(_xlfn.XLOOKUP($B16,island_data!$B:$B,island_data!AG:AG,"NaN")="","NaN",_xlfn.XLOOKUP($B16,island_data!$B:$B,island_data!AG:AG,"NaN"))</f>
        <v>NaN</v>
      </c>
      <c r="EB16" s="4" t="str">
        <f>IF(_xlfn.XLOOKUP($B16,island_data!$B:$B,island_data!AH:AH,"NaN")="","NaN",_xlfn.XLOOKUP($B16,island_data!$B:$B,island_data!AH:AH,"NaN"))</f>
        <v>NaN</v>
      </c>
      <c r="EC16" s="4" t="str">
        <f>IF(_xlfn.XLOOKUP($B16,island_data!$B:$B,island_data!AI:AI,"NaN")="","NaN",_xlfn.XLOOKUP($B16,island_data!$B:$B,island_data!AI:AI,"NaN"))</f>
        <v>NaN</v>
      </c>
      <c r="ED16" s="4" t="str">
        <f>IF(_xlfn.XLOOKUP($B16,island_data!$B:$B,island_data!AJ:AJ,"NaN")="","NaN",_xlfn.XLOOKUP($B16,island_data!$B:$B,island_data!AJ:AJ,"NaN"))</f>
        <v>NaN</v>
      </c>
      <c r="EE16" s="4" t="str">
        <f>IF(_xlfn.XLOOKUP($B16,island_data!$B:$B,island_data!AK:AK,"NaN")="","NaN",_xlfn.XLOOKUP($B16,island_data!$B:$B,island_data!AK:AK,"NaN"))</f>
        <v>NaN</v>
      </c>
      <c r="EF16" s="4" t="str">
        <f>IF(_xlfn.XLOOKUP($B16,island_data!$B:$B,island_data!AL:AL,"NaN")="","NaN",_xlfn.XLOOKUP($B16,island_data!$B:$B,island_data!AL:AL,"NaN"))</f>
        <v>NaN</v>
      </c>
      <c r="EG16" s="4" t="str">
        <f>IF(_xlfn.XLOOKUP($B16,island_data!$B:$B,island_data!AM:AM,"NaN")="","NaN",_xlfn.XLOOKUP($B16,island_data!$B:$B,island_data!AM:AM,"NaN"))</f>
        <v>NaN</v>
      </c>
      <c r="EH16" s="4" t="str">
        <f>IF(_xlfn.XLOOKUP($B16,island_data!$B:$B,island_data!AN:AN,"NaN")="","NaN",_xlfn.XLOOKUP($B16,island_data!$B:$B,island_data!AN:AN,"NaN"))</f>
        <v>NaN</v>
      </c>
      <c r="EI16" s="4" t="str">
        <f>IF(_xlfn.XLOOKUP($B16,island_data!$B:$B,island_data!AO:AO,"NaN")="","NaN",_xlfn.XLOOKUP($B16,island_data!$B:$B,island_data!AO:AO,"NaN"))</f>
        <v>NaN</v>
      </c>
      <c r="EJ16" s="8">
        <f>IF(_xlfn.XLOOKUP($A16,TabCAT!$A:$A,TabCAT!AU:AU,"NaN")="","NaN",(_xlfn.XLOOKUP($A16,TabCAT!$A:$A,TabCAT!AU:AU,"NaN")))</f>
        <v>182</v>
      </c>
      <c r="EK16" s="8" t="b">
        <f>IF(_xlfn.XLOOKUP($A16,TabCAT!$A:$A,TabCAT!AV:AV,"NaN")="","NaN",(_xlfn.XLOOKUP($A16,TabCAT!$A:$A,TabCAT!AV:AV,"NaN")))</f>
        <v>1</v>
      </c>
      <c r="EL16" s="8">
        <f>IF(_xlfn.XLOOKUP($A16,TabCAT!$A:$A,TabCAT!AW:AW,"NaN")="","NaN",(_xlfn.XLOOKUP($A16,TabCAT!$A:$A,TabCAT!AW:AW,"NaN")))</f>
        <v>5</v>
      </c>
      <c r="EM16" s="8">
        <f>IF(_xlfn.XLOOKUP($A16,TabCAT!$A:$A,TabCAT!AX:AX,"NaN")="","NaN",(_xlfn.XLOOKUP($A16,TabCAT!$A:$A,TabCAT!AX:AX,"NaN")))</f>
        <v>0</v>
      </c>
      <c r="EN16" s="8">
        <f>IF(_xlfn.XLOOKUP($A16,TabCAT!$A:$A,TabCAT!AY:AY,"NaN")="","NaN",(_xlfn.XLOOKUP($A16,TabCAT!$A:$A,TabCAT!AY:AY,"NaN")))</f>
        <v>8.83</v>
      </c>
      <c r="EO16" s="8">
        <f>IF(_xlfn.XLOOKUP($A16,TabCAT!$A:$A,TabCAT!AZ:AZ,"NaN")="","NaN",(_xlfn.XLOOKUP($A16,TabCAT!$A:$A,TabCAT!AZ:AZ,"NaN")))</f>
        <v>32</v>
      </c>
      <c r="EP16" s="8">
        <f>IF(_xlfn.XLOOKUP($A16,TabCAT!$A:$A,TabCAT!BA:BA,"NaN")="","NaN",(_xlfn.XLOOKUP($A16,TabCAT!$A:$A,TabCAT!BA:BA,"NaN")))</f>
        <v>0.75379599999999902</v>
      </c>
      <c r="EQ16" s="8">
        <f>IF(_xlfn.XLOOKUP($A16,TabCAT!$A:$A,TabCAT!BB:BB,"NaN")="","NaN",(_xlfn.XLOOKUP($A16,TabCAT!$A:$A,TabCAT!BB:BB,"NaN")))</f>
        <v>0.11152107706783899</v>
      </c>
      <c r="ER16" s="8">
        <f>IF(_xlfn.XLOOKUP($A16,TabCAT!$A:$A,TabCAT!BC:BC,"NaN")="","NaN",(_xlfn.XLOOKUP($A16,TabCAT!$A:$A,TabCAT!BC:BC,"NaN")))</f>
        <v>16</v>
      </c>
      <c r="ES16" s="8">
        <f>IF(_xlfn.XLOOKUP($A16,TabCAT!$A:$A,TabCAT!BD:BD,"NaN")="","NaN",(_xlfn.XLOOKUP($A16,TabCAT!$A:$A,TabCAT!BD:BD,"NaN")))</f>
        <v>0.738514</v>
      </c>
      <c r="ET16" s="8">
        <f>IF(_xlfn.XLOOKUP($A16,TabCAT!$A:$A,TabCAT!BE:BE,"NaN")="","NaN",(_xlfn.XLOOKUP($A16,TabCAT!$A:$A,TabCAT!BE:BE,"NaN")))</f>
        <v>16</v>
      </c>
      <c r="EU16" s="8">
        <f>IF(_xlfn.XLOOKUP($A16,TabCAT!$A:$A,TabCAT!BF:BF,"NaN")="","NaN",(_xlfn.XLOOKUP($A16,TabCAT!$A:$A,TabCAT!BF:BF,"NaN")))</f>
        <v>0.76051999999999997</v>
      </c>
      <c r="EV16" s="8" t="str">
        <f>IF(_xlfn.XLOOKUP($A16,TabCAT!$A:$A,TabCAT!BG:BG,"NaN")="","NaN",(_xlfn.XLOOKUP($A16,TabCAT!$A:$A,TabCAT!BG:BG,"NaN")))</f>
        <v>NaN</v>
      </c>
      <c r="EW16" s="8" t="str">
        <f>IF(_xlfn.XLOOKUP($A16,TabCAT!$A:$A,TabCAT!BH:BH,"NaN")="","NaN",(_xlfn.XLOOKUP($A16,TabCAT!$A:$A,TabCAT!BH:BH,"NaN")))</f>
        <v>3.0.0</v>
      </c>
      <c r="EX16" s="8" t="str">
        <f>IF(_xlfn.XLOOKUP($A16,TabCAT!$A:$A,TabCAT!BI:BI,"NaN")="","NaN",(_xlfn.XLOOKUP($A16,TabCAT!$A:$A,TabCAT!BI:BI,"NaN")))</f>
        <v>English</v>
      </c>
      <c r="EY16" s="8">
        <f>IF(_xlfn.XLOOKUP($A16,TabCAT!$A:$A,TabCAT!BJ:BJ,"NaN")="","NaN",(_xlfn.XLOOKUP($A16,TabCAT!$A:$A,TabCAT!BJ:BJ,"NaN")))</f>
        <v>250</v>
      </c>
      <c r="EZ16" s="8">
        <f>IF(_xlfn.XLOOKUP($A16,TabCAT!$A:$A,TabCAT!BK:BK,"NaN")="","NaN",(_xlfn.XLOOKUP($A16,TabCAT!$A:$A,TabCAT!BK:BK,"NaN")))</f>
        <v>1</v>
      </c>
      <c r="FA16" s="8">
        <f>IF(_xlfn.XLOOKUP($A16,TabCAT!$A:$A,TabCAT!BL:BL,"NaN")="","NaN",(_xlfn.XLOOKUP($A16,TabCAT!$A:$A,TabCAT!BL:BL,"NaN")))</f>
        <v>6</v>
      </c>
      <c r="FB16" s="8">
        <f>IF(_xlfn.XLOOKUP($A16,TabCAT!$A:$A,TabCAT!BM:BM,"NaN")="","NaN",(_xlfn.XLOOKUP($A16,TabCAT!$A:$A,TabCAT!BM:BM,"NaN")))</f>
        <v>1</v>
      </c>
      <c r="FC16" s="8">
        <f>IF(_xlfn.XLOOKUP($A16,TabCAT!$A:$A,TabCAT!BN:BN,"NaN")="","NaN",(_xlfn.XLOOKUP($A16,TabCAT!$A:$A,TabCAT!BN:BN,"NaN")))</f>
        <v>6</v>
      </c>
      <c r="FD16" s="8">
        <f>IF(_xlfn.XLOOKUP($A16,TabCAT!$A:$A,TabCAT!BO:BO,"NaN")="","NaN",(_xlfn.XLOOKUP($A16,TabCAT!$A:$A,TabCAT!BO:BO,"NaN")))</f>
        <v>8</v>
      </c>
      <c r="FE16" s="8">
        <f>IF(_xlfn.XLOOKUP($A16,TabCAT!$A:$A,TabCAT!BP:BP,"NaN")="","NaN",(_xlfn.XLOOKUP($A16,TabCAT!$A:$A,TabCAT!BP:BP,"NaN")))</f>
        <v>0.88888888888888795</v>
      </c>
      <c r="FF16" s="8">
        <f>IF(_xlfn.XLOOKUP($A16,TabCAT!$A:$A,TabCAT!BQ:BQ,"NaN")="","NaN",(_xlfn.XLOOKUP($A16,TabCAT!$A:$A,TabCAT!BQ:BQ,"NaN")))</f>
        <v>8</v>
      </c>
      <c r="FG16" s="8">
        <f>IF(_xlfn.XLOOKUP($A16,TabCAT!$A:$A,TabCAT!BR:BR,"NaN")="","NaN",(_xlfn.XLOOKUP($A16,TabCAT!$A:$A,TabCAT!BR:BR,"NaN")))</f>
        <v>10</v>
      </c>
      <c r="FH16" s="8">
        <f>IF(_xlfn.XLOOKUP($A16,TabCAT!$A:$A,TabCAT!BS:BS,"NaN")="","NaN",(_xlfn.XLOOKUP($A16,TabCAT!$A:$A,TabCAT!BS:BS,"NaN")))</f>
        <v>0.83333333333333304</v>
      </c>
      <c r="FI16" s="8">
        <f>IF(_xlfn.XLOOKUP($A16,TabCAT!$A:$A,TabCAT!BT:BT,"NaN")="","NaN",(_xlfn.XLOOKUP($A16,TabCAT!$A:$A,TabCAT!BT:BT,"NaN")))</f>
        <v>8.5</v>
      </c>
      <c r="FJ16" s="8">
        <f>IF(_xlfn.XLOOKUP($A16,TabCAT!$A:$A,TabCAT!BU:BU,"NaN")="","NaN",(_xlfn.XLOOKUP($A16,TabCAT!$A:$A,TabCAT!BU:BU,"NaN")))</f>
        <v>8</v>
      </c>
      <c r="FK16" s="8">
        <f>IF(_xlfn.XLOOKUP($A16,TabCAT!$A:$A,TabCAT!BV:BV,"NaN")="","NaN",(_xlfn.XLOOKUP($A16,TabCAT!$A:$A,TabCAT!BV:BV,"NaN")))</f>
        <v>0.53333333333333299</v>
      </c>
      <c r="FL16" s="8">
        <f>IF(_xlfn.XLOOKUP($A16,TabCAT!$A:$A,TabCAT!BW:BW,"NaN")="","NaN",(_xlfn.XLOOKUP($A16,TabCAT!$A:$A,TabCAT!BW:BW,"NaN")))</f>
        <v>7</v>
      </c>
      <c r="FM16" s="8">
        <f>IF(_xlfn.XLOOKUP($A16,TabCAT!$A:$A,TabCAT!BX:BX,"NaN")="","NaN",(_xlfn.XLOOKUP($A16,TabCAT!$A:$A,TabCAT!BX:BX,"NaN")))</f>
        <v>32</v>
      </c>
      <c r="FN16" s="8">
        <f>IF(_xlfn.XLOOKUP($A16,TabCAT!$A:$A,TabCAT!BY:BY,"NaN")="","NaN",(_xlfn.XLOOKUP($A16,TabCAT!$A:$A,TabCAT!BY:BY,"NaN")))</f>
        <v>0.76190476190476097</v>
      </c>
      <c r="FO16" s="8">
        <f>IF(_xlfn.XLOOKUP($A16,TabCAT!$A:$A,TabCAT!BZ:BZ,"NaN")="","NaN",(_xlfn.XLOOKUP($A16,TabCAT!$A:$A,TabCAT!BZ:BZ,"NaN")))</f>
        <v>29.5</v>
      </c>
      <c r="FP16" s="8" t="str">
        <f>IF(_xlfn.XLOOKUP($A16,TabCAT!$A:$A,TabCAT!CA:CA,"NaN")="","NaN",(_xlfn.XLOOKUP($A16,TabCAT!$A:$A,TabCAT!CA:CA,"NaN")))</f>
        <v>3.0.0</v>
      </c>
      <c r="FQ16" s="8" t="str">
        <f>IF(_xlfn.XLOOKUP($A16,TabCAT!$A:$A,TabCAT!CB:CB,"NaN")="","NaN",(_xlfn.XLOOKUP($A16,TabCAT!$A:$A,TabCAT!CB:CB,"NaN")))</f>
        <v>English</v>
      </c>
      <c r="FR16" s="8">
        <f>IF(_xlfn.XLOOKUP($A16,TabCAT!$A:$A,TabCAT!CC:CC,"NaN")="","NaN",(_xlfn.XLOOKUP($A16,TabCAT!$A:$A,TabCAT!CC:CC,"NaN")))</f>
        <v>251</v>
      </c>
      <c r="FS16" s="8" t="b">
        <f>IF(_xlfn.XLOOKUP($A16,TabCAT!$A:$A,TabCAT!CD:CD,"NaN")="","NaN",(_xlfn.XLOOKUP($A16,TabCAT!$A:$A,TabCAT!CD:CD,"NaN")))</f>
        <v>1</v>
      </c>
      <c r="FT16" s="8">
        <f>IF(_xlfn.XLOOKUP($A16,TabCAT!$A:$A,TabCAT!CE:CE,"NaN")="","NaN",(_xlfn.XLOOKUP($A16,TabCAT!$A:$A,TabCAT!CE:CE,"NaN")))</f>
        <v>8</v>
      </c>
      <c r="FU16" s="8">
        <f>IF(_xlfn.XLOOKUP($A16,TabCAT!$A:$A,TabCAT!CF:CF,"NaN")="","NaN",(_xlfn.XLOOKUP($A16,TabCAT!$A:$A,TabCAT!CF:CF,"NaN")))</f>
        <v>0</v>
      </c>
      <c r="FV16" s="8">
        <f>IF(_xlfn.XLOOKUP($A16,TabCAT!$A:$A,TabCAT!CG:CG,"NaN")="","NaN",(_xlfn.XLOOKUP($A16,TabCAT!$A:$A,TabCAT!CG:CG,"NaN")))</f>
        <v>8.2100000000000009</v>
      </c>
      <c r="FW16" s="8">
        <f>IF(_xlfn.XLOOKUP($A16,TabCAT!$A:$A,TabCAT!CH:CH,"NaN")="","NaN",(_xlfn.XLOOKUP($A16,TabCAT!$A:$A,TabCAT!CH:CH,"NaN")))</f>
        <v>16</v>
      </c>
      <c r="FX16" s="8">
        <f>IF(_xlfn.XLOOKUP($A16,TabCAT!$A:$A,TabCAT!CI:CI,"NaN")="","NaN",(_xlfn.XLOOKUP($A16,TabCAT!$A:$A,TabCAT!CI:CI,"NaN")))</f>
        <v>0.80440449999999997</v>
      </c>
      <c r="FY16" s="8">
        <f>IF(_xlfn.XLOOKUP($A16,TabCAT!$A:$A,TabCAT!CJ:CJ,"NaN")="","NaN",(_xlfn.XLOOKUP($A16,TabCAT!$A:$A,TabCAT!CJ:CJ,"NaN")))</f>
        <v>16</v>
      </c>
      <c r="FZ16" s="8">
        <f>IF(_xlfn.XLOOKUP($A16,TabCAT!$A:$A,TabCAT!CK:CK,"NaN")="","NaN",(_xlfn.XLOOKUP($A16,TabCAT!$A:$A,TabCAT!CK:CK,"NaN")))</f>
        <v>0.78330199999999905</v>
      </c>
      <c r="GA16" s="8">
        <f>IF(_xlfn.XLOOKUP($A16,TabCAT!$A:$A,TabCAT!CL:CL,"NaN")="","NaN",(_xlfn.XLOOKUP($A16,TabCAT!$A:$A,TabCAT!CL:CL,"NaN")))</f>
        <v>32</v>
      </c>
      <c r="GB16" s="8">
        <f>IF(_xlfn.XLOOKUP($A16,TabCAT!$A:$A,TabCAT!CM:CM,"NaN")="","NaN",(_xlfn.XLOOKUP($A16,TabCAT!$A:$A,TabCAT!CM:CM,"NaN")))</f>
        <v>0.77921200000000002</v>
      </c>
      <c r="GC16" s="8">
        <f>IF(_xlfn.XLOOKUP($A16,TabCAT!$A:$A,TabCAT!CN:CN,"NaN")="","NaN",(_xlfn.XLOOKUP($A16,TabCAT!$A:$A,TabCAT!CN:CN,"NaN")))</f>
        <v>17</v>
      </c>
      <c r="GD16" s="8">
        <f>IF(_xlfn.XLOOKUP($A16,TabCAT!$A:$A,TabCAT!CO:CO,"NaN")="","NaN",(_xlfn.XLOOKUP($A16,TabCAT!$A:$A,TabCAT!CO:CO,"NaN")))</f>
        <v>0.79033200000000003</v>
      </c>
      <c r="GE16" s="8">
        <f>IF(_xlfn.XLOOKUP($A16,TabCAT!$A:$A,TabCAT!CP:CP,"NaN")="","NaN",(_xlfn.XLOOKUP($A16,TabCAT!$A:$A,TabCAT!CP:CP,"NaN")))</f>
        <v>0.13099823512060299</v>
      </c>
      <c r="GF16" s="8">
        <f>IF(_xlfn.XLOOKUP($A16,TabCAT!$A:$A,TabCAT!CQ:CQ,"NaN")="","NaN",(_xlfn.XLOOKUP($A16,TabCAT!$A:$A,TabCAT!CQ:CQ,"NaN")))</f>
        <v>57</v>
      </c>
      <c r="GG16" s="8">
        <f>IF(_xlfn.XLOOKUP($A16,TabCAT!$A:$A,TabCAT!CR:CR,"NaN")="","NaN",(_xlfn.XLOOKUP($A16,TabCAT!$A:$A,TabCAT!CR:CR,"NaN")))</f>
        <v>0.79572699999999996</v>
      </c>
      <c r="GH16" s="8" t="str">
        <f>IF(_xlfn.XLOOKUP($A16,TabCAT!$A:$A,TabCAT!CS:CS,"NaN")="","NaN",(_xlfn.XLOOKUP($A16,TabCAT!$A:$A,TabCAT!CS:CS,"NaN")))</f>
        <v>NaN</v>
      </c>
    </row>
    <row r="17" spans="1:190" x14ac:dyDescent="0.2">
      <c r="A17">
        <v>10585</v>
      </c>
      <c r="B17">
        <f>_xlfn.XLOOKUP(bippity_poppity_boo!A17,rf1_data!A:A,rf1_data!B:B)</f>
        <v>161859</v>
      </c>
      <c r="C17" s="2">
        <f>(_xlfn.XLOOKUP($A17,trust!$A:$A,trust!B:B,"NaN"))</f>
        <v>4.6666670000000003</v>
      </c>
      <c r="D17" s="2">
        <f>(_xlfn.XLOOKUP($A17,trust!$A:$A,trust!C:C,"NaN"))</f>
        <v>4.3636359999999996</v>
      </c>
      <c r="E17" s="2">
        <f>(_xlfn.XLOOKUP($A17,trust!$A:$A,trust!D:D,"NaN"))</f>
        <v>4.9230770000000001</v>
      </c>
      <c r="F17" s="2">
        <f>(_xlfn.XLOOKUP($A17,trust!$A:$A,trust!E:E,"NaN"))</f>
        <v>4.7692310000000004</v>
      </c>
      <c r="G17" s="2">
        <f>(_xlfn.XLOOKUP($A17,trust!$A:$A,trust!F:F,"NaN"))</f>
        <v>5.7142860000000004</v>
      </c>
      <c r="H17" s="2">
        <f>(_xlfn.XLOOKUP($A17,trust!$A:$A,trust!G:G,"NaN"))</f>
        <v>5.8333329999999997</v>
      </c>
      <c r="I17" s="3">
        <f>IF(_xlfn.XLOOKUP($B17,island_data!$B:$B,island_data!C:C,"NaN")="","NaN",_xlfn.XLOOKUP($B17,island_data!$B:$B,island_data!C:C,"NaN"))</f>
        <v>45106</v>
      </c>
      <c r="J17" s="3">
        <f>IF(_xlfn.XLOOKUP($B17,island_data!$B:$B,island_data!D:D,"NaN")="","NaN",_xlfn.XLOOKUP($B17,island_data!$B:$B,island_data!D:D,"NaN"))</f>
        <v>21854</v>
      </c>
      <c r="K17" s="4">
        <f>IF(_xlfn.XLOOKUP($B17,island_data!$B:$B,island_data!E:E,"NaN")="","NaN",_xlfn.XLOOKUP($B17,island_data!$B:$B,island_data!E:E,"NaN"))</f>
        <v>63.66</v>
      </c>
      <c r="L17" s="5">
        <f>IF(_xlfn.XLOOKUP($B17,rf1_data!$B:$B,rf1_data!D:D,"NaN")="","NaN",(_xlfn.XLOOKUP($B17,rf1_data!$B:$B,rf1_data!D:D,"NaN")))</f>
        <v>63.33</v>
      </c>
      <c r="M17" s="5" t="str">
        <f>IF(_xlfn.XLOOKUP($B17,rf1_data!$B:$B,rf1_data!E:E,"NaN")="","NaN",(_xlfn.XLOOKUP($B17,rf1_data!$B:$B,rf1_data!E:E,"NaN")))</f>
        <v>White</v>
      </c>
      <c r="N17" s="5" t="str">
        <f>IF(_xlfn.XLOOKUP($B17,rf1_data!$B:$B,rf1_data!F:F,"NaN")="","NaN",(_xlfn.XLOOKUP($B17,rf1_data!$B:$B,rf1_data!F:F,"NaN")))</f>
        <v>Not Hispanic or Latino</v>
      </c>
      <c r="O17" s="5" t="str">
        <f>IF(_xlfn.XLOOKUP($B17,rf1_data!$B:$B,rf1_data!G:G,"NaN")="","NaN",(_xlfn.XLOOKUP($B17,rf1_data!$B:$B,rf1_data!G:G,"NaN")))</f>
        <v>Female</v>
      </c>
      <c r="P17" s="5">
        <f>IF(_xlfn.XLOOKUP($B17,rf1_data!$B:$B,rf1_data!H:H,"NaN")="","NaN",(_xlfn.XLOOKUP($B17,rf1_data!$B:$B,rf1_data!H:H,"NaN")))</f>
        <v>4.67</v>
      </c>
      <c r="Q17" s="5">
        <f>IF(_xlfn.XLOOKUP($B17,rf1_data!$B:$B,rf1_data!I:I,"NaN")="","NaN",(_xlfn.XLOOKUP($B17,rf1_data!$B:$B,rf1_data!I:I,"NaN")))</f>
        <v>4</v>
      </c>
      <c r="R17" s="5">
        <f>IF(_xlfn.XLOOKUP($B17,rf1_data!$B:$B,rf1_data!J:J,"NaN")="","NaN",(_xlfn.XLOOKUP($B17,rf1_data!$B:$B,rf1_data!J:J,"NaN")))</f>
        <v>4</v>
      </c>
      <c r="S17" s="5">
        <f>IF(_xlfn.XLOOKUP($B17,rf1_data!$B:$B,rf1_data!K:K,"NaN")="","NaN",(_xlfn.XLOOKUP($B17,rf1_data!$B:$B,rf1_data!K:K,"NaN")))</f>
        <v>4</v>
      </c>
      <c r="T17" s="5">
        <f>IF(_xlfn.XLOOKUP($B17,rf1_data!$B:$B,rf1_data!L:L,"NaN")="","NaN",(_xlfn.XLOOKUP($B17,rf1_data!$B:$B,rf1_data!L:L,"NaN")))</f>
        <v>0</v>
      </c>
      <c r="U17" s="5">
        <f>IF(_xlfn.XLOOKUP($B17,rf1_data!$B:$B,rf1_data!M:M,"NaN")="","NaN",(_xlfn.XLOOKUP($B17,rf1_data!$B:$B,rf1_data!M:M,"NaN")))</f>
        <v>6.67</v>
      </c>
      <c r="V17" s="5">
        <f>IF(_xlfn.XLOOKUP($B17,rf1_data!$B:$B,rf1_data!N:N,"NaN")="","NaN",(_xlfn.XLOOKUP($B17,rf1_data!$B:$B,rf1_data!N:N,"NaN")))</f>
        <v>5.67</v>
      </c>
      <c r="W17" s="5">
        <f>IF(_xlfn.XLOOKUP($B17,rf1_data!$B:$B,rf1_data!O:O,"NaN")="","NaN",(_xlfn.XLOOKUP($B17,rf1_data!$B:$B,rf1_data!O:O,"NaN")))</f>
        <v>5.63</v>
      </c>
      <c r="X17" s="5">
        <f>IF(_xlfn.XLOOKUP($B17,rf1_data!$B:$B,rf1_data!P:P,"NaN")="","NaN",(_xlfn.XLOOKUP($B17,rf1_data!$B:$B,rf1_data!P:P,"NaN")))</f>
        <v>5.17</v>
      </c>
      <c r="Y17" s="5">
        <f>IF(_xlfn.XLOOKUP($B17,rf1_data!$B:$B,rf1_data!Q:Q,"NaN")="","NaN",(_xlfn.XLOOKUP($B17,rf1_data!$B:$B,rf1_data!Q:Q,"NaN")))</f>
        <v>5.8</v>
      </c>
      <c r="Z17" s="5">
        <f>IF(_xlfn.XLOOKUP($B17,rf1_data!$B:$B,rf1_data!R:R,"NaN")="","NaN",(_xlfn.XLOOKUP($B17,rf1_data!$B:$B,rf1_data!R:R,"NaN")))</f>
        <v>19</v>
      </c>
      <c r="AA17" s="5">
        <f>IF(_xlfn.XLOOKUP($B17,rf1_data!$B:$B,rf1_data!S:S,"NaN")="","NaN",(_xlfn.XLOOKUP($B17,rf1_data!$B:$B,rf1_data!S:S,"NaN")))</f>
        <v>2</v>
      </c>
      <c r="AB17" s="5">
        <f>IF(_xlfn.XLOOKUP($B17,rf1_data!$B:$B,rf1_data!T:T,"NaN")="","NaN",(_xlfn.XLOOKUP($B17,rf1_data!$B:$B,rf1_data!T:T,"NaN")))</f>
        <v>12</v>
      </c>
      <c r="AC17" s="5">
        <f>IF(_xlfn.XLOOKUP($B17,rf1_data!$B:$B,rf1_data!U:U,"NaN")="","NaN",(_xlfn.XLOOKUP($B17,rf1_data!$B:$B,rf1_data!U:U,"NaN")))</f>
        <v>4</v>
      </c>
      <c r="AD17" s="5">
        <f>IF(_xlfn.XLOOKUP($B17,rf1_data!$B:$B,rf1_data!V:V,"NaN")="","NaN",(_xlfn.XLOOKUP($B17,rf1_data!$B:$B,rf1_data!V:V,"NaN")))</f>
        <v>1</v>
      </c>
      <c r="AE17" s="5">
        <f>IF(_xlfn.XLOOKUP($B17,rf1_data!$B:$B,rf1_data!W:W,"NaN")="","NaN",(_xlfn.XLOOKUP($B17,rf1_data!$B:$B,rf1_data!W:W,"NaN")))</f>
        <v>0</v>
      </c>
      <c r="AF17" s="5">
        <f>IF(_xlfn.XLOOKUP($B17,rf1_data!$B:$B,rf1_data!X:X,"NaN")="","NaN",(_xlfn.XLOOKUP($B17,rf1_data!$B:$B,rf1_data!X:X,"NaN")))</f>
        <v>5</v>
      </c>
      <c r="AG17" s="5">
        <f>IF(_xlfn.XLOOKUP($B17,rf1_data!$B:$B,rf1_data!Y:Y,"NaN")="","NaN",(_xlfn.XLOOKUP($B17,rf1_data!$B:$B,rf1_data!Y:Y,"NaN")))</f>
        <v>6</v>
      </c>
      <c r="AH17" s="5">
        <f>IF(_xlfn.XLOOKUP($B17,rf1_data!$B:$B,rf1_data!Z:Z,"NaN")="","NaN",(_xlfn.XLOOKUP($B17,rf1_data!$B:$B,rf1_data!Z:Z,"NaN")))</f>
        <v>1</v>
      </c>
      <c r="AI17" s="5">
        <f>IF(_xlfn.XLOOKUP($B17,rf1_data!$B:$B,rf1_data!AA:AA,"NaN")="","NaN",(_xlfn.XLOOKUP($B17,rf1_data!$B:$B,rf1_data!AA:AA,"NaN")))</f>
        <v>1</v>
      </c>
      <c r="AJ17" s="5">
        <f>IF(_xlfn.XLOOKUP($B17,rf1_data!$B:$B,rf1_data!AB:AB,"NaN")="","NaN",(_xlfn.XLOOKUP($B17,rf1_data!$B:$B,rf1_data!AB:AB,"NaN")))</f>
        <v>13</v>
      </c>
      <c r="AK17" s="5">
        <f>IF(_xlfn.XLOOKUP($B17,rf1_data!$B:$B,rf1_data!AC:AC,"NaN")="","NaN",(_xlfn.XLOOKUP($B17,rf1_data!$B:$B,rf1_data!AC:AC,"NaN")))</f>
        <v>30</v>
      </c>
      <c r="AL17" s="5">
        <f>IF(_xlfn.XLOOKUP($B17,rf1_data!$B:$B,rf1_data!AD:AD,"NaN")="","NaN",(_xlfn.XLOOKUP($B17,rf1_data!$B:$B,rf1_data!AD:AD,"NaN")))</f>
        <v>9</v>
      </c>
      <c r="AM17" s="5">
        <f>IF(_xlfn.XLOOKUP($B17,rf1_data!$B:$B,rf1_data!AE:AE,"NaN")="","NaN",(_xlfn.XLOOKUP($B17,rf1_data!$B:$B,rf1_data!AE:AE,"NaN")))</f>
        <v>0</v>
      </c>
      <c r="AN17" s="5">
        <f>IF(_xlfn.XLOOKUP($B17,rf1_data!$B:$B,rf1_data!AF:AF,"NaN")="","NaN",(_xlfn.XLOOKUP($B17,rf1_data!$B:$B,rf1_data!AF:AF,"NaN")))</f>
        <v>0</v>
      </c>
      <c r="AO17" s="5">
        <f>IF(_xlfn.XLOOKUP($B17,rf1_data!$B:$B,rf1_data!AG:AG,"NaN")="","NaN",(_xlfn.XLOOKUP($B17,rf1_data!$B:$B,rf1_data!AG:AG,"NaN")))</f>
        <v>6</v>
      </c>
      <c r="AP17" s="5">
        <f>IF(_xlfn.XLOOKUP($B17,rf1_data!$B:$B,rf1_data!AH:AH,"NaN")="","NaN",(_xlfn.XLOOKUP($B17,rf1_data!$B:$B,rf1_data!AH:AH,"NaN")))</f>
        <v>6</v>
      </c>
      <c r="AQ17" s="5">
        <f>IF(_xlfn.XLOOKUP($B17,rf1_data!$B:$B,rf1_data!AI:AI,"NaN")="","NaN",(_xlfn.XLOOKUP($B17,rf1_data!$B:$B,rf1_data!AI:AI,"NaN")))</f>
        <v>6</v>
      </c>
      <c r="AR17" s="5">
        <f>IF(_xlfn.XLOOKUP($B17,rf1_data!$B:$B,rf1_data!AJ:AJ,"NaN")="","NaN",(_xlfn.XLOOKUP($B17,rf1_data!$B:$B,rf1_data!AJ:AJ,"NaN")))</f>
        <v>6</v>
      </c>
      <c r="AS17" s="5">
        <f>IF(_xlfn.XLOOKUP($B17,rf1_data!$B:$B,rf1_data!AK:AK,"NaN")="","NaN",(_xlfn.XLOOKUP($B17,rf1_data!$B:$B,rf1_data!AK:AK,"NaN")))</f>
        <v>3</v>
      </c>
      <c r="AT17" s="5">
        <f>IF(_xlfn.XLOOKUP($B17,rf1_data!$B:$B,rf1_data!AL:AL,"NaN")="","NaN",(_xlfn.XLOOKUP($B17,rf1_data!$B:$B,rf1_data!AL:AL,"NaN")))</f>
        <v>11</v>
      </c>
      <c r="AU17" s="5">
        <f>IF(_xlfn.XLOOKUP($B17,rf1_data!$B:$B,rf1_data!AM:AM,"NaN")="","NaN",(_xlfn.XLOOKUP($B17,rf1_data!$B:$B,rf1_data!AM:AM,"NaN")))</f>
        <v>2.58</v>
      </c>
      <c r="AV17" s="5">
        <f>IF(_xlfn.XLOOKUP($B17,rf1_data!$B:$B,rf1_data!AN:AN,"NaN")="","NaN",(_xlfn.XLOOKUP($B17,rf1_data!$B:$B,rf1_data!AN:AN,"NaN")))</f>
        <v>8</v>
      </c>
      <c r="AW17" s="5" t="str">
        <f>IF(_xlfn.XLOOKUP($B17,rf1_data!$B:$B,rf1_data!AO:AO,"NaN")="","NaN",(_xlfn.XLOOKUP($B17,rf1_data!$B:$B,rf1_data!AO:AO,"NaN")))</f>
        <v>NaN</v>
      </c>
      <c r="AX17" s="5">
        <f>IF(_xlfn.XLOOKUP($B17,rf1_data!$B:$B,rf1_data!AP:AP,"NaN")="","NaN",(_xlfn.XLOOKUP($B17,rf1_data!$B:$B,rf1_data!AP:AP,"NaN")))</f>
        <v>3.43</v>
      </c>
      <c r="AY17" s="5" t="str">
        <f>IF(_xlfn.XLOOKUP($B17,rf1_data!$B:$B,rf1_data!AQ:AQ,"NaN")="","NaN",(_xlfn.XLOOKUP($B17,rf1_data!$B:$B,rf1_data!AQ:AQ,"NaN")))</f>
        <v>NaN</v>
      </c>
      <c r="AZ17" s="5" t="str">
        <f>IF(_xlfn.XLOOKUP($B17,rf1_data!$B:$B,rf1_data!AR:AR,"NaN")="","NaN",(_xlfn.XLOOKUP($B17,rf1_data!$B:$B,rf1_data!AR:AR,"NaN")))</f>
        <v>NaN</v>
      </c>
      <c r="BA17" s="5" t="str">
        <f>IF(_xlfn.XLOOKUP($B17,rf1_data!$B:$B,rf1_data!AS:AS,"NaN")="","NaN",(_xlfn.XLOOKUP($B17,rf1_data!$B:$B,rf1_data!AS:AS,"NaN")))</f>
        <v>NaN</v>
      </c>
      <c r="BB17" s="5" t="str">
        <f>IF(_xlfn.XLOOKUP($B17,rf1_data!$B:$B,rf1_data!AT:AT,"NaN")="","NaN",(_xlfn.XLOOKUP($B17,rf1_data!$B:$B,rf1_data!AT:AT,"NaN")))</f>
        <v>NaN</v>
      </c>
      <c r="BC17" s="5" t="str">
        <f>IF(_xlfn.XLOOKUP($B17,rf1_data!$B:$B,rf1_data!AU:AU,"NaN")="","NaN",(_xlfn.XLOOKUP($B17,rf1_data!$B:$B,rf1_data!AU:AU,"NaN")))</f>
        <v>NaN</v>
      </c>
      <c r="BD17" s="5" t="str">
        <f>IF(_xlfn.XLOOKUP($B17,rf1_data!$B:$B,rf1_data!AV:AV,"NaN")="","NaN",(_xlfn.XLOOKUP($B17,rf1_data!$B:$B,rf1_data!AV:AV,"NaN")))</f>
        <v>NaN</v>
      </c>
      <c r="BE17" s="5" t="str">
        <f>IF(_xlfn.XLOOKUP($B17,rf1_data!$B:$B,rf1_data!AW:AW,"NaN")="","NaN",(_xlfn.XLOOKUP($B17,rf1_data!$B:$B,rf1_data!AW:AW,"NaN")))</f>
        <v>NaN</v>
      </c>
      <c r="BF17" s="5" t="str">
        <f>IF(_xlfn.XLOOKUP($B17,rf1_data!$B:$B,rf1_data!AX:AX,"NaN")="","NaN",(_xlfn.XLOOKUP($B17,rf1_data!$B:$B,rf1_data!AX:AX,"NaN")))</f>
        <v>NaN</v>
      </c>
      <c r="BG17" s="5" t="str">
        <f>IF(_xlfn.XLOOKUP($B17,rf1_data!$B:$B,rf1_data!AY:AY,"NaN")="","NaN",(_xlfn.XLOOKUP($B17,rf1_data!$B:$B,rf1_data!AY:AY,"NaN")))</f>
        <v>NaN</v>
      </c>
      <c r="BH17" s="5" t="str">
        <f>IF(_xlfn.XLOOKUP($B17,rf1_data!$B:$B,rf1_data!AZ:AZ,"NaN")="","NaN",(_xlfn.XLOOKUP($B17,rf1_data!$B:$B,rf1_data!AZ:AZ,"NaN")))</f>
        <v>NaN</v>
      </c>
      <c r="BI17" s="5">
        <f>IF(_xlfn.XLOOKUP($B17,rf1_data!$B:$B,rf1_data!BA:BA,"NaN")="","NaN",(_xlfn.XLOOKUP($B17,rf1_data!$B:$B,rf1_data!BA:BA,"NaN")))</f>
        <v>20</v>
      </c>
      <c r="BJ17" s="5" t="str">
        <f>IF(_xlfn.XLOOKUP($B17,rf1_data!$B:$B,rf1_data!BB:BB,"NaN")="","NaN",(_xlfn.XLOOKUP($B17,rf1_data!$B:$B,rf1_data!BB:BB,"NaN")))</f>
        <v>NaN</v>
      </c>
      <c r="BK17" s="5" t="str">
        <f>IF(_xlfn.XLOOKUP($B17,rf1_data!$B:$B,rf1_data!BC:BC,"NaN")="","NaN",(_xlfn.XLOOKUP($B17,rf1_data!$B:$B,rf1_data!BC:BC,"NaN")))</f>
        <v>NaN</v>
      </c>
      <c r="BL17" s="5" t="str">
        <f>IF(_xlfn.XLOOKUP($B17,rf1_data!$B:$B,rf1_data!BD:BD,"NaN")="","NaN",(_xlfn.XLOOKUP($B17,rf1_data!$B:$B,rf1_data!BD:BD,"NaN")))</f>
        <v>NaN</v>
      </c>
      <c r="BM17" s="5" t="str">
        <f>IF(_xlfn.XLOOKUP($B17,rf1_data!$B:$B,rf1_data!BE:BE,"NaN")="","NaN",(_xlfn.XLOOKUP($B17,rf1_data!$B:$B,rf1_data!BE:BE,"NaN")))</f>
        <v>NaN</v>
      </c>
      <c r="BN17" s="5" t="str">
        <f>IF(_xlfn.XLOOKUP($B17,rf1_data!$B:$B,rf1_data!BF:BF,"NaN")="","NaN",(_xlfn.XLOOKUP($B17,rf1_data!$B:$B,rf1_data!BF:BF,"NaN")))</f>
        <v>NaN</v>
      </c>
      <c r="BO17" s="5" t="str">
        <f>IF(_xlfn.XLOOKUP($B17,rf1_data!$B:$B,rf1_data!BG:BG,"NaN")="","NaN",(_xlfn.XLOOKUP($B17,rf1_data!$B:$B,rf1_data!BG:BG,"NaN")))</f>
        <v>NaN</v>
      </c>
      <c r="BP17" s="5" t="str">
        <f>IF(_xlfn.XLOOKUP($B17,rf1_data!$B:$B,rf1_data!BH:BH,"NaN")="","NaN",(_xlfn.XLOOKUP($B17,rf1_data!$B:$B,rf1_data!BH:BH,"NaN")))</f>
        <v>NaN</v>
      </c>
      <c r="BQ17" s="5" t="str">
        <f>IF(_xlfn.XLOOKUP($B17,rf1_data!$B:$B,rf1_data!BI:BI,"NaN")="","NaN",(_xlfn.XLOOKUP($B17,rf1_data!$B:$B,rf1_data!BI:BI,"NaN")))</f>
        <v>NaN</v>
      </c>
      <c r="BR17" s="5">
        <f>IF(_xlfn.XLOOKUP($B17,rf1_data!$B:$B,rf1_data!BJ:BJ,"NaN")="","NaN",(_xlfn.XLOOKUP($B17,rf1_data!$B:$B,rf1_data!BJ:BJ,"NaN")))</f>
        <v>8991</v>
      </c>
      <c r="BS17" s="5" t="str">
        <f>IF(_xlfn.XLOOKUP($B17,rf1_data!$B:$B,rf1_data!BK:BK,"NaN")="","NaN",(_xlfn.XLOOKUP($B17,rf1_data!$B:$B,rf1_data!BK:BK,"NaN")))</f>
        <v>NaN</v>
      </c>
      <c r="BT17" s="5" t="str">
        <f>IF(_xlfn.XLOOKUP($B17,rf1_data!$B:$B,rf1_data!BL:BL,"NaN")="","NaN",(_xlfn.XLOOKUP($B17,rf1_data!$B:$B,rf1_data!BL:BL,"NaN")))</f>
        <v>NaN</v>
      </c>
      <c r="BU17" s="5" t="str">
        <f>IF(_xlfn.XLOOKUP($B17,rf1_data!$B:$B,rf1_data!BM:BM,"NaN")="","NaN",(_xlfn.XLOOKUP($B17,rf1_data!$B:$B,rf1_data!BM:BM,"NaN")))</f>
        <v>NaN</v>
      </c>
      <c r="BV17" s="5" t="str">
        <f>IF(_xlfn.XLOOKUP($B17,rf1_data!$B:$B,rf1_data!BN:BN,"NaN")="","NaN",(_xlfn.XLOOKUP($B17,rf1_data!$B:$B,rf1_data!BN:BN,"NaN")))</f>
        <v>NaN</v>
      </c>
      <c r="BW17" s="5">
        <f>IF(_xlfn.XLOOKUP($B17,rf1_data!$B:$B,rf1_data!BO:BO,"NaN")="","NaN",(_xlfn.XLOOKUP($B17,rf1_data!$B:$B,rf1_data!BO:BO,"NaN")))</f>
        <v>3.6</v>
      </c>
      <c r="BX17" s="5">
        <f>IF(_xlfn.XLOOKUP($B17,rf1_data!$B:$B,rf1_data!BP:BP,"NaN")="","NaN",(_xlfn.XLOOKUP($B17,rf1_data!$B:$B,rf1_data!BP:BP,"NaN")))</f>
        <v>3.7</v>
      </c>
      <c r="BY17" s="5">
        <f>IF(_xlfn.XLOOKUP($B17,rf1_data!$B:$B,rf1_data!BQ:BQ,"NaN")="","NaN",(_xlfn.XLOOKUP($B17,rf1_data!$B:$B,rf1_data!BQ:BQ,"NaN")))</f>
        <v>3.9</v>
      </c>
      <c r="BZ17" s="5">
        <f>IF(_xlfn.XLOOKUP($B17,rf1_data!$B:$B,rf1_data!BR:BR,"NaN")="","NaN",(_xlfn.XLOOKUP($B17,rf1_data!$B:$B,rf1_data!BR:BR,"NaN")))</f>
        <v>3.73</v>
      </c>
      <c r="CA17" s="5">
        <f>IF(_xlfn.XLOOKUP($B17,rf1_data!$B:$B,rf1_data!BS:BS,"NaN")="","NaN",(_xlfn.XLOOKUP($B17,rf1_data!$B:$B,rf1_data!BS:BS,"NaN")))</f>
        <v>2.6666666666666599</v>
      </c>
      <c r="CB17" s="5">
        <f>IF(_xlfn.XLOOKUP($B17,rf1_data!$B:$B,rf1_data!BT:BT,"NaN")="","NaN",(_xlfn.XLOOKUP($B17,rf1_data!$B:$B,rf1_data!BT:BT,"NaN")))</f>
        <v>3.3333333333333299</v>
      </c>
      <c r="CC17" s="5">
        <f>IF(_xlfn.XLOOKUP($B17,rf1_data!$B:$B,rf1_data!BU:BU,"NaN")="","NaN",(_xlfn.XLOOKUP($B17,rf1_data!$B:$B,rf1_data!BU:BU,"NaN")))</f>
        <v>6</v>
      </c>
      <c r="CD17" s="5">
        <f>IF(_xlfn.XLOOKUP($B17,rf1_data!$B:$B,rf1_data!BV:BV,"NaN")="","NaN",(_xlfn.XLOOKUP($B17,rf1_data!$B:$B,rf1_data!BV:BV,"NaN")))</f>
        <v>4</v>
      </c>
      <c r="CE17" s="5">
        <f>IF(_xlfn.XLOOKUP($B17,rf1_data!$B:$B,rf1_data!BW:BW,"NaN")="","NaN",(_xlfn.XLOOKUP($B17,rf1_data!$B:$B,rf1_data!BW:BW,"NaN")))</f>
        <v>1.8</v>
      </c>
      <c r="CF17" s="5">
        <f>IF(_xlfn.XLOOKUP($B17,rf1_data!$B:$B,rf1_data!BX:BX,"NaN")="","NaN",(_xlfn.XLOOKUP($B17,rf1_data!$B:$B,rf1_data!BX:BX,"NaN")))</f>
        <v>0</v>
      </c>
      <c r="CG17" s="5">
        <f>IF(_xlfn.XLOOKUP($B17,rf1_data!$B:$B,rf1_data!BY:BY,"NaN")="","NaN",(_xlfn.XLOOKUP($B17,rf1_data!$B:$B,rf1_data!BY:BY,"NaN")))</f>
        <v>0</v>
      </c>
      <c r="CH17" s="5">
        <f>IF(_xlfn.XLOOKUP($B17,rf1_data!$B:$B,rf1_data!BZ:BZ,"NaN")="","NaN",(_xlfn.XLOOKUP($B17,rf1_data!$B:$B,rf1_data!BZ:BZ,"NaN")))</f>
        <v>22</v>
      </c>
      <c r="CI17" s="5">
        <f>IF(_xlfn.XLOOKUP($B17,rf1_data!$B:$B,rf1_data!CA:CA,"NaN")="","NaN",(_xlfn.XLOOKUP($B17,rf1_data!$B:$B,rf1_data!CA:CA,"NaN")))</f>
        <v>20</v>
      </c>
      <c r="CJ17" s="5">
        <f>IF(_xlfn.XLOOKUP($B17,rf1_data!$B:$B,rf1_data!CB:CB,"NaN")="","NaN",(_xlfn.XLOOKUP($B17,rf1_data!$B:$B,rf1_data!CB:CB,"NaN")))</f>
        <v>9</v>
      </c>
      <c r="CK17" s="5">
        <f>IF(_xlfn.XLOOKUP($B17,rf1_data!$B:$B,rf1_data!CC:CC,"NaN")="","NaN",(_xlfn.XLOOKUP($B17,rf1_data!$B:$B,rf1_data!CC:CC,"NaN")))</f>
        <v>0.9</v>
      </c>
      <c r="CL17" s="5">
        <f>IF(_xlfn.XLOOKUP($B17,rf1_data!$B:$B,rf1_data!CD:CD,"NaN")=0,"NaN",(_xlfn.XLOOKUP($B17,rf1_data!$B:$B,rf1_data!CD:CD,"NaN")))</f>
        <v>31</v>
      </c>
      <c r="CM17" s="5">
        <f>IF(_xlfn.XLOOKUP($B17,rf1_data!$B:$B,rf1_data!CE:CE,"NaN")="","NaN",(_xlfn.XLOOKUP($B17,rf1_data!$B:$B,rf1_data!CE:CE,"NaN")))</f>
        <v>28</v>
      </c>
      <c r="CN17" s="5">
        <f>IF(_xlfn.XLOOKUP($B17,rf1_data!$B:$B,rf1_data!CF:CF,"NaN")="","NaN",(_xlfn.XLOOKUP($B17,rf1_data!$B:$B,rf1_data!CF:CF,"NaN")))</f>
        <v>36</v>
      </c>
      <c r="CO17" s="5">
        <f>IF(_xlfn.XLOOKUP($B17,rf1_data!$B:$B,rf1_data!CG:CG,"NaN")="","NaN",(_xlfn.XLOOKUP($B17,rf1_data!$B:$B,rf1_data!CG:CG,"NaN")))</f>
        <v>32</v>
      </c>
      <c r="CP17" s="5">
        <f>IF(_xlfn.XLOOKUP($B17,rf1_data!$B:$B,rf1_data!CH:CH,"NaN")=0,"NaN",(_xlfn.XLOOKUP($B17,rf1_data!$B:$B,rf1_data!CH:CH,"NaN")))</f>
        <v>29</v>
      </c>
      <c r="CQ17" s="5">
        <f>IF(_xlfn.XLOOKUP($B17,rf1_data!$B:$B,rf1_data!CI:CI,"NaN")="","NaN",(_xlfn.XLOOKUP($B17,rf1_data!$B:$B,rf1_data!CI:CI,"NaN")))</f>
        <v>38</v>
      </c>
      <c r="CR17" s="5">
        <f>IF(_xlfn.XLOOKUP($B17,rf1_data!$B:$B,rf1_data!CJ:CJ,"NaN")="","NaN",(_xlfn.XLOOKUP($B17,rf1_data!$B:$B,rf1_data!CJ:CJ,"NaN")))</f>
        <v>60</v>
      </c>
      <c r="CS17" s="5">
        <f>IF(_xlfn.XLOOKUP($B17,rf1_data!$B:$B,rf1_data!CK:CK,"NaN")="","NaN",(_xlfn.XLOOKUP($B17,rf1_data!$B:$B,rf1_data!CK:CK,"NaN")))</f>
        <v>34</v>
      </c>
      <c r="CT17" s="5">
        <f>IF(_xlfn.XLOOKUP($B17,rf1_data!$B:$B,rf1_data!CL:CL,"NaN")="","NaN",(_xlfn.XLOOKUP($B17,rf1_data!$B:$B,rf1_data!CL:CL,"NaN")))</f>
        <v>60</v>
      </c>
      <c r="CU17" s="5">
        <f>IF(_xlfn.XLOOKUP($B17,rf1_data!$B:$B,rf1_data!CM:CM,"NaN")="","NaN",(_xlfn.XLOOKUP($B17,rf1_data!$B:$B,rf1_data!CM:CM,"NaN")))</f>
        <v>27</v>
      </c>
      <c r="CV17" s="5">
        <f>IF(_xlfn.XLOOKUP($B17,rf1_data!$B:$B,rf1_data!CN:CN,"NaN")="","NaN",(_xlfn.XLOOKUP($B17,rf1_data!$B:$B,rf1_data!CN:CN,"NaN")))</f>
        <v>60</v>
      </c>
      <c r="CW17" s="5" t="str">
        <f>IF(_xlfn.XLOOKUP($B17,rf1_data!$B:$B,rf1_data!CO:CO,"NaN")="","NaN",(_xlfn.XLOOKUP($B17,rf1_data!$B:$B,rf1_data!CO:CO,"NaN")))</f>
        <v>NaN</v>
      </c>
      <c r="CX17" s="5" t="str">
        <f>IF(_xlfn.XLOOKUP($B17,rf1_data!$B:$B,rf1_data!CP:CP,"NaN")="","NaN",(_xlfn.XLOOKUP($B17,rf1_data!$B:$B,rf1_data!CP:CP,"NaN")))</f>
        <v>NaN</v>
      </c>
      <c r="CY17" s="5">
        <f>IF(_xlfn.XLOOKUP($B17,rf1_data!$B:$B,rf1_data!CQ:CQ,"NaN")="","NaN",(_xlfn.XLOOKUP($B17,rf1_data!$B:$B,rf1_data!CQ:CQ,"NaN")))</f>
        <v>7</v>
      </c>
      <c r="CZ17" s="5">
        <f>IF(_xlfn.XLOOKUP($B17,rf1_data!$B:$B,rf1_data!CR:CR,"NaN")="","NaN",(_xlfn.XLOOKUP($B17,rf1_data!$B:$B,rf1_data!CR:CR,"NaN")))</f>
        <v>1</v>
      </c>
      <c r="DA17" s="5">
        <f>IF(_xlfn.XLOOKUP($B17,rf1_data!$B:$B,rf1_data!CS:CS,"NaN")="","NaN",(_xlfn.XLOOKUP($B17,rf1_data!$B:$B,rf1_data!CS:CS,"NaN")))</f>
        <v>1</v>
      </c>
      <c r="DB17" s="4">
        <f>IF(_xlfn.XLOOKUP($B17,island_data!$B:$B,island_data!H:H,"NaN")="","NaN",_xlfn.XLOOKUP($B17,island_data!$B:$B,island_data!H:H,"NaN"))</f>
        <v>0</v>
      </c>
      <c r="DC17" s="4">
        <f>IF(_xlfn.XLOOKUP($B17,island_data!$B:$B,island_data!I:I,"NaN")="","NaN",_xlfn.XLOOKUP($B17,island_data!$B:$B,island_data!I:I,"NaN"))</f>
        <v>0</v>
      </c>
      <c r="DD17" s="4">
        <f>IF(_xlfn.XLOOKUP($B17,island_data!$B:$B,island_data!J:J,"NaN")="","NaN",_xlfn.XLOOKUP($B17,island_data!$B:$B,island_data!J:J,"NaN"))</f>
        <v>1</v>
      </c>
      <c r="DE17" s="4" t="str">
        <f>IF(_xlfn.XLOOKUP($B17,island_data!$B:$B,island_data!K:K,"NaN")="","NaN",_xlfn.XLOOKUP($B17,island_data!$B:$B,island_data!K:K,"NaN"))</f>
        <v>NaN</v>
      </c>
      <c r="DF17" s="4">
        <f>IF(_xlfn.XLOOKUP($B17,island_data!$B:$B,island_data!L:L,"NaN")="","NaN",_xlfn.XLOOKUP($B17,island_data!$B:$B,island_data!L:L,"NaN"))</f>
        <v>28</v>
      </c>
      <c r="DG17" s="4">
        <f>IF(_xlfn.XLOOKUP($B17,island_data!$B:$B,island_data!M:M,"NaN")="","NaN",_xlfn.XLOOKUP($B17,island_data!$B:$B,island_data!M:M,"NaN"))</f>
        <v>2.6111111111111001</v>
      </c>
      <c r="DH17" s="4">
        <f>IF(_xlfn.XLOOKUP($B17,island_data!$B:$B,island_data!N:N,"NaN")="","NaN",_xlfn.XLOOKUP($B17,island_data!$B:$B,island_data!N:N,"NaN"))</f>
        <v>12</v>
      </c>
      <c r="DI17" s="4" t="str">
        <f>IF(_xlfn.XLOOKUP($B17,island_data!$B:$B,island_data!O:O,"NaN")=999,"NaN",_xlfn.XLOOKUP($B17,island_data!$B:$B,island_data!O:O,"NaN"))</f>
        <v>NaN</v>
      </c>
      <c r="DJ17" s="4">
        <f>IF(_xlfn.XLOOKUP($B17,island_data!$B:$B,island_data!P:P,"NaN")="","NaN",_xlfn.XLOOKUP($B17,island_data!$B:$B,island_data!P:P,"NaN"))</f>
        <v>7</v>
      </c>
      <c r="DK17" s="4">
        <f>IF(_xlfn.XLOOKUP($B17,island_data!$B:$B,island_data!Q:Q,"NaN")="","NaN",_xlfn.XLOOKUP($B17,island_data!$B:$B,island_data!Q:Q,"NaN"))</f>
        <v>1</v>
      </c>
      <c r="DL17" s="4" t="str">
        <f>IF(_xlfn.XLOOKUP($B17,island_data!$B:$B,island_data!R:R,"NaN")=999,"NaN",_xlfn.XLOOKUP($B17,island_data!$B:$B,island_data!R:R,"NaN"))</f>
        <v>NaN</v>
      </c>
      <c r="DM17" s="4">
        <f>IF(_xlfn.XLOOKUP($B17,island_data!$B:$B,island_data!S:S,"NaN")="","NaN",_xlfn.XLOOKUP($B17,island_data!$B:$B,island_data!S:S,"NaN"))</f>
        <v>10</v>
      </c>
      <c r="DN17" s="4" t="str">
        <f>IF(_xlfn.XLOOKUP($B17,island_data!$B:$B,island_data!T:T,"NaN")="","NaN",_xlfn.XLOOKUP($B17,island_data!$B:$B,island_data!T:T,"NaN"))</f>
        <v>NaN</v>
      </c>
      <c r="DO17" s="4">
        <f>IF(_xlfn.XLOOKUP($B17,island_data!$B:$B,island_data!U:U,"NaN")="","NaN",_xlfn.XLOOKUP($B17,island_data!$B:$B,island_data!U:U,"NaN"))</f>
        <v>6</v>
      </c>
      <c r="DP17" s="4">
        <f>IF(_xlfn.XLOOKUP($B17,island_data!$B:$B,island_data!V:V,"NaN")="","NaN",_xlfn.XLOOKUP($B17,island_data!$B:$B,island_data!V:V,"NaN"))</f>
        <v>3</v>
      </c>
      <c r="DQ17" s="4">
        <f>IF(_xlfn.XLOOKUP($B17,island_data!$B:$B,island_data!W:W,"NaN")="","NaN",_xlfn.XLOOKUP($B17,island_data!$B:$B,island_data!W:W,"NaN"))</f>
        <v>8</v>
      </c>
      <c r="DR17" s="4">
        <f>IF(_xlfn.XLOOKUP($B17,island_data!$B:$B,island_data!X:X,"NaN")="","NaN",_xlfn.XLOOKUP($B17,island_data!$B:$B,island_data!X:X,"NaN"))</f>
        <v>6</v>
      </c>
      <c r="DS17" s="4" t="str">
        <f>IF(_xlfn.XLOOKUP($B17,island_data!$B:$B,island_data!Y:Y,"NaN")="","NaN",_xlfn.XLOOKUP($B17,island_data!$B:$B,island_data!Y:Y,"NaN"))</f>
        <v>NaN</v>
      </c>
      <c r="DT17" s="4" t="str">
        <f>IF(_xlfn.XLOOKUP($B17,island_data!$B:$B,island_data!Z:Z,"NaN")="","NaN",_xlfn.XLOOKUP($B17,island_data!$B:$B,island_data!Z:Z,"NaN"))</f>
        <v>NaN</v>
      </c>
      <c r="DU17" s="4" t="str">
        <f>IF(_xlfn.XLOOKUP($B17,island_data!$B:$B,island_data!AA:AA,"NaN")="","NaN",_xlfn.XLOOKUP($B17,island_data!$B:$B,island_data!AA:AA,"NaN"))</f>
        <v>NaN</v>
      </c>
      <c r="DV17" s="4">
        <f>IF(_xlfn.XLOOKUP($B17,island_data!$B:$B,island_data!AB:AB,"NaN")="","NaN",_xlfn.XLOOKUP($B17,island_data!$B:$B,island_data!AB:AB,"NaN"))</f>
        <v>2</v>
      </c>
      <c r="DW17" s="4">
        <f>IF(_xlfn.XLOOKUP($B17,island_data!$B:$B,island_data!AC:AC,"NaN")="","NaN",_xlfn.XLOOKUP($B17,island_data!$B:$B,island_data!AC:AC,"NaN"))</f>
        <v>11793</v>
      </c>
      <c r="DX17" s="4">
        <f>IF(_xlfn.XLOOKUP($B17,island_data!$B:$B,island_data!AD:AD,"NaN")="","NaN",_xlfn.XLOOKUP($B17,island_data!$B:$B,island_data!AD:AD,"NaN"))</f>
        <v>8</v>
      </c>
      <c r="DY17" s="4">
        <f>IF(_xlfn.XLOOKUP($B17,island_data!$B:$B,island_data!AE:AE,"NaN")="","NaN",_xlfn.XLOOKUP($B17,island_data!$B:$B,island_data!AE:AE,"NaN"))</f>
        <v>1</v>
      </c>
      <c r="DZ17" s="4" t="str">
        <f>IF(_xlfn.XLOOKUP($B17,island_data!$B:$B,island_data!AF:AF,"NaN")="","NaN",_xlfn.XLOOKUP($B17,island_data!$B:$B,island_data!AF:AF,"NaN"))</f>
        <v>NaN</v>
      </c>
      <c r="EA17" s="4" t="str">
        <f>IF(_xlfn.XLOOKUP($B17,island_data!$B:$B,island_data!AG:AG,"NaN")="","NaN",_xlfn.XLOOKUP($B17,island_data!$B:$B,island_data!AG:AG,"NaN"))</f>
        <v>NaN</v>
      </c>
      <c r="EB17" s="4" t="str">
        <f>IF(_xlfn.XLOOKUP($B17,island_data!$B:$B,island_data!AH:AH,"NaN")="","NaN",_xlfn.XLOOKUP($B17,island_data!$B:$B,island_data!AH:AH,"NaN"))</f>
        <v>NaN</v>
      </c>
      <c r="EC17" s="4" t="str">
        <f>IF(_xlfn.XLOOKUP($B17,island_data!$B:$B,island_data!AI:AI,"NaN")="","NaN",_xlfn.XLOOKUP($B17,island_data!$B:$B,island_data!AI:AI,"NaN"))</f>
        <v>NaN</v>
      </c>
      <c r="ED17" s="4" t="str">
        <f>IF(_xlfn.XLOOKUP($B17,island_data!$B:$B,island_data!AJ:AJ,"NaN")="","NaN",_xlfn.XLOOKUP($B17,island_data!$B:$B,island_data!AJ:AJ,"NaN"))</f>
        <v>NaN</v>
      </c>
      <c r="EE17" s="4" t="str">
        <f>IF(_xlfn.XLOOKUP($B17,island_data!$B:$B,island_data!AK:AK,"NaN")="","NaN",_xlfn.XLOOKUP($B17,island_data!$B:$B,island_data!AK:AK,"NaN"))</f>
        <v>NaN</v>
      </c>
      <c r="EF17" s="4" t="str">
        <f>IF(_xlfn.XLOOKUP($B17,island_data!$B:$B,island_data!AL:AL,"NaN")="","NaN",_xlfn.XLOOKUP($B17,island_data!$B:$B,island_data!AL:AL,"NaN"))</f>
        <v>NaN</v>
      </c>
      <c r="EG17" s="4" t="str">
        <f>IF(_xlfn.XLOOKUP($B17,island_data!$B:$B,island_data!AM:AM,"NaN")="","NaN",_xlfn.XLOOKUP($B17,island_data!$B:$B,island_data!AM:AM,"NaN"))</f>
        <v>NaN</v>
      </c>
      <c r="EH17" s="4">
        <f>IF(_xlfn.XLOOKUP($B17,island_data!$B:$B,island_data!AN:AN,"NaN")="","NaN",_xlfn.XLOOKUP($B17,island_data!$B:$B,island_data!AN:AN,"NaN"))</f>
        <v>0</v>
      </c>
      <c r="EI17" s="4" t="str">
        <f>IF(_xlfn.XLOOKUP($B17,island_data!$B:$B,island_data!AO:AO,"NaN")="","NaN",_xlfn.XLOOKUP($B17,island_data!$B:$B,island_data!AO:AO,"NaN"))</f>
        <v>NaN</v>
      </c>
      <c r="EJ17" s="8">
        <f>IF(_xlfn.XLOOKUP($A17,TabCAT!$A:$A,TabCAT!AU:AU,"NaN")="","NaN",(_xlfn.XLOOKUP($A17,TabCAT!$A:$A,TabCAT!AU:AU,"NaN")))</f>
        <v>213</v>
      </c>
      <c r="EK17" s="8" t="b">
        <f>IF(_xlfn.XLOOKUP($A17,TabCAT!$A:$A,TabCAT!AV:AV,"NaN")="","NaN",(_xlfn.XLOOKUP($A17,TabCAT!$A:$A,TabCAT!AV:AV,"NaN")))</f>
        <v>1</v>
      </c>
      <c r="EL17" s="8">
        <f>IF(_xlfn.XLOOKUP($A17,TabCAT!$A:$A,TabCAT!AW:AW,"NaN")="","NaN",(_xlfn.XLOOKUP($A17,TabCAT!$A:$A,TabCAT!AW:AW,"NaN")))</f>
        <v>5</v>
      </c>
      <c r="EM17" s="8">
        <f>IF(_xlfn.XLOOKUP($A17,TabCAT!$A:$A,TabCAT!AX:AX,"NaN")="","NaN",(_xlfn.XLOOKUP($A17,TabCAT!$A:$A,TabCAT!AX:AX,"NaN")))</f>
        <v>0</v>
      </c>
      <c r="EN17" s="8">
        <f>IF(_xlfn.XLOOKUP($A17,TabCAT!$A:$A,TabCAT!AY:AY,"NaN")="","NaN",(_xlfn.XLOOKUP($A17,TabCAT!$A:$A,TabCAT!AY:AY,"NaN")))</f>
        <v>7.26</v>
      </c>
      <c r="EO17" s="8">
        <f>IF(_xlfn.XLOOKUP($A17,TabCAT!$A:$A,TabCAT!AZ:AZ,"NaN")="","NaN",(_xlfn.XLOOKUP($A17,TabCAT!$A:$A,TabCAT!AZ:AZ,"NaN")))</f>
        <v>32</v>
      </c>
      <c r="EP17" s="8">
        <f>IF(_xlfn.XLOOKUP($A17,TabCAT!$A:$A,TabCAT!BA:BA,"NaN")="","NaN",(_xlfn.XLOOKUP($A17,TabCAT!$A:$A,TabCAT!BA:BA,"NaN")))</f>
        <v>1.0537334999999901</v>
      </c>
      <c r="EQ17" s="8">
        <f>IF(_xlfn.XLOOKUP($A17,TabCAT!$A:$A,TabCAT!BB:BB,"NaN")="","NaN",(_xlfn.XLOOKUP($A17,TabCAT!$A:$A,TabCAT!BB:BB,"NaN")))</f>
        <v>0.17476982868279201</v>
      </c>
      <c r="ER17" s="8">
        <f>IF(_xlfn.XLOOKUP($A17,TabCAT!$A:$A,TabCAT!BC:BC,"NaN")="","NaN",(_xlfn.XLOOKUP($A17,TabCAT!$A:$A,TabCAT!BC:BC,"NaN")))</f>
        <v>16</v>
      </c>
      <c r="ES17" s="8">
        <f>IF(_xlfn.XLOOKUP($A17,TabCAT!$A:$A,TabCAT!BD:BD,"NaN")="","NaN",(_xlfn.XLOOKUP($A17,TabCAT!$A:$A,TabCAT!BD:BD,"NaN")))</f>
        <v>0.94551649999999998</v>
      </c>
      <c r="ET17" s="8">
        <f>IF(_xlfn.XLOOKUP($A17,TabCAT!$A:$A,TabCAT!BE:BE,"NaN")="","NaN",(_xlfn.XLOOKUP($A17,TabCAT!$A:$A,TabCAT!BE:BE,"NaN")))</f>
        <v>16</v>
      </c>
      <c r="EU17" s="8">
        <f>IF(_xlfn.XLOOKUP($A17,TabCAT!$A:$A,TabCAT!BF:BF,"NaN")="","NaN",(_xlfn.XLOOKUP($A17,TabCAT!$A:$A,TabCAT!BF:BF,"NaN")))</f>
        <v>1.1075515</v>
      </c>
      <c r="EV17" s="8" t="str">
        <f>IF(_xlfn.XLOOKUP($A17,TabCAT!$A:$A,TabCAT!BG:BG,"NaN")="","NaN",(_xlfn.XLOOKUP($A17,TabCAT!$A:$A,TabCAT!BG:BG,"NaN")))</f>
        <v>NaN</v>
      </c>
      <c r="EW17" s="8" t="str">
        <f>IF(_xlfn.XLOOKUP($A17,TabCAT!$A:$A,TabCAT!BH:BH,"NaN")="","NaN",(_xlfn.XLOOKUP($A17,TabCAT!$A:$A,TabCAT!BH:BH,"NaN")))</f>
        <v>3.0.0</v>
      </c>
      <c r="EX17" s="8" t="str">
        <f>IF(_xlfn.XLOOKUP($A17,TabCAT!$A:$A,TabCAT!BI:BI,"NaN")="","NaN",(_xlfn.XLOOKUP($A17,TabCAT!$A:$A,TabCAT!BI:BI,"NaN")))</f>
        <v>English</v>
      </c>
      <c r="EY17" s="8">
        <f>IF(_xlfn.XLOOKUP($A17,TabCAT!$A:$A,TabCAT!BJ:BJ,"NaN")="","NaN",(_xlfn.XLOOKUP($A17,TabCAT!$A:$A,TabCAT!BJ:BJ,"NaN")))</f>
        <v>279</v>
      </c>
      <c r="EZ17" s="8">
        <f>IF(_xlfn.XLOOKUP($A17,TabCAT!$A:$A,TabCAT!BK:BK,"NaN")="","NaN",(_xlfn.XLOOKUP($A17,TabCAT!$A:$A,TabCAT!BK:BK,"NaN")))</f>
        <v>1</v>
      </c>
      <c r="FA17" s="8">
        <f>IF(_xlfn.XLOOKUP($A17,TabCAT!$A:$A,TabCAT!BL:BL,"NaN")="","NaN",(_xlfn.XLOOKUP($A17,TabCAT!$A:$A,TabCAT!BL:BL,"NaN")))</f>
        <v>6</v>
      </c>
      <c r="FB17" s="8">
        <f>IF(_xlfn.XLOOKUP($A17,TabCAT!$A:$A,TabCAT!BM:BM,"NaN")="","NaN",(_xlfn.XLOOKUP($A17,TabCAT!$A:$A,TabCAT!BM:BM,"NaN")))</f>
        <v>1</v>
      </c>
      <c r="FC17" s="8">
        <f>IF(_xlfn.XLOOKUP($A17,TabCAT!$A:$A,TabCAT!BN:BN,"NaN")="","NaN",(_xlfn.XLOOKUP($A17,TabCAT!$A:$A,TabCAT!BN:BN,"NaN")))</f>
        <v>6</v>
      </c>
      <c r="FD17" s="8">
        <f>IF(_xlfn.XLOOKUP($A17,TabCAT!$A:$A,TabCAT!BO:BO,"NaN")="","NaN",(_xlfn.XLOOKUP($A17,TabCAT!$A:$A,TabCAT!BO:BO,"NaN")))</f>
        <v>8</v>
      </c>
      <c r="FE17" s="8">
        <f>IF(_xlfn.XLOOKUP($A17,TabCAT!$A:$A,TabCAT!BP:BP,"NaN")="","NaN",(_xlfn.XLOOKUP($A17,TabCAT!$A:$A,TabCAT!BP:BP,"NaN")))</f>
        <v>0.88888888888888795</v>
      </c>
      <c r="FF17" s="8">
        <f>IF(_xlfn.XLOOKUP($A17,TabCAT!$A:$A,TabCAT!BQ:BQ,"NaN")="","NaN",(_xlfn.XLOOKUP($A17,TabCAT!$A:$A,TabCAT!BQ:BQ,"NaN")))</f>
        <v>8</v>
      </c>
      <c r="FG17" s="8">
        <f>IF(_xlfn.XLOOKUP($A17,TabCAT!$A:$A,TabCAT!BR:BR,"NaN")="","NaN",(_xlfn.XLOOKUP($A17,TabCAT!$A:$A,TabCAT!BR:BR,"NaN")))</f>
        <v>12</v>
      </c>
      <c r="FH17" s="8">
        <f>IF(_xlfn.XLOOKUP($A17,TabCAT!$A:$A,TabCAT!BS:BS,"NaN")="","NaN",(_xlfn.XLOOKUP($A17,TabCAT!$A:$A,TabCAT!BS:BS,"NaN")))</f>
        <v>1</v>
      </c>
      <c r="FI17" s="8">
        <f>IF(_xlfn.XLOOKUP($A17,TabCAT!$A:$A,TabCAT!BT:BT,"NaN")="","NaN",(_xlfn.XLOOKUP($A17,TabCAT!$A:$A,TabCAT!BT:BT,"NaN")))</f>
        <v>10</v>
      </c>
      <c r="FJ17" s="8">
        <f>IF(_xlfn.XLOOKUP($A17,TabCAT!$A:$A,TabCAT!BU:BU,"NaN")="","NaN",(_xlfn.XLOOKUP($A17,TabCAT!$A:$A,TabCAT!BU:BU,"NaN")))</f>
        <v>11</v>
      </c>
      <c r="FK17" s="8">
        <f>IF(_xlfn.XLOOKUP($A17,TabCAT!$A:$A,TabCAT!BV:BV,"NaN")="","NaN",(_xlfn.XLOOKUP($A17,TabCAT!$A:$A,TabCAT!BV:BV,"NaN")))</f>
        <v>0.73333333333333295</v>
      </c>
      <c r="FL17" s="8">
        <f>IF(_xlfn.XLOOKUP($A17,TabCAT!$A:$A,TabCAT!BW:BW,"NaN")="","NaN",(_xlfn.XLOOKUP($A17,TabCAT!$A:$A,TabCAT!BW:BW,"NaN")))</f>
        <v>8</v>
      </c>
      <c r="FM17" s="8">
        <f>IF(_xlfn.XLOOKUP($A17,TabCAT!$A:$A,TabCAT!BX:BX,"NaN")="","NaN",(_xlfn.XLOOKUP($A17,TabCAT!$A:$A,TabCAT!BX:BX,"NaN")))</f>
        <v>37</v>
      </c>
      <c r="FN17" s="8">
        <f>IF(_xlfn.XLOOKUP($A17,TabCAT!$A:$A,TabCAT!BY:BY,"NaN")="","NaN",(_xlfn.XLOOKUP($A17,TabCAT!$A:$A,TabCAT!BY:BY,"NaN")))</f>
        <v>0.88095238095238004</v>
      </c>
      <c r="FO17" s="8">
        <f>IF(_xlfn.XLOOKUP($A17,TabCAT!$A:$A,TabCAT!BZ:BZ,"NaN")="","NaN",(_xlfn.XLOOKUP($A17,TabCAT!$A:$A,TabCAT!BZ:BZ,"NaN")))</f>
        <v>32</v>
      </c>
      <c r="FP17" s="8" t="str">
        <f>IF(_xlfn.XLOOKUP($A17,TabCAT!$A:$A,TabCAT!CA:CA,"NaN")="","NaN",(_xlfn.XLOOKUP($A17,TabCAT!$A:$A,TabCAT!CA:CA,"NaN")))</f>
        <v>3.0.0</v>
      </c>
      <c r="FQ17" s="8" t="str">
        <f>IF(_xlfn.XLOOKUP($A17,TabCAT!$A:$A,TabCAT!CB:CB,"NaN")="","NaN",(_xlfn.XLOOKUP($A17,TabCAT!$A:$A,TabCAT!CB:CB,"NaN")))</f>
        <v>English</v>
      </c>
      <c r="FR17" s="8">
        <f>IF(_xlfn.XLOOKUP($A17,TabCAT!$A:$A,TabCAT!CC:CC,"NaN")="","NaN",(_xlfn.XLOOKUP($A17,TabCAT!$A:$A,TabCAT!CC:CC,"NaN")))</f>
        <v>251</v>
      </c>
      <c r="FS17" s="8" t="b">
        <f>IF(_xlfn.XLOOKUP($A17,TabCAT!$A:$A,TabCAT!CD:CD,"NaN")="","NaN",(_xlfn.XLOOKUP($A17,TabCAT!$A:$A,TabCAT!CD:CD,"NaN")))</f>
        <v>1</v>
      </c>
      <c r="FT17" s="8">
        <f>IF(_xlfn.XLOOKUP($A17,TabCAT!$A:$A,TabCAT!CE:CE,"NaN")="","NaN",(_xlfn.XLOOKUP($A17,TabCAT!$A:$A,TabCAT!CE:CE,"NaN")))</f>
        <v>8</v>
      </c>
      <c r="FU17" s="8">
        <f>IF(_xlfn.XLOOKUP($A17,TabCAT!$A:$A,TabCAT!CF:CF,"NaN")="","NaN",(_xlfn.XLOOKUP($A17,TabCAT!$A:$A,TabCAT!CF:CF,"NaN")))</f>
        <v>0</v>
      </c>
      <c r="FV17" s="8">
        <f>IF(_xlfn.XLOOKUP($A17,TabCAT!$A:$A,TabCAT!CG:CG,"NaN")="","NaN",(_xlfn.XLOOKUP($A17,TabCAT!$A:$A,TabCAT!CG:CG,"NaN")))</f>
        <v>7.25</v>
      </c>
      <c r="FW17" s="8">
        <f>IF(_xlfn.XLOOKUP($A17,TabCAT!$A:$A,TabCAT!CH:CH,"NaN")="","NaN",(_xlfn.XLOOKUP($A17,TabCAT!$A:$A,TabCAT!CH:CH,"NaN")))</f>
        <v>16</v>
      </c>
      <c r="FX17" s="8">
        <f>IF(_xlfn.XLOOKUP($A17,TabCAT!$A:$A,TabCAT!CI:CI,"NaN")="","NaN",(_xlfn.XLOOKUP($A17,TabCAT!$A:$A,TabCAT!CI:CI,"NaN")))</f>
        <v>0.82971649999999997</v>
      </c>
      <c r="FY17" s="8">
        <f>IF(_xlfn.XLOOKUP($A17,TabCAT!$A:$A,TabCAT!CJ:CJ,"NaN")="","NaN",(_xlfn.XLOOKUP($A17,TabCAT!$A:$A,TabCAT!CJ:CJ,"NaN")))</f>
        <v>16</v>
      </c>
      <c r="FZ17" s="8">
        <f>IF(_xlfn.XLOOKUP($A17,TabCAT!$A:$A,TabCAT!CK:CK,"NaN")="","NaN",(_xlfn.XLOOKUP($A17,TabCAT!$A:$A,TabCAT!CK:CK,"NaN")))</f>
        <v>0.8047955</v>
      </c>
      <c r="GA17" s="8">
        <f>IF(_xlfn.XLOOKUP($A17,TabCAT!$A:$A,TabCAT!CL:CL,"NaN")="","NaN",(_xlfn.XLOOKUP($A17,TabCAT!$A:$A,TabCAT!CL:CL,"NaN")))</f>
        <v>30</v>
      </c>
      <c r="GB17" s="8">
        <f>IF(_xlfn.XLOOKUP($A17,TabCAT!$A:$A,TabCAT!CM:CM,"NaN")="","NaN",(_xlfn.XLOOKUP($A17,TabCAT!$A:$A,TabCAT!CM:CM,"NaN")))</f>
        <v>0.94206649999999903</v>
      </c>
      <c r="GC17" s="8">
        <f>IF(_xlfn.XLOOKUP($A17,TabCAT!$A:$A,TabCAT!CN:CN,"NaN")="","NaN",(_xlfn.XLOOKUP($A17,TabCAT!$A:$A,TabCAT!CN:CN,"NaN")))</f>
        <v>19</v>
      </c>
      <c r="GD17" s="8">
        <f>IF(_xlfn.XLOOKUP($A17,TabCAT!$A:$A,TabCAT!CO:CO,"NaN")="","NaN",(_xlfn.XLOOKUP($A17,TabCAT!$A:$A,TabCAT!CO:CO,"NaN")))</f>
        <v>0.91305800000000004</v>
      </c>
      <c r="GE17" s="8">
        <f>IF(_xlfn.XLOOKUP($A17,TabCAT!$A:$A,TabCAT!CP:CP,"NaN")="","NaN",(_xlfn.XLOOKUP($A17,TabCAT!$A:$A,TabCAT!CP:CP,"NaN")))</f>
        <v>0.19269953337857701</v>
      </c>
      <c r="GF17" s="8">
        <f>IF(_xlfn.XLOOKUP($A17,TabCAT!$A:$A,TabCAT!CQ:CQ,"NaN")="","NaN",(_xlfn.XLOOKUP($A17,TabCAT!$A:$A,TabCAT!CQ:CQ,"NaN")))</f>
        <v>53</v>
      </c>
      <c r="GG17" s="8">
        <f>IF(_xlfn.XLOOKUP($A17,TabCAT!$A:$A,TabCAT!CR:CR,"NaN")="","NaN",(_xlfn.XLOOKUP($A17,TabCAT!$A:$A,TabCAT!CR:CR,"NaN")))</f>
        <v>0.85462499999999997</v>
      </c>
      <c r="GH17" s="8" t="str">
        <f>IF(_xlfn.XLOOKUP($A17,TabCAT!$A:$A,TabCAT!CS:CS,"NaN")="","NaN",(_xlfn.XLOOKUP($A17,TabCAT!$A:$A,TabCAT!CS:CS,"NaN")))</f>
        <v>NaN</v>
      </c>
    </row>
    <row r="18" spans="1:190" x14ac:dyDescent="0.2">
      <c r="A18">
        <v>10589</v>
      </c>
      <c r="B18">
        <f>_xlfn.XLOOKUP(bippity_poppity_boo!A18,rf1_data!A:A,rf1_data!B:B)</f>
        <v>161988</v>
      </c>
      <c r="C18" s="2">
        <f>(_xlfn.XLOOKUP($A18,trust!$A:$A,trust!B:B,"NaN"))</f>
        <v>3.8571430000000002</v>
      </c>
      <c r="D18" s="2">
        <f>(_xlfn.XLOOKUP($A18,trust!$A:$A,trust!C:C,"NaN"))</f>
        <v>4.461538</v>
      </c>
      <c r="E18" s="2">
        <f>(_xlfn.XLOOKUP($A18,trust!$A:$A,trust!D:D,"NaN"))</f>
        <v>3.8461539999999999</v>
      </c>
      <c r="F18" s="2">
        <f>(_xlfn.XLOOKUP($A18,trust!$A:$A,trust!E:E,"NaN"))</f>
        <v>4.6153849999999998</v>
      </c>
      <c r="G18" s="2">
        <f>(_xlfn.XLOOKUP($A18,trust!$A:$A,trust!F:F,"NaN"))</f>
        <v>6</v>
      </c>
      <c r="H18" s="2">
        <f>(_xlfn.XLOOKUP($A18,trust!$A:$A,trust!G:G,"NaN"))</f>
        <v>5</v>
      </c>
      <c r="I18" s="3">
        <f>IF(_xlfn.XLOOKUP($B18,island_data!$B:$B,island_data!C:C,"NaN")="","NaN",_xlfn.XLOOKUP($B18,island_data!$B:$B,island_data!C:C,"NaN"))</f>
        <v>45106</v>
      </c>
      <c r="J18" s="3">
        <f>IF(_xlfn.XLOOKUP($B18,island_data!$B:$B,island_data!D:D,"NaN")="","NaN",_xlfn.XLOOKUP($B18,island_data!$B:$B,island_data!D:D,"NaN"))</f>
        <v>32284</v>
      </c>
      <c r="K18" s="4">
        <f>IF(_xlfn.XLOOKUP($B18,island_data!$B:$B,island_data!E:E,"NaN")="","NaN",_xlfn.XLOOKUP($B18,island_data!$B:$B,island_data!E:E,"NaN"))</f>
        <v>35.11</v>
      </c>
      <c r="L18" s="5">
        <f>IF(_xlfn.XLOOKUP($B18,rf1_data!$B:$B,rf1_data!D:D,"NaN")="","NaN",(_xlfn.XLOOKUP($B18,rf1_data!$B:$B,rf1_data!D:D,"NaN")))</f>
        <v>34.869999999999997</v>
      </c>
      <c r="M18" s="5" t="str">
        <f>IF(_xlfn.XLOOKUP($B18,rf1_data!$B:$B,rf1_data!E:E,"NaN")="","NaN",(_xlfn.XLOOKUP($B18,rf1_data!$B:$B,rf1_data!E:E,"NaN")))</f>
        <v>White</v>
      </c>
      <c r="N18" s="5" t="str">
        <f>IF(_xlfn.XLOOKUP($B18,rf1_data!$B:$B,rf1_data!F:F,"NaN")="","NaN",(_xlfn.XLOOKUP($B18,rf1_data!$B:$B,rf1_data!F:F,"NaN")))</f>
        <v>Not Hispanic or Latino</v>
      </c>
      <c r="O18" s="5" t="str">
        <f>IF(_xlfn.XLOOKUP($B18,rf1_data!$B:$B,rf1_data!G:G,"NaN")="","NaN",(_xlfn.XLOOKUP($B18,rf1_data!$B:$B,rf1_data!G:G,"NaN")))</f>
        <v>Male</v>
      </c>
      <c r="P18" s="5">
        <f>IF(_xlfn.XLOOKUP($B18,rf1_data!$B:$B,rf1_data!H:H,"NaN")="","NaN",(_xlfn.XLOOKUP($B18,rf1_data!$B:$B,rf1_data!H:H,"NaN")))</f>
        <v>4.4400000000000004</v>
      </c>
      <c r="Q18" s="5">
        <f>IF(_xlfn.XLOOKUP($B18,rf1_data!$B:$B,rf1_data!I:I,"NaN")="","NaN",(_xlfn.XLOOKUP($B18,rf1_data!$B:$B,rf1_data!I:I,"NaN")))</f>
        <v>2.5</v>
      </c>
      <c r="R18" s="5">
        <f>IF(_xlfn.XLOOKUP($B18,rf1_data!$B:$B,rf1_data!J:J,"NaN")="","NaN",(_xlfn.XLOOKUP($B18,rf1_data!$B:$B,rf1_data!J:J,"NaN")))</f>
        <v>2</v>
      </c>
      <c r="S18" s="5">
        <f>IF(_xlfn.XLOOKUP($B18,rf1_data!$B:$B,rf1_data!K:K,"NaN")="","NaN",(_xlfn.XLOOKUP($B18,rf1_data!$B:$B,rf1_data!K:K,"NaN")))</f>
        <v>13</v>
      </c>
      <c r="T18" s="5">
        <f>IF(_xlfn.XLOOKUP($B18,rf1_data!$B:$B,rf1_data!L:L,"NaN")="","NaN",(_xlfn.XLOOKUP($B18,rf1_data!$B:$B,rf1_data!L:L,"NaN")))</f>
        <v>0</v>
      </c>
      <c r="U18" s="5">
        <f>IF(_xlfn.XLOOKUP($B18,rf1_data!$B:$B,rf1_data!M:M,"NaN")="","NaN",(_xlfn.XLOOKUP($B18,rf1_data!$B:$B,rf1_data!M:M,"NaN")))</f>
        <v>2.83</v>
      </c>
      <c r="V18" s="5">
        <f>IF(_xlfn.XLOOKUP($B18,rf1_data!$B:$B,rf1_data!N:N,"NaN")="","NaN",(_xlfn.XLOOKUP($B18,rf1_data!$B:$B,rf1_data!N:N,"NaN")))</f>
        <v>3</v>
      </c>
      <c r="W18" s="5">
        <f>IF(_xlfn.XLOOKUP($B18,rf1_data!$B:$B,rf1_data!O:O,"NaN")="","NaN",(_xlfn.XLOOKUP($B18,rf1_data!$B:$B,rf1_data!O:O,"NaN")))</f>
        <v>3.75</v>
      </c>
      <c r="X18" s="5">
        <f>IF(_xlfn.XLOOKUP($B18,rf1_data!$B:$B,rf1_data!P:P,"NaN")="","NaN",(_xlfn.XLOOKUP($B18,rf1_data!$B:$B,rf1_data!P:P,"NaN")))</f>
        <v>3.83</v>
      </c>
      <c r="Y18" s="5">
        <f>IF(_xlfn.XLOOKUP($B18,rf1_data!$B:$B,rf1_data!Q:Q,"NaN")="","NaN",(_xlfn.XLOOKUP($B18,rf1_data!$B:$B,rf1_data!Q:Q,"NaN")))</f>
        <v>3.23</v>
      </c>
      <c r="Z18" s="5">
        <f>IF(_xlfn.XLOOKUP($B18,rf1_data!$B:$B,rf1_data!R:R,"NaN")="","NaN",(_xlfn.XLOOKUP($B18,rf1_data!$B:$B,rf1_data!R:R,"NaN")))</f>
        <v>45</v>
      </c>
      <c r="AA18" s="5">
        <f>IF(_xlfn.XLOOKUP($B18,rf1_data!$B:$B,rf1_data!S:S,"NaN")="","NaN",(_xlfn.XLOOKUP($B18,rf1_data!$B:$B,rf1_data!S:S,"NaN")))</f>
        <v>10</v>
      </c>
      <c r="AB18" s="5">
        <f>IF(_xlfn.XLOOKUP($B18,rf1_data!$B:$B,rf1_data!T:T,"NaN")="","NaN",(_xlfn.XLOOKUP($B18,rf1_data!$B:$B,rf1_data!T:T,"NaN")))</f>
        <v>21</v>
      </c>
      <c r="AC18" s="5">
        <f>IF(_xlfn.XLOOKUP($B18,rf1_data!$B:$B,rf1_data!U:U,"NaN")="","NaN",(_xlfn.XLOOKUP($B18,rf1_data!$B:$B,rf1_data!U:U,"NaN")))</f>
        <v>4</v>
      </c>
      <c r="AD18" s="5">
        <f>IF(_xlfn.XLOOKUP($B18,rf1_data!$B:$B,rf1_data!V:V,"NaN")="","NaN",(_xlfn.XLOOKUP($B18,rf1_data!$B:$B,rf1_data!V:V,"NaN")))</f>
        <v>10</v>
      </c>
      <c r="AE18" s="5">
        <f>IF(_xlfn.XLOOKUP($B18,rf1_data!$B:$B,rf1_data!W:W,"NaN")="","NaN",(_xlfn.XLOOKUP($B18,rf1_data!$B:$B,rf1_data!W:W,"NaN")))</f>
        <v>4</v>
      </c>
      <c r="AF18" s="5">
        <f>IF(_xlfn.XLOOKUP($B18,rf1_data!$B:$B,rf1_data!X:X,"NaN")="","NaN",(_xlfn.XLOOKUP($B18,rf1_data!$B:$B,rf1_data!X:X,"NaN")))</f>
        <v>8</v>
      </c>
      <c r="AG18" s="5">
        <f>IF(_xlfn.XLOOKUP($B18,rf1_data!$B:$B,rf1_data!Y:Y,"NaN")="","NaN",(_xlfn.XLOOKUP($B18,rf1_data!$B:$B,rf1_data!Y:Y,"NaN")))</f>
        <v>6</v>
      </c>
      <c r="AH18" s="5">
        <f>IF(_xlfn.XLOOKUP($B18,rf1_data!$B:$B,rf1_data!Z:Z,"NaN")="","NaN",(_xlfn.XLOOKUP($B18,rf1_data!$B:$B,rf1_data!Z:Z,"NaN")))</f>
        <v>6</v>
      </c>
      <c r="AI18" s="5">
        <f>IF(_xlfn.XLOOKUP($B18,rf1_data!$B:$B,rf1_data!AA:AA,"NaN")="","NaN",(_xlfn.XLOOKUP($B18,rf1_data!$B:$B,rf1_data!AA:AA,"NaN")))</f>
        <v>6</v>
      </c>
      <c r="AJ18" s="5">
        <f>IF(_xlfn.XLOOKUP($B18,rf1_data!$B:$B,rf1_data!AB:AB,"NaN")="","NaN",(_xlfn.XLOOKUP($B18,rf1_data!$B:$B,rf1_data!AB:AB,"NaN")))</f>
        <v>30</v>
      </c>
      <c r="AK18" s="5">
        <f>IF(_xlfn.XLOOKUP($B18,rf1_data!$B:$B,rf1_data!AC:AC,"NaN")="","NaN",(_xlfn.XLOOKUP($B18,rf1_data!$B:$B,rf1_data!AC:AC,"NaN")))</f>
        <v>26</v>
      </c>
      <c r="AL18" s="5">
        <f>IF(_xlfn.XLOOKUP($B18,rf1_data!$B:$B,rf1_data!AD:AD,"NaN")="","NaN",(_xlfn.XLOOKUP($B18,rf1_data!$B:$B,rf1_data!AD:AD,"NaN")))</f>
        <v>17</v>
      </c>
      <c r="AM18" s="5">
        <f>IF(_xlfn.XLOOKUP($B18,rf1_data!$B:$B,rf1_data!AE:AE,"NaN")="","NaN",(_xlfn.XLOOKUP($B18,rf1_data!$B:$B,rf1_data!AE:AE,"NaN")))</f>
        <v>0</v>
      </c>
      <c r="AN18" s="5">
        <f>IF(_xlfn.XLOOKUP($B18,rf1_data!$B:$B,rf1_data!AF:AF,"NaN")="","NaN",(_xlfn.XLOOKUP($B18,rf1_data!$B:$B,rf1_data!AF:AF,"NaN")))</f>
        <v>0</v>
      </c>
      <c r="AO18" s="5" t="str">
        <f>IF(_xlfn.XLOOKUP($B18,rf1_data!$B:$B,rf1_data!AG:AG,"NaN")="","NaN",(_xlfn.XLOOKUP($B18,rf1_data!$B:$B,rf1_data!AG:AG,"NaN")))</f>
        <v>NaN</v>
      </c>
      <c r="AP18" s="5" t="str">
        <f>IF(_xlfn.XLOOKUP($B18,rf1_data!$B:$B,rf1_data!AH:AH,"NaN")="","NaN",(_xlfn.XLOOKUP($B18,rf1_data!$B:$B,rf1_data!AH:AH,"NaN")))</f>
        <v>NaN</v>
      </c>
      <c r="AQ18" s="5" t="str">
        <f>IF(_xlfn.XLOOKUP($B18,rf1_data!$B:$B,rf1_data!AI:AI,"NaN")="","NaN",(_xlfn.XLOOKUP($B18,rf1_data!$B:$B,rf1_data!AI:AI,"NaN")))</f>
        <v>NaN</v>
      </c>
      <c r="AR18" s="5" t="str">
        <f>IF(_xlfn.XLOOKUP($B18,rf1_data!$B:$B,rf1_data!AJ:AJ,"NaN")="","NaN",(_xlfn.XLOOKUP($B18,rf1_data!$B:$B,rf1_data!AJ:AJ,"NaN")))</f>
        <v>NaN</v>
      </c>
      <c r="AS18" s="5">
        <f>IF(_xlfn.XLOOKUP($B18,rf1_data!$B:$B,rf1_data!AK:AK,"NaN")="","NaN",(_xlfn.XLOOKUP($B18,rf1_data!$B:$B,rf1_data!AK:AK,"NaN")))</f>
        <v>3.9</v>
      </c>
      <c r="AT18" s="5">
        <f>IF(_xlfn.XLOOKUP($B18,rf1_data!$B:$B,rf1_data!AL:AL,"NaN")="","NaN",(_xlfn.XLOOKUP($B18,rf1_data!$B:$B,rf1_data!AL:AL,"NaN")))</f>
        <v>18</v>
      </c>
      <c r="AU18" s="5">
        <f>IF(_xlfn.XLOOKUP($B18,rf1_data!$B:$B,rf1_data!AM:AM,"NaN")="","NaN",(_xlfn.XLOOKUP($B18,rf1_data!$B:$B,rf1_data!AM:AM,"NaN")))</f>
        <v>4.58</v>
      </c>
      <c r="AV18" s="5">
        <f>IF(_xlfn.XLOOKUP($B18,rf1_data!$B:$B,rf1_data!AN:AN,"NaN")="","NaN",(_xlfn.XLOOKUP($B18,rf1_data!$B:$B,rf1_data!AN:AN,"NaN")))</f>
        <v>2</v>
      </c>
      <c r="AW18" s="5" t="str">
        <f>IF(_xlfn.XLOOKUP($B18,rf1_data!$B:$B,rf1_data!AO:AO,"NaN")="","NaN",(_xlfn.XLOOKUP($B18,rf1_data!$B:$B,rf1_data!AO:AO,"NaN")))</f>
        <v>NaN</v>
      </c>
      <c r="AX18" s="5">
        <f>IF(_xlfn.XLOOKUP($B18,rf1_data!$B:$B,rf1_data!AP:AP,"NaN")="","NaN",(_xlfn.XLOOKUP($B18,rf1_data!$B:$B,rf1_data!AP:AP,"NaN")))</f>
        <v>4.46</v>
      </c>
      <c r="AY18" s="5">
        <f>IF(_xlfn.XLOOKUP($B18,rf1_data!$B:$B,rf1_data!AQ:AQ,"NaN")="","NaN",(_xlfn.XLOOKUP($B18,rf1_data!$B:$B,rf1_data!AQ:AQ,"NaN")))</f>
        <v>44</v>
      </c>
      <c r="AZ18" s="5" t="str">
        <f>IF(_xlfn.XLOOKUP($B18,rf1_data!$B:$B,rf1_data!AR:AR,"NaN")="","NaN",(_xlfn.XLOOKUP($B18,rf1_data!$B:$B,rf1_data!AR:AR,"NaN")))</f>
        <v>NaN</v>
      </c>
      <c r="BA18" s="5" t="str">
        <f>IF(_xlfn.XLOOKUP($B18,rf1_data!$B:$B,rf1_data!AS:AS,"NaN")="","NaN",(_xlfn.XLOOKUP($B18,rf1_data!$B:$B,rf1_data!AS:AS,"NaN")))</f>
        <v>NaN</v>
      </c>
      <c r="BB18" s="5" t="str">
        <f>IF(_xlfn.XLOOKUP($B18,rf1_data!$B:$B,rf1_data!AT:AT,"NaN")="","NaN",(_xlfn.XLOOKUP($B18,rf1_data!$B:$B,rf1_data!AT:AT,"NaN")))</f>
        <v>NaN</v>
      </c>
      <c r="BC18" s="5" t="str">
        <f>IF(_xlfn.XLOOKUP($B18,rf1_data!$B:$B,rf1_data!AU:AU,"NaN")="","NaN",(_xlfn.XLOOKUP($B18,rf1_data!$B:$B,rf1_data!AU:AU,"NaN")))</f>
        <v>NaN</v>
      </c>
      <c r="BD18" s="5" t="str">
        <f>IF(_xlfn.XLOOKUP($B18,rf1_data!$B:$B,rf1_data!AV:AV,"NaN")="","NaN",(_xlfn.XLOOKUP($B18,rf1_data!$B:$B,rf1_data!AV:AV,"NaN")))</f>
        <v>NaN</v>
      </c>
      <c r="BE18" s="5" t="str">
        <f>IF(_xlfn.XLOOKUP($B18,rf1_data!$B:$B,rf1_data!AW:AW,"NaN")="","NaN",(_xlfn.XLOOKUP($B18,rf1_data!$B:$B,rf1_data!AW:AW,"NaN")))</f>
        <v>NaN</v>
      </c>
      <c r="BF18" s="5" t="str">
        <f>IF(_xlfn.XLOOKUP($B18,rf1_data!$B:$B,rf1_data!AX:AX,"NaN")="","NaN",(_xlfn.XLOOKUP($B18,rf1_data!$B:$B,rf1_data!AX:AX,"NaN")))</f>
        <v>NaN</v>
      </c>
      <c r="BG18" s="5" t="str">
        <f>IF(_xlfn.XLOOKUP($B18,rf1_data!$B:$B,rf1_data!AY:AY,"NaN")="","NaN",(_xlfn.XLOOKUP($B18,rf1_data!$B:$B,rf1_data!AY:AY,"NaN")))</f>
        <v>NaN</v>
      </c>
      <c r="BH18" s="5" t="str">
        <f>IF(_xlfn.XLOOKUP($B18,rf1_data!$B:$B,rf1_data!AZ:AZ,"NaN")="","NaN",(_xlfn.XLOOKUP($B18,rf1_data!$B:$B,rf1_data!AZ:AZ,"NaN")))</f>
        <v>NaN</v>
      </c>
      <c r="BI18" s="5">
        <f>IF(_xlfn.XLOOKUP($B18,rf1_data!$B:$B,rf1_data!BA:BA,"NaN")="","NaN",(_xlfn.XLOOKUP($B18,rf1_data!$B:$B,rf1_data!BA:BA,"NaN")))</f>
        <v>20</v>
      </c>
      <c r="BJ18" s="5" t="str">
        <f>IF(_xlfn.XLOOKUP($B18,rf1_data!$B:$B,rf1_data!BB:BB,"NaN")="","NaN",(_xlfn.XLOOKUP($B18,rf1_data!$B:$B,rf1_data!BB:BB,"NaN")))</f>
        <v>NaN</v>
      </c>
      <c r="BK18" s="5" t="str">
        <f>IF(_xlfn.XLOOKUP($B18,rf1_data!$B:$B,rf1_data!BC:BC,"NaN")="","NaN",(_xlfn.XLOOKUP($B18,rf1_data!$B:$B,rf1_data!BC:BC,"NaN")))</f>
        <v>NaN</v>
      </c>
      <c r="BL18" s="5" t="str">
        <f>IF(_xlfn.XLOOKUP($B18,rf1_data!$B:$B,rf1_data!BD:BD,"NaN")="","NaN",(_xlfn.XLOOKUP($B18,rf1_data!$B:$B,rf1_data!BD:BD,"NaN")))</f>
        <v>NaN</v>
      </c>
      <c r="BM18" s="5" t="str">
        <f>IF(_xlfn.XLOOKUP($B18,rf1_data!$B:$B,rf1_data!BE:BE,"NaN")="","NaN",(_xlfn.XLOOKUP($B18,rf1_data!$B:$B,rf1_data!BE:BE,"NaN")))</f>
        <v>NaN</v>
      </c>
      <c r="BN18" s="5" t="str">
        <f>IF(_xlfn.XLOOKUP($B18,rf1_data!$B:$B,rf1_data!BF:BF,"NaN")="","NaN",(_xlfn.XLOOKUP($B18,rf1_data!$B:$B,rf1_data!BF:BF,"NaN")))</f>
        <v>NaN</v>
      </c>
      <c r="BO18" s="5" t="str">
        <f>IF(_xlfn.XLOOKUP($B18,rf1_data!$B:$B,rf1_data!BG:BG,"NaN")="","NaN",(_xlfn.XLOOKUP($B18,rf1_data!$B:$B,rf1_data!BG:BG,"NaN")))</f>
        <v>NaN</v>
      </c>
      <c r="BP18" s="5" t="str">
        <f>IF(_xlfn.XLOOKUP($B18,rf1_data!$B:$B,rf1_data!BH:BH,"NaN")="","NaN",(_xlfn.XLOOKUP($B18,rf1_data!$B:$B,rf1_data!BH:BH,"NaN")))</f>
        <v>NaN</v>
      </c>
      <c r="BQ18" s="5" t="str">
        <f>IF(_xlfn.XLOOKUP($B18,rf1_data!$B:$B,rf1_data!BI:BI,"NaN")="","NaN",(_xlfn.XLOOKUP($B18,rf1_data!$B:$B,rf1_data!BI:BI,"NaN")))</f>
        <v>NaN</v>
      </c>
      <c r="BR18" s="5">
        <f>IF(_xlfn.XLOOKUP($B18,rf1_data!$B:$B,rf1_data!BJ:BJ,"NaN")="","NaN",(_xlfn.XLOOKUP($B18,rf1_data!$B:$B,rf1_data!BJ:BJ,"NaN")))</f>
        <v>8991</v>
      </c>
      <c r="BS18" s="5" t="str">
        <f>IF(_xlfn.XLOOKUP($B18,rf1_data!$B:$B,rf1_data!BK:BK,"NaN")="","NaN",(_xlfn.XLOOKUP($B18,rf1_data!$B:$B,rf1_data!BK:BK,"NaN")))</f>
        <v>NaN</v>
      </c>
      <c r="BT18" s="5" t="str">
        <f>IF(_xlfn.XLOOKUP($B18,rf1_data!$B:$B,rf1_data!BL:BL,"NaN")="","NaN",(_xlfn.XLOOKUP($B18,rf1_data!$B:$B,rf1_data!BL:BL,"NaN")))</f>
        <v>NaN</v>
      </c>
      <c r="BU18" s="5" t="str">
        <f>IF(_xlfn.XLOOKUP($B18,rf1_data!$B:$B,rf1_data!BM:BM,"NaN")="","NaN",(_xlfn.XLOOKUP($B18,rf1_data!$B:$B,rf1_data!BM:BM,"NaN")))</f>
        <v>NaN</v>
      </c>
      <c r="BV18" s="5" t="str">
        <f>IF(_xlfn.XLOOKUP($B18,rf1_data!$B:$B,rf1_data!BN:BN,"NaN")="","NaN",(_xlfn.XLOOKUP($B18,rf1_data!$B:$B,rf1_data!BN:BN,"NaN")))</f>
        <v>NaN</v>
      </c>
      <c r="BW18" s="5">
        <f>IF(_xlfn.XLOOKUP($B18,rf1_data!$B:$B,rf1_data!BO:BO,"NaN")="","NaN",(_xlfn.XLOOKUP($B18,rf1_data!$B:$B,rf1_data!BO:BO,"NaN")))</f>
        <v>2.2000000000000002</v>
      </c>
      <c r="BX18" s="5">
        <f>IF(_xlfn.XLOOKUP($B18,rf1_data!$B:$B,rf1_data!BP:BP,"NaN")="","NaN",(_xlfn.XLOOKUP($B18,rf1_data!$B:$B,rf1_data!BP:BP,"NaN")))</f>
        <v>2.9</v>
      </c>
      <c r="BY18" s="5">
        <f>IF(_xlfn.XLOOKUP($B18,rf1_data!$B:$B,rf1_data!BQ:BQ,"NaN")="","NaN",(_xlfn.XLOOKUP($B18,rf1_data!$B:$B,rf1_data!BQ:BQ,"NaN")))</f>
        <v>3.4</v>
      </c>
      <c r="BZ18" s="5">
        <f>IF(_xlfn.XLOOKUP($B18,rf1_data!$B:$B,rf1_data!BR:BR,"NaN")="","NaN",(_xlfn.XLOOKUP($B18,rf1_data!$B:$B,rf1_data!BR:BR,"NaN")))</f>
        <v>2.83</v>
      </c>
      <c r="CA18" s="5">
        <f>IF(_xlfn.XLOOKUP($B18,rf1_data!$B:$B,rf1_data!BS:BS,"NaN")="","NaN",(_xlfn.XLOOKUP($B18,rf1_data!$B:$B,rf1_data!BS:BS,"NaN")))</f>
        <v>1.6666666666666601</v>
      </c>
      <c r="CB18" s="5">
        <f>IF(_xlfn.XLOOKUP($B18,rf1_data!$B:$B,rf1_data!BT:BT,"NaN")="","NaN",(_xlfn.XLOOKUP($B18,rf1_data!$B:$B,rf1_data!BT:BT,"NaN")))</f>
        <v>2.6666666666666599</v>
      </c>
      <c r="CC18" s="5">
        <f>IF(_xlfn.XLOOKUP($B18,rf1_data!$B:$B,rf1_data!BU:BU,"NaN")="","NaN",(_xlfn.XLOOKUP($B18,rf1_data!$B:$B,rf1_data!BU:BU,"NaN")))</f>
        <v>3.3333333333333299</v>
      </c>
      <c r="CD18" s="5">
        <f>IF(_xlfn.XLOOKUP($B18,rf1_data!$B:$B,rf1_data!BV:BV,"NaN")="","NaN",(_xlfn.XLOOKUP($B18,rf1_data!$B:$B,rf1_data!BV:BV,"NaN")))</f>
        <v>3.8333333333333299</v>
      </c>
      <c r="CE18" s="5">
        <f>IF(_xlfn.XLOOKUP($B18,rf1_data!$B:$B,rf1_data!BW:BW,"NaN")="","NaN",(_xlfn.XLOOKUP($B18,rf1_data!$B:$B,rf1_data!BW:BW,"NaN")))</f>
        <v>1.7</v>
      </c>
      <c r="CF18" s="5">
        <f>IF(_xlfn.XLOOKUP($B18,rf1_data!$B:$B,rf1_data!BX:BX,"NaN")="","NaN",(_xlfn.XLOOKUP($B18,rf1_data!$B:$B,rf1_data!BX:BX,"NaN")))</f>
        <v>0</v>
      </c>
      <c r="CG18" s="5">
        <f>IF(_xlfn.XLOOKUP($B18,rf1_data!$B:$B,rf1_data!BY:BY,"NaN")="","NaN",(_xlfn.XLOOKUP($B18,rf1_data!$B:$B,rf1_data!BY:BY,"NaN")))</f>
        <v>0</v>
      </c>
      <c r="CH18" s="5">
        <f>IF(_xlfn.XLOOKUP($B18,rf1_data!$B:$B,rf1_data!BZ:BZ,"NaN")="","NaN",(_xlfn.XLOOKUP($B18,rf1_data!$B:$B,rf1_data!BZ:BZ,"NaN")))</f>
        <v>20</v>
      </c>
      <c r="CI18" s="5">
        <f>IF(_xlfn.XLOOKUP($B18,rf1_data!$B:$B,rf1_data!CA:CA,"NaN")="","NaN",(_xlfn.XLOOKUP($B18,rf1_data!$B:$B,rf1_data!CA:CA,"NaN")))</f>
        <v>27</v>
      </c>
      <c r="CJ18" s="5">
        <f>IF(_xlfn.XLOOKUP($B18,rf1_data!$B:$B,rf1_data!CB:CB,"NaN")="","NaN",(_xlfn.XLOOKUP($B18,rf1_data!$B:$B,rf1_data!CB:CB,"NaN")))</f>
        <v>6</v>
      </c>
      <c r="CK18" s="5">
        <f>IF(_xlfn.XLOOKUP($B18,rf1_data!$B:$B,rf1_data!CC:CC,"NaN")="","NaN",(_xlfn.XLOOKUP($B18,rf1_data!$B:$B,rf1_data!CC:CC,"NaN")))</f>
        <v>0.66666666666666596</v>
      </c>
      <c r="CL18" s="5">
        <f>IF(_xlfn.XLOOKUP($B18,rf1_data!$B:$B,rf1_data!CD:CD,"NaN")=0,"NaN",(_xlfn.XLOOKUP($B18,rf1_data!$B:$B,rf1_data!CD:CD,"NaN")))</f>
        <v>25</v>
      </c>
      <c r="CM18" s="5">
        <f>IF(_xlfn.XLOOKUP($B18,rf1_data!$B:$B,rf1_data!CE:CE,"NaN")="","NaN",(_xlfn.XLOOKUP($B18,rf1_data!$B:$B,rf1_data!CE:CE,"NaN")))</f>
        <v>41</v>
      </c>
      <c r="CN18" s="5">
        <f>IF(_xlfn.XLOOKUP($B18,rf1_data!$B:$B,rf1_data!CF:CF,"NaN")="","NaN",(_xlfn.XLOOKUP($B18,rf1_data!$B:$B,rf1_data!CF:CF,"NaN")))</f>
        <v>56</v>
      </c>
      <c r="CO18" s="5">
        <f>IF(_xlfn.XLOOKUP($B18,rf1_data!$B:$B,rf1_data!CG:CG,"NaN")="","NaN",(_xlfn.XLOOKUP($B18,rf1_data!$B:$B,rf1_data!CG:CG,"NaN")))</f>
        <v>23</v>
      </c>
      <c r="CP18" s="5">
        <f>IF(_xlfn.XLOOKUP($B18,rf1_data!$B:$B,rf1_data!CH:CH,"NaN")=0,"NaN",(_xlfn.XLOOKUP($B18,rf1_data!$B:$B,rf1_data!CH:CH,"NaN")))</f>
        <v>34</v>
      </c>
      <c r="CQ18" s="5">
        <f>IF(_xlfn.XLOOKUP($B18,rf1_data!$B:$B,rf1_data!CI:CI,"NaN")="","NaN",(_xlfn.XLOOKUP($B18,rf1_data!$B:$B,rf1_data!CI:CI,"NaN")))</f>
        <v>48</v>
      </c>
      <c r="CR18" s="5">
        <f>IF(_xlfn.XLOOKUP($B18,rf1_data!$B:$B,rf1_data!CJ:CJ,"NaN")="","NaN",(_xlfn.XLOOKUP($B18,rf1_data!$B:$B,rf1_data!CJ:CJ,"NaN")))</f>
        <v>58</v>
      </c>
      <c r="CS18" s="5">
        <f>IF(_xlfn.XLOOKUP($B18,rf1_data!$B:$B,rf1_data!CK:CK,"NaN")="","NaN",(_xlfn.XLOOKUP($B18,rf1_data!$B:$B,rf1_data!CK:CK,"NaN")))</f>
        <v>42</v>
      </c>
      <c r="CT18" s="5">
        <f>IF(_xlfn.XLOOKUP($B18,rf1_data!$B:$B,rf1_data!CL:CL,"NaN")="","NaN",(_xlfn.XLOOKUP($B18,rf1_data!$B:$B,rf1_data!CL:CL,"NaN")))</f>
        <v>60</v>
      </c>
      <c r="CU18" s="5">
        <f>IF(_xlfn.XLOOKUP($B18,rf1_data!$B:$B,rf1_data!CM:CM,"NaN")="","NaN",(_xlfn.XLOOKUP($B18,rf1_data!$B:$B,rf1_data!CM:CM,"NaN")))</f>
        <v>29</v>
      </c>
      <c r="CV18" s="5">
        <f>IF(_xlfn.XLOOKUP($B18,rf1_data!$B:$B,rf1_data!CN:CN,"NaN")="","NaN",(_xlfn.XLOOKUP($B18,rf1_data!$B:$B,rf1_data!CN:CN,"NaN")))</f>
        <v>60</v>
      </c>
      <c r="CW18" s="5" t="str">
        <f>IF(_xlfn.XLOOKUP($B18,rf1_data!$B:$B,rf1_data!CO:CO,"NaN")="","NaN",(_xlfn.XLOOKUP($B18,rf1_data!$B:$B,rf1_data!CO:CO,"NaN")))</f>
        <v>NaN</v>
      </c>
      <c r="CX18" s="5" t="str">
        <f>IF(_xlfn.XLOOKUP($B18,rf1_data!$B:$B,rf1_data!CP:CP,"NaN")="","NaN",(_xlfn.XLOOKUP($B18,rf1_data!$B:$B,rf1_data!CP:CP,"NaN")))</f>
        <v>NaN</v>
      </c>
      <c r="CY18" s="5">
        <f>IF(_xlfn.XLOOKUP($B18,rf1_data!$B:$B,rf1_data!CQ:CQ,"NaN")="","NaN",(_xlfn.XLOOKUP($B18,rf1_data!$B:$B,rf1_data!CQ:CQ,"NaN")))</f>
        <v>5</v>
      </c>
      <c r="CZ18" s="5">
        <f>IF(_xlfn.XLOOKUP($B18,rf1_data!$B:$B,rf1_data!CR:CR,"NaN")="","NaN",(_xlfn.XLOOKUP($B18,rf1_data!$B:$B,rf1_data!CR:CR,"NaN")))</f>
        <v>1</v>
      </c>
      <c r="DA18" s="5">
        <f>IF(_xlfn.XLOOKUP($B18,rf1_data!$B:$B,rf1_data!CS:CS,"NaN")="","NaN",(_xlfn.XLOOKUP($B18,rf1_data!$B:$B,rf1_data!CS:CS,"NaN")))</f>
        <v>3</v>
      </c>
      <c r="DB18" s="4">
        <f>IF(_xlfn.XLOOKUP($B18,island_data!$B:$B,island_data!H:H,"NaN")="","NaN",_xlfn.XLOOKUP($B18,island_data!$B:$B,island_data!H:H,"NaN"))</f>
        <v>8</v>
      </c>
      <c r="DC18" s="4">
        <f>IF(_xlfn.XLOOKUP($B18,island_data!$B:$B,island_data!I:I,"NaN")="","NaN",_xlfn.XLOOKUP($B18,island_data!$B:$B,island_data!I:I,"NaN"))</f>
        <v>5</v>
      </c>
      <c r="DD18" s="4">
        <f>IF(_xlfn.XLOOKUP($B18,island_data!$B:$B,island_data!J:J,"NaN")="","NaN",_xlfn.XLOOKUP($B18,island_data!$B:$B,island_data!J:J,"NaN"))</f>
        <v>4</v>
      </c>
      <c r="DE18" s="4">
        <f>IF(_xlfn.XLOOKUP($B18,island_data!$B:$B,island_data!K:K,"NaN")="","NaN",_xlfn.XLOOKUP($B18,island_data!$B:$B,island_data!K:K,"NaN"))</f>
        <v>6</v>
      </c>
      <c r="DF18" s="4">
        <f>IF(_xlfn.XLOOKUP($B18,island_data!$B:$B,island_data!L:L,"NaN")="","NaN",_xlfn.XLOOKUP($B18,island_data!$B:$B,island_data!L:L,"NaN"))</f>
        <v>26</v>
      </c>
      <c r="DG18" s="4">
        <f>IF(_xlfn.XLOOKUP($B18,island_data!$B:$B,island_data!M:M,"NaN")="","NaN",_xlfn.XLOOKUP($B18,island_data!$B:$B,island_data!M:M,"NaN"))</f>
        <v>2.5</v>
      </c>
      <c r="DH18" s="4">
        <f>IF(_xlfn.XLOOKUP($B18,island_data!$B:$B,island_data!N:N,"NaN")="","NaN",_xlfn.XLOOKUP($B18,island_data!$B:$B,island_data!N:N,"NaN"))</f>
        <v>12</v>
      </c>
      <c r="DI18" s="4" t="str">
        <f>IF(_xlfn.XLOOKUP($B18,island_data!$B:$B,island_data!O:O,"NaN")=999,"NaN",_xlfn.XLOOKUP($B18,island_data!$B:$B,island_data!O:O,"NaN"))</f>
        <v>NaN</v>
      </c>
      <c r="DJ18" s="4">
        <f>IF(_xlfn.XLOOKUP($B18,island_data!$B:$B,island_data!P:P,"NaN")="","NaN",_xlfn.XLOOKUP($B18,island_data!$B:$B,island_data!P:P,"NaN"))</f>
        <v>7</v>
      </c>
      <c r="DK18" s="4">
        <f>IF(_xlfn.XLOOKUP($B18,island_data!$B:$B,island_data!Q:Q,"NaN")="","NaN",_xlfn.XLOOKUP($B18,island_data!$B:$B,island_data!Q:Q,"NaN"))</f>
        <v>0</v>
      </c>
      <c r="DL18" s="4" t="str">
        <f>IF(_xlfn.XLOOKUP($B18,island_data!$B:$B,island_data!R:R,"NaN")=999,"NaN",_xlfn.XLOOKUP($B18,island_data!$B:$B,island_data!R:R,"NaN"))</f>
        <v>NaN</v>
      </c>
      <c r="DM18" s="4">
        <f>IF(_xlfn.XLOOKUP($B18,island_data!$B:$B,island_data!S:S,"NaN")="","NaN",_xlfn.XLOOKUP($B18,island_data!$B:$B,island_data!S:S,"NaN"))</f>
        <v>12</v>
      </c>
      <c r="DN18" s="4">
        <f>IF(_xlfn.XLOOKUP($B18,island_data!$B:$B,island_data!T:T,"NaN")="","NaN",_xlfn.XLOOKUP($B18,island_data!$B:$B,island_data!T:T,"NaN"))</f>
        <v>3.5833333333333299</v>
      </c>
      <c r="DO18" s="4">
        <f>IF(_xlfn.XLOOKUP($B18,island_data!$B:$B,island_data!U:U,"NaN")="","NaN",_xlfn.XLOOKUP($B18,island_data!$B:$B,island_data!U:U,"NaN"))</f>
        <v>5</v>
      </c>
      <c r="DP18" s="4">
        <f>IF(_xlfn.XLOOKUP($B18,island_data!$B:$B,island_data!V:V,"NaN")="","NaN",_xlfn.XLOOKUP($B18,island_data!$B:$B,island_data!V:V,"NaN"))</f>
        <v>0</v>
      </c>
      <c r="DQ18" s="4">
        <f>IF(_xlfn.XLOOKUP($B18,island_data!$B:$B,island_data!W:W,"NaN")="","NaN",_xlfn.XLOOKUP($B18,island_data!$B:$B,island_data!W:W,"NaN"))</f>
        <v>3</v>
      </c>
      <c r="DR18" s="4">
        <f>IF(_xlfn.XLOOKUP($B18,island_data!$B:$B,island_data!X:X,"NaN")="","NaN",_xlfn.XLOOKUP($B18,island_data!$B:$B,island_data!X:X,"NaN"))</f>
        <v>5</v>
      </c>
      <c r="DS18" s="4" t="str">
        <f>IF(_xlfn.XLOOKUP($B18,island_data!$B:$B,island_data!Y:Y,"NaN")="","NaN",_xlfn.XLOOKUP($B18,island_data!$B:$B,island_data!Y:Y,"NaN"))</f>
        <v>NaN</v>
      </c>
      <c r="DT18" s="4" t="str">
        <f>IF(_xlfn.XLOOKUP($B18,island_data!$B:$B,island_data!Z:Z,"NaN")="","NaN",_xlfn.XLOOKUP($B18,island_data!$B:$B,island_data!Z:Z,"NaN"))</f>
        <v>NaN</v>
      </c>
      <c r="DU18" s="4" t="str">
        <f>IF(_xlfn.XLOOKUP($B18,island_data!$B:$B,island_data!AA:AA,"NaN")="","NaN",_xlfn.XLOOKUP($B18,island_data!$B:$B,island_data!AA:AA,"NaN"))</f>
        <v>NaN</v>
      </c>
      <c r="DV18" s="4" t="str">
        <f>IF(_xlfn.XLOOKUP($B18,island_data!$B:$B,island_data!AB:AB,"NaN")="","NaN",_xlfn.XLOOKUP($B18,island_data!$B:$B,island_data!AB:AB,"NaN"))</f>
        <v>NaN</v>
      </c>
      <c r="DW18" s="4">
        <f>IF(_xlfn.XLOOKUP($B18,island_data!$B:$B,island_data!AC:AC,"NaN")="","NaN",_xlfn.XLOOKUP($B18,island_data!$B:$B,island_data!AC:AC,"NaN"))</f>
        <v>19468</v>
      </c>
      <c r="DX18" s="4">
        <f>IF(_xlfn.XLOOKUP($B18,island_data!$B:$B,island_data!AD:AD,"NaN")="","NaN",_xlfn.XLOOKUP($B18,island_data!$B:$B,island_data!AD:AD,"NaN"))</f>
        <v>3</v>
      </c>
      <c r="DY18" s="4">
        <f>IF(_xlfn.XLOOKUP($B18,island_data!$B:$B,island_data!AE:AE,"NaN")="","NaN",_xlfn.XLOOKUP($B18,island_data!$B:$B,island_data!AE:AE,"NaN"))</f>
        <v>0</v>
      </c>
      <c r="DZ18" s="4" t="str">
        <f>IF(_xlfn.XLOOKUP($B18,island_data!$B:$B,island_data!AF:AF,"NaN")="","NaN",_xlfn.XLOOKUP($B18,island_data!$B:$B,island_data!AF:AF,"NaN"))</f>
        <v>NaN</v>
      </c>
      <c r="EA18" s="4" t="str">
        <f>IF(_xlfn.XLOOKUP($B18,island_data!$B:$B,island_data!AG:AG,"NaN")="","NaN",_xlfn.XLOOKUP($B18,island_data!$B:$B,island_data!AG:AG,"NaN"))</f>
        <v>NaN</v>
      </c>
      <c r="EB18" s="4" t="str">
        <f>IF(_xlfn.XLOOKUP($B18,island_data!$B:$B,island_data!AH:AH,"NaN")="","NaN",_xlfn.XLOOKUP($B18,island_data!$B:$B,island_data!AH:AH,"NaN"))</f>
        <v>NaN</v>
      </c>
      <c r="EC18" s="4" t="str">
        <f>IF(_xlfn.XLOOKUP($B18,island_data!$B:$B,island_data!AI:AI,"NaN")="","NaN",_xlfn.XLOOKUP($B18,island_data!$B:$B,island_data!AI:AI,"NaN"))</f>
        <v>NaN</v>
      </c>
      <c r="ED18" s="4" t="str">
        <f>IF(_xlfn.XLOOKUP($B18,island_data!$B:$B,island_data!AJ:AJ,"NaN")="","NaN",_xlfn.XLOOKUP($B18,island_data!$B:$B,island_data!AJ:AJ,"NaN"))</f>
        <v>NaN</v>
      </c>
      <c r="EE18" s="4" t="str">
        <f>IF(_xlfn.XLOOKUP($B18,island_data!$B:$B,island_data!AK:AK,"NaN")="","NaN",_xlfn.XLOOKUP($B18,island_data!$B:$B,island_data!AK:AK,"NaN"))</f>
        <v>NaN</v>
      </c>
      <c r="EF18" s="4" t="str">
        <f>IF(_xlfn.XLOOKUP($B18,island_data!$B:$B,island_data!AL:AL,"NaN")="","NaN",_xlfn.XLOOKUP($B18,island_data!$B:$B,island_data!AL:AL,"NaN"))</f>
        <v>NaN</v>
      </c>
      <c r="EG18" s="4" t="str">
        <f>IF(_xlfn.XLOOKUP($B18,island_data!$B:$B,island_data!AM:AM,"NaN")="","NaN",_xlfn.XLOOKUP($B18,island_data!$B:$B,island_data!AM:AM,"NaN"))</f>
        <v>NaN</v>
      </c>
      <c r="EH18" s="4" t="str">
        <f>IF(_xlfn.XLOOKUP($B18,island_data!$B:$B,island_data!AN:AN,"NaN")="","NaN",_xlfn.XLOOKUP($B18,island_data!$B:$B,island_data!AN:AN,"NaN"))</f>
        <v>NaN</v>
      </c>
      <c r="EI18" s="4" t="str">
        <f>IF(_xlfn.XLOOKUP($B18,island_data!$B:$B,island_data!AO:AO,"NaN")="","NaN",_xlfn.XLOOKUP($B18,island_data!$B:$B,island_data!AO:AO,"NaN"))</f>
        <v>NaN</v>
      </c>
      <c r="EJ18" s="8">
        <f>IF(_xlfn.XLOOKUP($A18,TabCAT!$A:$A,TabCAT!AU:AU,"NaN")="","NaN",(_xlfn.XLOOKUP($A18,TabCAT!$A:$A,TabCAT!AU:AU,"NaN")))</f>
        <v>164</v>
      </c>
      <c r="EK18" s="8" t="b">
        <f>IF(_xlfn.XLOOKUP($A18,TabCAT!$A:$A,TabCAT!AV:AV,"NaN")="","NaN",(_xlfn.XLOOKUP($A18,TabCAT!$A:$A,TabCAT!AV:AV,"NaN")))</f>
        <v>1</v>
      </c>
      <c r="EL18" s="8">
        <f>IF(_xlfn.XLOOKUP($A18,TabCAT!$A:$A,TabCAT!AW:AW,"NaN")="","NaN",(_xlfn.XLOOKUP($A18,TabCAT!$A:$A,TabCAT!AW:AW,"NaN")))</f>
        <v>6</v>
      </c>
      <c r="EM18" s="8">
        <f>IF(_xlfn.XLOOKUP($A18,TabCAT!$A:$A,TabCAT!AX:AX,"NaN")="","NaN",(_xlfn.XLOOKUP($A18,TabCAT!$A:$A,TabCAT!AX:AX,"NaN")))</f>
        <v>0</v>
      </c>
      <c r="EN18" s="8">
        <f>IF(_xlfn.XLOOKUP($A18,TabCAT!$A:$A,TabCAT!AY:AY,"NaN")="","NaN",(_xlfn.XLOOKUP($A18,TabCAT!$A:$A,TabCAT!AY:AY,"NaN")))</f>
        <v>9.35</v>
      </c>
      <c r="EO18" s="8">
        <f>IF(_xlfn.XLOOKUP($A18,TabCAT!$A:$A,TabCAT!AZ:AZ,"NaN")="","NaN",(_xlfn.XLOOKUP($A18,TabCAT!$A:$A,TabCAT!AZ:AZ,"NaN")))</f>
        <v>32</v>
      </c>
      <c r="EP18" s="8">
        <f>IF(_xlfn.XLOOKUP($A18,TabCAT!$A:$A,TabCAT!BA:BA,"NaN")="","NaN",(_xlfn.XLOOKUP($A18,TabCAT!$A:$A,TabCAT!BA:BA,"NaN")))</f>
        <v>0.64345649999999999</v>
      </c>
      <c r="EQ18" s="8">
        <f>IF(_xlfn.XLOOKUP($A18,TabCAT!$A:$A,TabCAT!BB:BB,"NaN")="","NaN",(_xlfn.XLOOKUP($A18,TabCAT!$A:$A,TabCAT!BB:BB,"NaN")))</f>
        <v>6.8093593489006607E-2</v>
      </c>
      <c r="ER18" s="8">
        <f>IF(_xlfn.XLOOKUP($A18,TabCAT!$A:$A,TabCAT!BC:BC,"NaN")="","NaN",(_xlfn.XLOOKUP($A18,TabCAT!$A:$A,TabCAT!BC:BC,"NaN")))</f>
        <v>16</v>
      </c>
      <c r="ES18" s="8">
        <f>IF(_xlfn.XLOOKUP($A18,TabCAT!$A:$A,TabCAT!BD:BD,"NaN")="","NaN",(_xlfn.XLOOKUP($A18,TabCAT!$A:$A,TabCAT!BD:BD,"NaN")))</f>
        <v>0.60859599999999903</v>
      </c>
      <c r="ET18" s="8">
        <f>IF(_xlfn.XLOOKUP($A18,TabCAT!$A:$A,TabCAT!BE:BE,"NaN")="","NaN",(_xlfn.XLOOKUP($A18,TabCAT!$A:$A,TabCAT!BE:BE,"NaN")))</f>
        <v>16</v>
      </c>
      <c r="EU18" s="8">
        <f>IF(_xlfn.XLOOKUP($A18,TabCAT!$A:$A,TabCAT!BF:BF,"NaN")="","NaN",(_xlfn.XLOOKUP($A18,TabCAT!$A:$A,TabCAT!BF:BF,"NaN")))</f>
        <v>0.67206600000000005</v>
      </c>
      <c r="EV18" s="8" t="str">
        <f>IF(_xlfn.XLOOKUP($A18,TabCAT!$A:$A,TabCAT!BG:BG,"NaN")="","NaN",(_xlfn.XLOOKUP($A18,TabCAT!$A:$A,TabCAT!BG:BG,"NaN")))</f>
        <v>NaN</v>
      </c>
      <c r="EW18" s="8" t="str">
        <f>IF(_xlfn.XLOOKUP($A18,TabCAT!$A:$A,TabCAT!BH:BH,"NaN")="","NaN",(_xlfn.XLOOKUP($A18,TabCAT!$A:$A,TabCAT!BH:BH,"NaN")))</f>
        <v>3.0.0</v>
      </c>
      <c r="EX18" s="8" t="str">
        <f>IF(_xlfn.XLOOKUP($A18,TabCAT!$A:$A,TabCAT!BI:BI,"NaN")="","NaN",(_xlfn.XLOOKUP($A18,TabCAT!$A:$A,TabCAT!BI:BI,"NaN")))</f>
        <v>English</v>
      </c>
      <c r="EY18" s="8">
        <f>IF(_xlfn.XLOOKUP($A18,TabCAT!$A:$A,TabCAT!BJ:BJ,"NaN")="","NaN",(_xlfn.XLOOKUP($A18,TabCAT!$A:$A,TabCAT!BJ:BJ,"NaN")))</f>
        <v>98</v>
      </c>
      <c r="EZ18" s="8">
        <f>IF(_xlfn.XLOOKUP($A18,TabCAT!$A:$A,TabCAT!BK:BK,"NaN")="","NaN",(_xlfn.XLOOKUP($A18,TabCAT!$A:$A,TabCAT!BK:BK,"NaN")))</f>
        <v>0</v>
      </c>
      <c r="FA18" s="8" t="str">
        <f>IF(_xlfn.XLOOKUP($A18,TabCAT!$A:$A,TabCAT!BL:BL,"NaN")="","NaN",(_xlfn.XLOOKUP($A18,TabCAT!$A:$A,TabCAT!BL:BL,"NaN")))</f>
        <v>NaN</v>
      </c>
      <c r="FB18" s="8" t="str">
        <f>IF(_xlfn.XLOOKUP($A18,TabCAT!$A:$A,TabCAT!BM:BM,"NaN")="","NaN",(_xlfn.XLOOKUP($A18,TabCAT!$A:$A,TabCAT!BM:BM,"NaN")))</f>
        <v>NaN</v>
      </c>
      <c r="FC18" s="8">
        <f>IF(_xlfn.XLOOKUP($A18,TabCAT!$A:$A,TabCAT!BN:BN,"NaN")="","NaN",(_xlfn.XLOOKUP($A18,TabCAT!$A:$A,TabCAT!BN:BN,"NaN")))</f>
        <v>0</v>
      </c>
      <c r="FD18" s="8" t="str">
        <f>IF(_xlfn.XLOOKUP($A18,TabCAT!$A:$A,TabCAT!BO:BO,"NaN")="","NaN",(_xlfn.XLOOKUP($A18,TabCAT!$A:$A,TabCAT!BO:BO,"NaN")))</f>
        <v>NaN</v>
      </c>
      <c r="FE18" s="8" t="str">
        <f>IF(_xlfn.XLOOKUP($A18,TabCAT!$A:$A,TabCAT!BP:BP,"NaN")="","NaN",(_xlfn.XLOOKUP($A18,TabCAT!$A:$A,TabCAT!BP:BP,"NaN")))</f>
        <v>NaN</v>
      </c>
      <c r="FF18" s="8">
        <f>IF(_xlfn.XLOOKUP($A18,TabCAT!$A:$A,TabCAT!BQ:BQ,"NaN")="","NaN",(_xlfn.XLOOKUP($A18,TabCAT!$A:$A,TabCAT!BQ:BQ,"NaN")))</f>
        <v>0</v>
      </c>
      <c r="FG18" s="8" t="str">
        <f>IF(_xlfn.XLOOKUP($A18,TabCAT!$A:$A,TabCAT!BR:BR,"NaN")="","NaN",(_xlfn.XLOOKUP($A18,TabCAT!$A:$A,TabCAT!BR:BR,"NaN")))</f>
        <v>NaN</v>
      </c>
      <c r="FH18" s="8" t="str">
        <f>IF(_xlfn.XLOOKUP($A18,TabCAT!$A:$A,TabCAT!BS:BS,"NaN")="","NaN",(_xlfn.XLOOKUP($A18,TabCAT!$A:$A,TabCAT!BS:BS,"NaN")))</f>
        <v>NaN</v>
      </c>
      <c r="FI18" s="8">
        <f>IF(_xlfn.XLOOKUP($A18,TabCAT!$A:$A,TabCAT!BT:BT,"NaN")="","NaN",(_xlfn.XLOOKUP($A18,TabCAT!$A:$A,TabCAT!BT:BT,"NaN")))</f>
        <v>0</v>
      </c>
      <c r="FJ18" s="8" t="str">
        <f>IF(_xlfn.XLOOKUP($A18,TabCAT!$A:$A,TabCAT!BU:BU,"NaN")="","NaN",(_xlfn.XLOOKUP($A18,TabCAT!$A:$A,TabCAT!BU:BU,"NaN")))</f>
        <v>NaN</v>
      </c>
      <c r="FK18" s="8" t="str">
        <f>IF(_xlfn.XLOOKUP($A18,TabCAT!$A:$A,TabCAT!BV:BV,"NaN")="","NaN",(_xlfn.XLOOKUP($A18,TabCAT!$A:$A,TabCAT!BV:BV,"NaN")))</f>
        <v>NaN</v>
      </c>
      <c r="FL18" s="8">
        <f>IF(_xlfn.XLOOKUP($A18,TabCAT!$A:$A,TabCAT!BW:BW,"NaN")="","NaN",(_xlfn.XLOOKUP($A18,TabCAT!$A:$A,TabCAT!BW:BW,"NaN")))</f>
        <v>0</v>
      </c>
      <c r="FM18" s="8" t="str">
        <f>IF(_xlfn.XLOOKUP($A18,TabCAT!$A:$A,TabCAT!BX:BX,"NaN")="","NaN",(_xlfn.XLOOKUP($A18,TabCAT!$A:$A,TabCAT!BX:BX,"NaN")))</f>
        <v>NaN</v>
      </c>
      <c r="FN18" s="8" t="str">
        <f>IF(_xlfn.XLOOKUP($A18,TabCAT!$A:$A,TabCAT!BY:BY,"NaN")="","NaN",(_xlfn.XLOOKUP($A18,TabCAT!$A:$A,TabCAT!BY:BY,"NaN")))</f>
        <v>NaN</v>
      </c>
      <c r="FO18" s="8" t="str">
        <f>IF(_xlfn.XLOOKUP($A18,TabCAT!$A:$A,TabCAT!BZ:BZ,"NaN")="","NaN",(_xlfn.XLOOKUP($A18,TabCAT!$A:$A,TabCAT!BZ:BZ,"NaN")))</f>
        <v>NaN</v>
      </c>
      <c r="FP18" s="8" t="str">
        <f>IF(_xlfn.XLOOKUP($A18,TabCAT!$A:$A,TabCAT!CA:CA,"NaN")="","NaN",(_xlfn.XLOOKUP($A18,TabCAT!$A:$A,TabCAT!CA:CA,"NaN")))</f>
        <v>3.0.0</v>
      </c>
      <c r="FQ18" s="8" t="str">
        <f>IF(_xlfn.XLOOKUP($A18,TabCAT!$A:$A,TabCAT!CB:CB,"NaN")="","NaN",(_xlfn.XLOOKUP($A18,TabCAT!$A:$A,TabCAT!CB:CB,"NaN")))</f>
        <v>English</v>
      </c>
      <c r="FR18" s="8">
        <f>IF(_xlfn.XLOOKUP($A18,TabCAT!$A:$A,TabCAT!CC:CC,"NaN")="","NaN",(_xlfn.XLOOKUP($A18,TabCAT!$A:$A,TabCAT!CC:CC,"NaN")))</f>
        <v>199</v>
      </c>
      <c r="FS18" s="8" t="b">
        <f>IF(_xlfn.XLOOKUP($A18,TabCAT!$A:$A,TabCAT!CD:CD,"NaN")="","NaN",(_xlfn.XLOOKUP($A18,TabCAT!$A:$A,TabCAT!CD:CD,"NaN")))</f>
        <v>1</v>
      </c>
      <c r="FT18" s="8">
        <f>IF(_xlfn.XLOOKUP($A18,TabCAT!$A:$A,TabCAT!CE:CE,"NaN")="","NaN",(_xlfn.XLOOKUP($A18,TabCAT!$A:$A,TabCAT!CE:CE,"NaN")))</f>
        <v>7</v>
      </c>
      <c r="FU18" s="8">
        <f>IF(_xlfn.XLOOKUP($A18,TabCAT!$A:$A,TabCAT!CF:CF,"NaN")="","NaN",(_xlfn.XLOOKUP($A18,TabCAT!$A:$A,TabCAT!CF:CF,"NaN")))</f>
        <v>0</v>
      </c>
      <c r="FV18" s="8">
        <f>IF(_xlfn.XLOOKUP($A18,TabCAT!$A:$A,TabCAT!CG:CG,"NaN")="","NaN",(_xlfn.XLOOKUP($A18,TabCAT!$A:$A,TabCAT!CG:CG,"NaN")))</f>
        <v>9.39</v>
      </c>
      <c r="FW18" s="8">
        <f>IF(_xlfn.XLOOKUP($A18,TabCAT!$A:$A,TabCAT!CH:CH,"NaN")="","NaN",(_xlfn.XLOOKUP($A18,TabCAT!$A:$A,TabCAT!CH:CH,"NaN")))</f>
        <v>16</v>
      </c>
      <c r="FX18" s="8">
        <f>IF(_xlfn.XLOOKUP($A18,TabCAT!$A:$A,TabCAT!CI:CI,"NaN")="","NaN",(_xlfn.XLOOKUP($A18,TabCAT!$A:$A,TabCAT!CI:CI,"NaN")))</f>
        <v>0.44652349999999902</v>
      </c>
      <c r="FY18" s="8">
        <f>IF(_xlfn.XLOOKUP($A18,TabCAT!$A:$A,TabCAT!CJ:CJ,"NaN")="","NaN",(_xlfn.XLOOKUP($A18,TabCAT!$A:$A,TabCAT!CJ:CJ,"NaN")))</f>
        <v>16</v>
      </c>
      <c r="FZ18" s="8">
        <f>IF(_xlfn.XLOOKUP($A18,TabCAT!$A:$A,TabCAT!CK:CK,"NaN")="","NaN",(_xlfn.XLOOKUP($A18,TabCAT!$A:$A,TabCAT!CK:CK,"NaN")))</f>
        <v>0.5006195</v>
      </c>
      <c r="GA18" s="8">
        <f>IF(_xlfn.XLOOKUP($A18,TabCAT!$A:$A,TabCAT!CL:CL,"NaN")="","NaN",(_xlfn.XLOOKUP($A18,TabCAT!$A:$A,TabCAT!CL:CL,"NaN")))</f>
        <v>29</v>
      </c>
      <c r="GB18" s="8">
        <f>IF(_xlfn.XLOOKUP($A18,TabCAT!$A:$A,TabCAT!CM:CM,"NaN")="","NaN",(_xlfn.XLOOKUP($A18,TabCAT!$A:$A,TabCAT!CM:CM,"NaN")))</f>
        <v>0.47983999999999999</v>
      </c>
      <c r="GC18" s="8">
        <f>IF(_xlfn.XLOOKUP($A18,TabCAT!$A:$A,TabCAT!CN:CN,"NaN")="","NaN",(_xlfn.XLOOKUP($A18,TabCAT!$A:$A,TabCAT!CN:CN,"NaN")))</f>
        <v>18</v>
      </c>
      <c r="GD18" s="8">
        <f>IF(_xlfn.XLOOKUP($A18,TabCAT!$A:$A,TabCAT!CO:CO,"NaN")="","NaN",(_xlfn.XLOOKUP($A18,TabCAT!$A:$A,TabCAT!CO:CO,"NaN")))</f>
        <v>0.47140900000000002</v>
      </c>
      <c r="GE18" s="8">
        <f>IF(_xlfn.XLOOKUP($A18,TabCAT!$A:$A,TabCAT!CP:CP,"NaN")="","NaN",(_xlfn.XLOOKUP($A18,TabCAT!$A:$A,TabCAT!CP:CP,"NaN")))</f>
        <v>0.11709923623049499</v>
      </c>
      <c r="GF18" s="8">
        <f>IF(_xlfn.XLOOKUP($A18,TabCAT!$A:$A,TabCAT!CQ:CQ,"NaN")="","NaN",(_xlfn.XLOOKUP($A18,TabCAT!$A:$A,TabCAT!CQ:CQ,"NaN")))</f>
        <v>52</v>
      </c>
      <c r="GG18" s="8">
        <f>IF(_xlfn.XLOOKUP($A18,TabCAT!$A:$A,TabCAT!CR:CR,"NaN")="","NaN",(_xlfn.XLOOKUP($A18,TabCAT!$A:$A,TabCAT!CR:CR,"NaN")))</f>
        <v>0.47993649999999999</v>
      </c>
      <c r="GH18" s="8" t="str">
        <f>IF(_xlfn.XLOOKUP($A18,TabCAT!$A:$A,TabCAT!CS:CS,"NaN")="","NaN",(_xlfn.XLOOKUP($A18,TabCAT!$A:$A,TabCAT!CS:CS,"NaN")))</f>
        <v>NaN</v>
      </c>
    </row>
    <row r="19" spans="1:190" x14ac:dyDescent="0.2">
      <c r="A19">
        <v>10590</v>
      </c>
      <c r="B19">
        <f>_xlfn.XLOOKUP(bippity_poppity_boo!A19,rf1_data!A:A,rf1_data!B:B)</f>
        <v>30467</v>
      </c>
      <c r="C19" s="2">
        <f>(_xlfn.XLOOKUP($A19,trust!$A:$A,trust!B:B,"NaN"))</f>
        <v>2.2222219999999999</v>
      </c>
      <c r="D19" s="2">
        <f>(_xlfn.XLOOKUP($A19,trust!$A:$A,trust!C:C,"NaN"))</f>
        <v>3.5</v>
      </c>
      <c r="E19" s="2">
        <f>(_xlfn.XLOOKUP($A19,trust!$A:$A,trust!D:D,"NaN"))</f>
        <v>3.0769229999999999</v>
      </c>
      <c r="F19" s="2">
        <f>(_xlfn.XLOOKUP($A19,trust!$A:$A,trust!E:E,"NaN"))</f>
        <v>4.3333329999999997</v>
      </c>
      <c r="G19" s="2">
        <f>(_xlfn.XLOOKUP($A19,trust!$A:$A,trust!F:F,"NaN"))</f>
        <v>5.8571429999999998</v>
      </c>
      <c r="H19" s="2">
        <f>(_xlfn.XLOOKUP($A19,trust!$A:$A,trust!G:G,"NaN"))</f>
        <v>6.1666670000000003</v>
      </c>
      <c r="I19" s="3">
        <f>IF(_xlfn.XLOOKUP($B19,island_data!$B:$B,island_data!C:C,"NaN")="","NaN",_xlfn.XLOOKUP($B19,island_data!$B:$B,island_data!C:C,"NaN"))</f>
        <v>45000</v>
      </c>
      <c r="J19" s="3">
        <f>IF(_xlfn.XLOOKUP($B19,island_data!$B:$B,island_data!D:D,"NaN")="","NaN",_xlfn.XLOOKUP($B19,island_data!$B:$B,island_data!D:D,"NaN"))</f>
        <v>24498</v>
      </c>
      <c r="K19" s="4">
        <f>IF(_xlfn.XLOOKUP($B19,island_data!$B:$B,island_data!E:E,"NaN")="","NaN",_xlfn.XLOOKUP($B19,island_data!$B:$B,island_data!E:E,"NaN"))</f>
        <v>56.13</v>
      </c>
      <c r="L19" s="5">
        <f>IF(_xlfn.XLOOKUP($B19,rf1_data!$B:$B,rf1_data!D:D,"NaN")="","NaN",(_xlfn.XLOOKUP($B19,rf1_data!$B:$B,rf1_data!D:D,"NaN")))</f>
        <v>56.4</v>
      </c>
      <c r="M19" s="5" t="str">
        <f>IF(_xlfn.XLOOKUP($B19,rf1_data!$B:$B,rf1_data!E:E,"NaN")="","NaN",(_xlfn.XLOOKUP($B19,rf1_data!$B:$B,rf1_data!E:E,"NaN")))</f>
        <v>White</v>
      </c>
      <c r="N19" s="5" t="str">
        <f>IF(_xlfn.XLOOKUP($B19,rf1_data!$B:$B,rf1_data!F:F,"NaN")="","NaN",(_xlfn.XLOOKUP($B19,rf1_data!$B:$B,rf1_data!F:F,"NaN")))</f>
        <v>Not Hispanic or Latino</v>
      </c>
      <c r="O19" s="5" t="str">
        <f>IF(_xlfn.XLOOKUP($B19,rf1_data!$B:$B,rf1_data!G:G,"NaN")="","NaN",(_xlfn.XLOOKUP($B19,rf1_data!$B:$B,rf1_data!G:G,"NaN")))</f>
        <v>Female</v>
      </c>
      <c r="P19" s="5">
        <f>IF(_xlfn.XLOOKUP($B19,rf1_data!$B:$B,rf1_data!H:H,"NaN")="","NaN",(_xlfn.XLOOKUP($B19,rf1_data!$B:$B,rf1_data!H:H,"NaN")))</f>
        <v>4.5599999999999996</v>
      </c>
      <c r="Q19" s="5">
        <f>IF(_xlfn.XLOOKUP($B19,rf1_data!$B:$B,rf1_data!I:I,"NaN")="","NaN",(_xlfn.XLOOKUP($B19,rf1_data!$B:$B,rf1_data!I:I,"NaN")))</f>
        <v>4.2</v>
      </c>
      <c r="R19" s="5">
        <f>IF(_xlfn.XLOOKUP($B19,rf1_data!$B:$B,rf1_data!J:J,"NaN")="","NaN",(_xlfn.XLOOKUP($B19,rf1_data!$B:$B,rf1_data!J:J,"NaN")))</f>
        <v>1</v>
      </c>
      <c r="S19" s="5">
        <f>IF(_xlfn.XLOOKUP($B19,rf1_data!$B:$B,rf1_data!K:K,"NaN")="","NaN",(_xlfn.XLOOKUP($B19,rf1_data!$B:$B,rf1_data!K:K,"NaN")))</f>
        <v>2</v>
      </c>
      <c r="T19" s="5">
        <f>IF(_xlfn.XLOOKUP($B19,rf1_data!$B:$B,rf1_data!L:L,"NaN")="","NaN",(_xlfn.XLOOKUP($B19,rf1_data!$B:$B,rf1_data!L:L,"NaN")))</f>
        <v>0</v>
      </c>
      <c r="U19" s="5">
        <f>IF(_xlfn.XLOOKUP($B19,rf1_data!$B:$B,rf1_data!M:M,"NaN")="","NaN",(_xlfn.XLOOKUP($B19,rf1_data!$B:$B,rf1_data!M:M,"NaN")))</f>
        <v>6.67</v>
      </c>
      <c r="V19" s="5">
        <f>IF(_xlfn.XLOOKUP($B19,rf1_data!$B:$B,rf1_data!N:N,"NaN")="","NaN",(_xlfn.XLOOKUP($B19,rf1_data!$B:$B,rf1_data!N:N,"NaN")))</f>
        <v>4.33</v>
      </c>
      <c r="W19" s="5">
        <f>IF(_xlfn.XLOOKUP($B19,rf1_data!$B:$B,rf1_data!O:O,"NaN")="","NaN",(_xlfn.XLOOKUP($B19,rf1_data!$B:$B,rf1_data!O:O,"NaN")))</f>
        <v>4.5</v>
      </c>
      <c r="X19" s="5">
        <f>IF(_xlfn.XLOOKUP($B19,rf1_data!$B:$B,rf1_data!P:P,"NaN")="","NaN",(_xlfn.XLOOKUP($B19,rf1_data!$B:$B,rf1_data!P:P,"NaN")))</f>
        <v>5.67</v>
      </c>
      <c r="Y19" s="5">
        <f>IF(_xlfn.XLOOKUP($B19,rf1_data!$B:$B,rf1_data!Q:Q,"NaN")="","NaN",(_xlfn.XLOOKUP($B19,rf1_data!$B:$B,rf1_data!Q:Q,"NaN")))</f>
        <v>5.23</v>
      </c>
      <c r="Z19" s="5">
        <f>IF(_xlfn.XLOOKUP($B19,rf1_data!$B:$B,rf1_data!R:R,"NaN")="","NaN",(_xlfn.XLOOKUP($B19,rf1_data!$B:$B,rf1_data!R:R,"NaN")))</f>
        <v>17</v>
      </c>
      <c r="AA19" s="5">
        <f>IF(_xlfn.XLOOKUP($B19,rf1_data!$B:$B,rf1_data!S:S,"NaN")="","NaN",(_xlfn.XLOOKUP($B19,rf1_data!$B:$B,rf1_data!S:S,"NaN")))</f>
        <v>2</v>
      </c>
      <c r="AB19" s="5">
        <f>IF(_xlfn.XLOOKUP($B19,rf1_data!$B:$B,rf1_data!T:T,"NaN")="","NaN",(_xlfn.XLOOKUP($B19,rf1_data!$B:$B,rf1_data!T:T,"NaN")))</f>
        <v>5</v>
      </c>
      <c r="AC19" s="5">
        <f>IF(_xlfn.XLOOKUP($B19,rf1_data!$B:$B,rf1_data!U:U,"NaN")="","NaN",(_xlfn.XLOOKUP($B19,rf1_data!$B:$B,rf1_data!U:U,"NaN")))</f>
        <v>1</v>
      </c>
      <c r="AD19" s="5">
        <f>IF(_xlfn.XLOOKUP($B19,rf1_data!$B:$B,rf1_data!V:V,"NaN")="","NaN",(_xlfn.XLOOKUP($B19,rf1_data!$B:$B,rf1_data!V:V,"NaN")))</f>
        <v>9</v>
      </c>
      <c r="AE19" s="5">
        <f>IF(_xlfn.XLOOKUP($B19,rf1_data!$B:$B,rf1_data!W:W,"NaN")="","NaN",(_xlfn.XLOOKUP($B19,rf1_data!$B:$B,rf1_data!W:W,"NaN")))</f>
        <v>3</v>
      </c>
      <c r="AF19" s="5">
        <f>IF(_xlfn.XLOOKUP($B19,rf1_data!$B:$B,rf1_data!X:X,"NaN")="","NaN",(_xlfn.XLOOKUP($B19,rf1_data!$B:$B,rf1_data!X:X,"NaN")))</f>
        <v>5</v>
      </c>
      <c r="AG19" s="5">
        <f>IF(_xlfn.XLOOKUP($B19,rf1_data!$B:$B,rf1_data!Y:Y,"NaN")="","NaN",(_xlfn.XLOOKUP($B19,rf1_data!$B:$B,rf1_data!Y:Y,"NaN")))</f>
        <v>3</v>
      </c>
      <c r="AH19" s="5">
        <f>IF(_xlfn.XLOOKUP($B19,rf1_data!$B:$B,rf1_data!Z:Z,"NaN")="","NaN",(_xlfn.XLOOKUP($B19,rf1_data!$B:$B,rf1_data!Z:Z,"NaN")))</f>
        <v>3</v>
      </c>
      <c r="AI19" s="5">
        <f>IF(_xlfn.XLOOKUP($B19,rf1_data!$B:$B,rf1_data!AA:AA,"NaN")="","NaN",(_xlfn.XLOOKUP($B19,rf1_data!$B:$B,rf1_data!AA:AA,"NaN")))</f>
        <v>0</v>
      </c>
      <c r="AJ19" s="5">
        <f>IF(_xlfn.XLOOKUP($B19,rf1_data!$B:$B,rf1_data!AB:AB,"NaN")="","NaN",(_xlfn.XLOOKUP($B19,rf1_data!$B:$B,rf1_data!AB:AB,"NaN")))</f>
        <v>14</v>
      </c>
      <c r="AK19" s="5">
        <f>IF(_xlfn.XLOOKUP($B19,rf1_data!$B:$B,rf1_data!AC:AC,"NaN")="","NaN",(_xlfn.XLOOKUP($B19,rf1_data!$B:$B,rf1_data!AC:AC,"NaN")))</f>
        <v>32</v>
      </c>
      <c r="AL19" s="5">
        <f>IF(_xlfn.XLOOKUP($B19,rf1_data!$B:$B,rf1_data!AD:AD,"NaN")="","NaN",(_xlfn.XLOOKUP($B19,rf1_data!$B:$B,rf1_data!AD:AD,"NaN")))</f>
        <v>10</v>
      </c>
      <c r="AM19" s="5">
        <f>IF(_xlfn.XLOOKUP($B19,rf1_data!$B:$B,rf1_data!AE:AE,"NaN")="","NaN",(_xlfn.XLOOKUP($B19,rf1_data!$B:$B,rf1_data!AE:AE,"NaN")))</f>
        <v>0</v>
      </c>
      <c r="AN19" s="5">
        <f>IF(_xlfn.XLOOKUP($B19,rf1_data!$B:$B,rf1_data!AF:AF,"NaN")="","NaN",(_xlfn.XLOOKUP($B19,rf1_data!$B:$B,rf1_data!AF:AF,"NaN")))</f>
        <v>0</v>
      </c>
      <c r="AO19" s="5">
        <f>IF(_xlfn.XLOOKUP($B19,rf1_data!$B:$B,rf1_data!AG:AG,"NaN")="","NaN",(_xlfn.XLOOKUP($B19,rf1_data!$B:$B,rf1_data!AG:AG,"NaN")))</f>
        <v>6.75</v>
      </c>
      <c r="AP19" s="5">
        <f>IF(_xlfn.XLOOKUP($B19,rf1_data!$B:$B,rf1_data!AH:AH,"NaN")="","NaN",(_xlfn.XLOOKUP($B19,rf1_data!$B:$B,rf1_data!AH:AH,"NaN")))</f>
        <v>7</v>
      </c>
      <c r="AQ19" s="5">
        <f>IF(_xlfn.XLOOKUP($B19,rf1_data!$B:$B,rf1_data!AI:AI,"NaN")="","NaN",(_xlfn.XLOOKUP($B19,rf1_data!$B:$B,rf1_data!AI:AI,"NaN")))</f>
        <v>6.25</v>
      </c>
      <c r="AR19" s="5">
        <f>IF(_xlfn.XLOOKUP($B19,rf1_data!$B:$B,rf1_data!AJ:AJ,"NaN")="","NaN",(_xlfn.XLOOKUP($B19,rf1_data!$B:$B,rf1_data!AJ:AJ,"NaN")))</f>
        <v>7</v>
      </c>
      <c r="AS19" s="5">
        <f>IF(_xlfn.XLOOKUP($B19,rf1_data!$B:$B,rf1_data!AK:AK,"NaN")="","NaN",(_xlfn.XLOOKUP($B19,rf1_data!$B:$B,rf1_data!AK:AK,"NaN")))</f>
        <v>2.9</v>
      </c>
      <c r="AT19" s="5">
        <f>IF(_xlfn.XLOOKUP($B19,rf1_data!$B:$B,rf1_data!AL:AL,"NaN")="","NaN",(_xlfn.XLOOKUP($B19,rf1_data!$B:$B,rf1_data!AL:AL,"NaN")))</f>
        <v>12</v>
      </c>
      <c r="AU19" s="5">
        <f>IF(_xlfn.XLOOKUP($B19,rf1_data!$B:$B,rf1_data!AM:AM,"NaN")="","NaN",(_xlfn.XLOOKUP($B19,rf1_data!$B:$B,rf1_data!AM:AM,"NaN")))</f>
        <v>3.67</v>
      </c>
      <c r="AV19" s="5">
        <f>IF(_xlfn.XLOOKUP($B19,rf1_data!$B:$B,rf1_data!AN:AN,"NaN")="","NaN",(_xlfn.XLOOKUP($B19,rf1_data!$B:$B,rf1_data!AN:AN,"NaN")))</f>
        <v>0</v>
      </c>
      <c r="AW19" s="5">
        <f>IF(_xlfn.XLOOKUP($B19,rf1_data!$B:$B,rf1_data!AO:AO,"NaN")="","NaN",(_xlfn.XLOOKUP($B19,rf1_data!$B:$B,rf1_data!AO:AO,"NaN")))</f>
        <v>3</v>
      </c>
      <c r="AX19" s="5">
        <f>IF(_xlfn.XLOOKUP($B19,rf1_data!$B:$B,rf1_data!AP:AP,"NaN")="","NaN",(_xlfn.XLOOKUP($B19,rf1_data!$B:$B,rf1_data!AP:AP,"NaN")))</f>
        <v>3.86</v>
      </c>
      <c r="AY19" s="5" t="str">
        <f>IF(_xlfn.XLOOKUP($B19,rf1_data!$B:$B,rf1_data!AQ:AQ,"NaN")="","NaN",(_xlfn.XLOOKUP($B19,rf1_data!$B:$B,rf1_data!AQ:AQ,"NaN")))</f>
        <v>NaN</v>
      </c>
      <c r="AZ19" s="5" t="str">
        <f>IF(_xlfn.XLOOKUP($B19,rf1_data!$B:$B,rf1_data!AR:AR,"NaN")="","NaN",(_xlfn.XLOOKUP($B19,rf1_data!$B:$B,rf1_data!AR:AR,"NaN")))</f>
        <v>NaN</v>
      </c>
      <c r="BA19" s="5" t="str">
        <f>IF(_xlfn.XLOOKUP($B19,rf1_data!$B:$B,rf1_data!AS:AS,"NaN")="","NaN",(_xlfn.XLOOKUP($B19,rf1_data!$B:$B,rf1_data!AS:AS,"NaN")))</f>
        <v>NaN</v>
      </c>
      <c r="BB19" s="5" t="str">
        <f>IF(_xlfn.XLOOKUP($B19,rf1_data!$B:$B,rf1_data!AT:AT,"NaN")="","NaN",(_xlfn.XLOOKUP($B19,rf1_data!$B:$B,rf1_data!AT:AT,"NaN")))</f>
        <v>NaN</v>
      </c>
      <c r="BC19" s="5" t="str">
        <f>IF(_xlfn.XLOOKUP($B19,rf1_data!$B:$B,rf1_data!AU:AU,"NaN")="","NaN",(_xlfn.XLOOKUP($B19,rf1_data!$B:$B,rf1_data!AU:AU,"NaN")))</f>
        <v>NaN</v>
      </c>
      <c r="BD19" s="5" t="str">
        <f>IF(_xlfn.XLOOKUP($B19,rf1_data!$B:$B,rf1_data!AV:AV,"NaN")="","NaN",(_xlfn.XLOOKUP($B19,rf1_data!$B:$B,rf1_data!AV:AV,"NaN")))</f>
        <v>NaN</v>
      </c>
      <c r="BE19" s="5" t="str">
        <f>IF(_xlfn.XLOOKUP($B19,rf1_data!$B:$B,rf1_data!AW:AW,"NaN")="","NaN",(_xlfn.XLOOKUP($B19,rf1_data!$B:$B,rf1_data!AW:AW,"NaN")))</f>
        <v>NaN</v>
      </c>
      <c r="BF19" s="5" t="str">
        <f>IF(_xlfn.XLOOKUP($B19,rf1_data!$B:$B,rf1_data!AX:AX,"NaN")="","NaN",(_xlfn.XLOOKUP($B19,rf1_data!$B:$B,rf1_data!AX:AX,"NaN")))</f>
        <v>NaN</v>
      </c>
      <c r="BG19" s="5" t="str">
        <f>IF(_xlfn.XLOOKUP($B19,rf1_data!$B:$B,rf1_data!AY:AY,"NaN")="","NaN",(_xlfn.XLOOKUP($B19,rf1_data!$B:$B,rf1_data!AY:AY,"NaN")))</f>
        <v>NaN</v>
      </c>
      <c r="BH19" s="5" t="str">
        <f>IF(_xlfn.XLOOKUP($B19,rf1_data!$B:$B,rf1_data!AZ:AZ,"NaN")="","NaN",(_xlfn.XLOOKUP($B19,rf1_data!$B:$B,rf1_data!AZ:AZ,"NaN")))</f>
        <v>NaN</v>
      </c>
      <c r="BI19" s="5">
        <f>IF(_xlfn.XLOOKUP($B19,rf1_data!$B:$B,rf1_data!BA:BA,"NaN")="","NaN",(_xlfn.XLOOKUP($B19,rf1_data!$B:$B,rf1_data!BA:BA,"NaN")))</f>
        <v>20</v>
      </c>
      <c r="BJ19" s="5" t="str">
        <f>IF(_xlfn.XLOOKUP($B19,rf1_data!$B:$B,rf1_data!BB:BB,"NaN")="","NaN",(_xlfn.XLOOKUP($B19,rf1_data!$B:$B,rf1_data!BB:BB,"NaN")))</f>
        <v>NaN</v>
      </c>
      <c r="BK19" s="5" t="str">
        <f>IF(_xlfn.XLOOKUP($B19,rf1_data!$B:$B,rf1_data!BC:BC,"NaN")="","NaN",(_xlfn.XLOOKUP($B19,rf1_data!$B:$B,rf1_data!BC:BC,"NaN")))</f>
        <v>NaN</v>
      </c>
      <c r="BL19" s="5" t="str">
        <f>IF(_xlfn.XLOOKUP($B19,rf1_data!$B:$B,rf1_data!BD:BD,"NaN")="","NaN",(_xlfn.XLOOKUP($B19,rf1_data!$B:$B,rf1_data!BD:BD,"NaN")))</f>
        <v>NaN</v>
      </c>
      <c r="BM19" s="5" t="str">
        <f>IF(_xlfn.XLOOKUP($B19,rf1_data!$B:$B,rf1_data!BE:BE,"NaN")="","NaN",(_xlfn.XLOOKUP($B19,rf1_data!$B:$B,rf1_data!BE:BE,"NaN")))</f>
        <v>NaN</v>
      </c>
      <c r="BN19" s="5" t="str">
        <f>IF(_xlfn.XLOOKUP($B19,rf1_data!$B:$B,rf1_data!BF:BF,"NaN")="","NaN",(_xlfn.XLOOKUP($B19,rf1_data!$B:$B,rf1_data!BF:BF,"NaN")))</f>
        <v>NaN</v>
      </c>
      <c r="BO19" s="5" t="str">
        <f>IF(_xlfn.XLOOKUP($B19,rf1_data!$B:$B,rf1_data!BG:BG,"NaN")="","NaN",(_xlfn.XLOOKUP($B19,rf1_data!$B:$B,rf1_data!BG:BG,"NaN")))</f>
        <v>NaN</v>
      </c>
      <c r="BP19" s="5" t="str">
        <f>IF(_xlfn.XLOOKUP($B19,rf1_data!$B:$B,rf1_data!BH:BH,"NaN")="","NaN",(_xlfn.XLOOKUP($B19,rf1_data!$B:$B,rf1_data!BH:BH,"NaN")))</f>
        <v>NaN</v>
      </c>
      <c r="BQ19" s="5" t="str">
        <f>IF(_xlfn.XLOOKUP($B19,rf1_data!$B:$B,rf1_data!BI:BI,"NaN")="","NaN",(_xlfn.XLOOKUP($B19,rf1_data!$B:$B,rf1_data!BI:BI,"NaN")))</f>
        <v>NaN</v>
      </c>
      <c r="BR19" s="5">
        <f>IF(_xlfn.XLOOKUP($B19,rf1_data!$B:$B,rf1_data!BJ:BJ,"NaN")="","NaN",(_xlfn.XLOOKUP($B19,rf1_data!$B:$B,rf1_data!BJ:BJ,"NaN")))</f>
        <v>8991</v>
      </c>
      <c r="BS19" s="5" t="str">
        <f>IF(_xlfn.XLOOKUP($B19,rf1_data!$B:$B,rf1_data!BK:BK,"NaN")="","NaN",(_xlfn.XLOOKUP($B19,rf1_data!$B:$B,rf1_data!BK:BK,"NaN")))</f>
        <v>NaN</v>
      </c>
      <c r="BT19" s="5" t="str">
        <f>IF(_xlfn.XLOOKUP($B19,rf1_data!$B:$B,rf1_data!BL:BL,"NaN")="","NaN",(_xlfn.XLOOKUP($B19,rf1_data!$B:$B,rf1_data!BL:BL,"NaN")))</f>
        <v>NaN</v>
      </c>
      <c r="BU19" s="5" t="str">
        <f>IF(_xlfn.XLOOKUP($B19,rf1_data!$B:$B,rf1_data!BM:BM,"NaN")="","NaN",(_xlfn.XLOOKUP($B19,rf1_data!$B:$B,rf1_data!BM:BM,"NaN")))</f>
        <v>NaN</v>
      </c>
      <c r="BV19" s="5" t="str">
        <f>IF(_xlfn.XLOOKUP($B19,rf1_data!$B:$B,rf1_data!BN:BN,"NaN")="","NaN",(_xlfn.XLOOKUP($B19,rf1_data!$B:$B,rf1_data!BN:BN,"NaN")))</f>
        <v>NaN</v>
      </c>
      <c r="BW19" s="5">
        <f>IF(_xlfn.XLOOKUP($B19,rf1_data!$B:$B,rf1_data!BO:BO,"NaN")="","NaN",(_xlfn.XLOOKUP($B19,rf1_data!$B:$B,rf1_data!BO:BO,"NaN")))</f>
        <v>3.2</v>
      </c>
      <c r="BX19" s="5">
        <f>IF(_xlfn.XLOOKUP($B19,rf1_data!$B:$B,rf1_data!BP:BP,"NaN")="","NaN",(_xlfn.XLOOKUP($B19,rf1_data!$B:$B,rf1_data!BP:BP,"NaN")))</f>
        <v>3.7</v>
      </c>
      <c r="BY19" s="5">
        <f>IF(_xlfn.XLOOKUP($B19,rf1_data!$B:$B,rf1_data!BQ:BQ,"NaN")="","NaN",(_xlfn.XLOOKUP($B19,rf1_data!$B:$B,rf1_data!BQ:BQ,"NaN")))</f>
        <v>3.9</v>
      </c>
      <c r="BZ19" s="5">
        <f>IF(_xlfn.XLOOKUP($B19,rf1_data!$B:$B,rf1_data!BR:BR,"NaN")="","NaN",(_xlfn.XLOOKUP($B19,rf1_data!$B:$B,rf1_data!BR:BR,"NaN")))</f>
        <v>3.6</v>
      </c>
      <c r="CA19" s="5">
        <f>IF(_xlfn.XLOOKUP($B19,rf1_data!$B:$B,rf1_data!BS:BS,"NaN")="","NaN",(_xlfn.XLOOKUP($B19,rf1_data!$B:$B,rf1_data!BS:BS,"NaN")))</f>
        <v>6</v>
      </c>
      <c r="CB19" s="5">
        <f>IF(_xlfn.XLOOKUP($B19,rf1_data!$B:$B,rf1_data!BT:BT,"NaN")="","NaN",(_xlfn.XLOOKUP($B19,rf1_data!$B:$B,rf1_data!BT:BT,"NaN")))</f>
        <v>5.6666666666666599</v>
      </c>
      <c r="CC19" s="5">
        <f>IF(_xlfn.XLOOKUP($B19,rf1_data!$B:$B,rf1_data!BU:BU,"NaN")="","NaN",(_xlfn.XLOOKUP($B19,rf1_data!$B:$B,rf1_data!BU:BU,"NaN")))</f>
        <v>6</v>
      </c>
      <c r="CD19" s="5">
        <f>IF(_xlfn.XLOOKUP($B19,rf1_data!$B:$B,rf1_data!BV:BV,"NaN")="","NaN",(_xlfn.XLOOKUP($B19,rf1_data!$B:$B,rf1_data!BV:BV,"NaN")))</f>
        <v>5.6666666666666599</v>
      </c>
      <c r="CE19" s="5">
        <f>IF(_xlfn.XLOOKUP($B19,rf1_data!$B:$B,rf1_data!BW:BW,"NaN")="","NaN",(_xlfn.XLOOKUP($B19,rf1_data!$B:$B,rf1_data!BW:BW,"NaN")))</f>
        <v>0.55000000000000004</v>
      </c>
      <c r="CF19" s="5">
        <f>IF(_xlfn.XLOOKUP($B19,rf1_data!$B:$B,rf1_data!BX:BX,"NaN")="","NaN",(_xlfn.XLOOKUP($B19,rf1_data!$B:$B,rf1_data!BX:BX,"NaN")))</f>
        <v>0</v>
      </c>
      <c r="CG19" s="5">
        <f>IF(_xlfn.XLOOKUP($B19,rf1_data!$B:$B,rf1_data!BY:BY,"NaN")="","NaN",(_xlfn.XLOOKUP($B19,rf1_data!$B:$B,rf1_data!BY:BY,"NaN")))</f>
        <v>0</v>
      </c>
      <c r="CH19" s="5">
        <f>IF(_xlfn.XLOOKUP($B19,rf1_data!$B:$B,rf1_data!BZ:BZ,"NaN")="","NaN",(_xlfn.XLOOKUP($B19,rf1_data!$B:$B,rf1_data!BZ:BZ,"NaN")))</f>
        <v>27</v>
      </c>
      <c r="CI19" s="5" t="str">
        <f>IF(_xlfn.XLOOKUP($B19,rf1_data!$B:$B,rf1_data!CA:CA,"NaN")="","NaN",(_xlfn.XLOOKUP($B19,rf1_data!$B:$B,rf1_data!CA:CA,"NaN")))</f>
        <v>NaN</v>
      </c>
      <c r="CJ19" s="5">
        <f>IF(_xlfn.XLOOKUP($B19,rf1_data!$B:$B,rf1_data!CB:CB,"NaN")="","NaN",(_xlfn.XLOOKUP($B19,rf1_data!$B:$B,rf1_data!CB:CB,"NaN")))</f>
        <v>7</v>
      </c>
      <c r="CK19" s="5">
        <f>IF(_xlfn.XLOOKUP($B19,rf1_data!$B:$B,rf1_data!CC:CC,"NaN")="","NaN",(_xlfn.XLOOKUP($B19,rf1_data!$B:$B,rf1_data!CC:CC,"NaN")))</f>
        <v>0.63636363636363602</v>
      </c>
      <c r="CL19" s="5">
        <f>IF(_xlfn.XLOOKUP($B19,rf1_data!$B:$B,rf1_data!CD:CD,"NaN")=0,"NaN",(_xlfn.XLOOKUP($B19,rf1_data!$B:$B,rf1_data!CD:CD,"NaN")))</f>
        <v>34</v>
      </c>
      <c r="CM19" s="5">
        <f>IF(_xlfn.XLOOKUP($B19,rf1_data!$B:$B,rf1_data!CE:CE,"NaN")="","NaN",(_xlfn.XLOOKUP($B19,rf1_data!$B:$B,rf1_data!CE:CE,"NaN")))</f>
        <v>53</v>
      </c>
      <c r="CN19" s="5">
        <f>IF(_xlfn.XLOOKUP($B19,rf1_data!$B:$B,rf1_data!CF:CF,"NaN")="","NaN",(_xlfn.XLOOKUP($B19,rf1_data!$B:$B,rf1_data!CF:CF,"NaN")))</f>
        <v>54</v>
      </c>
      <c r="CO19" s="5">
        <f>IF(_xlfn.XLOOKUP($B19,rf1_data!$B:$B,rf1_data!CG:CG,"NaN")="","NaN",(_xlfn.XLOOKUP($B19,rf1_data!$B:$B,rf1_data!CG:CG,"NaN")))</f>
        <v>31</v>
      </c>
      <c r="CP19" s="5">
        <f>IF(_xlfn.XLOOKUP($B19,rf1_data!$B:$B,rf1_data!CH:CH,"NaN")=0,"NaN",(_xlfn.XLOOKUP($B19,rf1_data!$B:$B,rf1_data!CH:CH,"NaN")))</f>
        <v>33</v>
      </c>
      <c r="CQ19" s="5">
        <f>IF(_xlfn.XLOOKUP($B19,rf1_data!$B:$B,rf1_data!CI:CI,"NaN")="","NaN",(_xlfn.XLOOKUP($B19,rf1_data!$B:$B,rf1_data!CI:CI,"NaN")))</f>
        <v>48</v>
      </c>
      <c r="CR19" s="5">
        <f>IF(_xlfn.XLOOKUP($B19,rf1_data!$B:$B,rf1_data!CJ:CJ,"NaN")="","NaN",(_xlfn.XLOOKUP($B19,rf1_data!$B:$B,rf1_data!CJ:CJ,"NaN")))</f>
        <v>60</v>
      </c>
      <c r="CS19" s="5">
        <f>IF(_xlfn.XLOOKUP($B19,rf1_data!$B:$B,rf1_data!CK:CK,"NaN")="","NaN",(_xlfn.XLOOKUP($B19,rf1_data!$B:$B,rf1_data!CK:CK,"NaN")))</f>
        <v>47</v>
      </c>
      <c r="CT19" s="5">
        <f>IF(_xlfn.XLOOKUP($B19,rf1_data!$B:$B,rf1_data!CL:CL,"NaN")="","NaN",(_xlfn.XLOOKUP($B19,rf1_data!$B:$B,rf1_data!CL:CL,"NaN")))</f>
        <v>60</v>
      </c>
      <c r="CU19" s="5">
        <f>IF(_xlfn.XLOOKUP($B19,rf1_data!$B:$B,rf1_data!CM:CM,"NaN")="","NaN",(_xlfn.XLOOKUP($B19,rf1_data!$B:$B,rf1_data!CM:CM,"NaN")))</f>
        <v>48</v>
      </c>
      <c r="CV19" s="5">
        <f>IF(_xlfn.XLOOKUP($B19,rf1_data!$B:$B,rf1_data!CN:CN,"NaN")="","NaN",(_xlfn.XLOOKUP($B19,rf1_data!$B:$B,rf1_data!CN:CN,"NaN")))</f>
        <v>60</v>
      </c>
      <c r="CW19" s="5" t="str">
        <f>IF(_xlfn.XLOOKUP($B19,rf1_data!$B:$B,rf1_data!CO:CO,"NaN")="","NaN",(_xlfn.XLOOKUP($B19,rf1_data!$B:$B,rf1_data!CO:CO,"NaN")))</f>
        <v>NaN</v>
      </c>
      <c r="CX19" s="5" t="str">
        <f>IF(_xlfn.XLOOKUP($B19,rf1_data!$B:$B,rf1_data!CP:CP,"NaN")="","NaN",(_xlfn.XLOOKUP($B19,rf1_data!$B:$B,rf1_data!CP:CP,"NaN")))</f>
        <v>NaN</v>
      </c>
      <c r="CY19" s="5">
        <f>IF(_xlfn.XLOOKUP($B19,rf1_data!$B:$B,rf1_data!CQ:CQ,"NaN")="","NaN",(_xlfn.XLOOKUP($B19,rf1_data!$B:$B,rf1_data!CQ:CQ,"NaN")))</f>
        <v>4</v>
      </c>
      <c r="CZ19" s="5">
        <f>IF(_xlfn.XLOOKUP($B19,rf1_data!$B:$B,rf1_data!CR:CR,"NaN")="","NaN",(_xlfn.XLOOKUP($B19,rf1_data!$B:$B,rf1_data!CR:CR,"NaN")))</f>
        <v>1</v>
      </c>
      <c r="DA19" s="5">
        <f>IF(_xlfn.XLOOKUP($B19,rf1_data!$B:$B,rf1_data!CS:CS,"NaN")="","NaN",(_xlfn.XLOOKUP($B19,rf1_data!$B:$B,rf1_data!CS:CS,"NaN")))</f>
        <v>1</v>
      </c>
      <c r="DB19" s="4">
        <f>IF(_xlfn.XLOOKUP($B19,island_data!$B:$B,island_data!H:H,"NaN")="","NaN",_xlfn.XLOOKUP($B19,island_data!$B:$B,island_data!H:H,"NaN"))</f>
        <v>0</v>
      </c>
      <c r="DC19" s="4">
        <f>IF(_xlfn.XLOOKUP($B19,island_data!$B:$B,island_data!I:I,"NaN")="","NaN",_xlfn.XLOOKUP($B19,island_data!$B:$B,island_data!I:I,"NaN"))</f>
        <v>0</v>
      </c>
      <c r="DD19" s="4">
        <f>IF(_xlfn.XLOOKUP($B19,island_data!$B:$B,island_data!J:J,"NaN")="","NaN",_xlfn.XLOOKUP($B19,island_data!$B:$B,island_data!J:J,"NaN"))</f>
        <v>0</v>
      </c>
      <c r="DE19" s="4">
        <f>IF(_xlfn.XLOOKUP($B19,island_data!$B:$B,island_data!K:K,"NaN")="","NaN",_xlfn.XLOOKUP($B19,island_data!$B:$B,island_data!K:K,"NaN"))</f>
        <v>4</v>
      </c>
      <c r="DF19" s="4">
        <f>IF(_xlfn.XLOOKUP($B19,island_data!$B:$B,island_data!L:L,"NaN")="","NaN",_xlfn.XLOOKUP($B19,island_data!$B:$B,island_data!L:L,"NaN"))</f>
        <v>0</v>
      </c>
      <c r="DG19" s="4">
        <f>IF(_xlfn.XLOOKUP($B19,island_data!$B:$B,island_data!M:M,"NaN")="","NaN",_xlfn.XLOOKUP($B19,island_data!$B:$B,island_data!M:M,"NaN"))</f>
        <v>2.6111111111111098</v>
      </c>
      <c r="DH19" s="4">
        <f>IF(_xlfn.XLOOKUP($B19,island_data!$B:$B,island_data!N:N,"NaN")="","NaN",_xlfn.XLOOKUP($B19,island_data!$B:$B,island_data!N:N,"NaN"))</f>
        <v>10</v>
      </c>
      <c r="DI19" s="4" t="str">
        <f>IF(_xlfn.XLOOKUP($B19,island_data!$B:$B,island_data!O:O,"NaN")=999,"NaN",_xlfn.XLOOKUP($B19,island_data!$B:$B,island_data!O:O,"NaN"))</f>
        <v>NaN</v>
      </c>
      <c r="DJ19" s="4">
        <f>IF(_xlfn.XLOOKUP($B19,island_data!$B:$B,island_data!P:P,"NaN")="","NaN",_xlfn.XLOOKUP($B19,island_data!$B:$B,island_data!P:P,"NaN"))</f>
        <v>7</v>
      </c>
      <c r="DK19" s="4">
        <f>IF(_xlfn.XLOOKUP($B19,island_data!$B:$B,island_data!Q:Q,"NaN")="","NaN",_xlfn.XLOOKUP($B19,island_data!$B:$B,island_data!Q:Q,"NaN"))</f>
        <v>1</v>
      </c>
      <c r="DL19" s="4" t="str">
        <f>IF(_xlfn.XLOOKUP($B19,island_data!$B:$B,island_data!R:R,"NaN")=999,"NaN",_xlfn.XLOOKUP($B19,island_data!$B:$B,island_data!R:R,"NaN"))</f>
        <v>NaN</v>
      </c>
      <c r="DM19" s="4">
        <f>IF(_xlfn.XLOOKUP($B19,island_data!$B:$B,island_data!S:S,"NaN")="","NaN",_xlfn.XLOOKUP($B19,island_data!$B:$B,island_data!S:S,"NaN"))</f>
        <v>8</v>
      </c>
      <c r="DN19" s="4">
        <f>IF(_xlfn.XLOOKUP($B19,island_data!$B:$B,island_data!T:T,"NaN")="","NaN",_xlfn.XLOOKUP($B19,island_data!$B:$B,island_data!T:T,"NaN"))</f>
        <v>4.1666666666666599</v>
      </c>
      <c r="DO19" s="4">
        <f>IF(_xlfn.XLOOKUP($B19,island_data!$B:$B,island_data!U:U,"NaN")="","NaN",_xlfn.XLOOKUP($B19,island_data!$B:$B,island_data!U:U,"NaN"))</f>
        <v>6</v>
      </c>
      <c r="DP19" s="4">
        <f>IF(_xlfn.XLOOKUP($B19,island_data!$B:$B,island_data!V:V,"NaN")="","NaN",_xlfn.XLOOKUP($B19,island_data!$B:$B,island_data!V:V,"NaN"))</f>
        <v>4</v>
      </c>
      <c r="DQ19" s="4">
        <f>IF(_xlfn.XLOOKUP($B19,island_data!$B:$B,island_data!W:W,"NaN")="","NaN",_xlfn.XLOOKUP($B19,island_data!$B:$B,island_data!W:W,"NaN"))</f>
        <v>6</v>
      </c>
      <c r="DR19" s="4">
        <f>IF(_xlfn.XLOOKUP($B19,island_data!$B:$B,island_data!X:X,"NaN")="","NaN",_xlfn.XLOOKUP($B19,island_data!$B:$B,island_data!X:X,"NaN"))</f>
        <v>6</v>
      </c>
      <c r="DS19" s="4" t="str">
        <f>IF(_xlfn.XLOOKUP($B19,island_data!$B:$B,island_data!Y:Y,"NaN")="","NaN",_xlfn.XLOOKUP($B19,island_data!$B:$B,island_data!Y:Y,"NaN"))</f>
        <v>NaN</v>
      </c>
      <c r="DT19" s="4" t="str">
        <f>IF(_xlfn.XLOOKUP($B19,island_data!$B:$B,island_data!Z:Z,"NaN")="","NaN",_xlfn.XLOOKUP($B19,island_data!$B:$B,island_data!Z:Z,"NaN"))</f>
        <v>NaN</v>
      </c>
      <c r="DU19" s="4" t="str">
        <f>IF(_xlfn.XLOOKUP($B19,island_data!$B:$B,island_data!AA:AA,"NaN")="","NaN",_xlfn.XLOOKUP($B19,island_data!$B:$B,island_data!AA:AA,"NaN"))</f>
        <v>NaN</v>
      </c>
      <c r="DV19" s="4">
        <f>IF(_xlfn.XLOOKUP($B19,island_data!$B:$B,island_data!AB:AB,"NaN")="","NaN",_xlfn.XLOOKUP($B19,island_data!$B:$B,island_data!AB:AB,"NaN"))</f>
        <v>2</v>
      </c>
      <c r="DW19" s="4">
        <f>IF(_xlfn.XLOOKUP($B19,island_data!$B:$B,island_data!AC:AC,"NaN")="","NaN",_xlfn.XLOOKUP($B19,island_data!$B:$B,island_data!AC:AC,"NaN"))</f>
        <v>21701</v>
      </c>
      <c r="DX19" s="4">
        <f>IF(_xlfn.XLOOKUP($B19,island_data!$B:$B,island_data!AD:AD,"NaN")="","NaN",_xlfn.XLOOKUP($B19,island_data!$B:$B,island_data!AD:AD,"NaN"))</f>
        <v>6</v>
      </c>
      <c r="DY19" s="4">
        <f>IF(_xlfn.XLOOKUP($B19,island_data!$B:$B,island_data!AE:AE,"NaN")="","NaN",_xlfn.XLOOKUP($B19,island_data!$B:$B,island_data!AE:AE,"NaN"))</f>
        <v>0</v>
      </c>
      <c r="DZ19" s="4" t="str">
        <f>IF(_xlfn.XLOOKUP($B19,island_data!$B:$B,island_data!AF:AF,"NaN")="","NaN",_xlfn.XLOOKUP($B19,island_data!$B:$B,island_data!AF:AF,"NaN"))</f>
        <v>NaN</v>
      </c>
      <c r="EA19" s="4" t="str">
        <f>IF(_xlfn.XLOOKUP($B19,island_data!$B:$B,island_data!AG:AG,"NaN")="","NaN",_xlfn.XLOOKUP($B19,island_data!$B:$B,island_data!AG:AG,"NaN"))</f>
        <v>NaN</v>
      </c>
      <c r="EB19" s="4" t="str">
        <f>IF(_xlfn.XLOOKUP($B19,island_data!$B:$B,island_data!AH:AH,"NaN")="","NaN",_xlfn.XLOOKUP($B19,island_data!$B:$B,island_data!AH:AH,"NaN"))</f>
        <v>NaN</v>
      </c>
      <c r="EC19" s="4" t="str">
        <f>IF(_xlfn.XLOOKUP($B19,island_data!$B:$B,island_data!AI:AI,"NaN")="","NaN",_xlfn.XLOOKUP($B19,island_data!$B:$B,island_data!AI:AI,"NaN"))</f>
        <v>NaN</v>
      </c>
      <c r="ED19" s="4" t="str">
        <f>IF(_xlfn.XLOOKUP($B19,island_data!$B:$B,island_data!AJ:AJ,"NaN")="","NaN",_xlfn.XLOOKUP($B19,island_data!$B:$B,island_data!AJ:AJ,"NaN"))</f>
        <v>NaN</v>
      </c>
      <c r="EE19" s="4" t="str">
        <f>IF(_xlfn.XLOOKUP($B19,island_data!$B:$B,island_data!AK:AK,"NaN")="","NaN",_xlfn.XLOOKUP($B19,island_data!$B:$B,island_data!AK:AK,"NaN"))</f>
        <v>NaN</v>
      </c>
      <c r="EF19" s="4" t="str">
        <f>IF(_xlfn.XLOOKUP($B19,island_data!$B:$B,island_data!AL:AL,"NaN")="","NaN",_xlfn.XLOOKUP($B19,island_data!$B:$B,island_data!AL:AL,"NaN"))</f>
        <v>NaN</v>
      </c>
      <c r="EG19" s="4" t="str">
        <f>IF(_xlfn.XLOOKUP($B19,island_data!$B:$B,island_data!AM:AM,"NaN")="","NaN",_xlfn.XLOOKUP($B19,island_data!$B:$B,island_data!AM:AM,"NaN"))</f>
        <v>NaN</v>
      </c>
      <c r="EH19" s="4">
        <f>IF(_xlfn.XLOOKUP($B19,island_data!$B:$B,island_data!AN:AN,"NaN")="","NaN",_xlfn.XLOOKUP($B19,island_data!$B:$B,island_data!AN:AN,"NaN"))</f>
        <v>0</v>
      </c>
      <c r="EI19" s="4" t="str">
        <f>IF(_xlfn.XLOOKUP($B19,island_data!$B:$B,island_data!AO:AO,"NaN")="","NaN",_xlfn.XLOOKUP($B19,island_data!$B:$B,island_data!AO:AO,"NaN"))</f>
        <v>NaN</v>
      </c>
      <c r="EJ19" s="8">
        <f>IF(_xlfn.XLOOKUP($A19,TabCAT!$A:$A,TabCAT!AU:AU,"NaN")="","NaN",(_xlfn.XLOOKUP($A19,TabCAT!$A:$A,TabCAT!AU:AU,"NaN")))</f>
        <v>175</v>
      </c>
      <c r="EK19" s="8" t="b">
        <f>IF(_xlfn.XLOOKUP($A19,TabCAT!$A:$A,TabCAT!AV:AV,"NaN")="","NaN",(_xlfn.XLOOKUP($A19,TabCAT!$A:$A,TabCAT!AV:AV,"NaN")))</f>
        <v>1</v>
      </c>
      <c r="EL19" s="8">
        <f>IF(_xlfn.XLOOKUP($A19,TabCAT!$A:$A,TabCAT!AW:AW,"NaN")="","NaN",(_xlfn.XLOOKUP($A19,TabCAT!$A:$A,TabCAT!AW:AW,"NaN")))</f>
        <v>5</v>
      </c>
      <c r="EM19" s="8">
        <f>IF(_xlfn.XLOOKUP($A19,TabCAT!$A:$A,TabCAT!AX:AX,"NaN")="","NaN",(_xlfn.XLOOKUP($A19,TabCAT!$A:$A,TabCAT!AX:AX,"NaN")))</f>
        <v>0</v>
      </c>
      <c r="EN19" s="8">
        <f>IF(_xlfn.XLOOKUP($A19,TabCAT!$A:$A,TabCAT!AY:AY,"NaN")="","NaN",(_xlfn.XLOOKUP($A19,TabCAT!$A:$A,TabCAT!AY:AY,"NaN")))</f>
        <v>7.09</v>
      </c>
      <c r="EO19" s="8">
        <f>IF(_xlfn.XLOOKUP($A19,TabCAT!$A:$A,TabCAT!AZ:AZ,"NaN")="","NaN",(_xlfn.XLOOKUP($A19,TabCAT!$A:$A,TabCAT!AZ:AZ,"NaN")))</f>
        <v>32</v>
      </c>
      <c r="EP19" s="8">
        <f>IF(_xlfn.XLOOKUP($A19,TabCAT!$A:$A,TabCAT!BA:BA,"NaN")="","NaN",(_xlfn.XLOOKUP($A19,TabCAT!$A:$A,TabCAT!BA:BA,"NaN")))</f>
        <v>1.077472</v>
      </c>
      <c r="EQ19" s="8">
        <f>IF(_xlfn.XLOOKUP($A19,TabCAT!$A:$A,TabCAT!BB:BB,"NaN")="","NaN",(_xlfn.XLOOKUP($A19,TabCAT!$A:$A,TabCAT!BB:BB,"NaN")))</f>
        <v>0.14360181204405101</v>
      </c>
      <c r="ER19" s="8">
        <f>IF(_xlfn.XLOOKUP($A19,TabCAT!$A:$A,TabCAT!BC:BC,"NaN")="","NaN",(_xlfn.XLOOKUP($A19,TabCAT!$A:$A,TabCAT!BC:BC,"NaN")))</f>
        <v>16</v>
      </c>
      <c r="ES19" s="8">
        <f>IF(_xlfn.XLOOKUP($A19,TabCAT!$A:$A,TabCAT!BD:BD,"NaN")="","NaN",(_xlfn.XLOOKUP($A19,TabCAT!$A:$A,TabCAT!BD:BD,"NaN")))</f>
        <v>1.0297620000000001</v>
      </c>
      <c r="ET19" s="8">
        <f>IF(_xlfn.XLOOKUP($A19,TabCAT!$A:$A,TabCAT!BE:BE,"NaN")="","NaN",(_xlfn.XLOOKUP($A19,TabCAT!$A:$A,TabCAT!BE:BE,"NaN")))</f>
        <v>16</v>
      </c>
      <c r="EU19" s="8">
        <f>IF(_xlfn.XLOOKUP($A19,TabCAT!$A:$A,TabCAT!BF:BF,"NaN")="","NaN",(_xlfn.XLOOKUP($A19,TabCAT!$A:$A,TabCAT!BF:BF,"NaN")))</f>
        <v>1.1521124999999901</v>
      </c>
      <c r="EV19" s="8">
        <f>IF(_xlfn.XLOOKUP($A19,TabCAT!$A:$A,TabCAT!BG:BG,"NaN")="","NaN",(_xlfn.XLOOKUP($A19,TabCAT!$A:$A,TabCAT!BG:BG,"NaN")))</f>
        <v>-2.5660379999999998</v>
      </c>
      <c r="EW19" s="8" t="str">
        <f>IF(_xlfn.XLOOKUP($A19,TabCAT!$A:$A,TabCAT!BH:BH,"NaN")="","NaN",(_xlfn.XLOOKUP($A19,TabCAT!$A:$A,TabCAT!BH:BH,"NaN")))</f>
        <v>3.0.0</v>
      </c>
      <c r="EX19" s="8" t="str">
        <f>IF(_xlfn.XLOOKUP($A19,TabCAT!$A:$A,TabCAT!BI:BI,"NaN")="","NaN",(_xlfn.XLOOKUP($A19,TabCAT!$A:$A,TabCAT!BI:BI,"NaN")))</f>
        <v>English</v>
      </c>
      <c r="EY19" s="8">
        <f>IF(_xlfn.XLOOKUP($A19,TabCAT!$A:$A,TabCAT!BJ:BJ,"NaN")="","NaN",(_xlfn.XLOOKUP($A19,TabCAT!$A:$A,TabCAT!BJ:BJ,"NaN")))</f>
        <v>278</v>
      </c>
      <c r="EZ19" s="8">
        <f>IF(_xlfn.XLOOKUP($A19,TabCAT!$A:$A,TabCAT!BK:BK,"NaN")="","NaN",(_xlfn.XLOOKUP($A19,TabCAT!$A:$A,TabCAT!BK:BK,"NaN")))</f>
        <v>1</v>
      </c>
      <c r="FA19" s="8">
        <f>IF(_xlfn.XLOOKUP($A19,TabCAT!$A:$A,TabCAT!BL:BL,"NaN")="","NaN",(_xlfn.XLOOKUP($A19,TabCAT!$A:$A,TabCAT!BL:BL,"NaN")))</f>
        <v>6</v>
      </c>
      <c r="FB19" s="8">
        <f>IF(_xlfn.XLOOKUP($A19,TabCAT!$A:$A,TabCAT!BM:BM,"NaN")="","NaN",(_xlfn.XLOOKUP($A19,TabCAT!$A:$A,TabCAT!BM:BM,"NaN")))</f>
        <v>1</v>
      </c>
      <c r="FC19" s="8">
        <f>IF(_xlfn.XLOOKUP($A19,TabCAT!$A:$A,TabCAT!BN:BN,"NaN")="","NaN",(_xlfn.XLOOKUP($A19,TabCAT!$A:$A,TabCAT!BN:BN,"NaN")))</f>
        <v>6</v>
      </c>
      <c r="FD19" s="8">
        <f>IF(_xlfn.XLOOKUP($A19,TabCAT!$A:$A,TabCAT!BO:BO,"NaN")="","NaN",(_xlfn.XLOOKUP($A19,TabCAT!$A:$A,TabCAT!BO:BO,"NaN")))</f>
        <v>8</v>
      </c>
      <c r="FE19" s="8">
        <f>IF(_xlfn.XLOOKUP($A19,TabCAT!$A:$A,TabCAT!BP:BP,"NaN")="","NaN",(_xlfn.XLOOKUP($A19,TabCAT!$A:$A,TabCAT!BP:BP,"NaN")))</f>
        <v>0.88888888888888795</v>
      </c>
      <c r="FF19" s="8">
        <f>IF(_xlfn.XLOOKUP($A19,TabCAT!$A:$A,TabCAT!BQ:BQ,"NaN")="","NaN",(_xlfn.XLOOKUP($A19,TabCAT!$A:$A,TabCAT!BQ:BQ,"NaN")))</f>
        <v>8</v>
      </c>
      <c r="FG19" s="8">
        <f>IF(_xlfn.XLOOKUP($A19,TabCAT!$A:$A,TabCAT!BR:BR,"NaN")="","NaN",(_xlfn.XLOOKUP($A19,TabCAT!$A:$A,TabCAT!BR:BR,"NaN")))</f>
        <v>10</v>
      </c>
      <c r="FH19" s="8">
        <f>IF(_xlfn.XLOOKUP($A19,TabCAT!$A:$A,TabCAT!BS:BS,"NaN")="","NaN",(_xlfn.XLOOKUP($A19,TabCAT!$A:$A,TabCAT!BS:BS,"NaN")))</f>
        <v>0.83333333333333304</v>
      </c>
      <c r="FI19" s="8">
        <f>IF(_xlfn.XLOOKUP($A19,TabCAT!$A:$A,TabCAT!BT:BT,"NaN")="","NaN",(_xlfn.XLOOKUP($A19,TabCAT!$A:$A,TabCAT!BT:BT,"NaN")))</f>
        <v>9.5</v>
      </c>
      <c r="FJ19" s="8">
        <f>IF(_xlfn.XLOOKUP($A19,TabCAT!$A:$A,TabCAT!BU:BU,"NaN")="","NaN",(_xlfn.XLOOKUP($A19,TabCAT!$A:$A,TabCAT!BU:BU,"NaN")))</f>
        <v>14</v>
      </c>
      <c r="FK19" s="8">
        <f>IF(_xlfn.XLOOKUP($A19,TabCAT!$A:$A,TabCAT!BV:BV,"NaN")="","NaN",(_xlfn.XLOOKUP($A19,TabCAT!$A:$A,TabCAT!BV:BV,"NaN")))</f>
        <v>0.93333333333333302</v>
      </c>
      <c r="FL19" s="8">
        <f>IF(_xlfn.XLOOKUP($A19,TabCAT!$A:$A,TabCAT!BW:BW,"NaN")="","NaN",(_xlfn.XLOOKUP($A19,TabCAT!$A:$A,TabCAT!BW:BW,"NaN")))</f>
        <v>13</v>
      </c>
      <c r="FM19" s="8">
        <f>IF(_xlfn.XLOOKUP($A19,TabCAT!$A:$A,TabCAT!BX:BX,"NaN")="","NaN",(_xlfn.XLOOKUP($A19,TabCAT!$A:$A,TabCAT!BX:BX,"NaN")))</f>
        <v>38</v>
      </c>
      <c r="FN19" s="8">
        <f>IF(_xlfn.XLOOKUP($A19,TabCAT!$A:$A,TabCAT!BY:BY,"NaN")="","NaN",(_xlfn.XLOOKUP($A19,TabCAT!$A:$A,TabCAT!BY:BY,"NaN")))</f>
        <v>0.90476190476190399</v>
      </c>
      <c r="FO19" s="8">
        <f>IF(_xlfn.XLOOKUP($A19,TabCAT!$A:$A,TabCAT!BZ:BZ,"NaN")="","NaN",(_xlfn.XLOOKUP($A19,TabCAT!$A:$A,TabCAT!BZ:BZ,"NaN")))</f>
        <v>36.5</v>
      </c>
      <c r="FP19" s="8" t="str">
        <f>IF(_xlfn.XLOOKUP($A19,TabCAT!$A:$A,TabCAT!CA:CA,"NaN")="","NaN",(_xlfn.XLOOKUP($A19,TabCAT!$A:$A,TabCAT!CA:CA,"NaN")))</f>
        <v>3.0.0</v>
      </c>
      <c r="FQ19" s="8" t="str">
        <f>IF(_xlfn.XLOOKUP($A19,TabCAT!$A:$A,TabCAT!CB:CB,"NaN")="","NaN",(_xlfn.XLOOKUP($A19,TabCAT!$A:$A,TabCAT!CB:CB,"NaN")))</f>
        <v>English</v>
      </c>
      <c r="FR19" s="8">
        <f>IF(_xlfn.XLOOKUP($A19,TabCAT!$A:$A,TabCAT!CC:CC,"NaN")="","NaN",(_xlfn.XLOOKUP($A19,TabCAT!$A:$A,TabCAT!CC:CC,"NaN")))</f>
        <v>226</v>
      </c>
      <c r="FS19" s="8" t="b">
        <f>IF(_xlfn.XLOOKUP($A19,TabCAT!$A:$A,TabCAT!CD:CD,"NaN")="","NaN",(_xlfn.XLOOKUP($A19,TabCAT!$A:$A,TabCAT!CD:CD,"NaN")))</f>
        <v>1</v>
      </c>
      <c r="FT19" s="8">
        <f>IF(_xlfn.XLOOKUP($A19,TabCAT!$A:$A,TabCAT!CE:CE,"NaN")="","NaN",(_xlfn.XLOOKUP($A19,TabCAT!$A:$A,TabCAT!CE:CE,"NaN")))</f>
        <v>8</v>
      </c>
      <c r="FU19" s="8">
        <f>IF(_xlfn.XLOOKUP($A19,TabCAT!$A:$A,TabCAT!CF:CF,"NaN")="","NaN",(_xlfn.XLOOKUP($A19,TabCAT!$A:$A,TabCAT!CF:CF,"NaN")))</f>
        <v>0</v>
      </c>
      <c r="FV19" s="8">
        <f>IF(_xlfn.XLOOKUP($A19,TabCAT!$A:$A,TabCAT!CG:CG,"NaN")="","NaN",(_xlfn.XLOOKUP($A19,TabCAT!$A:$A,TabCAT!CG:CG,"NaN")))</f>
        <v>7.87</v>
      </c>
      <c r="FW19" s="8">
        <f>IF(_xlfn.XLOOKUP($A19,TabCAT!$A:$A,TabCAT!CH:CH,"NaN")="","NaN",(_xlfn.XLOOKUP($A19,TabCAT!$A:$A,TabCAT!CH:CH,"NaN")))</f>
        <v>16</v>
      </c>
      <c r="FX19" s="8">
        <f>IF(_xlfn.XLOOKUP($A19,TabCAT!$A:$A,TabCAT!CI:CI,"NaN")="","NaN",(_xlfn.XLOOKUP($A19,TabCAT!$A:$A,TabCAT!CI:CI,"NaN")))</f>
        <v>0.80851200000000001</v>
      </c>
      <c r="FY19" s="8">
        <f>IF(_xlfn.XLOOKUP($A19,TabCAT!$A:$A,TabCAT!CJ:CJ,"NaN")="","NaN",(_xlfn.XLOOKUP($A19,TabCAT!$A:$A,TabCAT!CJ:CJ,"NaN")))</f>
        <v>16</v>
      </c>
      <c r="FZ19" s="8">
        <f>IF(_xlfn.XLOOKUP($A19,TabCAT!$A:$A,TabCAT!CK:CK,"NaN")="","NaN",(_xlfn.XLOOKUP($A19,TabCAT!$A:$A,TabCAT!CK:CK,"NaN")))</f>
        <v>0.62768250000000003</v>
      </c>
      <c r="GA19" s="8">
        <f>IF(_xlfn.XLOOKUP($A19,TabCAT!$A:$A,TabCAT!CL:CL,"NaN")="","NaN",(_xlfn.XLOOKUP($A19,TabCAT!$A:$A,TabCAT!CL:CL,"NaN")))</f>
        <v>32</v>
      </c>
      <c r="GB19" s="8">
        <f>IF(_xlfn.XLOOKUP($A19,TabCAT!$A:$A,TabCAT!CM:CM,"NaN")="","NaN",(_xlfn.XLOOKUP($A19,TabCAT!$A:$A,TabCAT!CM:CM,"NaN")))</f>
        <v>0.859734</v>
      </c>
      <c r="GC19" s="8">
        <f>IF(_xlfn.XLOOKUP($A19,TabCAT!$A:$A,TabCAT!CN:CN,"NaN")="","NaN",(_xlfn.XLOOKUP($A19,TabCAT!$A:$A,TabCAT!CN:CN,"NaN")))</f>
        <v>20</v>
      </c>
      <c r="GD19" s="8">
        <f>IF(_xlfn.XLOOKUP($A19,TabCAT!$A:$A,TabCAT!CO:CO,"NaN")="","NaN",(_xlfn.XLOOKUP($A19,TabCAT!$A:$A,TabCAT!CO:CO,"NaN")))</f>
        <v>0.89170349999999998</v>
      </c>
      <c r="GE19" s="8">
        <f>IF(_xlfn.XLOOKUP($A19,TabCAT!$A:$A,TabCAT!CP:CP,"NaN")="","NaN",(_xlfn.XLOOKUP($A19,TabCAT!$A:$A,TabCAT!CP:CP,"NaN")))</f>
        <v>0.22241972029217</v>
      </c>
      <c r="GF19" s="8">
        <f>IF(_xlfn.XLOOKUP($A19,TabCAT!$A:$A,TabCAT!CQ:CQ,"NaN")="","NaN",(_xlfn.XLOOKUP($A19,TabCAT!$A:$A,TabCAT!CQ:CQ,"NaN")))</f>
        <v>54</v>
      </c>
      <c r="GG19" s="8">
        <f>IF(_xlfn.XLOOKUP($A19,TabCAT!$A:$A,TabCAT!CR:CR,"NaN")="","NaN",(_xlfn.XLOOKUP($A19,TabCAT!$A:$A,TabCAT!CR:CR,"NaN")))</f>
        <v>0.73173350000000004</v>
      </c>
      <c r="GH19" s="8">
        <f>IF(_xlfn.XLOOKUP($A19,TabCAT!$A:$A,TabCAT!CS:CS,"NaN")="","NaN",(_xlfn.XLOOKUP($A19,TabCAT!$A:$A,TabCAT!CS:CS,"NaN")))</f>
        <v>5.7971000000000002E-2</v>
      </c>
    </row>
    <row r="20" spans="1:190" x14ac:dyDescent="0.2">
      <c r="A20">
        <v>10596</v>
      </c>
      <c r="B20">
        <f>_xlfn.XLOOKUP(bippity_poppity_boo!A20,rf1_data!A:A,rf1_data!B:B)</f>
        <v>130995</v>
      </c>
      <c r="C20" s="2">
        <f>(_xlfn.XLOOKUP($A20,trust!$A:$A,trust!B:B,"NaN"))</f>
        <v>3.2727270000000002</v>
      </c>
      <c r="D20" s="2">
        <f>(_xlfn.XLOOKUP($A20,trust!$A:$A,trust!C:C,"NaN"))</f>
        <v>5.25</v>
      </c>
      <c r="E20" s="2">
        <f>(_xlfn.XLOOKUP($A20,trust!$A:$A,trust!D:D,"NaN"))</f>
        <v>5.0769229999999999</v>
      </c>
      <c r="F20" s="2">
        <f>(_xlfn.XLOOKUP($A20,trust!$A:$A,trust!E:E,"NaN"))</f>
        <v>6.1428570000000002</v>
      </c>
      <c r="G20" s="2">
        <f>(_xlfn.XLOOKUP($A20,trust!$A:$A,trust!F:F,"NaN"))</f>
        <v>6.461538</v>
      </c>
      <c r="H20" s="2">
        <f>(_xlfn.XLOOKUP($A20,trust!$A:$A,trust!G:G,"NaN"))</f>
        <v>5.1428570000000002</v>
      </c>
      <c r="I20" s="3">
        <f>IF(_xlfn.XLOOKUP($B20,island_data!$B:$B,island_data!C:C,"NaN")="","NaN",_xlfn.XLOOKUP($B20,island_data!$B:$B,island_data!C:C,"NaN"))</f>
        <v>45106</v>
      </c>
      <c r="J20" s="3">
        <f>IF(_xlfn.XLOOKUP($B20,island_data!$B:$B,island_data!D:D,"NaN")="","NaN",_xlfn.XLOOKUP($B20,island_data!$B:$B,island_data!D:D,"NaN"))</f>
        <v>35004</v>
      </c>
      <c r="K20" s="4">
        <f>IF(_xlfn.XLOOKUP($B20,island_data!$B:$B,island_data!E:E,"NaN")="","NaN",_xlfn.XLOOKUP($B20,island_data!$B:$B,island_data!E:E,"NaN"))</f>
        <v>27.66</v>
      </c>
      <c r="L20" s="5">
        <f>IF(_xlfn.XLOOKUP($B20,rf1_data!$B:$B,rf1_data!D:D,"NaN")="","NaN",(_xlfn.XLOOKUP($B20,rf1_data!$B:$B,rf1_data!D:D,"NaN")))</f>
        <v>27.27</v>
      </c>
      <c r="M20" s="5" t="str">
        <f>IF(_xlfn.XLOOKUP($B20,rf1_data!$B:$B,rf1_data!E:E,"NaN")="","NaN",(_xlfn.XLOOKUP($B20,rf1_data!$B:$B,rf1_data!E:E,"NaN")))</f>
        <v>White</v>
      </c>
      <c r="N20" s="5" t="str">
        <f>IF(_xlfn.XLOOKUP($B20,rf1_data!$B:$B,rf1_data!F:F,"NaN")="","NaN",(_xlfn.XLOOKUP($B20,rf1_data!$B:$B,rf1_data!F:F,"NaN")))</f>
        <v>Not Hispanic or Latino</v>
      </c>
      <c r="O20" s="5" t="str">
        <f>IF(_xlfn.XLOOKUP($B20,rf1_data!$B:$B,rf1_data!G:G,"NaN")="","NaN",(_xlfn.XLOOKUP($B20,rf1_data!$B:$B,rf1_data!G:G,"NaN")))</f>
        <v>Female</v>
      </c>
      <c r="P20" s="5">
        <f>IF(_xlfn.XLOOKUP($B20,rf1_data!$B:$B,rf1_data!H:H,"NaN")="","NaN",(_xlfn.XLOOKUP($B20,rf1_data!$B:$B,rf1_data!H:H,"NaN")))</f>
        <v>3.67</v>
      </c>
      <c r="Q20" s="5">
        <f>IF(_xlfn.XLOOKUP($B20,rf1_data!$B:$B,rf1_data!I:I,"NaN")="","NaN",(_xlfn.XLOOKUP($B20,rf1_data!$B:$B,rf1_data!I:I,"NaN")))</f>
        <v>2.89</v>
      </c>
      <c r="R20" s="5">
        <f>IF(_xlfn.XLOOKUP($B20,rf1_data!$B:$B,rf1_data!J:J,"NaN")="","NaN",(_xlfn.XLOOKUP($B20,rf1_data!$B:$B,rf1_data!J:J,"NaN")))</f>
        <v>8</v>
      </c>
      <c r="S20" s="5">
        <f>IF(_xlfn.XLOOKUP($B20,rf1_data!$B:$B,rf1_data!K:K,"NaN")="","NaN",(_xlfn.XLOOKUP($B20,rf1_data!$B:$B,rf1_data!K:K,"NaN")))</f>
        <v>13</v>
      </c>
      <c r="T20" s="5">
        <f>IF(_xlfn.XLOOKUP($B20,rf1_data!$B:$B,rf1_data!L:L,"NaN")="","NaN",(_xlfn.XLOOKUP($B20,rf1_data!$B:$B,rf1_data!L:L,"NaN")))</f>
        <v>0</v>
      </c>
      <c r="U20" s="5">
        <f>IF(_xlfn.XLOOKUP($B20,rf1_data!$B:$B,rf1_data!M:M,"NaN")="","NaN",(_xlfn.XLOOKUP($B20,rf1_data!$B:$B,rf1_data!M:M,"NaN")))</f>
        <v>4.5</v>
      </c>
      <c r="V20" s="5">
        <f>IF(_xlfn.XLOOKUP($B20,rf1_data!$B:$B,rf1_data!N:N,"NaN")="","NaN",(_xlfn.XLOOKUP($B20,rf1_data!$B:$B,rf1_data!N:N,"NaN")))</f>
        <v>4.17</v>
      </c>
      <c r="W20" s="5">
        <f>IF(_xlfn.XLOOKUP($B20,rf1_data!$B:$B,rf1_data!O:O,"NaN")="","NaN",(_xlfn.XLOOKUP($B20,rf1_data!$B:$B,rf1_data!O:O,"NaN")))</f>
        <v>4.25</v>
      </c>
      <c r="X20" s="5">
        <f>IF(_xlfn.XLOOKUP($B20,rf1_data!$B:$B,rf1_data!P:P,"NaN")="","NaN",(_xlfn.XLOOKUP($B20,rf1_data!$B:$B,rf1_data!P:P,"NaN")))</f>
        <v>4.83</v>
      </c>
      <c r="Y20" s="5">
        <f>IF(_xlfn.XLOOKUP($B20,rf1_data!$B:$B,rf1_data!Q:Q,"NaN")="","NaN",(_xlfn.XLOOKUP($B20,rf1_data!$B:$B,rf1_data!Q:Q,"NaN")))</f>
        <v>4.43</v>
      </c>
      <c r="Z20" s="5">
        <f>IF(_xlfn.XLOOKUP($B20,rf1_data!$B:$B,rf1_data!R:R,"NaN")="","NaN",(_xlfn.XLOOKUP($B20,rf1_data!$B:$B,rf1_data!R:R,"NaN")))</f>
        <v>35</v>
      </c>
      <c r="AA20" s="5">
        <f>IF(_xlfn.XLOOKUP($B20,rf1_data!$B:$B,rf1_data!S:S,"NaN")="","NaN",(_xlfn.XLOOKUP($B20,rf1_data!$B:$B,rf1_data!S:S,"NaN")))</f>
        <v>17</v>
      </c>
      <c r="AB20" s="5">
        <f>IF(_xlfn.XLOOKUP($B20,rf1_data!$B:$B,rf1_data!T:T,"NaN")="","NaN",(_xlfn.XLOOKUP($B20,rf1_data!$B:$B,rf1_data!T:T,"NaN")))</f>
        <v>15</v>
      </c>
      <c r="AC20" s="5">
        <f>IF(_xlfn.XLOOKUP($B20,rf1_data!$B:$B,rf1_data!U:U,"NaN")="","NaN",(_xlfn.XLOOKUP($B20,rf1_data!$B:$B,rf1_data!U:U,"NaN")))</f>
        <v>3</v>
      </c>
      <c r="AD20" s="5">
        <f>IF(_xlfn.XLOOKUP($B20,rf1_data!$B:$B,rf1_data!V:V,"NaN")="","NaN",(_xlfn.XLOOKUP($B20,rf1_data!$B:$B,rf1_data!V:V,"NaN")))</f>
        <v>0</v>
      </c>
      <c r="AE20" s="5">
        <f>IF(_xlfn.XLOOKUP($B20,rf1_data!$B:$B,rf1_data!W:W,"NaN")="","NaN",(_xlfn.XLOOKUP($B20,rf1_data!$B:$B,rf1_data!W:W,"NaN")))</f>
        <v>0</v>
      </c>
      <c r="AF20" s="5">
        <f>IF(_xlfn.XLOOKUP($B20,rf1_data!$B:$B,rf1_data!X:X,"NaN")="","NaN",(_xlfn.XLOOKUP($B20,rf1_data!$B:$B,rf1_data!X:X,"NaN")))</f>
        <v>5</v>
      </c>
      <c r="AG20" s="5">
        <f>IF(_xlfn.XLOOKUP($B20,rf1_data!$B:$B,rf1_data!Y:Y,"NaN")="","NaN",(_xlfn.XLOOKUP($B20,rf1_data!$B:$B,rf1_data!Y:Y,"NaN")))</f>
        <v>3</v>
      </c>
      <c r="AH20" s="5">
        <f>IF(_xlfn.XLOOKUP($B20,rf1_data!$B:$B,rf1_data!Z:Z,"NaN")="","NaN",(_xlfn.XLOOKUP($B20,rf1_data!$B:$B,rf1_data!Z:Z,"NaN")))</f>
        <v>3</v>
      </c>
      <c r="AI20" s="5">
        <f>IF(_xlfn.XLOOKUP($B20,rf1_data!$B:$B,rf1_data!AA:AA,"NaN")="","NaN",(_xlfn.XLOOKUP($B20,rf1_data!$B:$B,rf1_data!AA:AA,"NaN")))</f>
        <v>2</v>
      </c>
      <c r="AJ20" s="5">
        <f>IF(_xlfn.XLOOKUP($B20,rf1_data!$B:$B,rf1_data!AB:AB,"NaN")="","NaN",(_xlfn.XLOOKUP($B20,rf1_data!$B:$B,rf1_data!AB:AB,"NaN")))</f>
        <v>13</v>
      </c>
      <c r="AK20" s="5">
        <f>IF(_xlfn.XLOOKUP($B20,rf1_data!$B:$B,rf1_data!AC:AC,"NaN")="","NaN",(_xlfn.XLOOKUP($B20,rf1_data!$B:$B,rf1_data!AC:AC,"NaN")))</f>
        <v>24</v>
      </c>
      <c r="AL20" s="5">
        <f>IF(_xlfn.XLOOKUP($B20,rf1_data!$B:$B,rf1_data!AD:AD,"NaN")="","NaN",(_xlfn.XLOOKUP($B20,rf1_data!$B:$B,rf1_data!AD:AD,"NaN")))</f>
        <v>14</v>
      </c>
      <c r="AM20" s="5">
        <f>IF(_xlfn.XLOOKUP($B20,rf1_data!$B:$B,rf1_data!AE:AE,"NaN")="","NaN",(_xlfn.XLOOKUP($B20,rf1_data!$B:$B,rf1_data!AE:AE,"NaN")))</f>
        <v>0</v>
      </c>
      <c r="AN20" s="5">
        <f>IF(_xlfn.XLOOKUP($B20,rf1_data!$B:$B,rf1_data!AF:AF,"NaN")="","NaN",(_xlfn.XLOOKUP($B20,rf1_data!$B:$B,rf1_data!AF:AF,"NaN")))</f>
        <v>0</v>
      </c>
      <c r="AO20" s="5" t="str">
        <f>IF(_xlfn.XLOOKUP($B20,rf1_data!$B:$B,rf1_data!AG:AG,"NaN")="","NaN",(_xlfn.XLOOKUP($B20,rf1_data!$B:$B,rf1_data!AG:AG,"NaN")))</f>
        <v>NaN</v>
      </c>
      <c r="AP20" s="5" t="str">
        <f>IF(_xlfn.XLOOKUP($B20,rf1_data!$B:$B,rf1_data!AH:AH,"NaN")="","NaN",(_xlfn.XLOOKUP($B20,rf1_data!$B:$B,rf1_data!AH:AH,"NaN")))</f>
        <v>NaN</v>
      </c>
      <c r="AQ20" s="5" t="str">
        <f>IF(_xlfn.XLOOKUP($B20,rf1_data!$B:$B,rf1_data!AI:AI,"NaN")="","NaN",(_xlfn.XLOOKUP($B20,rf1_data!$B:$B,rf1_data!AI:AI,"NaN")))</f>
        <v>NaN</v>
      </c>
      <c r="AR20" s="5" t="str">
        <f>IF(_xlfn.XLOOKUP($B20,rf1_data!$B:$B,rf1_data!AJ:AJ,"NaN")="","NaN",(_xlfn.XLOOKUP($B20,rf1_data!$B:$B,rf1_data!AJ:AJ,"NaN")))</f>
        <v>NaN</v>
      </c>
      <c r="AS20" s="5">
        <f>IF(_xlfn.XLOOKUP($B20,rf1_data!$B:$B,rf1_data!AK:AK,"NaN")="","NaN",(_xlfn.XLOOKUP($B20,rf1_data!$B:$B,rf1_data!AK:AK,"NaN")))</f>
        <v>3.6</v>
      </c>
      <c r="AT20" s="5">
        <f>IF(_xlfn.XLOOKUP($B20,rf1_data!$B:$B,rf1_data!AL:AL,"NaN")="","NaN",(_xlfn.XLOOKUP($B20,rf1_data!$B:$B,rf1_data!AL:AL,"NaN")))</f>
        <v>12</v>
      </c>
      <c r="AU20" s="5">
        <f>IF(_xlfn.XLOOKUP($B20,rf1_data!$B:$B,rf1_data!AM:AM,"NaN")="","NaN",(_xlfn.XLOOKUP($B20,rf1_data!$B:$B,rf1_data!AM:AM,"NaN")))</f>
        <v>3.17</v>
      </c>
      <c r="AV20" s="5">
        <f>IF(_xlfn.XLOOKUP($B20,rf1_data!$B:$B,rf1_data!AN:AN,"NaN")="","NaN",(_xlfn.XLOOKUP($B20,rf1_data!$B:$B,rf1_data!AN:AN,"NaN")))</f>
        <v>13</v>
      </c>
      <c r="AW20" s="5" t="str">
        <f>IF(_xlfn.XLOOKUP($B20,rf1_data!$B:$B,rf1_data!AO:AO,"NaN")="","NaN",(_xlfn.XLOOKUP($B20,rf1_data!$B:$B,rf1_data!AO:AO,"NaN")))</f>
        <v>NaN</v>
      </c>
      <c r="AX20" s="5">
        <f>IF(_xlfn.XLOOKUP($B20,rf1_data!$B:$B,rf1_data!AP:AP,"NaN")="","NaN",(_xlfn.XLOOKUP($B20,rf1_data!$B:$B,rf1_data!AP:AP,"NaN")))</f>
        <v>3.57</v>
      </c>
      <c r="AY20" s="5">
        <f>IF(_xlfn.XLOOKUP($B20,rf1_data!$B:$B,rf1_data!AQ:AQ,"NaN")="","NaN",(_xlfn.XLOOKUP($B20,rf1_data!$B:$B,rf1_data!AQ:AQ,"NaN")))</f>
        <v>50.1</v>
      </c>
      <c r="AZ20" s="5" t="str">
        <f>IF(_xlfn.XLOOKUP($B20,rf1_data!$B:$B,rf1_data!AR:AR,"NaN")="","NaN",(_xlfn.XLOOKUP($B20,rf1_data!$B:$B,rf1_data!AR:AR,"NaN")))</f>
        <v>NaN</v>
      </c>
      <c r="BA20" s="5" t="str">
        <f>IF(_xlfn.XLOOKUP($B20,rf1_data!$B:$B,rf1_data!AS:AS,"NaN")="","NaN",(_xlfn.XLOOKUP($B20,rf1_data!$B:$B,rf1_data!AS:AS,"NaN")))</f>
        <v>NaN</v>
      </c>
      <c r="BB20" s="5" t="str">
        <f>IF(_xlfn.XLOOKUP($B20,rf1_data!$B:$B,rf1_data!AT:AT,"NaN")="","NaN",(_xlfn.XLOOKUP($B20,rf1_data!$B:$B,rf1_data!AT:AT,"NaN")))</f>
        <v>NaN</v>
      </c>
      <c r="BC20" s="5" t="str">
        <f>IF(_xlfn.XLOOKUP($B20,rf1_data!$B:$B,rf1_data!AU:AU,"NaN")="","NaN",(_xlfn.XLOOKUP($B20,rf1_data!$B:$B,rf1_data!AU:AU,"NaN")))</f>
        <v>NaN</v>
      </c>
      <c r="BD20" s="5" t="str">
        <f>IF(_xlfn.XLOOKUP($B20,rf1_data!$B:$B,rf1_data!AV:AV,"NaN")="","NaN",(_xlfn.XLOOKUP($B20,rf1_data!$B:$B,rf1_data!AV:AV,"NaN")))</f>
        <v>NaN</v>
      </c>
      <c r="BE20" s="5" t="str">
        <f>IF(_xlfn.XLOOKUP($B20,rf1_data!$B:$B,rf1_data!AW:AW,"NaN")="","NaN",(_xlfn.XLOOKUP($B20,rf1_data!$B:$B,rf1_data!AW:AW,"NaN")))</f>
        <v>NaN</v>
      </c>
      <c r="BF20" s="5" t="str">
        <f>IF(_xlfn.XLOOKUP($B20,rf1_data!$B:$B,rf1_data!AX:AX,"NaN")="","NaN",(_xlfn.XLOOKUP($B20,rf1_data!$B:$B,rf1_data!AX:AX,"NaN")))</f>
        <v>NaN</v>
      </c>
      <c r="BG20" s="5" t="str">
        <f>IF(_xlfn.XLOOKUP($B20,rf1_data!$B:$B,rf1_data!AY:AY,"NaN")="","NaN",(_xlfn.XLOOKUP($B20,rf1_data!$B:$B,rf1_data!AY:AY,"NaN")))</f>
        <v>NaN</v>
      </c>
      <c r="BH20" s="5" t="str">
        <f>IF(_xlfn.XLOOKUP($B20,rf1_data!$B:$B,rf1_data!AZ:AZ,"NaN")="","NaN",(_xlfn.XLOOKUP($B20,rf1_data!$B:$B,rf1_data!AZ:AZ,"NaN")))</f>
        <v>NaN</v>
      </c>
      <c r="BI20" s="5">
        <f>IF(_xlfn.XLOOKUP($B20,rf1_data!$B:$B,rf1_data!BA:BA,"NaN")="","NaN",(_xlfn.XLOOKUP($B20,rf1_data!$B:$B,rf1_data!BA:BA,"NaN")))</f>
        <v>20</v>
      </c>
      <c r="BJ20" s="5" t="str">
        <f>IF(_xlfn.XLOOKUP($B20,rf1_data!$B:$B,rf1_data!BB:BB,"NaN")="","NaN",(_xlfn.XLOOKUP($B20,rf1_data!$B:$B,rf1_data!BB:BB,"NaN")))</f>
        <v>NaN</v>
      </c>
      <c r="BK20" s="5" t="str">
        <f>IF(_xlfn.XLOOKUP($B20,rf1_data!$B:$B,rf1_data!BC:BC,"NaN")="","NaN",(_xlfn.XLOOKUP($B20,rf1_data!$B:$B,rf1_data!BC:BC,"NaN")))</f>
        <v>NaN</v>
      </c>
      <c r="BL20" s="5" t="str">
        <f>IF(_xlfn.XLOOKUP($B20,rf1_data!$B:$B,rf1_data!BD:BD,"NaN")="","NaN",(_xlfn.XLOOKUP($B20,rf1_data!$B:$B,rf1_data!BD:BD,"NaN")))</f>
        <v>NaN</v>
      </c>
      <c r="BM20" s="5" t="str">
        <f>IF(_xlfn.XLOOKUP($B20,rf1_data!$B:$B,rf1_data!BE:BE,"NaN")="","NaN",(_xlfn.XLOOKUP($B20,rf1_data!$B:$B,rf1_data!BE:BE,"NaN")))</f>
        <v>NaN</v>
      </c>
      <c r="BN20" s="5" t="str">
        <f>IF(_xlfn.XLOOKUP($B20,rf1_data!$B:$B,rf1_data!BF:BF,"NaN")="","NaN",(_xlfn.XLOOKUP($B20,rf1_data!$B:$B,rf1_data!BF:BF,"NaN")))</f>
        <v>NaN</v>
      </c>
      <c r="BO20" s="5" t="str">
        <f>IF(_xlfn.XLOOKUP($B20,rf1_data!$B:$B,rf1_data!BG:BG,"NaN")="","NaN",(_xlfn.XLOOKUP($B20,rf1_data!$B:$B,rf1_data!BG:BG,"NaN")))</f>
        <v>NaN</v>
      </c>
      <c r="BP20" s="5" t="str">
        <f>IF(_xlfn.XLOOKUP($B20,rf1_data!$B:$B,rf1_data!BH:BH,"NaN")="","NaN",(_xlfn.XLOOKUP($B20,rf1_data!$B:$B,rf1_data!BH:BH,"NaN")))</f>
        <v>NaN</v>
      </c>
      <c r="BQ20" s="5" t="str">
        <f>IF(_xlfn.XLOOKUP($B20,rf1_data!$B:$B,rf1_data!BI:BI,"NaN")="","NaN",(_xlfn.XLOOKUP($B20,rf1_data!$B:$B,rf1_data!BI:BI,"NaN")))</f>
        <v>NaN</v>
      </c>
      <c r="BR20" s="5">
        <f>IF(_xlfn.XLOOKUP($B20,rf1_data!$B:$B,rf1_data!BJ:BJ,"NaN")="","NaN",(_xlfn.XLOOKUP($B20,rf1_data!$B:$B,rf1_data!BJ:BJ,"NaN")))</f>
        <v>8991</v>
      </c>
      <c r="BS20" s="5" t="str">
        <f>IF(_xlfn.XLOOKUP($B20,rf1_data!$B:$B,rf1_data!BK:BK,"NaN")="","NaN",(_xlfn.XLOOKUP($B20,rf1_data!$B:$B,rf1_data!BK:BK,"NaN")))</f>
        <v>NaN</v>
      </c>
      <c r="BT20" s="5" t="str">
        <f>IF(_xlfn.XLOOKUP($B20,rf1_data!$B:$B,rf1_data!BL:BL,"NaN")="","NaN",(_xlfn.XLOOKUP($B20,rf1_data!$B:$B,rf1_data!BL:BL,"NaN")))</f>
        <v>NaN</v>
      </c>
      <c r="BU20" s="5" t="str">
        <f>IF(_xlfn.XLOOKUP($B20,rf1_data!$B:$B,rf1_data!BM:BM,"NaN")="","NaN",(_xlfn.XLOOKUP($B20,rf1_data!$B:$B,rf1_data!BM:BM,"NaN")))</f>
        <v>NaN</v>
      </c>
      <c r="BV20" s="5" t="str">
        <f>IF(_xlfn.XLOOKUP($B20,rf1_data!$B:$B,rf1_data!BN:BN,"NaN")="","NaN",(_xlfn.XLOOKUP($B20,rf1_data!$B:$B,rf1_data!BN:BN,"NaN")))</f>
        <v>NaN</v>
      </c>
      <c r="BW20" s="5">
        <f>IF(_xlfn.XLOOKUP($B20,rf1_data!$B:$B,rf1_data!BO:BO,"NaN")="","NaN",(_xlfn.XLOOKUP($B20,rf1_data!$B:$B,rf1_data!BO:BO,"NaN")))</f>
        <v>2.9</v>
      </c>
      <c r="BX20" s="5">
        <f>IF(_xlfn.XLOOKUP($B20,rf1_data!$B:$B,rf1_data!BP:BP,"NaN")="","NaN",(_xlfn.XLOOKUP($B20,rf1_data!$B:$B,rf1_data!BP:BP,"NaN")))</f>
        <v>3.8</v>
      </c>
      <c r="BY20" s="5">
        <f>IF(_xlfn.XLOOKUP($B20,rf1_data!$B:$B,rf1_data!BQ:BQ,"NaN")="","NaN",(_xlfn.XLOOKUP($B20,rf1_data!$B:$B,rf1_data!BQ:BQ,"NaN")))</f>
        <v>3.5</v>
      </c>
      <c r="BZ20" s="5">
        <f>IF(_xlfn.XLOOKUP($B20,rf1_data!$B:$B,rf1_data!BR:BR,"NaN")="","NaN",(_xlfn.XLOOKUP($B20,rf1_data!$B:$B,rf1_data!BR:BR,"NaN")))</f>
        <v>3.4</v>
      </c>
      <c r="CA20" s="5">
        <f>IF(_xlfn.XLOOKUP($B20,rf1_data!$B:$B,rf1_data!BS:BS,"NaN")="","NaN",(_xlfn.XLOOKUP($B20,rf1_data!$B:$B,rf1_data!BS:BS,"NaN")))</f>
        <v>2.6666666666666599</v>
      </c>
      <c r="CB20" s="5">
        <f>IF(_xlfn.XLOOKUP($B20,rf1_data!$B:$B,rf1_data!BT:BT,"NaN")="","NaN",(_xlfn.XLOOKUP($B20,rf1_data!$B:$B,rf1_data!BT:BT,"NaN")))</f>
        <v>2.6666666666666599</v>
      </c>
      <c r="CC20" s="5">
        <f>IF(_xlfn.XLOOKUP($B20,rf1_data!$B:$B,rf1_data!BU:BU,"NaN")="","NaN",(_xlfn.XLOOKUP($B20,rf1_data!$B:$B,rf1_data!BU:BU,"NaN")))</f>
        <v>2.6666666666666599</v>
      </c>
      <c r="CD20" s="5">
        <f>IF(_xlfn.XLOOKUP($B20,rf1_data!$B:$B,rf1_data!BV:BV,"NaN")="","NaN",(_xlfn.XLOOKUP($B20,rf1_data!$B:$B,rf1_data!BV:BV,"NaN")))</f>
        <v>1.8333333333333299</v>
      </c>
      <c r="CE20" s="5">
        <f>IF(_xlfn.XLOOKUP($B20,rf1_data!$B:$B,rf1_data!BW:BW,"NaN")="","NaN",(_xlfn.XLOOKUP($B20,rf1_data!$B:$B,rf1_data!BW:BW,"NaN")))</f>
        <v>2.15</v>
      </c>
      <c r="CF20" s="5">
        <f>IF(_xlfn.XLOOKUP($B20,rf1_data!$B:$B,rf1_data!BX:BX,"NaN")="","NaN",(_xlfn.XLOOKUP($B20,rf1_data!$B:$B,rf1_data!BX:BX,"NaN")))</f>
        <v>0</v>
      </c>
      <c r="CG20" s="5">
        <f>IF(_xlfn.XLOOKUP($B20,rf1_data!$B:$B,rf1_data!BY:BY,"NaN")="","NaN",(_xlfn.XLOOKUP($B20,rf1_data!$B:$B,rf1_data!BY:BY,"NaN")))</f>
        <v>0</v>
      </c>
      <c r="CH20" s="5">
        <f>IF(_xlfn.XLOOKUP($B20,rf1_data!$B:$B,rf1_data!BZ:BZ,"NaN")="","NaN",(_xlfn.XLOOKUP($B20,rf1_data!$B:$B,rf1_data!BZ:BZ,"NaN")))</f>
        <v>24</v>
      </c>
      <c r="CI20" s="5">
        <f>IF(_xlfn.XLOOKUP($B20,rf1_data!$B:$B,rf1_data!CA:CA,"NaN")="","NaN",(_xlfn.XLOOKUP($B20,rf1_data!$B:$B,rf1_data!CA:CA,"NaN")))</f>
        <v>20</v>
      </c>
      <c r="CJ20" s="5">
        <f>IF(_xlfn.XLOOKUP($B20,rf1_data!$B:$B,rf1_data!CB:CB,"NaN")="","NaN",(_xlfn.XLOOKUP($B20,rf1_data!$B:$B,rf1_data!CB:CB,"NaN")))</f>
        <v>9</v>
      </c>
      <c r="CK20" s="5">
        <f>IF(_xlfn.XLOOKUP($B20,rf1_data!$B:$B,rf1_data!CC:CC,"NaN")="","NaN",(_xlfn.XLOOKUP($B20,rf1_data!$B:$B,rf1_data!CC:CC,"NaN")))</f>
        <v>0.81818181818181801</v>
      </c>
      <c r="CL20" s="5">
        <f>IF(_xlfn.XLOOKUP($B20,rf1_data!$B:$B,rf1_data!CD:CD,"NaN")=0,"NaN",(_xlfn.XLOOKUP($B20,rf1_data!$B:$B,rf1_data!CD:CD,"NaN")))</f>
        <v>31</v>
      </c>
      <c r="CM20" s="5">
        <f>IF(_xlfn.XLOOKUP($B20,rf1_data!$B:$B,rf1_data!CE:CE,"NaN")="","NaN",(_xlfn.XLOOKUP($B20,rf1_data!$B:$B,rf1_data!CE:CE,"NaN")))</f>
        <v>31</v>
      </c>
      <c r="CN20" s="5">
        <f>IF(_xlfn.XLOOKUP($B20,rf1_data!$B:$B,rf1_data!CF:CF,"NaN")="","NaN",(_xlfn.XLOOKUP($B20,rf1_data!$B:$B,rf1_data!CF:CF,"NaN")))</f>
        <v>52</v>
      </c>
      <c r="CO20" s="5">
        <f>IF(_xlfn.XLOOKUP($B20,rf1_data!$B:$B,rf1_data!CG:CG,"NaN")="","NaN",(_xlfn.XLOOKUP($B20,rf1_data!$B:$B,rf1_data!CG:CG,"NaN")))</f>
        <v>24</v>
      </c>
      <c r="CP20" s="5">
        <f>IF(_xlfn.XLOOKUP($B20,rf1_data!$B:$B,rf1_data!CH:CH,"NaN")=0,"NaN",(_xlfn.XLOOKUP($B20,rf1_data!$B:$B,rf1_data!CH:CH,"NaN")))</f>
        <v>37</v>
      </c>
      <c r="CQ20" s="5">
        <f>IF(_xlfn.XLOOKUP($B20,rf1_data!$B:$B,rf1_data!CI:CI,"NaN")="","NaN",(_xlfn.XLOOKUP($B20,rf1_data!$B:$B,rf1_data!CI:CI,"NaN")))</f>
        <v>48</v>
      </c>
      <c r="CR20" s="5">
        <f>IF(_xlfn.XLOOKUP($B20,rf1_data!$B:$B,rf1_data!CJ:CJ,"NaN")="","NaN",(_xlfn.XLOOKUP($B20,rf1_data!$B:$B,rf1_data!CJ:CJ,"NaN")))</f>
        <v>54</v>
      </c>
      <c r="CS20" s="5">
        <f>IF(_xlfn.XLOOKUP($B20,rf1_data!$B:$B,rf1_data!CK:CK,"NaN")="","NaN",(_xlfn.XLOOKUP($B20,rf1_data!$B:$B,rf1_data!CK:CK,"NaN")))</f>
        <v>47</v>
      </c>
      <c r="CT20" s="5">
        <f>IF(_xlfn.XLOOKUP($B20,rf1_data!$B:$B,rf1_data!CL:CL,"NaN")="","NaN",(_xlfn.XLOOKUP($B20,rf1_data!$B:$B,rf1_data!CL:CL,"NaN")))</f>
        <v>60</v>
      </c>
      <c r="CU20" s="5">
        <f>IF(_xlfn.XLOOKUP($B20,rf1_data!$B:$B,rf1_data!CM:CM,"NaN")="","NaN",(_xlfn.XLOOKUP($B20,rf1_data!$B:$B,rf1_data!CM:CM,"NaN")))</f>
        <v>29</v>
      </c>
      <c r="CV20" s="5">
        <f>IF(_xlfn.XLOOKUP($B20,rf1_data!$B:$B,rf1_data!CN:CN,"NaN")="","NaN",(_xlfn.XLOOKUP($B20,rf1_data!$B:$B,rf1_data!CN:CN,"NaN")))</f>
        <v>60</v>
      </c>
      <c r="CW20" s="5" t="str">
        <f>IF(_xlfn.XLOOKUP($B20,rf1_data!$B:$B,rf1_data!CO:CO,"NaN")="","NaN",(_xlfn.XLOOKUP($B20,rf1_data!$B:$B,rf1_data!CO:CO,"NaN")))</f>
        <v>NaN</v>
      </c>
      <c r="CX20" s="5" t="str">
        <f>IF(_xlfn.XLOOKUP($B20,rf1_data!$B:$B,rf1_data!CP:CP,"NaN")="","NaN",(_xlfn.XLOOKUP($B20,rf1_data!$B:$B,rf1_data!CP:CP,"NaN")))</f>
        <v>NaN</v>
      </c>
      <c r="CY20" s="5">
        <f>IF(_xlfn.XLOOKUP($B20,rf1_data!$B:$B,rf1_data!CQ:CQ,"NaN")="","NaN",(_xlfn.XLOOKUP($B20,rf1_data!$B:$B,rf1_data!CQ:CQ,"NaN")))</f>
        <v>4</v>
      </c>
      <c r="CZ20" s="5">
        <f>IF(_xlfn.XLOOKUP($B20,rf1_data!$B:$B,rf1_data!CR:CR,"NaN")="","NaN",(_xlfn.XLOOKUP($B20,rf1_data!$B:$B,rf1_data!CR:CR,"NaN")))</f>
        <v>1</v>
      </c>
      <c r="DA20" s="5">
        <f>IF(_xlfn.XLOOKUP($B20,rf1_data!$B:$B,rf1_data!CS:CS,"NaN")="","NaN",(_xlfn.XLOOKUP($B20,rf1_data!$B:$B,rf1_data!CS:CS,"NaN")))</f>
        <v>1</v>
      </c>
      <c r="DB20" s="4">
        <f>IF(_xlfn.XLOOKUP($B20,island_data!$B:$B,island_data!H:H,"NaN")="","NaN",_xlfn.XLOOKUP($B20,island_data!$B:$B,island_data!H:H,"NaN"))</f>
        <v>0</v>
      </c>
      <c r="DC20" s="4">
        <f>IF(_xlfn.XLOOKUP($B20,island_data!$B:$B,island_data!I:I,"NaN")="","NaN",_xlfn.XLOOKUP($B20,island_data!$B:$B,island_data!I:I,"NaN"))</f>
        <v>0</v>
      </c>
      <c r="DD20" s="4">
        <f>IF(_xlfn.XLOOKUP($B20,island_data!$B:$B,island_data!J:J,"NaN")="","NaN",_xlfn.XLOOKUP($B20,island_data!$B:$B,island_data!J:J,"NaN"))</f>
        <v>3</v>
      </c>
      <c r="DE20" s="4" t="str">
        <f>IF(_xlfn.XLOOKUP($B20,island_data!$B:$B,island_data!K:K,"NaN")="","NaN",_xlfn.XLOOKUP($B20,island_data!$B:$B,island_data!K:K,"NaN"))</f>
        <v>NaN</v>
      </c>
      <c r="DF20" s="4">
        <f>IF(_xlfn.XLOOKUP($B20,island_data!$B:$B,island_data!L:L,"NaN")="","NaN",_xlfn.XLOOKUP($B20,island_data!$B:$B,island_data!L:L,"NaN"))</f>
        <v>26</v>
      </c>
      <c r="DG20" s="4">
        <f>IF(_xlfn.XLOOKUP($B20,island_data!$B:$B,island_data!M:M,"NaN")="","NaN",_xlfn.XLOOKUP($B20,island_data!$B:$B,island_data!M:M,"NaN"))</f>
        <v>2.0555555555556002</v>
      </c>
      <c r="DH20" s="4">
        <f>IF(_xlfn.XLOOKUP($B20,island_data!$B:$B,island_data!N:N,"NaN")="","NaN",_xlfn.XLOOKUP($B20,island_data!$B:$B,island_data!N:N,"NaN"))</f>
        <v>6</v>
      </c>
      <c r="DI20" s="4" t="str">
        <f>IF(_xlfn.XLOOKUP($B20,island_data!$B:$B,island_data!O:O,"NaN")=999,"NaN",_xlfn.XLOOKUP($B20,island_data!$B:$B,island_data!O:O,"NaN"))</f>
        <v>NaN</v>
      </c>
      <c r="DJ20" s="4">
        <f>IF(_xlfn.XLOOKUP($B20,island_data!$B:$B,island_data!P:P,"NaN")="","NaN",_xlfn.XLOOKUP($B20,island_data!$B:$B,island_data!P:P,"NaN"))</f>
        <v>4</v>
      </c>
      <c r="DK20" s="4">
        <f>IF(_xlfn.XLOOKUP($B20,island_data!$B:$B,island_data!Q:Q,"NaN")="","NaN",_xlfn.XLOOKUP($B20,island_data!$B:$B,island_data!Q:Q,"NaN"))</f>
        <v>4</v>
      </c>
      <c r="DL20" s="4" t="str">
        <f>IF(_xlfn.XLOOKUP($B20,island_data!$B:$B,island_data!R:R,"NaN")=999,"NaN",_xlfn.XLOOKUP($B20,island_data!$B:$B,island_data!R:R,"NaN"))</f>
        <v>NaN</v>
      </c>
      <c r="DM20" s="4">
        <f>IF(_xlfn.XLOOKUP($B20,island_data!$B:$B,island_data!S:S,"NaN")="","NaN",_xlfn.XLOOKUP($B20,island_data!$B:$B,island_data!S:S,"NaN"))</f>
        <v>11</v>
      </c>
      <c r="DN20" s="4">
        <f>IF(_xlfn.XLOOKUP($B20,island_data!$B:$B,island_data!T:T,"NaN")="","NaN",_xlfn.XLOOKUP($B20,island_data!$B:$B,island_data!T:T,"NaN"))</f>
        <v>4.3333333333333304</v>
      </c>
      <c r="DO20" s="4">
        <f>IF(_xlfn.XLOOKUP($B20,island_data!$B:$B,island_data!U:U,"NaN")="","NaN",_xlfn.XLOOKUP($B20,island_data!$B:$B,island_data!U:U,"NaN"))</f>
        <v>4</v>
      </c>
      <c r="DP20" s="4">
        <f>IF(_xlfn.XLOOKUP($B20,island_data!$B:$B,island_data!V:V,"NaN")="","NaN",_xlfn.XLOOKUP($B20,island_data!$B:$B,island_data!V:V,"NaN"))</f>
        <v>1</v>
      </c>
      <c r="DQ20" s="4">
        <f>IF(_xlfn.XLOOKUP($B20,island_data!$B:$B,island_data!W:W,"NaN")="","NaN",_xlfn.XLOOKUP($B20,island_data!$B:$B,island_data!W:W,"NaN"))</f>
        <v>2</v>
      </c>
      <c r="DR20" s="4">
        <f>IF(_xlfn.XLOOKUP($B20,island_data!$B:$B,island_data!X:X,"NaN")="","NaN",_xlfn.XLOOKUP($B20,island_data!$B:$B,island_data!X:X,"NaN"))</f>
        <v>4</v>
      </c>
      <c r="DS20" s="4" t="str">
        <f>IF(_xlfn.XLOOKUP($B20,island_data!$B:$B,island_data!Y:Y,"NaN")="","NaN",_xlfn.XLOOKUP($B20,island_data!$B:$B,island_data!Y:Y,"NaN"))</f>
        <v>NaN</v>
      </c>
      <c r="DT20" s="4" t="str">
        <f>IF(_xlfn.XLOOKUP($B20,island_data!$B:$B,island_data!Z:Z,"NaN")="","NaN",_xlfn.XLOOKUP($B20,island_data!$B:$B,island_data!Z:Z,"NaN"))</f>
        <v>NaN</v>
      </c>
      <c r="DU20" s="4" t="str">
        <f>IF(_xlfn.XLOOKUP($B20,island_data!$B:$B,island_data!AA:AA,"NaN")="","NaN",_xlfn.XLOOKUP($B20,island_data!$B:$B,island_data!AA:AA,"NaN"))</f>
        <v>NaN</v>
      </c>
      <c r="DV20" s="4" t="str">
        <f>IF(_xlfn.XLOOKUP($B20,island_data!$B:$B,island_data!AB:AB,"NaN")="","NaN",_xlfn.XLOOKUP($B20,island_data!$B:$B,island_data!AB:AB,"NaN"))</f>
        <v>NaN</v>
      </c>
      <c r="DW20" s="4" t="str">
        <f>IF(_xlfn.XLOOKUP($B20,island_data!$B:$B,island_data!AC:AC,"NaN")="","NaN",_xlfn.XLOOKUP($B20,island_data!$B:$B,island_data!AC:AC,"NaN"))</f>
        <v>NaN</v>
      </c>
      <c r="DX20" s="4">
        <f>IF(_xlfn.XLOOKUP($B20,island_data!$B:$B,island_data!AD:AD,"NaN")="","NaN",_xlfn.XLOOKUP($B20,island_data!$B:$B,island_data!AD:AD,"NaN"))</f>
        <v>2</v>
      </c>
      <c r="DY20" s="4">
        <f>IF(_xlfn.XLOOKUP($B20,island_data!$B:$B,island_data!AE:AE,"NaN")="","NaN",_xlfn.XLOOKUP($B20,island_data!$B:$B,island_data!AE:AE,"NaN"))</f>
        <v>1</v>
      </c>
      <c r="DZ20" s="4" t="str">
        <f>IF(_xlfn.XLOOKUP($B20,island_data!$B:$B,island_data!AF:AF,"NaN")="","NaN",_xlfn.XLOOKUP($B20,island_data!$B:$B,island_data!AF:AF,"NaN"))</f>
        <v>NaN</v>
      </c>
      <c r="EA20" s="4" t="str">
        <f>IF(_xlfn.XLOOKUP($B20,island_data!$B:$B,island_data!AG:AG,"NaN")="","NaN",_xlfn.XLOOKUP($B20,island_data!$B:$B,island_data!AG:AG,"NaN"))</f>
        <v>NaN</v>
      </c>
      <c r="EB20" s="4" t="str">
        <f>IF(_xlfn.XLOOKUP($B20,island_data!$B:$B,island_data!AH:AH,"NaN")="","NaN",_xlfn.XLOOKUP($B20,island_data!$B:$B,island_data!AH:AH,"NaN"))</f>
        <v>NaN</v>
      </c>
      <c r="EC20" s="4" t="str">
        <f>IF(_xlfn.XLOOKUP($B20,island_data!$B:$B,island_data!AI:AI,"NaN")="","NaN",_xlfn.XLOOKUP($B20,island_data!$B:$B,island_data!AI:AI,"NaN"))</f>
        <v>NaN</v>
      </c>
      <c r="ED20" s="4" t="str">
        <f>IF(_xlfn.XLOOKUP($B20,island_data!$B:$B,island_data!AJ:AJ,"NaN")="","NaN",_xlfn.XLOOKUP($B20,island_data!$B:$B,island_data!AJ:AJ,"NaN"))</f>
        <v>NaN</v>
      </c>
      <c r="EE20" s="4" t="str">
        <f>IF(_xlfn.XLOOKUP($B20,island_data!$B:$B,island_data!AK:AK,"NaN")="","NaN",_xlfn.XLOOKUP($B20,island_data!$B:$B,island_data!AK:AK,"NaN"))</f>
        <v>NaN</v>
      </c>
      <c r="EF20" s="4" t="str">
        <f>IF(_xlfn.XLOOKUP($B20,island_data!$B:$B,island_data!AL:AL,"NaN")="","NaN",_xlfn.XLOOKUP($B20,island_data!$B:$B,island_data!AL:AL,"NaN"))</f>
        <v>NaN</v>
      </c>
      <c r="EG20" s="4" t="str">
        <f>IF(_xlfn.XLOOKUP($B20,island_data!$B:$B,island_data!AM:AM,"NaN")="","NaN",_xlfn.XLOOKUP($B20,island_data!$B:$B,island_data!AM:AM,"NaN"))</f>
        <v>NaN</v>
      </c>
      <c r="EH20" s="4" t="str">
        <f>IF(_xlfn.XLOOKUP($B20,island_data!$B:$B,island_data!AN:AN,"NaN")="","NaN",_xlfn.XLOOKUP($B20,island_data!$B:$B,island_data!AN:AN,"NaN"))</f>
        <v>NaN</v>
      </c>
      <c r="EI20" s="4" t="str">
        <f>IF(_xlfn.XLOOKUP($B20,island_data!$B:$B,island_data!AO:AO,"NaN")="","NaN",_xlfn.XLOOKUP($B20,island_data!$B:$B,island_data!AO:AO,"NaN"))</f>
        <v>NaN</v>
      </c>
      <c r="EJ20" s="8">
        <f>IF(_xlfn.XLOOKUP($A20,TabCAT!$A:$A,TabCAT!AU:AU,"NaN")="","NaN",(_xlfn.XLOOKUP($A20,TabCAT!$A:$A,TabCAT!AU:AU,"NaN")))</f>
        <v>160</v>
      </c>
      <c r="EK20" s="8" t="b">
        <f>IF(_xlfn.XLOOKUP($A20,TabCAT!$A:$A,TabCAT!AV:AV,"NaN")="","NaN",(_xlfn.XLOOKUP($A20,TabCAT!$A:$A,TabCAT!AV:AV,"NaN")))</f>
        <v>1</v>
      </c>
      <c r="EL20" s="8">
        <f>IF(_xlfn.XLOOKUP($A20,TabCAT!$A:$A,TabCAT!AW:AW,"NaN")="","NaN",(_xlfn.XLOOKUP($A20,TabCAT!$A:$A,TabCAT!AW:AW,"NaN")))</f>
        <v>6</v>
      </c>
      <c r="EM20" s="8">
        <f>IF(_xlfn.XLOOKUP($A20,TabCAT!$A:$A,TabCAT!AX:AX,"NaN")="","NaN",(_xlfn.XLOOKUP($A20,TabCAT!$A:$A,TabCAT!AX:AX,"NaN")))</f>
        <v>0</v>
      </c>
      <c r="EN20" s="8">
        <f>IF(_xlfn.XLOOKUP($A20,TabCAT!$A:$A,TabCAT!AY:AY,"NaN")="","NaN",(_xlfn.XLOOKUP($A20,TabCAT!$A:$A,TabCAT!AY:AY,"NaN")))</f>
        <v>8.7100000000000009</v>
      </c>
      <c r="EO20" s="8">
        <f>IF(_xlfn.XLOOKUP($A20,TabCAT!$A:$A,TabCAT!AZ:AZ,"NaN")="","NaN",(_xlfn.XLOOKUP($A20,TabCAT!$A:$A,TabCAT!AZ:AZ,"NaN")))</f>
        <v>32</v>
      </c>
      <c r="EP20" s="8">
        <f>IF(_xlfn.XLOOKUP($A20,TabCAT!$A:$A,TabCAT!BA:BA,"NaN")="","NaN",(_xlfn.XLOOKUP($A20,TabCAT!$A:$A,TabCAT!BA:BA,"NaN")))</f>
        <v>0.7164315</v>
      </c>
      <c r="EQ20" s="8">
        <f>IF(_xlfn.XLOOKUP($A20,TabCAT!$A:$A,TabCAT!BB:BB,"NaN")="","NaN",(_xlfn.XLOOKUP($A20,TabCAT!$A:$A,TabCAT!BB:BB,"NaN")))</f>
        <v>0.238032636258072</v>
      </c>
      <c r="ER20" s="8">
        <f>IF(_xlfn.XLOOKUP($A20,TabCAT!$A:$A,TabCAT!BC:BC,"NaN")="","NaN",(_xlfn.XLOOKUP($A20,TabCAT!$A:$A,TabCAT!BC:BC,"NaN")))</f>
        <v>16</v>
      </c>
      <c r="ES20" s="8">
        <f>IF(_xlfn.XLOOKUP($A20,TabCAT!$A:$A,TabCAT!BD:BD,"NaN")="","NaN",(_xlfn.XLOOKUP($A20,TabCAT!$A:$A,TabCAT!BD:BD,"NaN")))</f>
        <v>0.70426100000000003</v>
      </c>
      <c r="ET20" s="8">
        <f>IF(_xlfn.XLOOKUP($A20,TabCAT!$A:$A,TabCAT!BE:BE,"NaN")="","NaN",(_xlfn.XLOOKUP($A20,TabCAT!$A:$A,TabCAT!BE:BE,"NaN")))</f>
        <v>16</v>
      </c>
      <c r="EU20" s="8">
        <f>IF(_xlfn.XLOOKUP($A20,TabCAT!$A:$A,TabCAT!BF:BF,"NaN")="","NaN",(_xlfn.XLOOKUP($A20,TabCAT!$A:$A,TabCAT!BF:BF,"NaN")))</f>
        <v>0.78310349999999995</v>
      </c>
      <c r="EV20" s="8" t="str">
        <f>IF(_xlfn.XLOOKUP($A20,TabCAT!$A:$A,TabCAT!BG:BG,"NaN")="","NaN",(_xlfn.XLOOKUP($A20,TabCAT!$A:$A,TabCAT!BG:BG,"NaN")))</f>
        <v>NaN</v>
      </c>
      <c r="EW20" s="8" t="str">
        <f>IF(_xlfn.XLOOKUP($A20,TabCAT!$A:$A,TabCAT!BH:BH,"NaN")="","NaN",(_xlfn.XLOOKUP($A20,TabCAT!$A:$A,TabCAT!BH:BH,"NaN")))</f>
        <v>3.0.0</v>
      </c>
      <c r="EX20" s="8" t="str">
        <f>IF(_xlfn.XLOOKUP($A20,TabCAT!$A:$A,TabCAT!BI:BI,"NaN")="","NaN",(_xlfn.XLOOKUP($A20,TabCAT!$A:$A,TabCAT!BI:BI,"NaN")))</f>
        <v>English</v>
      </c>
      <c r="EY20" s="8">
        <f>IF(_xlfn.XLOOKUP($A20,TabCAT!$A:$A,TabCAT!BJ:BJ,"NaN")="","NaN",(_xlfn.XLOOKUP($A20,TabCAT!$A:$A,TabCAT!BJ:BJ,"NaN")))</f>
        <v>243</v>
      </c>
      <c r="EZ20" s="8">
        <f>IF(_xlfn.XLOOKUP($A20,TabCAT!$A:$A,TabCAT!BK:BK,"NaN")="","NaN",(_xlfn.XLOOKUP($A20,TabCAT!$A:$A,TabCAT!BK:BK,"NaN")))</f>
        <v>1</v>
      </c>
      <c r="FA20" s="8">
        <f>IF(_xlfn.XLOOKUP($A20,TabCAT!$A:$A,TabCAT!BL:BL,"NaN")="","NaN",(_xlfn.XLOOKUP($A20,TabCAT!$A:$A,TabCAT!BL:BL,"NaN")))</f>
        <v>6</v>
      </c>
      <c r="FB20" s="8">
        <f>IF(_xlfn.XLOOKUP($A20,TabCAT!$A:$A,TabCAT!BM:BM,"NaN")="","NaN",(_xlfn.XLOOKUP($A20,TabCAT!$A:$A,TabCAT!BM:BM,"NaN")))</f>
        <v>1</v>
      </c>
      <c r="FC20" s="8">
        <f>IF(_xlfn.XLOOKUP($A20,TabCAT!$A:$A,TabCAT!BN:BN,"NaN")="","NaN",(_xlfn.XLOOKUP($A20,TabCAT!$A:$A,TabCAT!BN:BN,"NaN")))</f>
        <v>6</v>
      </c>
      <c r="FD20" s="8">
        <f>IF(_xlfn.XLOOKUP($A20,TabCAT!$A:$A,TabCAT!BO:BO,"NaN")="","NaN",(_xlfn.XLOOKUP($A20,TabCAT!$A:$A,TabCAT!BO:BO,"NaN")))</f>
        <v>6</v>
      </c>
      <c r="FE20" s="8">
        <f>IF(_xlfn.XLOOKUP($A20,TabCAT!$A:$A,TabCAT!BP:BP,"NaN")="","NaN",(_xlfn.XLOOKUP($A20,TabCAT!$A:$A,TabCAT!BP:BP,"NaN")))</f>
        <v>0.66666666666666596</v>
      </c>
      <c r="FF20" s="8">
        <f>IF(_xlfn.XLOOKUP($A20,TabCAT!$A:$A,TabCAT!BQ:BQ,"NaN")="","NaN",(_xlfn.XLOOKUP($A20,TabCAT!$A:$A,TabCAT!BQ:BQ,"NaN")))</f>
        <v>6</v>
      </c>
      <c r="FG20" s="8">
        <f>IF(_xlfn.XLOOKUP($A20,TabCAT!$A:$A,TabCAT!BR:BR,"NaN")="","NaN",(_xlfn.XLOOKUP($A20,TabCAT!$A:$A,TabCAT!BR:BR,"NaN")))</f>
        <v>11</v>
      </c>
      <c r="FH20" s="8">
        <f>IF(_xlfn.XLOOKUP($A20,TabCAT!$A:$A,TabCAT!BS:BS,"NaN")="","NaN",(_xlfn.XLOOKUP($A20,TabCAT!$A:$A,TabCAT!BS:BS,"NaN")))</f>
        <v>0.91666666666666596</v>
      </c>
      <c r="FI20" s="8">
        <f>IF(_xlfn.XLOOKUP($A20,TabCAT!$A:$A,TabCAT!BT:BT,"NaN")="","NaN",(_xlfn.XLOOKUP($A20,TabCAT!$A:$A,TabCAT!BT:BT,"NaN")))</f>
        <v>9</v>
      </c>
      <c r="FJ20" s="8">
        <f>IF(_xlfn.XLOOKUP($A20,TabCAT!$A:$A,TabCAT!BU:BU,"NaN")="","NaN",(_xlfn.XLOOKUP($A20,TabCAT!$A:$A,TabCAT!BU:BU,"NaN")))</f>
        <v>8</v>
      </c>
      <c r="FK20" s="8">
        <f>IF(_xlfn.XLOOKUP($A20,TabCAT!$A:$A,TabCAT!BV:BV,"NaN")="","NaN",(_xlfn.XLOOKUP($A20,TabCAT!$A:$A,TabCAT!BV:BV,"NaN")))</f>
        <v>0.53333333333333299</v>
      </c>
      <c r="FL20" s="8">
        <f>IF(_xlfn.XLOOKUP($A20,TabCAT!$A:$A,TabCAT!BW:BW,"NaN")="","NaN",(_xlfn.XLOOKUP($A20,TabCAT!$A:$A,TabCAT!BW:BW,"NaN")))</f>
        <v>6</v>
      </c>
      <c r="FM20" s="8">
        <f>IF(_xlfn.XLOOKUP($A20,TabCAT!$A:$A,TabCAT!BX:BX,"NaN")="","NaN",(_xlfn.XLOOKUP($A20,TabCAT!$A:$A,TabCAT!BX:BX,"NaN")))</f>
        <v>31</v>
      </c>
      <c r="FN20" s="8">
        <f>IF(_xlfn.XLOOKUP($A20,TabCAT!$A:$A,TabCAT!BY:BY,"NaN")="","NaN",(_xlfn.XLOOKUP($A20,TabCAT!$A:$A,TabCAT!BY:BY,"NaN")))</f>
        <v>0.73809523809523803</v>
      </c>
      <c r="FO20" s="8">
        <f>IF(_xlfn.XLOOKUP($A20,TabCAT!$A:$A,TabCAT!BZ:BZ,"NaN")="","NaN",(_xlfn.XLOOKUP($A20,TabCAT!$A:$A,TabCAT!BZ:BZ,"NaN")))</f>
        <v>27</v>
      </c>
      <c r="FP20" s="8" t="str">
        <f>IF(_xlfn.XLOOKUP($A20,TabCAT!$A:$A,TabCAT!CA:CA,"NaN")="","NaN",(_xlfn.XLOOKUP($A20,TabCAT!$A:$A,TabCAT!CA:CA,"NaN")))</f>
        <v>3.0.0</v>
      </c>
      <c r="FQ20" s="8" t="str">
        <f>IF(_xlfn.XLOOKUP($A20,TabCAT!$A:$A,TabCAT!CB:CB,"NaN")="","NaN",(_xlfn.XLOOKUP($A20,TabCAT!$A:$A,TabCAT!CB:CB,"NaN")))</f>
        <v>English</v>
      </c>
      <c r="FR20" s="8">
        <f>IF(_xlfn.XLOOKUP($A20,TabCAT!$A:$A,TabCAT!CC:CC,"NaN")="","NaN",(_xlfn.XLOOKUP($A20,TabCAT!$A:$A,TabCAT!CC:CC,"NaN")))</f>
        <v>235</v>
      </c>
      <c r="FS20" s="8" t="b">
        <f>IF(_xlfn.XLOOKUP($A20,TabCAT!$A:$A,TabCAT!CD:CD,"NaN")="","NaN",(_xlfn.XLOOKUP($A20,TabCAT!$A:$A,TabCAT!CD:CD,"NaN")))</f>
        <v>1</v>
      </c>
      <c r="FT20" s="8">
        <f>IF(_xlfn.XLOOKUP($A20,TabCAT!$A:$A,TabCAT!CE:CE,"NaN")="","NaN",(_xlfn.XLOOKUP($A20,TabCAT!$A:$A,TabCAT!CE:CE,"NaN")))</f>
        <v>8</v>
      </c>
      <c r="FU20" s="8">
        <f>IF(_xlfn.XLOOKUP($A20,TabCAT!$A:$A,TabCAT!CF:CF,"NaN")="","NaN",(_xlfn.XLOOKUP($A20,TabCAT!$A:$A,TabCAT!CF:CF,"NaN")))</f>
        <v>0</v>
      </c>
      <c r="FV20" s="8">
        <f>IF(_xlfn.XLOOKUP($A20,TabCAT!$A:$A,TabCAT!CG:CG,"NaN")="","NaN",(_xlfn.XLOOKUP($A20,TabCAT!$A:$A,TabCAT!CG:CG,"NaN")))</f>
        <v>7.34</v>
      </c>
      <c r="FW20" s="8">
        <f>IF(_xlfn.XLOOKUP($A20,TabCAT!$A:$A,TabCAT!CH:CH,"NaN")="","NaN",(_xlfn.XLOOKUP($A20,TabCAT!$A:$A,TabCAT!CH:CH,"NaN")))</f>
        <v>16</v>
      </c>
      <c r="FX20" s="8">
        <f>IF(_xlfn.XLOOKUP($A20,TabCAT!$A:$A,TabCAT!CI:CI,"NaN")="","NaN",(_xlfn.XLOOKUP($A20,TabCAT!$A:$A,TabCAT!CI:CI,"NaN")))</f>
        <v>0.70880999999999905</v>
      </c>
      <c r="FY20" s="8">
        <f>IF(_xlfn.XLOOKUP($A20,TabCAT!$A:$A,TabCAT!CJ:CJ,"NaN")="","NaN",(_xlfn.XLOOKUP($A20,TabCAT!$A:$A,TabCAT!CJ:CJ,"NaN")))</f>
        <v>16</v>
      </c>
      <c r="FZ20" s="8">
        <f>IF(_xlfn.XLOOKUP($A20,TabCAT!$A:$A,TabCAT!CK:CK,"NaN")="","NaN",(_xlfn.XLOOKUP($A20,TabCAT!$A:$A,TabCAT!CK:CK,"NaN")))</f>
        <v>0.71315099999999998</v>
      </c>
      <c r="GA20" s="8">
        <f>IF(_xlfn.XLOOKUP($A20,TabCAT!$A:$A,TabCAT!CL:CL,"NaN")="","NaN",(_xlfn.XLOOKUP($A20,TabCAT!$A:$A,TabCAT!CL:CL,"NaN")))</f>
        <v>30</v>
      </c>
      <c r="GB20" s="8">
        <f>IF(_xlfn.XLOOKUP($A20,TabCAT!$A:$A,TabCAT!CM:CM,"NaN")="","NaN",(_xlfn.XLOOKUP($A20,TabCAT!$A:$A,TabCAT!CM:CM,"NaN")))</f>
        <v>0.91720950000000001</v>
      </c>
      <c r="GC20" s="8">
        <f>IF(_xlfn.XLOOKUP($A20,TabCAT!$A:$A,TabCAT!CN:CN,"NaN")="","NaN",(_xlfn.XLOOKUP($A20,TabCAT!$A:$A,TabCAT!CN:CN,"NaN")))</f>
        <v>19</v>
      </c>
      <c r="GD20" s="8">
        <f>IF(_xlfn.XLOOKUP($A20,TabCAT!$A:$A,TabCAT!CO:CO,"NaN")="","NaN",(_xlfn.XLOOKUP($A20,TabCAT!$A:$A,TabCAT!CO:CO,"NaN")))</f>
        <v>0.92975699999999994</v>
      </c>
      <c r="GE20" s="8">
        <f>IF(_xlfn.XLOOKUP($A20,TabCAT!$A:$A,TabCAT!CP:CP,"NaN")="","NaN",(_xlfn.XLOOKUP($A20,TabCAT!$A:$A,TabCAT!CP:CP,"NaN")))</f>
        <v>0.162796030539297</v>
      </c>
      <c r="GF20" s="8">
        <f>IF(_xlfn.XLOOKUP($A20,TabCAT!$A:$A,TabCAT!CQ:CQ,"NaN")="","NaN",(_xlfn.XLOOKUP($A20,TabCAT!$A:$A,TabCAT!CQ:CQ,"NaN")))</f>
        <v>53</v>
      </c>
      <c r="GG20" s="8">
        <f>IF(_xlfn.XLOOKUP($A20,TabCAT!$A:$A,TabCAT!CR:CR,"NaN")="","NaN",(_xlfn.XLOOKUP($A20,TabCAT!$A:$A,TabCAT!CR:CR,"NaN")))</f>
        <v>0.75517500000000004</v>
      </c>
      <c r="GH20" s="8" t="str">
        <f>IF(_xlfn.XLOOKUP($A20,TabCAT!$A:$A,TabCAT!CS:CS,"NaN")="","NaN",(_xlfn.XLOOKUP($A20,TabCAT!$A:$A,TabCAT!CS:CS,"NaN")))</f>
        <v>NaN</v>
      </c>
    </row>
    <row r="21" spans="1:190" x14ac:dyDescent="0.2">
      <c r="A21">
        <v>10603</v>
      </c>
      <c r="B21">
        <f>_xlfn.XLOOKUP(bippity_poppity_boo!A21,rf1_data!A:A,rf1_data!B:B)</f>
        <v>31853</v>
      </c>
      <c r="C21" s="2">
        <f>(_xlfn.XLOOKUP($A21,trust!$A:$A,trust!B:B,"NaN"))</f>
        <v>4.5</v>
      </c>
      <c r="D21" s="2">
        <f>(_xlfn.XLOOKUP($A21,trust!$A:$A,trust!C:C,"NaN"))</f>
        <v>4.5</v>
      </c>
      <c r="E21" s="2">
        <f>(_xlfn.XLOOKUP($A21,trust!$A:$A,trust!D:D,"NaN"))</f>
        <v>3.2</v>
      </c>
      <c r="F21" s="2">
        <f>(_xlfn.XLOOKUP($A21,trust!$A:$A,trust!E:E,"NaN"))</f>
        <v>3</v>
      </c>
      <c r="G21" s="2">
        <f>(_xlfn.XLOOKUP($A21,trust!$A:$A,trust!F:F,"NaN"))</f>
        <v>5.5</v>
      </c>
      <c r="H21" s="2">
        <f>(_xlfn.XLOOKUP($A21,trust!$A:$A,trust!G:G,"NaN"))</f>
        <v>5</v>
      </c>
      <c r="I21" s="3">
        <f>IF(_xlfn.XLOOKUP($B21,island_data!$B:$B,island_data!C:C,"NaN")="","NaN",_xlfn.XLOOKUP($B21,island_data!$B:$B,island_data!C:C,"NaN"))</f>
        <v>45034</v>
      </c>
      <c r="J21" s="3">
        <f>IF(_xlfn.XLOOKUP($B21,island_data!$B:$B,island_data!D:D,"NaN")="","NaN",_xlfn.XLOOKUP($B21,island_data!$B:$B,island_data!D:D,"NaN"))</f>
        <v>19676</v>
      </c>
      <c r="K21" s="4">
        <f>IF(_xlfn.XLOOKUP($B21,island_data!$B:$B,island_data!E:E,"NaN")="","NaN",_xlfn.XLOOKUP($B21,island_data!$B:$B,island_data!E:E,"NaN"))</f>
        <v>69.430000000000007</v>
      </c>
      <c r="L21" s="5">
        <f>IF(_xlfn.XLOOKUP($B21,rf1_data!$B:$B,rf1_data!D:D,"NaN")="","NaN",(_xlfn.XLOOKUP($B21,rf1_data!$B:$B,rf1_data!D:D,"NaN")))</f>
        <v>69.22</v>
      </c>
      <c r="M21" s="5" t="str">
        <f>IF(_xlfn.XLOOKUP($B21,rf1_data!$B:$B,rf1_data!E:E,"NaN")="","NaN",(_xlfn.XLOOKUP($B21,rf1_data!$B:$B,rf1_data!E:E,"NaN")))</f>
        <v>Black or African American</v>
      </c>
      <c r="N21" s="5" t="str">
        <f>IF(_xlfn.XLOOKUP($B21,rf1_data!$B:$B,rf1_data!F:F,"NaN")="","NaN",(_xlfn.XLOOKUP($B21,rf1_data!$B:$B,rf1_data!F:F,"NaN")))</f>
        <v>Not Hispanic or Latino</v>
      </c>
      <c r="O21" s="5" t="str">
        <f>IF(_xlfn.XLOOKUP($B21,rf1_data!$B:$B,rf1_data!G:G,"NaN")="","NaN",(_xlfn.XLOOKUP($B21,rf1_data!$B:$B,rf1_data!G:G,"NaN")))</f>
        <v>Female</v>
      </c>
      <c r="P21" s="5">
        <f>IF(_xlfn.XLOOKUP($B21,rf1_data!$B:$B,rf1_data!H:H,"NaN")="","NaN",(_xlfn.XLOOKUP($B21,rf1_data!$B:$B,rf1_data!H:H,"NaN")))</f>
        <v>3.56</v>
      </c>
      <c r="Q21" s="5">
        <f>IF(_xlfn.XLOOKUP($B21,rf1_data!$B:$B,rf1_data!I:I,"NaN")="","NaN",(_xlfn.XLOOKUP($B21,rf1_data!$B:$B,rf1_data!I:I,"NaN")))</f>
        <v>3</v>
      </c>
      <c r="R21" s="5">
        <f>IF(_xlfn.XLOOKUP($B21,rf1_data!$B:$B,rf1_data!J:J,"NaN")="","NaN",(_xlfn.XLOOKUP($B21,rf1_data!$B:$B,rf1_data!J:J,"NaN")))</f>
        <v>5</v>
      </c>
      <c r="S21" s="5">
        <f>IF(_xlfn.XLOOKUP($B21,rf1_data!$B:$B,rf1_data!K:K,"NaN")="","NaN",(_xlfn.XLOOKUP($B21,rf1_data!$B:$B,rf1_data!K:K,"NaN")))</f>
        <v>0</v>
      </c>
      <c r="T21" s="5">
        <f>IF(_xlfn.XLOOKUP($B21,rf1_data!$B:$B,rf1_data!L:L,"NaN")="","NaN",(_xlfn.XLOOKUP($B21,rf1_data!$B:$B,rf1_data!L:L,"NaN")))</f>
        <v>0</v>
      </c>
      <c r="U21" s="5">
        <f>IF(_xlfn.XLOOKUP($B21,rf1_data!$B:$B,rf1_data!M:M,"NaN")="","NaN",(_xlfn.XLOOKUP($B21,rf1_data!$B:$B,rf1_data!M:M,"NaN")))</f>
        <v>7</v>
      </c>
      <c r="V21" s="5">
        <f>IF(_xlfn.XLOOKUP($B21,rf1_data!$B:$B,rf1_data!N:N,"NaN")="","NaN",(_xlfn.XLOOKUP($B21,rf1_data!$B:$B,rf1_data!N:N,"NaN")))</f>
        <v>6.5</v>
      </c>
      <c r="W21" s="5">
        <f>IF(_xlfn.XLOOKUP($B21,rf1_data!$B:$B,rf1_data!O:O,"NaN")="","NaN",(_xlfn.XLOOKUP($B21,rf1_data!$B:$B,rf1_data!O:O,"NaN")))</f>
        <v>6.88</v>
      </c>
      <c r="X21" s="5">
        <f>IF(_xlfn.XLOOKUP($B21,rf1_data!$B:$B,rf1_data!P:P,"NaN")="","NaN",(_xlfn.XLOOKUP($B21,rf1_data!$B:$B,rf1_data!P:P,"NaN")))</f>
        <v>5.17</v>
      </c>
      <c r="Y21" s="5">
        <f>IF(_xlfn.XLOOKUP($B21,rf1_data!$B:$B,rf1_data!Q:Q,"NaN")="","NaN",(_xlfn.XLOOKUP($B21,rf1_data!$B:$B,rf1_data!Q:Q,"NaN")))</f>
        <v>6.37</v>
      </c>
      <c r="Z21" s="5">
        <f>IF(_xlfn.XLOOKUP($B21,rf1_data!$B:$B,rf1_data!R:R,"NaN")="","NaN",(_xlfn.XLOOKUP($B21,rf1_data!$B:$B,rf1_data!R:R,"NaN")))</f>
        <v>1</v>
      </c>
      <c r="AA21" s="5">
        <f>IF(_xlfn.XLOOKUP($B21,rf1_data!$B:$B,rf1_data!S:S,"NaN")="","NaN",(_xlfn.XLOOKUP($B21,rf1_data!$B:$B,rf1_data!S:S,"NaN")))</f>
        <v>0</v>
      </c>
      <c r="AB21" s="5">
        <f>IF(_xlfn.XLOOKUP($B21,rf1_data!$B:$B,rf1_data!T:T,"NaN")="","NaN",(_xlfn.XLOOKUP($B21,rf1_data!$B:$B,rf1_data!T:T,"NaN")))</f>
        <v>1</v>
      </c>
      <c r="AC21" s="5">
        <f>IF(_xlfn.XLOOKUP($B21,rf1_data!$B:$B,rf1_data!U:U,"NaN")="","NaN",(_xlfn.XLOOKUP($B21,rf1_data!$B:$B,rf1_data!U:U,"NaN")))</f>
        <v>0</v>
      </c>
      <c r="AD21" s="5">
        <f>IF(_xlfn.XLOOKUP($B21,rf1_data!$B:$B,rf1_data!V:V,"NaN")="","NaN",(_xlfn.XLOOKUP($B21,rf1_data!$B:$B,rf1_data!V:V,"NaN")))</f>
        <v>0</v>
      </c>
      <c r="AE21" s="5">
        <f>IF(_xlfn.XLOOKUP($B21,rf1_data!$B:$B,rf1_data!W:W,"NaN")="","NaN",(_xlfn.XLOOKUP($B21,rf1_data!$B:$B,rf1_data!W:W,"NaN")))</f>
        <v>3</v>
      </c>
      <c r="AF21" s="5">
        <f>IF(_xlfn.XLOOKUP($B21,rf1_data!$B:$B,rf1_data!X:X,"NaN")="","NaN",(_xlfn.XLOOKUP($B21,rf1_data!$B:$B,rf1_data!X:X,"NaN")))</f>
        <v>2</v>
      </c>
      <c r="AG21" s="5">
        <f>IF(_xlfn.XLOOKUP($B21,rf1_data!$B:$B,rf1_data!Y:Y,"NaN")="","NaN",(_xlfn.XLOOKUP($B21,rf1_data!$B:$B,rf1_data!Y:Y,"NaN")))</f>
        <v>2</v>
      </c>
      <c r="AH21" s="5">
        <f>IF(_xlfn.XLOOKUP($B21,rf1_data!$B:$B,rf1_data!Z:Z,"NaN")="","NaN",(_xlfn.XLOOKUP($B21,rf1_data!$B:$B,rf1_data!Z:Z,"NaN")))</f>
        <v>2</v>
      </c>
      <c r="AI21" s="5">
        <f>IF(_xlfn.XLOOKUP($B21,rf1_data!$B:$B,rf1_data!AA:AA,"NaN")="","NaN",(_xlfn.XLOOKUP($B21,rf1_data!$B:$B,rf1_data!AA:AA,"NaN")))</f>
        <v>3</v>
      </c>
      <c r="AJ21" s="5">
        <f>IF(_xlfn.XLOOKUP($B21,rf1_data!$B:$B,rf1_data!AB:AB,"NaN")="","NaN",(_xlfn.XLOOKUP($B21,rf1_data!$B:$B,rf1_data!AB:AB,"NaN")))</f>
        <v>12</v>
      </c>
      <c r="AK21" s="5">
        <f>IF(_xlfn.XLOOKUP($B21,rf1_data!$B:$B,rf1_data!AC:AC,"NaN")="","NaN",(_xlfn.XLOOKUP($B21,rf1_data!$B:$B,rf1_data!AC:AC,"NaN")))</f>
        <v>30</v>
      </c>
      <c r="AL21" s="5">
        <f>IF(_xlfn.XLOOKUP($B21,rf1_data!$B:$B,rf1_data!AD:AD,"NaN")="","NaN",(_xlfn.XLOOKUP($B21,rf1_data!$B:$B,rf1_data!AD:AD,"NaN")))</f>
        <v>11</v>
      </c>
      <c r="AM21" s="5">
        <f>IF(_xlfn.XLOOKUP($B21,rf1_data!$B:$B,rf1_data!AE:AE,"NaN")="","NaN",(_xlfn.XLOOKUP($B21,rf1_data!$B:$B,rf1_data!AE:AE,"NaN")))</f>
        <v>0</v>
      </c>
      <c r="AN21" s="5">
        <f>IF(_xlfn.XLOOKUP($B21,rf1_data!$B:$B,rf1_data!AF:AF,"NaN")="","NaN",(_xlfn.XLOOKUP($B21,rf1_data!$B:$B,rf1_data!AF:AF,"NaN")))</f>
        <v>0</v>
      </c>
      <c r="AO21" s="5">
        <f>IF(_xlfn.XLOOKUP($B21,rf1_data!$B:$B,rf1_data!AG:AG,"NaN")="","NaN",(_xlfn.XLOOKUP($B21,rf1_data!$B:$B,rf1_data!AG:AG,"NaN")))</f>
        <v>4.08</v>
      </c>
      <c r="AP21" s="5">
        <f>IF(_xlfn.XLOOKUP($B21,rf1_data!$B:$B,rf1_data!AH:AH,"NaN")="","NaN",(_xlfn.XLOOKUP($B21,rf1_data!$B:$B,rf1_data!AH:AH,"NaN")))</f>
        <v>5</v>
      </c>
      <c r="AQ21" s="5">
        <f>IF(_xlfn.XLOOKUP($B21,rf1_data!$B:$B,rf1_data!AI:AI,"NaN")="","NaN",(_xlfn.XLOOKUP($B21,rf1_data!$B:$B,rf1_data!AI:AI,"NaN")))</f>
        <v>2</v>
      </c>
      <c r="AR21" s="5">
        <f>IF(_xlfn.XLOOKUP($B21,rf1_data!$B:$B,rf1_data!AJ:AJ,"NaN")="","NaN",(_xlfn.XLOOKUP($B21,rf1_data!$B:$B,rf1_data!AJ:AJ,"NaN")))</f>
        <v>5.25</v>
      </c>
      <c r="AS21" s="5">
        <f>IF(_xlfn.XLOOKUP($B21,rf1_data!$B:$B,rf1_data!AK:AK,"NaN")="","NaN",(_xlfn.XLOOKUP($B21,rf1_data!$B:$B,rf1_data!AK:AK,"NaN")))</f>
        <v>2.4</v>
      </c>
      <c r="AT21" s="5">
        <f>IF(_xlfn.XLOOKUP($B21,rf1_data!$B:$B,rf1_data!AL:AL,"NaN")="","NaN",(_xlfn.XLOOKUP($B21,rf1_data!$B:$B,rf1_data!AL:AL,"NaN")))</f>
        <v>11</v>
      </c>
      <c r="AU21" s="5">
        <f>IF(_xlfn.XLOOKUP($B21,rf1_data!$B:$B,rf1_data!AM:AM,"NaN")="","NaN",(_xlfn.XLOOKUP($B21,rf1_data!$B:$B,rf1_data!AM:AM,"NaN")))</f>
        <v>1.42</v>
      </c>
      <c r="AV21" s="5">
        <f>IF(_xlfn.XLOOKUP($B21,rf1_data!$B:$B,rf1_data!AN:AN,"NaN")="","NaN",(_xlfn.XLOOKUP($B21,rf1_data!$B:$B,rf1_data!AN:AN,"NaN")))</f>
        <v>0</v>
      </c>
      <c r="AW21" s="5" t="str">
        <f>IF(_xlfn.XLOOKUP($B21,rf1_data!$B:$B,rf1_data!AO:AO,"NaN")="","NaN",(_xlfn.XLOOKUP($B21,rf1_data!$B:$B,rf1_data!AO:AO,"NaN")))</f>
        <v>NaN</v>
      </c>
      <c r="AX21" s="5">
        <f>IF(_xlfn.XLOOKUP($B21,rf1_data!$B:$B,rf1_data!AP:AP,"NaN")="","NaN",(_xlfn.XLOOKUP($B21,rf1_data!$B:$B,rf1_data!AP:AP,"NaN")))</f>
        <v>1.54</v>
      </c>
      <c r="AY21" s="5" t="str">
        <f>IF(_xlfn.XLOOKUP($B21,rf1_data!$B:$B,rf1_data!AQ:AQ,"NaN")="","NaN",(_xlfn.XLOOKUP($B21,rf1_data!$B:$B,rf1_data!AQ:AQ,"NaN")))</f>
        <v>NaN</v>
      </c>
      <c r="AZ21" s="5" t="str">
        <f>IF(_xlfn.XLOOKUP($B21,rf1_data!$B:$B,rf1_data!AR:AR,"NaN")="","NaN",(_xlfn.XLOOKUP($B21,rf1_data!$B:$B,rf1_data!AR:AR,"NaN")))</f>
        <v>NaN</v>
      </c>
      <c r="BA21" s="5" t="str">
        <f>IF(_xlfn.XLOOKUP($B21,rf1_data!$B:$B,rf1_data!AS:AS,"NaN")="","NaN",(_xlfn.XLOOKUP($B21,rf1_data!$B:$B,rf1_data!AS:AS,"NaN")))</f>
        <v>NaN</v>
      </c>
      <c r="BB21" s="5" t="str">
        <f>IF(_xlfn.XLOOKUP($B21,rf1_data!$B:$B,rf1_data!AT:AT,"NaN")="","NaN",(_xlfn.XLOOKUP($B21,rf1_data!$B:$B,rf1_data!AT:AT,"NaN")))</f>
        <v>NaN</v>
      </c>
      <c r="BC21" s="5" t="str">
        <f>IF(_xlfn.XLOOKUP($B21,rf1_data!$B:$B,rf1_data!AU:AU,"NaN")="","NaN",(_xlfn.XLOOKUP($B21,rf1_data!$B:$B,rf1_data!AU:AU,"NaN")))</f>
        <v>NaN</v>
      </c>
      <c r="BD21" s="5" t="str">
        <f>IF(_xlfn.XLOOKUP($B21,rf1_data!$B:$B,rf1_data!AV:AV,"NaN")="","NaN",(_xlfn.XLOOKUP($B21,rf1_data!$B:$B,rf1_data!AV:AV,"NaN")))</f>
        <v>NaN</v>
      </c>
      <c r="BE21" s="5" t="str">
        <f>IF(_xlfn.XLOOKUP($B21,rf1_data!$B:$B,rf1_data!AW:AW,"NaN")="","NaN",(_xlfn.XLOOKUP($B21,rf1_data!$B:$B,rf1_data!AW:AW,"NaN")))</f>
        <v>NaN</v>
      </c>
      <c r="BF21" s="5" t="str">
        <f>IF(_xlfn.XLOOKUP($B21,rf1_data!$B:$B,rf1_data!AX:AX,"NaN")="","NaN",(_xlfn.XLOOKUP($B21,rf1_data!$B:$B,rf1_data!AX:AX,"NaN")))</f>
        <v>NaN</v>
      </c>
      <c r="BG21" s="5" t="str">
        <f>IF(_xlfn.XLOOKUP($B21,rf1_data!$B:$B,rf1_data!AY:AY,"NaN")="","NaN",(_xlfn.XLOOKUP($B21,rf1_data!$B:$B,rf1_data!AY:AY,"NaN")))</f>
        <v>NaN</v>
      </c>
      <c r="BH21" s="5" t="str">
        <f>IF(_xlfn.XLOOKUP($B21,rf1_data!$B:$B,rf1_data!AZ:AZ,"NaN")="","NaN",(_xlfn.XLOOKUP($B21,rf1_data!$B:$B,rf1_data!AZ:AZ,"NaN")))</f>
        <v>NaN</v>
      </c>
      <c r="BI21" s="5">
        <f>IF(_xlfn.XLOOKUP($B21,rf1_data!$B:$B,rf1_data!BA:BA,"NaN")="","NaN",(_xlfn.XLOOKUP($B21,rf1_data!$B:$B,rf1_data!BA:BA,"NaN")))</f>
        <v>20</v>
      </c>
      <c r="BJ21" s="5" t="str">
        <f>IF(_xlfn.XLOOKUP($B21,rf1_data!$B:$B,rf1_data!BB:BB,"NaN")="","NaN",(_xlfn.XLOOKUP($B21,rf1_data!$B:$B,rf1_data!BB:BB,"NaN")))</f>
        <v>NaN</v>
      </c>
      <c r="BK21" s="5" t="str">
        <f>IF(_xlfn.XLOOKUP($B21,rf1_data!$B:$B,rf1_data!BC:BC,"NaN")="","NaN",(_xlfn.XLOOKUP($B21,rf1_data!$B:$B,rf1_data!BC:BC,"NaN")))</f>
        <v>NaN</v>
      </c>
      <c r="BL21" s="5" t="str">
        <f>IF(_xlfn.XLOOKUP($B21,rf1_data!$B:$B,rf1_data!BD:BD,"NaN")="","NaN",(_xlfn.XLOOKUP($B21,rf1_data!$B:$B,rf1_data!BD:BD,"NaN")))</f>
        <v>NaN</v>
      </c>
      <c r="BM21" s="5" t="str">
        <f>IF(_xlfn.XLOOKUP($B21,rf1_data!$B:$B,rf1_data!BE:BE,"NaN")="","NaN",(_xlfn.XLOOKUP($B21,rf1_data!$B:$B,rf1_data!BE:BE,"NaN")))</f>
        <v>NaN</v>
      </c>
      <c r="BN21" s="5" t="str">
        <f>IF(_xlfn.XLOOKUP($B21,rf1_data!$B:$B,rf1_data!BF:BF,"NaN")="","NaN",(_xlfn.XLOOKUP($B21,rf1_data!$B:$B,rf1_data!BF:BF,"NaN")))</f>
        <v>NaN</v>
      </c>
      <c r="BO21" s="5" t="str">
        <f>IF(_xlfn.XLOOKUP($B21,rf1_data!$B:$B,rf1_data!BG:BG,"NaN")="","NaN",(_xlfn.XLOOKUP($B21,rf1_data!$B:$B,rf1_data!BG:BG,"NaN")))</f>
        <v>NaN</v>
      </c>
      <c r="BP21" s="5" t="str">
        <f>IF(_xlfn.XLOOKUP($B21,rf1_data!$B:$B,rf1_data!BH:BH,"NaN")="","NaN",(_xlfn.XLOOKUP($B21,rf1_data!$B:$B,rf1_data!BH:BH,"NaN")))</f>
        <v>NaN</v>
      </c>
      <c r="BQ21" s="5" t="str">
        <f>IF(_xlfn.XLOOKUP($B21,rf1_data!$B:$B,rf1_data!BI:BI,"NaN")="","NaN",(_xlfn.XLOOKUP($B21,rf1_data!$B:$B,rf1_data!BI:BI,"NaN")))</f>
        <v>NaN</v>
      </c>
      <c r="BR21" s="5">
        <f>IF(_xlfn.XLOOKUP($B21,rf1_data!$B:$B,rf1_data!BJ:BJ,"NaN")="","NaN",(_xlfn.XLOOKUP($B21,rf1_data!$B:$B,rf1_data!BJ:BJ,"NaN")))</f>
        <v>8991</v>
      </c>
      <c r="BS21" s="5" t="str">
        <f>IF(_xlfn.XLOOKUP($B21,rf1_data!$B:$B,rf1_data!BK:BK,"NaN")="","NaN",(_xlfn.XLOOKUP($B21,rf1_data!$B:$B,rf1_data!BK:BK,"NaN")))</f>
        <v>NaN</v>
      </c>
      <c r="BT21" s="5" t="str">
        <f>IF(_xlfn.XLOOKUP($B21,rf1_data!$B:$B,rf1_data!BL:BL,"NaN")="","NaN",(_xlfn.XLOOKUP($B21,rf1_data!$B:$B,rf1_data!BL:BL,"NaN")))</f>
        <v>NaN</v>
      </c>
      <c r="BU21" s="5" t="str">
        <f>IF(_xlfn.XLOOKUP($B21,rf1_data!$B:$B,rf1_data!BM:BM,"NaN")="","NaN",(_xlfn.XLOOKUP($B21,rf1_data!$B:$B,rf1_data!BM:BM,"NaN")))</f>
        <v>NaN</v>
      </c>
      <c r="BV21" s="5" t="str">
        <f>IF(_xlfn.XLOOKUP($B21,rf1_data!$B:$B,rf1_data!BN:BN,"NaN")="","NaN",(_xlfn.XLOOKUP($B21,rf1_data!$B:$B,rf1_data!BN:BN,"NaN")))</f>
        <v>NaN</v>
      </c>
      <c r="BW21" s="5">
        <f>IF(_xlfn.XLOOKUP($B21,rf1_data!$B:$B,rf1_data!BO:BO,"NaN")="","NaN",(_xlfn.XLOOKUP($B21,rf1_data!$B:$B,rf1_data!BO:BO,"NaN")))</f>
        <v>3.4</v>
      </c>
      <c r="BX21" s="5">
        <f>IF(_xlfn.XLOOKUP($B21,rf1_data!$B:$B,rf1_data!BP:BP,"NaN")="","NaN",(_xlfn.XLOOKUP($B21,rf1_data!$B:$B,rf1_data!BP:BP,"NaN")))</f>
        <v>3.7</v>
      </c>
      <c r="BY21" s="5">
        <f>IF(_xlfn.XLOOKUP($B21,rf1_data!$B:$B,rf1_data!BQ:BQ,"NaN")="","NaN",(_xlfn.XLOOKUP($B21,rf1_data!$B:$B,rf1_data!BQ:BQ,"NaN")))</f>
        <v>3.7</v>
      </c>
      <c r="BZ21" s="5">
        <f>IF(_xlfn.XLOOKUP($B21,rf1_data!$B:$B,rf1_data!BR:BR,"NaN")="","NaN",(_xlfn.XLOOKUP($B21,rf1_data!$B:$B,rf1_data!BR:BR,"NaN")))</f>
        <v>3.6</v>
      </c>
      <c r="CA21" s="5">
        <f>IF(_xlfn.XLOOKUP($B21,rf1_data!$B:$B,rf1_data!BS:BS,"NaN")="","NaN",(_xlfn.XLOOKUP($B21,rf1_data!$B:$B,rf1_data!BS:BS,"NaN")))</f>
        <v>6</v>
      </c>
      <c r="CB21" s="5">
        <f>IF(_xlfn.XLOOKUP($B21,rf1_data!$B:$B,rf1_data!BT:BT,"NaN")="","NaN",(_xlfn.XLOOKUP($B21,rf1_data!$B:$B,rf1_data!BT:BT,"NaN")))</f>
        <v>6</v>
      </c>
      <c r="CC21" s="5">
        <f>IF(_xlfn.XLOOKUP($B21,rf1_data!$B:$B,rf1_data!BU:BU,"NaN")="","NaN",(_xlfn.XLOOKUP($B21,rf1_data!$B:$B,rf1_data!BU:BU,"NaN")))</f>
        <v>6</v>
      </c>
      <c r="CD21" s="5">
        <f>IF(_xlfn.XLOOKUP($B21,rf1_data!$B:$B,rf1_data!BV:BV,"NaN")="","NaN",(_xlfn.XLOOKUP($B21,rf1_data!$B:$B,rf1_data!BV:BV,"NaN")))</f>
        <v>6</v>
      </c>
      <c r="CE21" s="5">
        <f>IF(_xlfn.XLOOKUP($B21,rf1_data!$B:$B,rf1_data!BW:BW,"NaN")="","NaN",(_xlfn.XLOOKUP($B21,rf1_data!$B:$B,rf1_data!BW:BW,"NaN")))</f>
        <v>1.65</v>
      </c>
      <c r="CF21" s="5">
        <f>IF(_xlfn.XLOOKUP($B21,rf1_data!$B:$B,rf1_data!BX:BX,"NaN")="","NaN",(_xlfn.XLOOKUP($B21,rf1_data!$B:$B,rf1_data!BX:BX,"NaN")))</f>
        <v>0</v>
      </c>
      <c r="CG21" s="5">
        <f>IF(_xlfn.XLOOKUP($B21,rf1_data!$B:$B,rf1_data!BY:BY,"NaN")="","NaN",(_xlfn.XLOOKUP($B21,rf1_data!$B:$B,rf1_data!BY:BY,"NaN")))</f>
        <v>0</v>
      </c>
      <c r="CH21" s="5">
        <f>IF(_xlfn.XLOOKUP($B21,rf1_data!$B:$B,rf1_data!BZ:BZ,"NaN")="","NaN",(_xlfn.XLOOKUP($B21,rf1_data!$B:$B,rf1_data!BZ:BZ,"NaN")))</f>
        <v>27</v>
      </c>
      <c r="CI21" s="5">
        <f>IF(_xlfn.XLOOKUP($B21,rf1_data!$B:$B,rf1_data!CA:CA,"NaN")="","NaN",(_xlfn.XLOOKUP($B21,rf1_data!$B:$B,rf1_data!CA:CA,"NaN")))</f>
        <v>25</v>
      </c>
      <c r="CJ21" s="5">
        <f>IF(_xlfn.XLOOKUP($B21,rf1_data!$B:$B,rf1_data!CB:CB,"NaN")="","NaN",(_xlfn.XLOOKUP($B21,rf1_data!$B:$B,rf1_data!CB:CB,"NaN")))</f>
        <v>9</v>
      </c>
      <c r="CK21" s="5">
        <f>IF(_xlfn.XLOOKUP($B21,rf1_data!$B:$B,rf1_data!CC:CC,"NaN")="","NaN",(_xlfn.XLOOKUP($B21,rf1_data!$B:$B,rf1_data!CC:CC,"NaN")))</f>
        <v>0.9</v>
      </c>
      <c r="CL21" s="5">
        <f>IF(_xlfn.XLOOKUP($B21,rf1_data!$B:$B,rf1_data!CD:CD,"NaN")=0,"NaN",(_xlfn.XLOOKUP($B21,rf1_data!$B:$B,rf1_data!CD:CD,"NaN")))</f>
        <v>36</v>
      </c>
      <c r="CM21" s="5">
        <f>IF(_xlfn.XLOOKUP($B21,rf1_data!$B:$B,rf1_data!CE:CE,"NaN")="","NaN",(_xlfn.XLOOKUP($B21,rf1_data!$B:$B,rf1_data!CE:CE,"NaN")))</f>
        <v>24</v>
      </c>
      <c r="CN21" s="5">
        <f>IF(_xlfn.XLOOKUP($B21,rf1_data!$B:$B,rf1_data!CF:CF,"NaN")="","NaN",(_xlfn.XLOOKUP($B21,rf1_data!$B:$B,rf1_data!CF:CF,"NaN")))</f>
        <v>42</v>
      </c>
      <c r="CO21" s="5">
        <f>IF(_xlfn.XLOOKUP($B21,rf1_data!$B:$B,rf1_data!CG:CG,"NaN")="","NaN",(_xlfn.XLOOKUP($B21,rf1_data!$B:$B,rf1_data!CG:CG,"NaN")))</f>
        <v>27</v>
      </c>
      <c r="CP21" s="5">
        <f>IF(_xlfn.XLOOKUP($B21,rf1_data!$B:$B,rf1_data!CH:CH,"NaN")=0,"NaN",(_xlfn.XLOOKUP($B21,rf1_data!$B:$B,rf1_data!CH:CH,"NaN")))</f>
        <v>32</v>
      </c>
      <c r="CQ21" s="5">
        <f>IF(_xlfn.XLOOKUP($B21,rf1_data!$B:$B,rf1_data!CI:CI,"NaN")="","NaN",(_xlfn.XLOOKUP($B21,rf1_data!$B:$B,rf1_data!CI:CI,"NaN")))</f>
        <v>42</v>
      </c>
      <c r="CR21" s="5">
        <f>IF(_xlfn.XLOOKUP($B21,rf1_data!$B:$B,rf1_data!CJ:CJ,"NaN")="","NaN",(_xlfn.XLOOKUP($B21,rf1_data!$B:$B,rf1_data!CJ:CJ,"NaN")))</f>
        <v>60</v>
      </c>
      <c r="CS21" s="5">
        <f>IF(_xlfn.XLOOKUP($B21,rf1_data!$B:$B,rf1_data!CK:CK,"NaN")="","NaN",(_xlfn.XLOOKUP($B21,rf1_data!$B:$B,rf1_data!CK:CK,"NaN")))</f>
        <v>43</v>
      </c>
      <c r="CT21" s="5">
        <f>IF(_xlfn.XLOOKUP($B21,rf1_data!$B:$B,rf1_data!CL:CL,"NaN")="","NaN",(_xlfn.XLOOKUP($B21,rf1_data!$B:$B,rf1_data!CL:CL,"NaN")))</f>
        <v>60</v>
      </c>
      <c r="CU21" s="5">
        <f>IF(_xlfn.XLOOKUP($B21,rf1_data!$B:$B,rf1_data!CM:CM,"NaN")="","NaN",(_xlfn.XLOOKUP($B21,rf1_data!$B:$B,rf1_data!CM:CM,"NaN")))</f>
        <v>37</v>
      </c>
      <c r="CV21" s="5">
        <f>IF(_xlfn.XLOOKUP($B21,rf1_data!$B:$B,rf1_data!CN:CN,"NaN")="","NaN",(_xlfn.XLOOKUP($B21,rf1_data!$B:$B,rf1_data!CN:CN,"NaN")))</f>
        <v>60</v>
      </c>
      <c r="CW21" s="5" t="str">
        <f>IF(_xlfn.XLOOKUP($B21,rf1_data!$B:$B,rf1_data!CO:CO,"NaN")="","NaN",(_xlfn.XLOOKUP($B21,rf1_data!$B:$B,rf1_data!CO:CO,"NaN")))</f>
        <v>NaN</v>
      </c>
      <c r="CX21" s="5" t="str">
        <f>IF(_xlfn.XLOOKUP($B21,rf1_data!$B:$B,rf1_data!CP:CP,"NaN")="","NaN",(_xlfn.XLOOKUP($B21,rf1_data!$B:$B,rf1_data!CP:CP,"NaN")))</f>
        <v>NaN</v>
      </c>
      <c r="CY21" s="5">
        <f>IF(_xlfn.XLOOKUP($B21,rf1_data!$B:$B,rf1_data!CQ:CQ,"NaN")="","NaN",(_xlfn.XLOOKUP($B21,rf1_data!$B:$B,rf1_data!CQ:CQ,"NaN")))</f>
        <v>7</v>
      </c>
      <c r="CZ21" s="5">
        <f>IF(_xlfn.XLOOKUP($B21,rf1_data!$B:$B,rf1_data!CR:CR,"NaN")="","NaN",(_xlfn.XLOOKUP($B21,rf1_data!$B:$B,rf1_data!CR:CR,"NaN")))</f>
        <v>1</v>
      </c>
      <c r="DA21" s="5">
        <f>IF(_xlfn.XLOOKUP($B21,rf1_data!$B:$B,rf1_data!CS:CS,"NaN")="","NaN",(_xlfn.XLOOKUP($B21,rf1_data!$B:$B,rf1_data!CS:CS,"NaN")))</f>
        <v>4</v>
      </c>
      <c r="DB21" s="4">
        <f>IF(_xlfn.XLOOKUP($B21,island_data!$B:$B,island_data!H:H,"NaN")="","NaN",_xlfn.XLOOKUP($B21,island_data!$B:$B,island_data!H:H,"NaN"))</f>
        <v>0</v>
      </c>
      <c r="DC21" s="4">
        <f>IF(_xlfn.XLOOKUP($B21,island_data!$B:$B,island_data!I:I,"NaN")="","NaN",_xlfn.XLOOKUP($B21,island_data!$B:$B,island_data!I:I,"NaN"))</f>
        <v>0</v>
      </c>
      <c r="DD21" s="4">
        <f>IF(_xlfn.XLOOKUP($B21,island_data!$B:$B,island_data!J:J,"NaN")="","NaN",_xlfn.XLOOKUP($B21,island_data!$B:$B,island_data!J:J,"NaN"))</f>
        <v>0</v>
      </c>
      <c r="DE21" s="4" t="str">
        <f>IF(_xlfn.XLOOKUP($B21,island_data!$B:$B,island_data!K:K,"NaN")="","NaN",_xlfn.XLOOKUP($B21,island_data!$B:$B,island_data!K:K,"NaN"))</f>
        <v>NaN</v>
      </c>
      <c r="DF21" s="4">
        <f>IF(_xlfn.XLOOKUP($B21,island_data!$B:$B,island_data!L:L,"NaN")="","NaN",_xlfn.XLOOKUP($B21,island_data!$B:$B,island_data!L:L,"NaN"))</f>
        <v>28</v>
      </c>
      <c r="DG21" s="4">
        <f>IF(_xlfn.XLOOKUP($B21,island_data!$B:$B,island_data!M:M,"NaN")="","NaN",_xlfn.XLOOKUP($B21,island_data!$B:$B,island_data!M:M,"NaN"))</f>
        <v>2.5555555555556002</v>
      </c>
      <c r="DH21" s="4">
        <f>IF(_xlfn.XLOOKUP($B21,island_data!$B:$B,island_data!N:N,"NaN")="","NaN",_xlfn.XLOOKUP($B21,island_data!$B:$B,island_data!N:N,"NaN"))</f>
        <v>12</v>
      </c>
      <c r="DI21" s="4" t="str">
        <f>IF(_xlfn.XLOOKUP($B21,island_data!$B:$B,island_data!O:O,"NaN")=999,"NaN",_xlfn.XLOOKUP($B21,island_data!$B:$B,island_data!O:O,"NaN"))</f>
        <v>NaN</v>
      </c>
      <c r="DJ21" s="4">
        <f>IF(_xlfn.XLOOKUP($B21,island_data!$B:$B,island_data!P:P,"NaN")="","NaN",_xlfn.XLOOKUP($B21,island_data!$B:$B,island_data!P:P,"NaN"))</f>
        <v>5</v>
      </c>
      <c r="DK21" s="4">
        <f>IF(_xlfn.XLOOKUP($B21,island_data!$B:$B,island_data!Q:Q,"NaN")="","NaN",_xlfn.XLOOKUP($B21,island_data!$B:$B,island_data!Q:Q,"NaN"))</f>
        <v>0</v>
      </c>
      <c r="DL21" s="4" t="str">
        <f>IF(_xlfn.XLOOKUP($B21,island_data!$B:$B,island_data!R:R,"NaN")=999,"NaN",_xlfn.XLOOKUP($B21,island_data!$B:$B,island_data!R:R,"NaN"))</f>
        <v>NaN</v>
      </c>
      <c r="DM21" s="4">
        <f>IF(_xlfn.XLOOKUP($B21,island_data!$B:$B,island_data!S:S,"NaN")="","NaN",_xlfn.XLOOKUP($B21,island_data!$B:$B,island_data!S:S,"NaN"))</f>
        <v>9</v>
      </c>
      <c r="DN21" s="4">
        <f>IF(_xlfn.XLOOKUP($B21,island_data!$B:$B,island_data!T:T,"NaN")="","NaN",_xlfn.XLOOKUP($B21,island_data!$B:$B,island_data!T:T,"NaN"))</f>
        <v>4.1666666666666599</v>
      </c>
      <c r="DO21" s="4">
        <f>IF(_xlfn.XLOOKUP($B21,island_data!$B:$B,island_data!U:U,"NaN")="","NaN",_xlfn.XLOOKUP($B21,island_data!$B:$B,island_data!U:U,"NaN"))</f>
        <v>4</v>
      </c>
      <c r="DP21" s="4">
        <f>IF(_xlfn.XLOOKUP($B21,island_data!$B:$B,island_data!V:V,"NaN")="","NaN",_xlfn.XLOOKUP($B21,island_data!$B:$B,island_data!V:V,"NaN"))</f>
        <v>0</v>
      </c>
      <c r="DQ21" s="4">
        <f>IF(_xlfn.XLOOKUP($B21,island_data!$B:$B,island_data!W:W,"NaN")="","NaN",_xlfn.XLOOKUP($B21,island_data!$B:$B,island_data!W:W,"NaN"))</f>
        <v>8</v>
      </c>
      <c r="DR21" s="4">
        <f>IF(_xlfn.XLOOKUP($B21,island_data!$B:$B,island_data!X:X,"NaN")="","NaN",_xlfn.XLOOKUP($B21,island_data!$B:$B,island_data!X:X,"NaN"))</f>
        <v>4</v>
      </c>
      <c r="DS21" s="4" t="str">
        <f>IF(_xlfn.XLOOKUP($B21,island_data!$B:$B,island_data!Y:Y,"NaN")="","NaN",_xlfn.XLOOKUP($B21,island_data!$B:$B,island_data!Y:Y,"NaN"))</f>
        <v>NaN</v>
      </c>
      <c r="DT21" s="4" t="str">
        <f>IF(_xlfn.XLOOKUP($B21,island_data!$B:$B,island_data!Z:Z,"NaN")="","NaN",_xlfn.XLOOKUP($B21,island_data!$B:$B,island_data!Z:Z,"NaN"))</f>
        <v>NaN</v>
      </c>
      <c r="DU21" s="4" t="str">
        <f>IF(_xlfn.XLOOKUP($B21,island_data!$B:$B,island_data!AA:AA,"NaN")="","NaN",_xlfn.XLOOKUP($B21,island_data!$B:$B,island_data!AA:AA,"NaN"))</f>
        <v>NaN</v>
      </c>
      <c r="DV21" s="4" t="str">
        <f>IF(_xlfn.XLOOKUP($B21,island_data!$B:$B,island_data!AB:AB,"NaN")="","NaN",_xlfn.XLOOKUP($B21,island_data!$B:$B,island_data!AB:AB,"NaN"))</f>
        <v>NaN</v>
      </c>
      <c r="DW21" s="4">
        <f>IF(_xlfn.XLOOKUP($B21,island_data!$B:$B,island_data!AC:AC,"NaN")="","NaN",_xlfn.XLOOKUP($B21,island_data!$B:$B,island_data!AC:AC,"NaN"))</f>
        <v>19133</v>
      </c>
      <c r="DX21" s="4">
        <f>IF(_xlfn.XLOOKUP($B21,island_data!$B:$B,island_data!AD:AD,"NaN")="","NaN",_xlfn.XLOOKUP($B21,island_data!$B:$B,island_data!AD:AD,"NaN"))</f>
        <v>8</v>
      </c>
      <c r="DY21" s="4">
        <f>IF(_xlfn.XLOOKUP($B21,island_data!$B:$B,island_data!AE:AE,"NaN")="","NaN",_xlfn.XLOOKUP($B21,island_data!$B:$B,island_data!AE:AE,"NaN"))</f>
        <v>1</v>
      </c>
      <c r="DZ21" s="4" t="str">
        <f>IF(_xlfn.XLOOKUP($B21,island_data!$B:$B,island_data!AF:AF,"NaN")="","NaN",_xlfn.XLOOKUP($B21,island_data!$B:$B,island_data!AF:AF,"NaN"))</f>
        <v>NaN</v>
      </c>
      <c r="EA21" s="4" t="str">
        <f>IF(_xlfn.XLOOKUP($B21,island_data!$B:$B,island_data!AG:AG,"NaN")="","NaN",_xlfn.XLOOKUP($B21,island_data!$B:$B,island_data!AG:AG,"NaN"))</f>
        <v>NaN</v>
      </c>
      <c r="EB21" s="4" t="str">
        <f>IF(_xlfn.XLOOKUP($B21,island_data!$B:$B,island_data!AH:AH,"NaN")="","NaN",_xlfn.XLOOKUP($B21,island_data!$B:$B,island_data!AH:AH,"NaN"))</f>
        <v>NaN</v>
      </c>
      <c r="EC21" s="4" t="str">
        <f>IF(_xlfn.XLOOKUP($B21,island_data!$B:$B,island_data!AI:AI,"NaN")="","NaN",_xlfn.XLOOKUP($B21,island_data!$B:$B,island_data!AI:AI,"NaN"))</f>
        <v>NaN</v>
      </c>
      <c r="ED21" s="4" t="str">
        <f>IF(_xlfn.XLOOKUP($B21,island_data!$B:$B,island_data!AJ:AJ,"NaN")="","NaN",_xlfn.XLOOKUP($B21,island_data!$B:$B,island_data!AJ:AJ,"NaN"))</f>
        <v>NaN</v>
      </c>
      <c r="EE21" s="4" t="str">
        <f>IF(_xlfn.XLOOKUP($B21,island_data!$B:$B,island_data!AK:AK,"NaN")="","NaN",_xlfn.XLOOKUP($B21,island_data!$B:$B,island_data!AK:AK,"NaN"))</f>
        <v>NaN</v>
      </c>
      <c r="EF21" s="4" t="str">
        <f>IF(_xlfn.XLOOKUP($B21,island_data!$B:$B,island_data!AL:AL,"NaN")="","NaN",_xlfn.XLOOKUP($B21,island_data!$B:$B,island_data!AL:AL,"NaN"))</f>
        <v>NaN</v>
      </c>
      <c r="EG21" s="4" t="str">
        <f>IF(_xlfn.XLOOKUP($B21,island_data!$B:$B,island_data!AM:AM,"NaN")="","NaN",_xlfn.XLOOKUP($B21,island_data!$B:$B,island_data!AM:AM,"NaN"))</f>
        <v>NaN</v>
      </c>
      <c r="EH21" s="4">
        <f>IF(_xlfn.XLOOKUP($B21,island_data!$B:$B,island_data!AN:AN,"NaN")="","NaN",_xlfn.XLOOKUP($B21,island_data!$B:$B,island_data!AN:AN,"NaN"))</f>
        <v>0</v>
      </c>
      <c r="EI21" s="4" t="str">
        <f>IF(_xlfn.XLOOKUP($B21,island_data!$B:$B,island_data!AO:AO,"NaN")="","NaN",_xlfn.XLOOKUP($B21,island_data!$B:$B,island_data!AO:AO,"NaN"))</f>
        <v>NaN</v>
      </c>
      <c r="EJ21" s="8">
        <f>IF(_xlfn.XLOOKUP($A21,TabCAT!$A:$A,TabCAT!AU:AU,"NaN")="","NaN",(_xlfn.XLOOKUP($A21,TabCAT!$A:$A,TabCAT!AU:AU,"NaN")))</f>
        <v>341</v>
      </c>
      <c r="EK21" s="8" t="b">
        <f>IF(_xlfn.XLOOKUP($A21,TabCAT!$A:$A,TabCAT!AV:AV,"NaN")="","NaN",(_xlfn.XLOOKUP($A21,TabCAT!$A:$A,TabCAT!AV:AV,"NaN")))</f>
        <v>1</v>
      </c>
      <c r="EL21" s="8">
        <f>IF(_xlfn.XLOOKUP($A21,TabCAT!$A:$A,TabCAT!AW:AW,"NaN")="","NaN",(_xlfn.XLOOKUP($A21,TabCAT!$A:$A,TabCAT!AW:AW,"NaN")))</f>
        <v>5</v>
      </c>
      <c r="EM21" s="8">
        <f>IF(_xlfn.XLOOKUP($A21,TabCAT!$A:$A,TabCAT!AX:AX,"NaN")="","NaN",(_xlfn.XLOOKUP($A21,TabCAT!$A:$A,TabCAT!AX:AX,"NaN")))</f>
        <v>0</v>
      </c>
      <c r="EN21" s="8">
        <f>IF(_xlfn.XLOOKUP($A21,TabCAT!$A:$A,TabCAT!AY:AY,"NaN")="","NaN",(_xlfn.XLOOKUP($A21,TabCAT!$A:$A,TabCAT!AY:AY,"NaN")))</f>
        <v>6.53</v>
      </c>
      <c r="EO21" s="8">
        <f>IF(_xlfn.XLOOKUP($A21,TabCAT!$A:$A,TabCAT!AZ:AZ,"NaN")="","NaN",(_xlfn.XLOOKUP($A21,TabCAT!$A:$A,TabCAT!AZ:AZ,"NaN")))</f>
        <v>32</v>
      </c>
      <c r="EP21" s="8">
        <f>IF(_xlfn.XLOOKUP($A21,TabCAT!$A:$A,TabCAT!BA:BA,"NaN")="","NaN",(_xlfn.XLOOKUP($A21,TabCAT!$A:$A,TabCAT!BA:BA,"NaN")))</f>
        <v>1.262065</v>
      </c>
      <c r="EQ21" s="8">
        <f>IF(_xlfn.XLOOKUP($A21,TabCAT!$A:$A,TabCAT!BB:BB,"NaN")="","NaN",(_xlfn.XLOOKUP($A21,TabCAT!$A:$A,TabCAT!BB:BB,"NaN")))</f>
        <v>0.14484197966312901</v>
      </c>
      <c r="ER21" s="8">
        <f>IF(_xlfn.XLOOKUP($A21,TabCAT!$A:$A,TabCAT!BC:BC,"NaN")="","NaN",(_xlfn.XLOOKUP($A21,TabCAT!$A:$A,TabCAT!BC:BC,"NaN")))</f>
        <v>16</v>
      </c>
      <c r="ES21" s="8">
        <f>IF(_xlfn.XLOOKUP($A21,TabCAT!$A:$A,TabCAT!BD:BD,"NaN")="","NaN",(_xlfn.XLOOKUP($A21,TabCAT!$A:$A,TabCAT!BD:BD,"NaN")))</f>
        <v>1.2046625</v>
      </c>
      <c r="ET21" s="8">
        <f>IF(_xlfn.XLOOKUP($A21,TabCAT!$A:$A,TabCAT!BE:BE,"NaN")="","NaN",(_xlfn.XLOOKUP($A21,TabCAT!$A:$A,TabCAT!BE:BE,"NaN")))</f>
        <v>16</v>
      </c>
      <c r="EU21" s="8">
        <f>IF(_xlfn.XLOOKUP($A21,TabCAT!$A:$A,TabCAT!BF:BF,"NaN")="","NaN",(_xlfn.XLOOKUP($A21,TabCAT!$A:$A,TabCAT!BF:BF,"NaN")))</f>
        <v>1.3170255</v>
      </c>
      <c r="EV21" s="8" t="str">
        <f>IF(_xlfn.XLOOKUP($A21,TabCAT!$A:$A,TabCAT!BG:BG,"NaN")="","NaN",(_xlfn.XLOOKUP($A21,TabCAT!$A:$A,TabCAT!BG:BG,"NaN")))</f>
        <v>NaN</v>
      </c>
      <c r="EW21" s="8" t="str">
        <f>IF(_xlfn.XLOOKUP($A21,TabCAT!$A:$A,TabCAT!BH:BH,"NaN")="","NaN",(_xlfn.XLOOKUP($A21,TabCAT!$A:$A,TabCAT!BH:BH,"NaN")))</f>
        <v>3.0.0</v>
      </c>
      <c r="EX21" s="8" t="str">
        <f>IF(_xlfn.XLOOKUP($A21,TabCAT!$A:$A,TabCAT!BI:BI,"NaN")="","NaN",(_xlfn.XLOOKUP($A21,TabCAT!$A:$A,TabCAT!BI:BI,"NaN")))</f>
        <v>English</v>
      </c>
      <c r="EY21" s="8">
        <f>IF(_xlfn.XLOOKUP($A21,TabCAT!$A:$A,TabCAT!BJ:BJ,"NaN")="","NaN",(_xlfn.XLOOKUP($A21,TabCAT!$A:$A,TabCAT!BJ:BJ,"NaN")))</f>
        <v>281</v>
      </c>
      <c r="EZ21" s="8">
        <f>IF(_xlfn.XLOOKUP($A21,TabCAT!$A:$A,TabCAT!BK:BK,"NaN")="","NaN",(_xlfn.XLOOKUP($A21,TabCAT!$A:$A,TabCAT!BK:BK,"NaN")))</f>
        <v>1</v>
      </c>
      <c r="FA21" s="8">
        <f>IF(_xlfn.XLOOKUP($A21,TabCAT!$A:$A,TabCAT!BL:BL,"NaN")="","NaN",(_xlfn.XLOOKUP($A21,TabCAT!$A:$A,TabCAT!BL:BL,"NaN")))</f>
        <v>6</v>
      </c>
      <c r="FB21" s="8">
        <f>IF(_xlfn.XLOOKUP($A21,TabCAT!$A:$A,TabCAT!BM:BM,"NaN")="","NaN",(_xlfn.XLOOKUP($A21,TabCAT!$A:$A,TabCAT!BM:BM,"NaN")))</f>
        <v>1</v>
      </c>
      <c r="FC21" s="8">
        <f>IF(_xlfn.XLOOKUP($A21,TabCAT!$A:$A,TabCAT!BN:BN,"NaN")="","NaN",(_xlfn.XLOOKUP($A21,TabCAT!$A:$A,TabCAT!BN:BN,"NaN")))</f>
        <v>5</v>
      </c>
      <c r="FD21" s="8">
        <f>IF(_xlfn.XLOOKUP($A21,TabCAT!$A:$A,TabCAT!BO:BO,"NaN")="","NaN",(_xlfn.XLOOKUP($A21,TabCAT!$A:$A,TabCAT!BO:BO,"NaN")))</f>
        <v>9</v>
      </c>
      <c r="FE21" s="8">
        <f>IF(_xlfn.XLOOKUP($A21,TabCAT!$A:$A,TabCAT!BP:BP,"NaN")="","NaN",(_xlfn.XLOOKUP($A21,TabCAT!$A:$A,TabCAT!BP:BP,"NaN")))</f>
        <v>1</v>
      </c>
      <c r="FF21" s="8">
        <f>IF(_xlfn.XLOOKUP($A21,TabCAT!$A:$A,TabCAT!BQ:BQ,"NaN")="","NaN",(_xlfn.XLOOKUP($A21,TabCAT!$A:$A,TabCAT!BQ:BQ,"NaN")))</f>
        <v>8</v>
      </c>
      <c r="FG21" s="8">
        <f>IF(_xlfn.XLOOKUP($A21,TabCAT!$A:$A,TabCAT!BR:BR,"NaN")="","NaN",(_xlfn.XLOOKUP($A21,TabCAT!$A:$A,TabCAT!BR:BR,"NaN")))</f>
        <v>9</v>
      </c>
      <c r="FH21" s="8">
        <f>IF(_xlfn.XLOOKUP($A21,TabCAT!$A:$A,TabCAT!BS:BS,"NaN")="","NaN",(_xlfn.XLOOKUP($A21,TabCAT!$A:$A,TabCAT!BS:BS,"NaN")))</f>
        <v>0.75</v>
      </c>
      <c r="FI21" s="8">
        <f>IF(_xlfn.XLOOKUP($A21,TabCAT!$A:$A,TabCAT!BT:BT,"NaN")="","NaN",(_xlfn.XLOOKUP($A21,TabCAT!$A:$A,TabCAT!BT:BT,"NaN")))</f>
        <v>4.5</v>
      </c>
      <c r="FJ21" s="8">
        <f>IF(_xlfn.XLOOKUP($A21,TabCAT!$A:$A,TabCAT!BU:BU,"NaN")="","NaN",(_xlfn.XLOOKUP($A21,TabCAT!$A:$A,TabCAT!BU:BU,"NaN")))</f>
        <v>11</v>
      </c>
      <c r="FK21" s="8">
        <f>IF(_xlfn.XLOOKUP($A21,TabCAT!$A:$A,TabCAT!BV:BV,"NaN")="","NaN",(_xlfn.XLOOKUP($A21,TabCAT!$A:$A,TabCAT!BV:BV,"NaN")))</f>
        <v>0.73333333333333295</v>
      </c>
      <c r="FL21" s="8">
        <f>IF(_xlfn.XLOOKUP($A21,TabCAT!$A:$A,TabCAT!BW:BW,"NaN")="","NaN",(_xlfn.XLOOKUP($A21,TabCAT!$A:$A,TabCAT!BW:BW,"NaN")))</f>
        <v>7</v>
      </c>
      <c r="FM21" s="8">
        <f>IF(_xlfn.XLOOKUP($A21,TabCAT!$A:$A,TabCAT!BX:BX,"NaN")="","NaN",(_xlfn.XLOOKUP($A21,TabCAT!$A:$A,TabCAT!BX:BX,"NaN")))</f>
        <v>35</v>
      </c>
      <c r="FN21" s="8">
        <f>IF(_xlfn.XLOOKUP($A21,TabCAT!$A:$A,TabCAT!BY:BY,"NaN")="","NaN",(_xlfn.XLOOKUP($A21,TabCAT!$A:$A,TabCAT!BY:BY,"NaN")))</f>
        <v>0.83333333333333304</v>
      </c>
      <c r="FO21" s="8">
        <f>IF(_xlfn.XLOOKUP($A21,TabCAT!$A:$A,TabCAT!BZ:BZ,"NaN")="","NaN",(_xlfn.XLOOKUP($A21,TabCAT!$A:$A,TabCAT!BZ:BZ,"NaN")))</f>
        <v>24.5</v>
      </c>
      <c r="FP21" s="8" t="str">
        <f>IF(_xlfn.XLOOKUP($A21,TabCAT!$A:$A,TabCAT!CA:CA,"NaN")="","NaN",(_xlfn.XLOOKUP($A21,TabCAT!$A:$A,TabCAT!CA:CA,"NaN")))</f>
        <v>3.0.0</v>
      </c>
      <c r="FQ21" s="8" t="str">
        <f>IF(_xlfn.XLOOKUP($A21,TabCAT!$A:$A,TabCAT!CB:CB,"NaN")="","NaN",(_xlfn.XLOOKUP($A21,TabCAT!$A:$A,TabCAT!CB:CB,"NaN")))</f>
        <v>English</v>
      </c>
      <c r="FR21" s="8">
        <f>IF(_xlfn.XLOOKUP($A21,TabCAT!$A:$A,TabCAT!CC:CC,"NaN")="","NaN",(_xlfn.XLOOKUP($A21,TabCAT!$A:$A,TabCAT!CC:CC,"NaN")))</f>
        <v>275</v>
      </c>
      <c r="FS21" s="8" t="b">
        <f>IF(_xlfn.XLOOKUP($A21,TabCAT!$A:$A,TabCAT!CD:CD,"NaN")="","NaN",(_xlfn.XLOOKUP($A21,TabCAT!$A:$A,TabCAT!CD:CD,"NaN")))</f>
        <v>1</v>
      </c>
      <c r="FT21" s="8">
        <f>IF(_xlfn.XLOOKUP($A21,TabCAT!$A:$A,TabCAT!CE:CE,"NaN")="","NaN",(_xlfn.XLOOKUP($A21,TabCAT!$A:$A,TabCAT!CE:CE,"NaN")))</f>
        <v>7</v>
      </c>
      <c r="FU21" s="8">
        <f>IF(_xlfn.XLOOKUP($A21,TabCAT!$A:$A,TabCAT!CF:CF,"NaN")="","NaN",(_xlfn.XLOOKUP($A21,TabCAT!$A:$A,TabCAT!CF:CF,"NaN")))</f>
        <v>0</v>
      </c>
      <c r="FV21" s="8">
        <f>IF(_xlfn.XLOOKUP($A21,TabCAT!$A:$A,TabCAT!CG:CG,"NaN")="","NaN",(_xlfn.XLOOKUP($A21,TabCAT!$A:$A,TabCAT!CG:CG,"NaN")))</f>
        <v>6.01</v>
      </c>
      <c r="FW21" s="8">
        <f>IF(_xlfn.XLOOKUP($A21,TabCAT!$A:$A,TabCAT!CH:CH,"NaN")="","NaN",(_xlfn.XLOOKUP($A21,TabCAT!$A:$A,TabCAT!CH:CH,"NaN")))</f>
        <v>15</v>
      </c>
      <c r="FX21" s="8">
        <f>IF(_xlfn.XLOOKUP($A21,TabCAT!$A:$A,TabCAT!CI:CI,"NaN")="","NaN",(_xlfn.XLOOKUP($A21,TabCAT!$A:$A,TabCAT!CI:CI,"NaN")))</f>
        <v>1.0462100000000001</v>
      </c>
      <c r="FY21" s="8">
        <f>IF(_xlfn.XLOOKUP($A21,TabCAT!$A:$A,TabCAT!CJ:CJ,"NaN")="","NaN",(_xlfn.XLOOKUP($A21,TabCAT!$A:$A,TabCAT!CJ:CJ,"NaN")))</f>
        <v>16</v>
      </c>
      <c r="FZ21" s="8">
        <f>IF(_xlfn.XLOOKUP($A21,TabCAT!$A:$A,TabCAT!CK:CK,"NaN")="","NaN",(_xlfn.XLOOKUP($A21,TabCAT!$A:$A,TabCAT!CK:CK,"NaN")))</f>
        <v>0.87566349999999904</v>
      </c>
      <c r="GA21" s="8">
        <f>IF(_xlfn.XLOOKUP($A21,TabCAT!$A:$A,TabCAT!CL:CL,"NaN")="","NaN",(_xlfn.XLOOKUP($A21,TabCAT!$A:$A,TabCAT!CL:CL,"NaN")))</f>
        <v>30</v>
      </c>
      <c r="GB21" s="8">
        <f>IF(_xlfn.XLOOKUP($A21,TabCAT!$A:$A,TabCAT!CM:CM,"NaN")="","NaN",(_xlfn.XLOOKUP($A21,TabCAT!$A:$A,TabCAT!CM:CM,"NaN")))</f>
        <v>1.354463</v>
      </c>
      <c r="GC21" s="8">
        <f>IF(_xlfn.XLOOKUP($A21,TabCAT!$A:$A,TabCAT!CN:CN,"NaN")="","NaN",(_xlfn.XLOOKUP($A21,TabCAT!$A:$A,TabCAT!CN:CN,"NaN")))</f>
        <v>15</v>
      </c>
      <c r="GD21" s="8">
        <f>IF(_xlfn.XLOOKUP($A21,TabCAT!$A:$A,TabCAT!CO:CO,"NaN")="","NaN",(_xlfn.XLOOKUP($A21,TabCAT!$A:$A,TabCAT!CO:CO,"NaN")))</f>
        <v>1.4444189999999999</v>
      </c>
      <c r="GE21" s="8">
        <f>IF(_xlfn.XLOOKUP($A21,TabCAT!$A:$A,TabCAT!CP:CP,"NaN")="","NaN",(_xlfn.XLOOKUP($A21,TabCAT!$A:$A,TabCAT!CP:CP,"NaN")))</f>
        <v>0.51392177634653902</v>
      </c>
      <c r="GF21" s="8">
        <f>IF(_xlfn.XLOOKUP($A21,TabCAT!$A:$A,TabCAT!CQ:CQ,"NaN")="","NaN",(_xlfn.XLOOKUP($A21,TabCAT!$A:$A,TabCAT!CQ:CQ,"NaN")))</f>
        <v>55</v>
      </c>
      <c r="GG21" s="8">
        <f>IF(_xlfn.XLOOKUP($A21,TabCAT!$A:$A,TabCAT!CR:CR,"NaN")="","NaN",(_xlfn.XLOOKUP($A21,TabCAT!$A:$A,TabCAT!CR:CR,"NaN")))</f>
        <v>0.99633899999999997</v>
      </c>
      <c r="GH21" s="8" t="str">
        <f>IF(_xlfn.XLOOKUP($A21,TabCAT!$A:$A,TabCAT!CS:CS,"NaN")="","NaN",(_xlfn.XLOOKUP($A21,TabCAT!$A:$A,TabCAT!CS:CS,"NaN")))</f>
        <v>NaN</v>
      </c>
    </row>
    <row r="22" spans="1:190" x14ac:dyDescent="0.2">
      <c r="A22">
        <v>10606</v>
      </c>
      <c r="B22">
        <f>_xlfn.XLOOKUP(bippity_poppity_boo!A22,rf1_data!A:A,rf1_data!B:B)</f>
        <v>51200</v>
      </c>
      <c r="C22" s="2">
        <f>(_xlfn.XLOOKUP($A22,trust!$A:$A,trust!B:B,"NaN"))</f>
        <v>5.3846150000000002</v>
      </c>
      <c r="D22" s="2">
        <f>(_xlfn.XLOOKUP($A22,trust!$A:$A,trust!C:C,"NaN"))</f>
        <v>6.1666670000000003</v>
      </c>
      <c r="E22" s="2">
        <f>(_xlfn.XLOOKUP($A22,trust!$A:$A,trust!D:D,"NaN"))</f>
        <v>5.2307689999999996</v>
      </c>
      <c r="F22" s="2">
        <f>(_xlfn.XLOOKUP($A22,trust!$A:$A,trust!E:E,"NaN"))</f>
        <v>6</v>
      </c>
      <c r="G22" s="2">
        <f>(_xlfn.XLOOKUP($A22,trust!$A:$A,trust!F:F,"NaN"))</f>
        <v>6.3076920000000003</v>
      </c>
      <c r="H22" s="2">
        <f>(_xlfn.XLOOKUP($A22,trust!$A:$A,trust!G:G,"NaN"))</f>
        <v>5.5714290000000002</v>
      </c>
      <c r="I22" s="3">
        <f>IF(_xlfn.XLOOKUP($B22,island_data!$B:$B,island_data!C:C,"NaN")="","NaN",_xlfn.XLOOKUP($B22,island_data!$B:$B,island_data!C:C,"NaN"))</f>
        <v>45106</v>
      </c>
      <c r="J22" s="3">
        <f>IF(_xlfn.XLOOKUP($B22,island_data!$B:$B,island_data!D:D,"NaN")="","NaN",_xlfn.XLOOKUP($B22,island_data!$B:$B,island_data!D:D,"NaN"))</f>
        <v>36779</v>
      </c>
      <c r="K22" s="4">
        <f>IF(_xlfn.XLOOKUP($B22,island_data!$B:$B,island_data!E:E,"NaN")="","NaN",_xlfn.XLOOKUP($B22,island_data!$B:$B,island_data!E:E,"NaN"))</f>
        <v>22.8</v>
      </c>
      <c r="L22" s="5">
        <f>IF(_xlfn.XLOOKUP($B22,rf1_data!$B:$B,rf1_data!D:D,"NaN")="","NaN",(_xlfn.XLOOKUP($B22,rf1_data!$B:$B,rf1_data!D:D,"NaN")))</f>
        <v>22.4</v>
      </c>
      <c r="M22" s="5" t="str">
        <f>IF(_xlfn.XLOOKUP($B22,rf1_data!$B:$B,rf1_data!E:E,"NaN")="","NaN",(_xlfn.XLOOKUP($B22,rf1_data!$B:$B,rf1_data!E:E,"NaN")))</f>
        <v>White</v>
      </c>
      <c r="N22" s="5" t="str">
        <f>IF(_xlfn.XLOOKUP($B22,rf1_data!$B:$B,rf1_data!F:F,"NaN")="","NaN",(_xlfn.XLOOKUP($B22,rf1_data!$B:$B,rf1_data!F:F,"NaN")))</f>
        <v>Not Hispanic or Latino</v>
      </c>
      <c r="O22" s="5" t="str">
        <f>IF(_xlfn.XLOOKUP($B22,rf1_data!$B:$B,rf1_data!G:G,"NaN")="","NaN",(_xlfn.XLOOKUP($B22,rf1_data!$B:$B,rf1_data!G:G,"NaN")))</f>
        <v>Female</v>
      </c>
      <c r="P22" s="5">
        <f>IF(_xlfn.XLOOKUP($B22,rf1_data!$B:$B,rf1_data!H:H,"NaN")="","NaN",(_xlfn.XLOOKUP($B22,rf1_data!$B:$B,rf1_data!H:H,"NaN")))</f>
        <v>3.89</v>
      </c>
      <c r="Q22" s="5">
        <f>IF(_xlfn.XLOOKUP($B22,rf1_data!$B:$B,rf1_data!I:I,"NaN")="","NaN",(_xlfn.XLOOKUP($B22,rf1_data!$B:$B,rf1_data!I:I,"NaN")))</f>
        <v>3.56</v>
      </c>
      <c r="R22" s="5">
        <f>IF(_xlfn.XLOOKUP($B22,rf1_data!$B:$B,rf1_data!J:J,"NaN")="","NaN",(_xlfn.XLOOKUP($B22,rf1_data!$B:$B,rf1_data!J:J,"NaN")))</f>
        <v>0</v>
      </c>
      <c r="S22" s="5">
        <f>IF(_xlfn.XLOOKUP($B22,rf1_data!$B:$B,rf1_data!K:K,"NaN")="","NaN",(_xlfn.XLOOKUP($B22,rf1_data!$B:$B,rf1_data!K:K,"NaN")))</f>
        <v>0</v>
      </c>
      <c r="T22" s="5">
        <f>IF(_xlfn.XLOOKUP($B22,rf1_data!$B:$B,rf1_data!L:L,"NaN")="","NaN",(_xlfn.XLOOKUP($B22,rf1_data!$B:$B,rf1_data!L:L,"NaN")))</f>
        <v>0</v>
      </c>
      <c r="U22" s="5">
        <f>IF(_xlfn.XLOOKUP($B22,rf1_data!$B:$B,rf1_data!M:M,"NaN")="","NaN",(_xlfn.XLOOKUP($B22,rf1_data!$B:$B,rf1_data!M:M,"NaN")))</f>
        <v>7</v>
      </c>
      <c r="V22" s="5">
        <f>IF(_xlfn.XLOOKUP($B22,rf1_data!$B:$B,rf1_data!N:N,"NaN")="","NaN",(_xlfn.XLOOKUP($B22,rf1_data!$B:$B,rf1_data!N:N,"NaN")))</f>
        <v>5.33</v>
      </c>
      <c r="W22" s="5">
        <f>IF(_xlfn.XLOOKUP($B22,rf1_data!$B:$B,rf1_data!O:O,"NaN")="","NaN",(_xlfn.XLOOKUP($B22,rf1_data!$B:$B,rf1_data!O:O,"NaN")))</f>
        <v>6.13</v>
      </c>
      <c r="X22" s="5">
        <f>IF(_xlfn.XLOOKUP($B22,rf1_data!$B:$B,rf1_data!P:P,"NaN")="","NaN",(_xlfn.XLOOKUP($B22,rf1_data!$B:$B,rf1_data!P:P,"NaN")))</f>
        <v>4.17</v>
      </c>
      <c r="Y22" s="5">
        <f>IF(_xlfn.XLOOKUP($B22,rf1_data!$B:$B,rf1_data!Q:Q,"NaN")="","NaN",(_xlfn.XLOOKUP($B22,rf1_data!$B:$B,rf1_data!Q:Q,"NaN")))</f>
        <v>5.73</v>
      </c>
      <c r="Z22" s="5">
        <f>IF(_xlfn.XLOOKUP($B22,rf1_data!$B:$B,rf1_data!R:R,"NaN")="","NaN",(_xlfn.XLOOKUP($B22,rf1_data!$B:$B,rf1_data!R:R,"NaN")))</f>
        <v>7</v>
      </c>
      <c r="AA22" s="5">
        <f>IF(_xlfn.XLOOKUP($B22,rf1_data!$B:$B,rf1_data!S:S,"NaN")="","NaN",(_xlfn.XLOOKUP($B22,rf1_data!$B:$B,rf1_data!S:S,"NaN")))</f>
        <v>4</v>
      </c>
      <c r="AB22" s="5">
        <f>IF(_xlfn.XLOOKUP($B22,rf1_data!$B:$B,rf1_data!T:T,"NaN")="","NaN",(_xlfn.XLOOKUP($B22,rf1_data!$B:$B,rf1_data!T:T,"NaN")))</f>
        <v>1</v>
      </c>
      <c r="AC22" s="5">
        <f>IF(_xlfn.XLOOKUP($B22,rf1_data!$B:$B,rf1_data!U:U,"NaN")="","NaN",(_xlfn.XLOOKUP($B22,rf1_data!$B:$B,rf1_data!U:U,"NaN")))</f>
        <v>1</v>
      </c>
      <c r="AD22" s="5">
        <f>IF(_xlfn.XLOOKUP($B22,rf1_data!$B:$B,rf1_data!V:V,"NaN")="","NaN",(_xlfn.XLOOKUP($B22,rf1_data!$B:$B,rf1_data!V:V,"NaN")))</f>
        <v>1</v>
      </c>
      <c r="AE22" s="5">
        <f>IF(_xlfn.XLOOKUP($B22,rf1_data!$B:$B,rf1_data!W:W,"NaN")="","NaN",(_xlfn.XLOOKUP($B22,rf1_data!$B:$B,rf1_data!W:W,"NaN")))</f>
        <v>2</v>
      </c>
      <c r="AF22" s="5">
        <f>IF(_xlfn.XLOOKUP($B22,rf1_data!$B:$B,rf1_data!X:X,"NaN")="","NaN",(_xlfn.XLOOKUP($B22,rf1_data!$B:$B,rf1_data!X:X,"NaN")))</f>
        <v>5</v>
      </c>
      <c r="AG22" s="5">
        <f>IF(_xlfn.XLOOKUP($B22,rf1_data!$B:$B,rf1_data!Y:Y,"NaN")="","NaN",(_xlfn.XLOOKUP($B22,rf1_data!$B:$B,rf1_data!Y:Y,"NaN")))</f>
        <v>6</v>
      </c>
      <c r="AH22" s="5">
        <f>IF(_xlfn.XLOOKUP($B22,rf1_data!$B:$B,rf1_data!Z:Z,"NaN")="","NaN",(_xlfn.XLOOKUP($B22,rf1_data!$B:$B,rf1_data!Z:Z,"NaN")))</f>
        <v>2</v>
      </c>
      <c r="AI22" s="5">
        <f>IF(_xlfn.XLOOKUP($B22,rf1_data!$B:$B,rf1_data!AA:AA,"NaN")="","NaN",(_xlfn.XLOOKUP($B22,rf1_data!$B:$B,rf1_data!AA:AA,"NaN")))</f>
        <v>0</v>
      </c>
      <c r="AJ22" s="5">
        <f>IF(_xlfn.XLOOKUP($B22,rf1_data!$B:$B,rf1_data!AB:AB,"NaN")="","NaN",(_xlfn.XLOOKUP($B22,rf1_data!$B:$B,rf1_data!AB:AB,"NaN")))</f>
        <v>15</v>
      </c>
      <c r="AK22" s="5">
        <f>IF(_xlfn.XLOOKUP($B22,rf1_data!$B:$B,rf1_data!AC:AC,"NaN")="","NaN",(_xlfn.XLOOKUP($B22,rf1_data!$B:$B,rf1_data!AC:AC,"NaN")))</f>
        <v>23</v>
      </c>
      <c r="AL22" s="5">
        <f>IF(_xlfn.XLOOKUP($B22,rf1_data!$B:$B,rf1_data!AD:AD,"NaN")="","NaN",(_xlfn.XLOOKUP($B22,rf1_data!$B:$B,rf1_data!AD:AD,"NaN")))</f>
        <v>11</v>
      </c>
      <c r="AM22" s="5">
        <f>IF(_xlfn.XLOOKUP($B22,rf1_data!$B:$B,rf1_data!AE:AE,"NaN")="","NaN",(_xlfn.XLOOKUP($B22,rf1_data!$B:$B,rf1_data!AE:AE,"NaN")))</f>
        <v>0</v>
      </c>
      <c r="AN22" s="5">
        <f>IF(_xlfn.XLOOKUP($B22,rf1_data!$B:$B,rf1_data!AF:AF,"NaN")="","NaN",(_xlfn.XLOOKUP($B22,rf1_data!$B:$B,rf1_data!AF:AF,"NaN")))</f>
        <v>0</v>
      </c>
      <c r="AO22" s="5" t="str">
        <f>IF(_xlfn.XLOOKUP($B22,rf1_data!$B:$B,rf1_data!AG:AG,"NaN")="","NaN",(_xlfn.XLOOKUP($B22,rf1_data!$B:$B,rf1_data!AG:AG,"NaN")))</f>
        <v>NaN</v>
      </c>
      <c r="AP22" s="5" t="str">
        <f>IF(_xlfn.XLOOKUP($B22,rf1_data!$B:$B,rf1_data!AH:AH,"NaN")="","NaN",(_xlfn.XLOOKUP($B22,rf1_data!$B:$B,rf1_data!AH:AH,"NaN")))</f>
        <v>NaN</v>
      </c>
      <c r="AQ22" s="5" t="str">
        <f>IF(_xlfn.XLOOKUP($B22,rf1_data!$B:$B,rf1_data!AI:AI,"NaN")="","NaN",(_xlfn.XLOOKUP($B22,rf1_data!$B:$B,rf1_data!AI:AI,"NaN")))</f>
        <v>NaN</v>
      </c>
      <c r="AR22" s="5" t="str">
        <f>IF(_xlfn.XLOOKUP($B22,rf1_data!$B:$B,rf1_data!AJ:AJ,"NaN")="","NaN",(_xlfn.XLOOKUP($B22,rf1_data!$B:$B,rf1_data!AJ:AJ,"NaN")))</f>
        <v>NaN</v>
      </c>
      <c r="AS22" s="5">
        <f>IF(_xlfn.XLOOKUP($B22,rf1_data!$B:$B,rf1_data!AK:AK,"NaN")="","NaN",(_xlfn.XLOOKUP($B22,rf1_data!$B:$B,rf1_data!AK:AK,"NaN")))</f>
        <v>3.2</v>
      </c>
      <c r="AT22" s="5">
        <f>IF(_xlfn.XLOOKUP($B22,rf1_data!$B:$B,rf1_data!AL:AL,"NaN")="","NaN",(_xlfn.XLOOKUP($B22,rf1_data!$B:$B,rf1_data!AL:AL,"NaN")))</f>
        <v>6</v>
      </c>
      <c r="AU22" s="5">
        <f>IF(_xlfn.XLOOKUP($B22,rf1_data!$B:$B,rf1_data!AM:AM,"NaN")="","NaN",(_xlfn.XLOOKUP($B22,rf1_data!$B:$B,rf1_data!AM:AM,"NaN")))</f>
        <v>1.58</v>
      </c>
      <c r="AV22" s="5">
        <f>IF(_xlfn.XLOOKUP($B22,rf1_data!$B:$B,rf1_data!AN:AN,"NaN")="","NaN",(_xlfn.XLOOKUP($B22,rf1_data!$B:$B,rf1_data!AN:AN,"NaN")))</f>
        <v>0</v>
      </c>
      <c r="AW22" s="5" t="str">
        <f>IF(_xlfn.XLOOKUP($B22,rf1_data!$B:$B,rf1_data!AO:AO,"NaN")="","NaN",(_xlfn.XLOOKUP($B22,rf1_data!$B:$B,rf1_data!AO:AO,"NaN")))</f>
        <v>NaN</v>
      </c>
      <c r="AX22" s="5">
        <f>IF(_xlfn.XLOOKUP($B22,rf1_data!$B:$B,rf1_data!AP:AP,"NaN")="","NaN",(_xlfn.XLOOKUP($B22,rf1_data!$B:$B,rf1_data!AP:AP,"NaN")))</f>
        <v>2.77</v>
      </c>
      <c r="AY22" s="5" t="str">
        <f>IF(_xlfn.XLOOKUP($B22,rf1_data!$B:$B,rf1_data!AQ:AQ,"NaN")="","NaN",(_xlfn.XLOOKUP($B22,rf1_data!$B:$B,rf1_data!AQ:AQ,"NaN")))</f>
        <v>NaN</v>
      </c>
      <c r="AZ22" s="5" t="str">
        <f>IF(_xlfn.XLOOKUP($B22,rf1_data!$B:$B,rf1_data!AR:AR,"NaN")="","NaN",(_xlfn.XLOOKUP($B22,rf1_data!$B:$B,rf1_data!AR:AR,"NaN")))</f>
        <v>NaN</v>
      </c>
      <c r="BA22" s="5" t="str">
        <f>IF(_xlfn.XLOOKUP($B22,rf1_data!$B:$B,rf1_data!AS:AS,"NaN")="","NaN",(_xlfn.XLOOKUP($B22,rf1_data!$B:$B,rf1_data!AS:AS,"NaN")))</f>
        <v>NaN</v>
      </c>
      <c r="BB22" s="5" t="str">
        <f>IF(_xlfn.XLOOKUP($B22,rf1_data!$B:$B,rf1_data!AT:AT,"NaN")="","NaN",(_xlfn.XLOOKUP($B22,rf1_data!$B:$B,rf1_data!AT:AT,"NaN")))</f>
        <v>NaN</v>
      </c>
      <c r="BC22" s="5" t="str">
        <f>IF(_xlfn.XLOOKUP($B22,rf1_data!$B:$B,rf1_data!AU:AU,"NaN")="","NaN",(_xlfn.XLOOKUP($B22,rf1_data!$B:$B,rf1_data!AU:AU,"NaN")))</f>
        <v>NaN</v>
      </c>
      <c r="BD22" s="5" t="str">
        <f>IF(_xlfn.XLOOKUP($B22,rf1_data!$B:$B,rf1_data!AV:AV,"NaN")="","NaN",(_xlfn.XLOOKUP($B22,rf1_data!$B:$B,rf1_data!AV:AV,"NaN")))</f>
        <v>NaN</v>
      </c>
      <c r="BE22" s="5" t="str">
        <f>IF(_xlfn.XLOOKUP($B22,rf1_data!$B:$B,rf1_data!AW:AW,"NaN")="","NaN",(_xlfn.XLOOKUP($B22,rf1_data!$B:$B,rf1_data!AW:AW,"NaN")))</f>
        <v>NaN</v>
      </c>
      <c r="BF22" s="5" t="str">
        <f>IF(_xlfn.XLOOKUP($B22,rf1_data!$B:$B,rf1_data!AX:AX,"NaN")="","NaN",(_xlfn.XLOOKUP($B22,rf1_data!$B:$B,rf1_data!AX:AX,"NaN")))</f>
        <v>NaN</v>
      </c>
      <c r="BG22" s="5" t="str">
        <f>IF(_xlfn.XLOOKUP($B22,rf1_data!$B:$B,rf1_data!AY:AY,"NaN")="","NaN",(_xlfn.XLOOKUP($B22,rf1_data!$B:$B,rf1_data!AY:AY,"NaN")))</f>
        <v>NaN</v>
      </c>
      <c r="BH22" s="5" t="str">
        <f>IF(_xlfn.XLOOKUP($B22,rf1_data!$B:$B,rf1_data!AZ:AZ,"NaN")="","NaN",(_xlfn.XLOOKUP($B22,rf1_data!$B:$B,rf1_data!AZ:AZ,"NaN")))</f>
        <v>NaN</v>
      </c>
      <c r="BI22" s="5">
        <f>IF(_xlfn.XLOOKUP($B22,rf1_data!$B:$B,rf1_data!BA:BA,"NaN")="","NaN",(_xlfn.XLOOKUP($B22,rf1_data!$B:$B,rf1_data!BA:BA,"NaN")))</f>
        <v>20</v>
      </c>
      <c r="BJ22" s="5" t="str">
        <f>IF(_xlfn.XLOOKUP($B22,rf1_data!$B:$B,rf1_data!BB:BB,"NaN")="","NaN",(_xlfn.XLOOKUP($B22,rf1_data!$B:$B,rf1_data!BB:BB,"NaN")))</f>
        <v>NaN</v>
      </c>
      <c r="BK22" s="5" t="str">
        <f>IF(_xlfn.XLOOKUP($B22,rf1_data!$B:$B,rf1_data!BC:BC,"NaN")="","NaN",(_xlfn.XLOOKUP($B22,rf1_data!$B:$B,rf1_data!BC:BC,"NaN")))</f>
        <v>NaN</v>
      </c>
      <c r="BL22" s="5" t="str">
        <f>IF(_xlfn.XLOOKUP($B22,rf1_data!$B:$B,rf1_data!BD:BD,"NaN")="","NaN",(_xlfn.XLOOKUP($B22,rf1_data!$B:$B,rf1_data!BD:BD,"NaN")))</f>
        <v>NaN</v>
      </c>
      <c r="BM22" s="5" t="str">
        <f>IF(_xlfn.XLOOKUP($B22,rf1_data!$B:$B,rf1_data!BE:BE,"NaN")="","NaN",(_xlfn.XLOOKUP($B22,rf1_data!$B:$B,rf1_data!BE:BE,"NaN")))</f>
        <v>NaN</v>
      </c>
      <c r="BN22" s="5" t="str">
        <f>IF(_xlfn.XLOOKUP($B22,rf1_data!$B:$B,rf1_data!BF:BF,"NaN")="","NaN",(_xlfn.XLOOKUP($B22,rf1_data!$B:$B,rf1_data!BF:BF,"NaN")))</f>
        <v>NaN</v>
      </c>
      <c r="BO22" s="5" t="str">
        <f>IF(_xlfn.XLOOKUP($B22,rf1_data!$B:$B,rf1_data!BG:BG,"NaN")="","NaN",(_xlfn.XLOOKUP($B22,rf1_data!$B:$B,rf1_data!BG:BG,"NaN")))</f>
        <v>NaN</v>
      </c>
      <c r="BP22" s="5" t="str">
        <f>IF(_xlfn.XLOOKUP($B22,rf1_data!$B:$B,rf1_data!BH:BH,"NaN")="","NaN",(_xlfn.XLOOKUP($B22,rf1_data!$B:$B,rf1_data!BH:BH,"NaN")))</f>
        <v>NaN</v>
      </c>
      <c r="BQ22" s="5" t="str">
        <f>IF(_xlfn.XLOOKUP($B22,rf1_data!$B:$B,rf1_data!BI:BI,"NaN")="","NaN",(_xlfn.XLOOKUP($B22,rf1_data!$B:$B,rf1_data!BI:BI,"NaN")))</f>
        <v>NaN</v>
      </c>
      <c r="BR22" s="5">
        <f>IF(_xlfn.XLOOKUP($B22,rf1_data!$B:$B,rf1_data!BJ:BJ,"NaN")="","NaN",(_xlfn.XLOOKUP($B22,rf1_data!$B:$B,rf1_data!BJ:BJ,"NaN")))</f>
        <v>8991</v>
      </c>
      <c r="BS22" s="5" t="str">
        <f>IF(_xlfn.XLOOKUP($B22,rf1_data!$B:$B,rf1_data!BK:BK,"NaN")="","NaN",(_xlfn.XLOOKUP($B22,rf1_data!$B:$B,rf1_data!BK:BK,"NaN")))</f>
        <v>NaN</v>
      </c>
      <c r="BT22" s="5" t="str">
        <f>IF(_xlfn.XLOOKUP($B22,rf1_data!$B:$B,rf1_data!BL:BL,"NaN")="","NaN",(_xlfn.XLOOKUP($B22,rf1_data!$B:$B,rf1_data!BL:BL,"NaN")))</f>
        <v>NaN</v>
      </c>
      <c r="BU22" s="5" t="str">
        <f>IF(_xlfn.XLOOKUP($B22,rf1_data!$B:$B,rf1_data!BM:BM,"NaN")="","NaN",(_xlfn.XLOOKUP($B22,rf1_data!$B:$B,rf1_data!BM:BM,"NaN")))</f>
        <v>NaN</v>
      </c>
      <c r="BV22" s="5" t="str">
        <f>IF(_xlfn.XLOOKUP($B22,rf1_data!$B:$B,rf1_data!BN:BN,"NaN")="","NaN",(_xlfn.XLOOKUP($B22,rf1_data!$B:$B,rf1_data!BN:BN,"NaN")))</f>
        <v>NaN</v>
      </c>
      <c r="BW22" s="5">
        <f>IF(_xlfn.XLOOKUP($B22,rf1_data!$B:$B,rf1_data!BO:BO,"NaN")="","NaN",(_xlfn.XLOOKUP($B22,rf1_data!$B:$B,rf1_data!BO:BO,"NaN")))</f>
        <v>3.6</v>
      </c>
      <c r="BX22" s="5">
        <f>IF(_xlfn.XLOOKUP($B22,rf1_data!$B:$B,rf1_data!BP:BP,"NaN")="","NaN",(_xlfn.XLOOKUP($B22,rf1_data!$B:$B,rf1_data!BP:BP,"NaN")))</f>
        <v>4.2</v>
      </c>
      <c r="BY22" s="5">
        <f>IF(_xlfn.XLOOKUP($B22,rf1_data!$B:$B,rf1_data!BQ:BQ,"NaN")="","NaN",(_xlfn.XLOOKUP($B22,rf1_data!$B:$B,rf1_data!BQ:BQ,"NaN")))</f>
        <v>3.6</v>
      </c>
      <c r="BZ22" s="5">
        <f>IF(_xlfn.XLOOKUP($B22,rf1_data!$B:$B,rf1_data!BR:BR,"NaN")="","NaN",(_xlfn.XLOOKUP($B22,rf1_data!$B:$B,rf1_data!BR:BR,"NaN")))</f>
        <v>3.8</v>
      </c>
      <c r="CA22" s="5">
        <f>IF(_xlfn.XLOOKUP($B22,rf1_data!$B:$B,rf1_data!BS:BS,"NaN")="","NaN",(_xlfn.XLOOKUP($B22,rf1_data!$B:$B,rf1_data!BS:BS,"NaN")))</f>
        <v>6</v>
      </c>
      <c r="CB22" s="5">
        <f>IF(_xlfn.XLOOKUP($B22,rf1_data!$B:$B,rf1_data!BT:BT,"NaN")="","NaN",(_xlfn.XLOOKUP($B22,rf1_data!$B:$B,rf1_data!BT:BT,"NaN")))</f>
        <v>5.1666666666666599</v>
      </c>
      <c r="CC22" s="5">
        <f>IF(_xlfn.XLOOKUP($B22,rf1_data!$B:$B,rf1_data!BU:BU,"NaN")="","NaN",(_xlfn.XLOOKUP($B22,rf1_data!$B:$B,rf1_data!BU:BU,"NaN")))</f>
        <v>6</v>
      </c>
      <c r="CD22" s="5">
        <f>IF(_xlfn.XLOOKUP($B22,rf1_data!$B:$B,rf1_data!BV:BV,"NaN")="","NaN",(_xlfn.XLOOKUP($B22,rf1_data!$B:$B,rf1_data!BV:BV,"NaN")))</f>
        <v>5.1666666666666599</v>
      </c>
      <c r="CE22" s="5">
        <f>IF(_xlfn.XLOOKUP($B22,rf1_data!$B:$B,rf1_data!BW:BW,"NaN")="","NaN",(_xlfn.XLOOKUP($B22,rf1_data!$B:$B,rf1_data!BW:BW,"NaN")))</f>
        <v>0</v>
      </c>
      <c r="CF22" s="5">
        <f>IF(_xlfn.XLOOKUP($B22,rf1_data!$B:$B,rf1_data!BX:BX,"NaN")="","NaN",(_xlfn.XLOOKUP($B22,rf1_data!$B:$B,rf1_data!BX:BX,"NaN")))</f>
        <v>0</v>
      </c>
      <c r="CG22" s="5">
        <f>IF(_xlfn.XLOOKUP($B22,rf1_data!$B:$B,rf1_data!BY:BY,"NaN")="","NaN",(_xlfn.XLOOKUP($B22,rf1_data!$B:$B,rf1_data!BY:BY,"NaN")))</f>
        <v>0</v>
      </c>
      <c r="CH22" s="5">
        <f>IF(_xlfn.XLOOKUP($B22,rf1_data!$B:$B,rf1_data!BZ:BZ,"NaN")="","NaN",(_xlfn.XLOOKUP($B22,rf1_data!$B:$B,rf1_data!BZ:BZ,"NaN")))</f>
        <v>33</v>
      </c>
      <c r="CI22" s="5">
        <f>IF(_xlfn.XLOOKUP($B22,rf1_data!$B:$B,rf1_data!CA:CA,"NaN")="","NaN",(_xlfn.XLOOKUP($B22,rf1_data!$B:$B,rf1_data!CA:CA,"NaN")))</f>
        <v>20</v>
      </c>
      <c r="CJ22" s="5" t="str">
        <f>IF(_xlfn.XLOOKUP($B22,rf1_data!$B:$B,rf1_data!CB:CB,"NaN")="","NaN",(_xlfn.XLOOKUP($B22,rf1_data!$B:$B,rf1_data!CB:CB,"NaN")))</f>
        <v>NaN</v>
      </c>
      <c r="CK22" s="5">
        <f>IF(_xlfn.XLOOKUP($B22,rf1_data!$B:$B,rf1_data!CC:CC,"NaN")="","NaN",(_xlfn.XLOOKUP($B22,rf1_data!$B:$B,rf1_data!CC:CC,"NaN")))</f>
        <v>0</v>
      </c>
      <c r="CL22" s="5">
        <f>IF(_xlfn.XLOOKUP($B22,rf1_data!$B:$B,rf1_data!CD:CD,"NaN")=0,"NaN",(_xlfn.XLOOKUP($B22,rf1_data!$B:$B,rf1_data!CD:CD,"NaN")))</f>
        <v>32</v>
      </c>
      <c r="CM22" s="5">
        <f>IF(_xlfn.XLOOKUP($B22,rf1_data!$B:$B,rf1_data!CE:CE,"NaN")="","NaN",(_xlfn.XLOOKUP($B22,rf1_data!$B:$B,rf1_data!CE:CE,"NaN")))</f>
        <v>42</v>
      </c>
      <c r="CN22" s="5">
        <f>IF(_xlfn.XLOOKUP($B22,rf1_data!$B:$B,rf1_data!CF:CF,"NaN")="","NaN",(_xlfn.XLOOKUP($B22,rf1_data!$B:$B,rf1_data!CF:CF,"NaN")))</f>
        <v>55</v>
      </c>
      <c r="CO22" s="5">
        <f>IF(_xlfn.XLOOKUP($B22,rf1_data!$B:$B,rf1_data!CG:CG,"NaN")="","NaN",(_xlfn.XLOOKUP($B22,rf1_data!$B:$B,rf1_data!CG:CG,"NaN")))</f>
        <v>21</v>
      </c>
      <c r="CP22" s="5">
        <f>IF(_xlfn.XLOOKUP($B22,rf1_data!$B:$B,rf1_data!CH:CH,"NaN")=0,"NaN",(_xlfn.XLOOKUP($B22,rf1_data!$B:$B,rf1_data!CH:CH,"NaN")))</f>
        <v>38</v>
      </c>
      <c r="CQ22" s="5">
        <f>IF(_xlfn.XLOOKUP($B22,rf1_data!$B:$B,rf1_data!CI:CI,"NaN")="","NaN",(_xlfn.XLOOKUP($B22,rf1_data!$B:$B,rf1_data!CI:CI,"NaN")))</f>
        <v>48</v>
      </c>
      <c r="CR22" s="5" t="str">
        <f>IF(_xlfn.XLOOKUP($B22,rf1_data!$B:$B,rf1_data!CJ:CJ,"NaN")="","NaN",(_xlfn.XLOOKUP($B22,rf1_data!$B:$B,rf1_data!CJ:CJ,"NaN")))</f>
        <v>NaN</v>
      </c>
      <c r="CS22" s="5">
        <f>IF(_xlfn.XLOOKUP($B22,rf1_data!$B:$B,rf1_data!CK:CK,"NaN")="","NaN",(_xlfn.XLOOKUP($B22,rf1_data!$B:$B,rf1_data!CK:CK,"NaN")))</f>
        <v>48</v>
      </c>
      <c r="CT22" s="5">
        <f>IF(_xlfn.XLOOKUP($B22,rf1_data!$B:$B,rf1_data!CL:CL,"NaN")="","NaN",(_xlfn.XLOOKUP($B22,rf1_data!$B:$B,rf1_data!CL:CL,"NaN")))</f>
        <v>56</v>
      </c>
      <c r="CU22" s="5">
        <f>IF(_xlfn.XLOOKUP($B22,rf1_data!$B:$B,rf1_data!CM:CM,"NaN")="","NaN",(_xlfn.XLOOKUP($B22,rf1_data!$B:$B,rf1_data!CM:CM,"NaN")))</f>
        <v>48</v>
      </c>
      <c r="CV22" s="5">
        <f>IF(_xlfn.XLOOKUP($B22,rf1_data!$B:$B,rf1_data!CN:CN,"NaN")="","NaN",(_xlfn.XLOOKUP($B22,rf1_data!$B:$B,rf1_data!CN:CN,"NaN")))</f>
        <v>60</v>
      </c>
      <c r="CW22" s="5" t="str">
        <f>IF(_xlfn.XLOOKUP($B22,rf1_data!$B:$B,rf1_data!CO:CO,"NaN")="","NaN",(_xlfn.XLOOKUP($B22,rf1_data!$B:$B,rf1_data!CO:CO,"NaN")))</f>
        <v>NaN</v>
      </c>
      <c r="CX22" s="5" t="str">
        <f>IF(_xlfn.XLOOKUP($B22,rf1_data!$B:$B,rf1_data!CP:CP,"NaN")="","NaN",(_xlfn.XLOOKUP($B22,rf1_data!$B:$B,rf1_data!CP:CP,"NaN")))</f>
        <v>NaN</v>
      </c>
      <c r="CY22" s="5">
        <f>IF(_xlfn.XLOOKUP($B22,rf1_data!$B:$B,rf1_data!CQ:CQ,"NaN")="","NaN",(_xlfn.XLOOKUP($B22,rf1_data!$B:$B,rf1_data!CQ:CQ,"NaN")))</f>
        <v>5</v>
      </c>
      <c r="CZ22" s="5">
        <f>IF(_xlfn.XLOOKUP($B22,rf1_data!$B:$B,rf1_data!CR:CR,"NaN")="","NaN",(_xlfn.XLOOKUP($B22,rf1_data!$B:$B,rf1_data!CR:CR,"NaN")))</f>
        <v>1</v>
      </c>
      <c r="DA22" s="5">
        <f>IF(_xlfn.XLOOKUP($B22,rf1_data!$B:$B,rf1_data!CS:CS,"NaN")="","NaN",(_xlfn.XLOOKUP($B22,rf1_data!$B:$B,rf1_data!CS:CS,"NaN")))</f>
        <v>1</v>
      </c>
      <c r="DB22" s="4">
        <f>IF(_xlfn.XLOOKUP($B22,island_data!$B:$B,island_data!H:H,"NaN")="","NaN",_xlfn.XLOOKUP($B22,island_data!$B:$B,island_data!H:H,"NaN"))</f>
        <v>0</v>
      </c>
      <c r="DC22" s="4">
        <f>IF(_xlfn.XLOOKUP($B22,island_data!$B:$B,island_data!I:I,"NaN")="","NaN",_xlfn.XLOOKUP($B22,island_data!$B:$B,island_data!I:I,"NaN"))</f>
        <v>0</v>
      </c>
      <c r="DD22" s="4">
        <f>IF(_xlfn.XLOOKUP($B22,island_data!$B:$B,island_data!J:J,"NaN")="","NaN",_xlfn.XLOOKUP($B22,island_data!$B:$B,island_data!J:J,"NaN"))</f>
        <v>1</v>
      </c>
      <c r="DE22" s="4" t="str">
        <f>IF(_xlfn.XLOOKUP($B22,island_data!$B:$B,island_data!K:K,"NaN")="","NaN",_xlfn.XLOOKUP($B22,island_data!$B:$B,island_data!K:K,"NaN"))</f>
        <v>NaN</v>
      </c>
      <c r="DF22" s="4">
        <f>IF(_xlfn.XLOOKUP($B22,island_data!$B:$B,island_data!L:L,"NaN")="","NaN",_xlfn.XLOOKUP($B22,island_data!$B:$B,island_data!L:L,"NaN"))</f>
        <v>28</v>
      </c>
      <c r="DG22" s="4">
        <f>IF(_xlfn.XLOOKUP($B22,island_data!$B:$B,island_data!M:M,"NaN")="","NaN",_xlfn.XLOOKUP($B22,island_data!$B:$B,island_data!M:M,"NaN"))</f>
        <v>2.2777777777777999</v>
      </c>
      <c r="DH22" s="4">
        <f>IF(_xlfn.XLOOKUP($B22,island_data!$B:$B,island_data!N:N,"NaN")="","NaN",_xlfn.XLOOKUP($B22,island_data!$B:$B,island_data!N:N,"NaN"))</f>
        <v>8</v>
      </c>
      <c r="DI22" s="4" t="str">
        <f>IF(_xlfn.XLOOKUP($B22,island_data!$B:$B,island_data!O:O,"NaN")=999,"NaN",_xlfn.XLOOKUP($B22,island_data!$B:$B,island_data!O:O,"NaN"))</f>
        <v>NaN</v>
      </c>
      <c r="DJ22" s="4">
        <f>IF(_xlfn.XLOOKUP($B22,island_data!$B:$B,island_data!P:P,"NaN")="","NaN",_xlfn.XLOOKUP($B22,island_data!$B:$B,island_data!P:P,"NaN"))</f>
        <v>6</v>
      </c>
      <c r="DK22" s="4">
        <f>IF(_xlfn.XLOOKUP($B22,island_data!$B:$B,island_data!Q:Q,"NaN")="","NaN",_xlfn.XLOOKUP($B22,island_data!$B:$B,island_data!Q:Q,"NaN"))</f>
        <v>2</v>
      </c>
      <c r="DL22" s="4" t="str">
        <f>IF(_xlfn.XLOOKUP($B22,island_data!$B:$B,island_data!R:R,"NaN")=999,"NaN",_xlfn.XLOOKUP($B22,island_data!$B:$B,island_data!R:R,"NaN"))</f>
        <v>NaN</v>
      </c>
      <c r="DM22" s="4">
        <f>IF(_xlfn.XLOOKUP($B22,island_data!$B:$B,island_data!S:S,"NaN")="","NaN",_xlfn.XLOOKUP($B22,island_data!$B:$B,island_data!S:S,"NaN"))</f>
        <v>11</v>
      </c>
      <c r="DN22" s="4">
        <f>IF(_xlfn.XLOOKUP($B22,island_data!$B:$B,island_data!T:T,"NaN")="","NaN",_xlfn.XLOOKUP($B22,island_data!$B:$B,island_data!T:T,"NaN"))</f>
        <v>3.9166666666666599</v>
      </c>
      <c r="DO22" s="4">
        <f>IF(_xlfn.XLOOKUP($B22,island_data!$B:$B,island_data!U:U,"NaN")="","NaN",_xlfn.XLOOKUP($B22,island_data!$B:$B,island_data!U:U,"NaN"))</f>
        <v>5</v>
      </c>
      <c r="DP22" s="4">
        <f>IF(_xlfn.XLOOKUP($B22,island_data!$B:$B,island_data!V:V,"NaN")="","NaN",_xlfn.XLOOKUP($B22,island_data!$B:$B,island_data!V:V,"NaN"))</f>
        <v>4</v>
      </c>
      <c r="DQ22" s="4">
        <f>IF(_xlfn.XLOOKUP($B22,island_data!$B:$B,island_data!W:W,"NaN")="","NaN",_xlfn.XLOOKUP($B22,island_data!$B:$B,island_data!W:W,"NaN"))</f>
        <v>6</v>
      </c>
      <c r="DR22" s="4">
        <f>IF(_xlfn.XLOOKUP($B22,island_data!$B:$B,island_data!X:X,"NaN")="","NaN",_xlfn.XLOOKUP($B22,island_data!$B:$B,island_data!X:X,"NaN"))</f>
        <v>5</v>
      </c>
      <c r="DS22" s="4" t="str">
        <f>IF(_xlfn.XLOOKUP($B22,island_data!$B:$B,island_data!Y:Y,"NaN")="","NaN",_xlfn.XLOOKUP($B22,island_data!$B:$B,island_data!Y:Y,"NaN"))</f>
        <v>NaN</v>
      </c>
      <c r="DT22" s="4" t="str">
        <f>IF(_xlfn.XLOOKUP($B22,island_data!$B:$B,island_data!Z:Z,"NaN")="","NaN",_xlfn.XLOOKUP($B22,island_data!$B:$B,island_data!Z:Z,"NaN"))</f>
        <v>NaN</v>
      </c>
      <c r="DU22" s="4" t="str">
        <f>IF(_xlfn.XLOOKUP($B22,island_data!$B:$B,island_data!AA:AA,"NaN")="","NaN",_xlfn.XLOOKUP($B22,island_data!$B:$B,island_data!AA:AA,"NaN"))</f>
        <v>NaN</v>
      </c>
      <c r="DV22" s="4">
        <f>IF(_xlfn.XLOOKUP($B22,island_data!$B:$B,island_data!AB:AB,"NaN")="","NaN",_xlfn.XLOOKUP($B22,island_data!$B:$B,island_data!AB:AB,"NaN"))</f>
        <v>3</v>
      </c>
      <c r="DW22" s="4">
        <f>IF(_xlfn.XLOOKUP($B22,island_data!$B:$B,island_data!AC:AC,"NaN")="","NaN",_xlfn.XLOOKUP($B22,island_data!$B:$B,island_data!AC:AC,"NaN"))</f>
        <v>8077</v>
      </c>
      <c r="DX22" s="4">
        <f>IF(_xlfn.XLOOKUP($B22,island_data!$B:$B,island_data!AD:AD,"NaN")="","NaN",_xlfn.XLOOKUP($B22,island_data!$B:$B,island_data!AD:AD,"NaN"))</f>
        <v>6</v>
      </c>
      <c r="DY22" s="4">
        <f>IF(_xlfn.XLOOKUP($B22,island_data!$B:$B,island_data!AE:AE,"NaN")="","NaN",_xlfn.XLOOKUP($B22,island_data!$B:$B,island_data!AE:AE,"NaN"))</f>
        <v>1</v>
      </c>
      <c r="DZ22" s="4" t="str">
        <f>IF(_xlfn.XLOOKUP($B22,island_data!$B:$B,island_data!AF:AF,"NaN")="","NaN",_xlfn.XLOOKUP($B22,island_data!$B:$B,island_data!AF:AF,"NaN"))</f>
        <v>NaN</v>
      </c>
      <c r="EA22" s="4" t="str">
        <f>IF(_xlfn.XLOOKUP($B22,island_data!$B:$B,island_data!AG:AG,"NaN")="","NaN",_xlfn.XLOOKUP($B22,island_data!$B:$B,island_data!AG:AG,"NaN"))</f>
        <v>NaN</v>
      </c>
      <c r="EB22" s="4" t="str">
        <f>IF(_xlfn.XLOOKUP($B22,island_data!$B:$B,island_data!AH:AH,"NaN")="","NaN",_xlfn.XLOOKUP($B22,island_data!$B:$B,island_data!AH:AH,"NaN"))</f>
        <v>NaN</v>
      </c>
      <c r="EC22" s="4" t="str">
        <f>IF(_xlfn.XLOOKUP($B22,island_data!$B:$B,island_data!AI:AI,"NaN")="","NaN",_xlfn.XLOOKUP($B22,island_data!$B:$B,island_data!AI:AI,"NaN"))</f>
        <v>NaN</v>
      </c>
      <c r="ED22" s="4" t="str">
        <f>IF(_xlfn.XLOOKUP($B22,island_data!$B:$B,island_data!AJ:AJ,"NaN")="","NaN",_xlfn.XLOOKUP($B22,island_data!$B:$B,island_data!AJ:AJ,"NaN"))</f>
        <v>NaN</v>
      </c>
      <c r="EE22" s="4" t="str">
        <f>IF(_xlfn.XLOOKUP($B22,island_data!$B:$B,island_data!AK:AK,"NaN")="","NaN",_xlfn.XLOOKUP($B22,island_data!$B:$B,island_data!AK:AK,"NaN"))</f>
        <v>NaN</v>
      </c>
      <c r="EF22" s="4" t="str">
        <f>IF(_xlfn.XLOOKUP($B22,island_data!$B:$B,island_data!AL:AL,"NaN")="","NaN",_xlfn.XLOOKUP($B22,island_data!$B:$B,island_data!AL:AL,"NaN"))</f>
        <v>NaN</v>
      </c>
      <c r="EG22" s="4" t="str">
        <f>IF(_xlfn.XLOOKUP($B22,island_data!$B:$B,island_data!AM:AM,"NaN")="","NaN",_xlfn.XLOOKUP($B22,island_data!$B:$B,island_data!AM:AM,"NaN"))</f>
        <v>NaN</v>
      </c>
      <c r="EH22" s="4" t="str">
        <f>IF(_xlfn.XLOOKUP($B22,island_data!$B:$B,island_data!AN:AN,"NaN")="","NaN",_xlfn.XLOOKUP($B22,island_data!$B:$B,island_data!AN:AN,"NaN"))</f>
        <v>NaN</v>
      </c>
      <c r="EI22" s="4" t="str">
        <f>IF(_xlfn.XLOOKUP($B22,island_data!$B:$B,island_data!AO:AO,"NaN")="","NaN",_xlfn.XLOOKUP($B22,island_data!$B:$B,island_data!AO:AO,"NaN"))</f>
        <v>NaN</v>
      </c>
      <c r="EJ22" s="8">
        <f>IF(_xlfn.XLOOKUP($A22,TabCAT!$A:$A,TabCAT!AU:AU,"NaN")="","NaN",(_xlfn.XLOOKUP($A22,TabCAT!$A:$A,TabCAT!AU:AU,"NaN")))</f>
        <v>161</v>
      </c>
      <c r="EK22" s="8" t="b">
        <f>IF(_xlfn.XLOOKUP($A22,TabCAT!$A:$A,TabCAT!AV:AV,"NaN")="","NaN",(_xlfn.XLOOKUP($A22,TabCAT!$A:$A,TabCAT!AV:AV,"NaN")))</f>
        <v>1</v>
      </c>
      <c r="EL22" s="8">
        <f>IF(_xlfn.XLOOKUP($A22,TabCAT!$A:$A,TabCAT!AW:AW,"NaN")="","NaN",(_xlfn.XLOOKUP($A22,TabCAT!$A:$A,TabCAT!AW:AW,"NaN")))</f>
        <v>6</v>
      </c>
      <c r="EM22" s="8">
        <f>IF(_xlfn.XLOOKUP($A22,TabCAT!$A:$A,TabCAT!AX:AX,"NaN")="","NaN",(_xlfn.XLOOKUP($A22,TabCAT!$A:$A,TabCAT!AX:AX,"NaN")))</f>
        <v>0</v>
      </c>
      <c r="EN22" s="8">
        <f>IF(_xlfn.XLOOKUP($A22,TabCAT!$A:$A,TabCAT!AY:AY,"NaN")="","NaN",(_xlfn.XLOOKUP($A22,TabCAT!$A:$A,TabCAT!AY:AY,"NaN")))</f>
        <v>7.96</v>
      </c>
      <c r="EO22" s="8">
        <f>IF(_xlfn.XLOOKUP($A22,TabCAT!$A:$A,TabCAT!AZ:AZ,"NaN")="","NaN",(_xlfn.XLOOKUP($A22,TabCAT!$A:$A,TabCAT!AZ:AZ,"NaN")))</f>
        <v>32</v>
      </c>
      <c r="EP22" s="8">
        <f>IF(_xlfn.XLOOKUP($A22,TabCAT!$A:$A,TabCAT!BA:BA,"NaN")="","NaN",(_xlfn.XLOOKUP($A22,TabCAT!$A:$A,TabCAT!BA:BA,"NaN")))</f>
        <v>0.8543655</v>
      </c>
      <c r="EQ22" s="8">
        <f>IF(_xlfn.XLOOKUP($A22,TabCAT!$A:$A,TabCAT!BB:BB,"NaN")="","NaN",(_xlfn.XLOOKUP($A22,TabCAT!$A:$A,TabCAT!BB:BB,"NaN")))</f>
        <v>0.153528888888215</v>
      </c>
      <c r="ER22" s="8">
        <f>IF(_xlfn.XLOOKUP($A22,TabCAT!$A:$A,TabCAT!BC:BC,"NaN")="","NaN",(_xlfn.XLOOKUP($A22,TabCAT!$A:$A,TabCAT!BC:BC,"NaN")))</f>
        <v>16</v>
      </c>
      <c r="ES22" s="8">
        <f>IF(_xlfn.XLOOKUP($A22,TabCAT!$A:$A,TabCAT!BD:BD,"NaN")="","NaN",(_xlfn.XLOOKUP($A22,TabCAT!$A:$A,TabCAT!BD:BD,"NaN")))</f>
        <v>0.81366150000000004</v>
      </c>
      <c r="ET22" s="8">
        <f>IF(_xlfn.XLOOKUP($A22,TabCAT!$A:$A,TabCAT!BE:BE,"NaN")="","NaN",(_xlfn.XLOOKUP($A22,TabCAT!$A:$A,TabCAT!BE:BE,"NaN")))</f>
        <v>16</v>
      </c>
      <c r="EU22" s="8">
        <f>IF(_xlfn.XLOOKUP($A22,TabCAT!$A:$A,TabCAT!BF:BF,"NaN")="","NaN",(_xlfn.XLOOKUP($A22,TabCAT!$A:$A,TabCAT!BF:BF,"NaN")))</f>
        <v>0.93706800000000001</v>
      </c>
      <c r="EV22" s="8" t="str">
        <f>IF(_xlfn.XLOOKUP($A22,TabCAT!$A:$A,TabCAT!BG:BG,"NaN")="","NaN",(_xlfn.XLOOKUP($A22,TabCAT!$A:$A,TabCAT!BG:BG,"NaN")))</f>
        <v>NaN</v>
      </c>
      <c r="EW22" s="8" t="str">
        <f>IF(_xlfn.XLOOKUP($A22,TabCAT!$A:$A,TabCAT!BH:BH,"NaN")="","NaN",(_xlfn.XLOOKUP($A22,TabCAT!$A:$A,TabCAT!BH:BH,"NaN")))</f>
        <v>3.0.0</v>
      </c>
      <c r="EX22" s="8" t="str">
        <f>IF(_xlfn.XLOOKUP($A22,TabCAT!$A:$A,TabCAT!BI:BI,"NaN")="","NaN",(_xlfn.XLOOKUP($A22,TabCAT!$A:$A,TabCAT!BI:BI,"NaN")))</f>
        <v>English</v>
      </c>
      <c r="EY22" s="8">
        <f>IF(_xlfn.XLOOKUP($A22,TabCAT!$A:$A,TabCAT!BJ:BJ,"NaN")="","NaN",(_xlfn.XLOOKUP($A22,TabCAT!$A:$A,TabCAT!BJ:BJ,"NaN")))</f>
        <v>227</v>
      </c>
      <c r="EZ22" s="8">
        <f>IF(_xlfn.XLOOKUP($A22,TabCAT!$A:$A,TabCAT!BK:BK,"NaN")="","NaN",(_xlfn.XLOOKUP($A22,TabCAT!$A:$A,TabCAT!BK:BK,"NaN")))</f>
        <v>1</v>
      </c>
      <c r="FA22" s="8">
        <f>IF(_xlfn.XLOOKUP($A22,TabCAT!$A:$A,TabCAT!BL:BL,"NaN")="","NaN",(_xlfn.XLOOKUP($A22,TabCAT!$A:$A,TabCAT!BL:BL,"NaN")))</f>
        <v>6</v>
      </c>
      <c r="FB22" s="8">
        <f>IF(_xlfn.XLOOKUP($A22,TabCAT!$A:$A,TabCAT!BM:BM,"NaN")="","NaN",(_xlfn.XLOOKUP($A22,TabCAT!$A:$A,TabCAT!BM:BM,"NaN")))</f>
        <v>1</v>
      </c>
      <c r="FC22" s="8">
        <f>IF(_xlfn.XLOOKUP($A22,TabCAT!$A:$A,TabCAT!BN:BN,"NaN")="","NaN",(_xlfn.XLOOKUP($A22,TabCAT!$A:$A,TabCAT!BN:BN,"NaN")))</f>
        <v>6</v>
      </c>
      <c r="FD22" s="8">
        <f>IF(_xlfn.XLOOKUP($A22,TabCAT!$A:$A,TabCAT!BO:BO,"NaN")="","NaN",(_xlfn.XLOOKUP($A22,TabCAT!$A:$A,TabCAT!BO:BO,"NaN")))</f>
        <v>9</v>
      </c>
      <c r="FE22" s="8">
        <f>IF(_xlfn.XLOOKUP($A22,TabCAT!$A:$A,TabCAT!BP:BP,"NaN")="","NaN",(_xlfn.XLOOKUP($A22,TabCAT!$A:$A,TabCAT!BP:BP,"NaN")))</f>
        <v>1</v>
      </c>
      <c r="FF22" s="8">
        <f>IF(_xlfn.XLOOKUP($A22,TabCAT!$A:$A,TabCAT!BQ:BQ,"NaN")="","NaN",(_xlfn.XLOOKUP($A22,TabCAT!$A:$A,TabCAT!BQ:BQ,"NaN")))</f>
        <v>7.5</v>
      </c>
      <c r="FG22" s="8">
        <f>IF(_xlfn.XLOOKUP($A22,TabCAT!$A:$A,TabCAT!BR:BR,"NaN")="","NaN",(_xlfn.XLOOKUP($A22,TabCAT!$A:$A,TabCAT!BR:BR,"NaN")))</f>
        <v>12</v>
      </c>
      <c r="FH22" s="8">
        <f>IF(_xlfn.XLOOKUP($A22,TabCAT!$A:$A,TabCAT!BS:BS,"NaN")="","NaN",(_xlfn.XLOOKUP($A22,TabCAT!$A:$A,TabCAT!BS:BS,"NaN")))</f>
        <v>1</v>
      </c>
      <c r="FI22" s="8">
        <f>IF(_xlfn.XLOOKUP($A22,TabCAT!$A:$A,TabCAT!BT:BT,"NaN")="","NaN",(_xlfn.XLOOKUP($A22,TabCAT!$A:$A,TabCAT!BT:BT,"NaN")))</f>
        <v>12</v>
      </c>
      <c r="FJ22" s="8">
        <f>IF(_xlfn.XLOOKUP($A22,TabCAT!$A:$A,TabCAT!BU:BU,"NaN")="","NaN",(_xlfn.XLOOKUP($A22,TabCAT!$A:$A,TabCAT!BU:BU,"NaN")))</f>
        <v>13</v>
      </c>
      <c r="FK22" s="8">
        <f>IF(_xlfn.XLOOKUP($A22,TabCAT!$A:$A,TabCAT!BV:BV,"NaN")="","NaN",(_xlfn.XLOOKUP($A22,TabCAT!$A:$A,TabCAT!BV:BV,"NaN")))</f>
        <v>0.86666666666666603</v>
      </c>
      <c r="FL22" s="8">
        <f>IF(_xlfn.XLOOKUP($A22,TabCAT!$A:$A,TabCAT!BW:BW,"NaN")="","NaN",(_xlfn.XLOOKUP($A22,TabCAT!$A:$A,TabCAT!BW:BW,"NaN")))</f>
        <v>7.5</v>
      </c>
      <c r="FM22" s="8">
        <f>IF(_xlfn.XLOOKUP($A22,TabCAT!$A:$A,TabCAT!BX:BX,"NaN")="","NaN",(_xlfn.XLOOKUP($A22,TabCAT!$A:$A,TabCAT!BX:BX,"NaN")))</f>
        <v>40</v>
      </c>
      <c r="FN22" s="8">
        <f>IF(_xlfn.XLOOKUP($A22,TabCAT!$A:$A,TabCAT!BY:BY,"NaN")="","NaN",(_xlfn.XLOOKUP($A22,TabCAT!$A:$A,TabCAT!BY:BY,"NaN")))</f>
        <v>0.952380952380952</v>
      </c>
      <c r="FO22" s="8">
        <f>IF(_xlfn.XLOOKUP($A22,TabCAT!$A:$A,TabCAT!BZ:BZ,"NaN")="","NaN",(_xlfn.XLOOKUP($A22,TabCAT!$A:$A,TabCAT!BZ:BZ,"NaN")))</f>
        <v>33</v>
      </c>
      <c r="FP22" s="8" t="str">
        <f>IF(_xlfn.XLOOKUP($A22,TabCAT!$A:$A,TabCAT!CA:CA,"NaN")="","NaN",(_xlfn.XLOOKUP($A22,TabCAT!$A:$A,TabCAT!CA:CA,"NaN")))</f>
        <v>3.0.0</v>
      </c>
      <c r="FQ22" s="8" t="str">
        <f>IF(_xlfn.XLOOKUP($A22,TabCAT!$A:$A,TabCAT!CB:CB,"NaN")="","NaN",(_xlfn.XLOOKUP($A22,TabCAT!$A:$A,TabCAT!CB:CB,"NaN")))</f>
        <v>English</v>
      </c>
      <c r="FR22" s="8">
        <f>IF(_xlfn.XLOOKUP($A22,TabCAT!$A:$A,TabCAT!CC:CC,"NaN")="","NaN",(_xlfn.XLOOKUP($A22,TabCAT!$A:$A,TabCAT!CC:CC,"NaN")))</f>
        <v>218</v>
      </c>
      <c r="FS22" s="8" t="b">
        <f>IF(_xlfn.XLOOKUP($A22,TabCAT!$A:$A,TabCAT!CD:CD,"NaN")="","NaN",(_xlfn.XLOOKUP($A22,TabCAT!$A:$A,TabCAT!CD:CD,"NaN")))</f>
        <v>1</v>
      </c>
      <c r="FT22" s="8">
        <f>IF(_xlfn.XLOOKUP($A22,TabCAT!$A:$A,TabCAT!CE:CE,"NaN")="","NaN",(_xlfn.XLOOKUP($A22,TabCAT!$A:$A,TabCAT!CE:CE,"NaN")))</f>
        <v>8</v>
      </c>
      <c r="FU22" s="8">
        <f>IF(_xlfn.XLOOKUP($A22,TabCAT!$A:$A,TabCAT!CF:CF,"NaN")="","NaN",(_xlfn.XLOOKUP($A22,TabCAT!$A:$A,TabCAT!CF:CF,"NaN")))</f>
        <v>0</v>
      </c>
      <c r="FV22" s="8">
        <f>IF(_xlfn.XLOOKUP($A22,TabCAT!$A:$A,TabCAT!CG:CG,"NaN")="","NaN",(_xlfn.XLOOKUP($A22,TabCAT!$A:$A,TabCAT!CG:CG,"NaN")))</f>
        <v>7.81</v>
      </c>
      <c r="FW22" s="8">
        <f>IF(_xlfn.XLOOKUP($A22,TabCAT!$A:$A,TabCAT!CH:CH,"NaN")="","NaN",(_xlfn.XLOOKUP($A22,TabCAT!$A:$A,TabCAT!CH:CH,"NaN")))</f>
        <v>16</v>
      </c>
      <c r="FX22" s="8">
        <f>IF(_xlfn.XLOOKUP($A22,TabCAT!$A:$A,TabCAT!CI:CI,"NaN")="","NaN",(_xlfn.XLOOKUP($A22,TabCAT!$A:$A,TabCAT!CI:CI,"NaN")))</f>
        <v>0.58428100000000005</v>
      </c>
      <c r="FY22" s="8">
        <f>IF(_xlfn.XLOOKUP($A22,TabCAT!$A:$A,TabCAT!CJ:CJ,"NaN")="","NaN",(_xlfn.XLOOKUP($A22,TabCAT!$A:$A,TabCAT!CJ:CJ,"NaN")))</f>
        <v>16</v>
      </c>
      <c r="FZ22" s="8">
        <f>IF(_xlfn.XLOOKUP($A22,TabCAT!$A:$A,TabCAT!CK:CK,"NaN")="","NaN",(_xlfn.XLOOKUP($A22,TabCAT!$A:$A,TabCAT!CK:CK,"NaN")))</f>
        <v>0.62961650000000002</v>
      </c>
      <c r="GA22" s="8">
        <f>IF(_xlfn.XLOOKUP($A22,TabCAT!$A:$A,TabCAT!CL:CL,"NaN")="","NaN",(_xlfn.XLOOKUP($A22,TabCAT!$A:$A,TabCAT!CL:CL,"NaN")))</f>
        <v>27</v>
      </c>
      <c r="GB22" s="8">
        <f>IF(_xlfn.XLOOKUP($A22,TabCAT!$A:$A,TabCAT!CM:CM,"NaN")="","NaN",(_xlfn.XLOOKUP($A22,TabCAT!$A:$A,TabCAT!CM:CM,"NaN")))</f>
        <v>0.69625899999999996</v>
      </c>
      <c r="GC22" s="8">
        <f>IF(_xlfn.XLOOKUP($A22,TabCAT!$A:$A,TabCAT!CN:CN,"NaN")="","NaN",(_xlfn.XLOOKUP($A22,TabCAT!$A:$A,TabCAT!CN:CN,"NaN")))</f>
        <v>18</v>
      </c>
      <c r="GD22" s="8">
        <f>IF(_xlfn.XLOOKUP($A22,TabCAT!$A:$A,TabCAT!CO:CO,"NaN")="","NaN",(_xlfn.XLOOKUP($A22,TabCAT!$A:$A,TabCAT!CO:CO,"NaN")))</f>
        <v>0.72157899999999997</v>
      </c>
      <c r="GE22" s="8">
        <f>IF(_xlfn.XLOOKUP($A22,TabCAT!$A:$A,TabCAT!CP:CP,"NaN")="","NaN",(_xlfn.XLOOKUP($A22,TabCAT!$A:$A,TabCAT!CP:CP,"NaN")))</f>
        <v>0.24857362651614001</v>
      </c>
      <c r="GF22" s="8">
        <f>IF(_xlfn.XLOOKUP($A22,TabCAT!$A:$A,TabCAT!CQ:CQ,"NaN")="","NaN",(_xlfn.XLOOKUP($A22,TabCAT!$A:$A,TabCAT!CQ:CQ,"NaN")))</f>
        <v>51</v>
      </c>
      <c r="GG22" s="8">
        <f>IF(_xlfn.XLOOKUP($A22,TabCAT!$A:$A,TabCAT!CR:CR,"NaN")="","NaN",(_xlfn.XLOOKUP($A22,TabCAT!$A:$A,TabCAT!CR:CR,"NaN")))</f>
        <v>0.63765700000000003</v>
      </c>
      <c r="GH22" s="8" t="str">
        <f>IF(_xlfn.XLOOKUP($A22,TabCAT!$A:$A,TabCAT!CS:CS,"NaN")="","NaN",(_xlfn.XLOOKUP($A22,TabCAT!$A:$A,TabCAT!CS:CS,"NaN")))</f>
        <v>NaN</v>
      </c>
    </row>
    <row r="23" spans="1:190" x14ac:dyDescent="0.2">
      <c r="A23">
        <v>10608</v>
      </c>
      <c r="B23">
        <f>_xlfn.XLOOKUP(bippity_poppity_boo!A23,rf1_data!A:A,rf1_data!B:B)</f>
        <v>40594</v>
      </c>
      <c r="C23" s="2">
        <f>(_xlfn.XLOOKUP($A23,trust!$A:$A,trust!B:B,"NaN"))</f>
        <v>3</v>
      </c>
      <c r="D23" s="2">
        <f>(_xlfn.XLOOKUP($A23,trust!$A:$A,trust!C:C,"NaN"))</f>
        <v>2</v>
      </c>
      <c r="E23" s="2">
        <f>(_xlfn.XLOOKUP($A23,trust!$A:$A,trust!D:D,"NaN"))</f>
        <v>2.4</v>
      </c>
      <c r="F23" s="2">
        <f>(_xlfn.XLOOKUP($A23,trust!$A:$A,trust!E:E,"NaN"))</f>
        <v>2.5</v>
      </c>
      <c r="G23" s="2">
        <f>(_xlfn.XLOOKUP($A23,trust!$A:$A,trust!F:F,"NaN"))</f>
        <v>6.8571429999999998</v>
      </c>
      <c r="H23" s="2">
        <f>(_xlfn.XLOOKUP($A23,trust!$A:$A,trust!G:G,"NaN"))</f>
        <v>4.6666670000000003</v>
      </c>
      <c r="I23" s="3">
        <f>IF(_xlfn.XLOOKUP($B23,island_data!$B:$B,island_data!C:C,"NaN")="","NaN",_xlfn.XLOOKUP($B23,island_data!$B:$B,island_data!C:C,"NaN"))</f>
        <v>45105</v>
      </c>
      <c r="J23" s="3">
        <f>IF(_xlfn.XLOOKUP($B23,island_data!$B:$B,island_data!D:D,"NaN")="","NaN",_xlfn.XLOOKUP($B23,island_data!$B:$B,island_data!D:D,"NaN"))</f>
        <v>34339</v>
      </c>
      <c r="K23" s="4">
        <f>IF(_xlfn.XLOOKUP($B23,island_data!$B:$B,island_data!E:E,"NaN")="","NaN",_xlfn.XLOOKUP($B23,island_data!$B:$B,island_data!E:E,"NaN"))</f>
        <v>29.48</v>
      </c>
      <c r="L23" s="5">
        <f>IF(_xlfn.XLOOKUP($B23,rf1_data!$B:$B,rf1_data!D:D,"NaN")="","NaN",(_xlfn.XLOOKUP($B23,rf1_data!$B:$B,rf1_data!D:D,"NaN")))</f>
        <v>29.07</v>
      </c>
      <c r="M23" s="5" t="str">
        <f>IF(_xlfn.XLOOKUP($B23,rf1_data!$B:$B,rf1_data!E:E,"NaN")="","NaN",(_xlfn.XLOOKUP($B23,rf1_data!$B:$B,rf1_data!E:E,"NaN")))</f>
        <v>Black or African American</v>
      </c>
      <c r="N23" s="5" t="str">
        <f>IF(_xlfn.XLOOKUP($B23,rf1_data!$B:$B,rf1_data!F:F,"NaN")="","NaN",(_xlfn.XLOOKUP($B23,rf1_data!$B:$B,rf1_data!F:F,"NaN")))</f>
        <v>Not Hispanic or Latino</v>
      </c>
      <c r="O23" s="5" t="str">
        <f>IF(_xlfn.XLOOKUP($B23,rf1_data!$B:$B,rf1_data!G:G,"NaN")="","NaN",(_xlfn.XLOOKUP($B23,rf1_data!$B:$B,rf1_data!G:G,"NaN")))</f>
        <v>Female</v>
      </c>
      <c r="P23" s="5">
        <f>IF(_xlfn.XLOOKUP($B23,rf1_data!$B:$B,rf1_data!H:H,"NaN")="","NaN",(_xlfn.XLOOKUP($B23,rf1_data!$B:$B,rf1_data!H:H,"NaN")))</f>
        <v>3.67</v>
      </c>
      <c r="Q23" s="5">
        <f>IF(_xlfn.XLOOKUP($B23,rf1_data!$B:$B,rf1_data!I:I,"NaN")="","NaN",(_xlfn.XLOOKUP($B23,rf1_data!$B:$B,rf1_data!I:I,"NaN")))</f>
        <v>3.11</v>
      </c>
      <c r="R23" s="5">
        <f>IF(_xlfn.XLOOKUP($B23,rf1_data!$B:$B,rf1_data!J:J,"NaN")="","NaN",(_xlfn.XLOOKUP($B23,rf1_data!$B:$B,rf1_data!J:J,"NaN")))</f>
        <v>0</v>
      </c>
      <c r="S23" s="5">
        <f>IF(_xlfn.XLOOKUP($B23,rf1_data!$B:$B,rf1_data!K:K,"NaN")="","NaN",(_xlfn.XLOOKUP($B23,rf1_data!$B:$B,rf1_data!K:K,"NaN")))</f>
        <v>6</v>
      </c>
      <c r="T23" s="5">
        <f>IF(_xlfn.XLOOKUP($B23,rf1_data!$B:$B,rf1_data!L:L,"NaN")="","NaN",(_xlfn.XLOOKUP($B23,rf1_data!$B:$B,rf1_data!L:L,"NaN")))</f>
        <v>0</v>
      </c>
      <c r="U23" s="5">
        <f>IF(_xlfn.XLOOKUP($B23,rf1_data!$B:$B,rf1_data!M:M,"NaN")="","NaN",(_xlfn.XLOOKUP($B23,rf1_data!$B:$B,rf1_data!M:M,"NaN")))</f>
        <v>5.67</v>
      </c>
      <c r="V23" s="5">
        <f>IF(_xlfn.XLOOKUP($B23,rf1_data!$B:$B,rf1_data!N:N,"NaN")="","NaN",(_xlfn.XLOOKUP($B23,rf1_data!$B:$B,rf1_data!N:N,"NaN")))</f>
        <v>5.33</v>
      </c>
      <c r="W23" s="5">
        <f>IF(_xlfn.XLOOKUP($B23,rf1_data!$B:$B,rf1_data!O:O,"NaN")="","NaN",(_xlfn.XLOOKUP($B23,rf1_data!$B:$B,rf1_data!O:O,"NaN")))</f>
        <v>5.75</v>
      </c>
      <c r="X23" s="5">
        <f>IF(_xlfn.XLOOKUP($B23,rf1_data!$B:$B,rf1_data!P:P,"NaN")="","NaN",(_xlfn.XLOOKUP($B23,rf1_data!$B:$B,rf1_data!P:P,"NaN")))</f>
        <v>3.17</v>
      </c>
      <c r="Y23" s="5">
        <f>IF(_xlfn.XLOOKUP($B23,rf1_data!$B:$B,rf1_data!Q:Q,"NaN")="","NaN",(_xlfn.XLOOKUP($B23,rf1_data!$B:$B,rf1_data!Q:Q,"NaN")))</f>
        <v>5</v>
      </c>
      <c r="Z23" s="5">
        <f>IF(_xlfn.XLOOKUP($B23,rf1_data!$B:$B,rf1_data!R:R,"NaN")="","NaN",(_xlfn.XLOOKUP($B23,rf1_data!$B:$B,rf1_data!R:R,"NaN")))</f>
        <v>50</v>
      </c>
      <c r="AA23" s="5">
        <f>IF(_xlfn.XLOOKUP($B23,rf1_data!$B:$B,rf1_data!S:S,"NaN")="","NaN",(_xlfn.XLOOKUP($B23,rf1_data!$B:$B,rf1_data!S:S,"NaN")))</f>
        <v>13</v>
      </c>
      <c r="AB23" s="5">
        <f>IF(_xlfn.XLOOKUP($B23,rf1_data!$B:$B,rf1_data!T:T,"NaN")="","NaN",(_xlfn.XLOOKUP($B23,rf1_data!$B:$B,rf1_data!T:T,"NaN")))</f>
        <v>17</v>
      </c>
      <c r="AC23" s="5">
        <f>IF(_xlfn.XLOOKUP($B23,rf1_data!$B:$B,rf1_data!U:U,"NaN")="","NaN",(_xlfn.XLOOKUP($B23,rf1_data!$B:$B,rf1_data!U:U,"NaN")))</f>
        <v>6</v>
      </c>
      <c r="AD23" s="5">
        <f>IF(_xlfn.XLOOKUP($B23,rf1_data!$B:$B,rf1_data!V:V,"NaN")="","NaN",(_xlfn.XLOOKUP($B23,rf1_data!$B:$B,rf1_data!V:V,"NaN")))</f>
        <v>14</v>
      </c>
      <c r="AE23" s="5">
        <f>IF(_xlfn.XLOOKUP($B23,rf1_data!$B:$B,rf1_data!W:W,"NaN")="","NaN",(_xlfn.XLOOKUP($B23,rf1_data!$B:$B,rf1_data!W:W,"NaN")))</f>
        <v>6</v>
      </c>
      <c r="AF23" s="5">
        <f>IF(_xlfn.XLOOKUP($B23,rf1_data!$B:$B,rf1_data!X:X,"NaN")="","NaN",(_xlfn.XLOOKUP($B23,rf1_data!$B:$B,rf1_data!X:X,"NaN")))</f>
        <v>9</v>
      </c>
      <c r="AG23" s="5">
        <f>IF(_xlfn.XLOOKUP($B23,rf1_data!$B:$B,rf1_data!Y:Y,"NaN")="","NaN",(_xlfn.XLOOKUP($B23,rf1_data!$B:$B,rf1_data!Y:Y,"NaN")))</f>
        <v>8</v>
      </c>
      <c r="AH23" s="5">
        <f>IF(_xlfn.XLOOKUP($B23,rf1_data!$B:$B,rf1_data!Z:Z,"NaN")="","NaN",(_xlfn.XLOOKUP($B23,rf1_data!$B:$B,rf1_data!Z:Z,"NaN")))</f>
        <v>5</v>
      </c>
      <c r="AI23" s="5">
        <f>IF(_xlfn.XLOOKUP($B23,rf1_data!$B:$B,rf1_data!AA:AA,"NaN")="","NaN",(_xlfn.XLOOKUP($B23,rf1_data!$B:$B,rf1_data!AA:AA,"NaN")))</f>
        <v>3</v>
      </c>
      <c r="AJ23" s="5">
        <f>IF(_xlfn.XLOOKUP($B23,rf1_data!$B:$B,rf1_data!AB:AB,"NaN")="","NaN",(_xlfn.XLOOKUP($B23,rf1_data!$B:$B,rf1_data!AB:AB,"NaN")))</f>
        <v>31</v>
      </c>
      <c r="AK23" s="5">
        <f>IF(_xlfn.XLOOKUP($B23,rf1_data!$B:$B,rf1_data!AC:AC,"NaN")="","NaN",(_xlfn.XLOOKUP($B23,rf1_data!$B:$B,rf1_data!AC:AC,"NaN")))</f>
        <v>32</v>
      </c>
      <c r="AL23" s="5">
        <f>IF(_xlfn.XLOOKUP($B23,rf1_data!$B:$B,rf1_data!AD:AD,"NaN")="","NaN",(_xlfn.XLOOKUP($B23,rf1_data!$B:$B,rf1_data!AD:AD,"NaN")))</f>
        <v>10</v>
      </c>
      <c r="AM23" s="5">
        <f>IF(_xlfn.XLOOKUP($B23,rf1_data!$B:$B,rf1_data!AE:AE,"NaN")="","NaN",(_xlfn.XLOOKUP($B23,rf1_data!$B:$B,rf1_data!AE:AE,"NaN")))</f>
        <v>0</v>
      </c>
      <c r="AN23" s="5">
        <f>IF(_xlfn.XLOOKUP($B23,rf1_data!$B:$B,rf1_data!AF:AF,"NaN")="","NaN",(_xlfn.XLOOKUP($B23,rf1_data!$B:$B,rf1_data!AF:AF,"NaN")))</f>
        <v>0</v>
      </c>
      <c r="AO23" s="5" t="str">
        <f>IF(_xlfn.XLOOKUP($B23,rf1_data!$B:$B,rf1_data!AG:AG,"NaN")="","NaN",(_xlfn.XLOOKUP($B23,rf1_data!$B:$B,rf1_data!AG:AG,"NaN")))</f>
        <v>NaN</v>
      </c>
      <c r="AP23" s="5" t="str">
        <f>IF(_xlfn.XLOOKUP($B23,rf1_data!$B:$B,rf1_data!AH:AH,"NaN")="","NaN",(_xlfn.XLOOKUP($B23,rf1_data!$B:$B,rf1_data!AH:AH,"NaN")))</f>
        <v>NaN</v>
      </c>
      <c r="AQ23" s="5" t="str">
        <f>IF(_xlfn.XLOOKUP($B23,rf1_data!$B:$B,rf1_data!AI:AI,"NaN")="","NaN",(_xlfn.XLOOKUP($B23,rf1_data!$B:$B,rf1_data!AI:AI,"NaN")))</f>
        <v>NaN</v>
      </c>
      <c r="AR23" s="5" t="str">
        <f>IF(_xlfn.XLOOKUP($B23,rf1_data!$B:$B,rf1_data!AJ:AJ,"NaN")="","NaN",(_xlfn.XLOOKUP($B23,rf1_data!$B:$B,rf1_data!AJ:AJ,"NaN")))</f>
        <v>NaN</v>
      </c>
      <c r="AS23" s="5">
        <f>IF(_xlfn.XLOOKUP($B23,rf1_data!$B:$B,rf1_data!AK:AK,"NaN")="","NaN",(_xlfn.XLOOKUP($B23,rf1_data!$B:$B,rf1_data!AK:AK,"NaN")))</f>
        <v>2.9</v>
      </c>
      <c r="AT23" s="5">
        <f>IF(_xlfn.XLOOKUP($B23,rf1_data!$B:$B,rf1_data!AL:AL,"NaN")="","NaN",(_xlfn.XLOOKUP($B23,rf1_data!$B:$B,rf1_data!AL:AL,"NaN")))</f>
        <v>9</v>
      </c>
      <c r="AU23" s="5">
        <f>IF(_xlfn.XLOOKUP($B23,rf1_data!$B:$B,rf1_data!AM:AM,"NaN")="","NaN",(_xlfn.XLOOKUP($B23,rf1_data!$B:$B,rf1_data!AM:AM,"NaN")))</f>
        <v>2.17</v>
      </c>
      <c r="AV23" s="5">
        <f>IF(_xlfn.XLOOKUP($B23,rf1_data!$B:$B,rf1_data!AN:AN,"NaN")="","NaN",(_xlfn.XLOOKUP($B23,rf1_data!$B:$B,rf1_data!AN:AN,"NaN")))</f>
        <v>0</v>
      </c>
      <c r="AW23" s="5" t="str">
        <f>IF(_xlfn.XLOOKUP($B23,rf1_data!$B:$B,rf1_data!AO:AO,"NaN")="","NaN",(_xlfn.XLOOKUP($B23,rf1_data!$B:$B,rf1_data!AO:AO,"NaN")))</f>
        <v>NaN</v>
      </c>
      <c r="AX23" s="5">
        <f>IF(_xlfn.XLOOKUP($B23,rf1_data!$B:$B,rf1_data!AP:AP,"NaN")="","NaN",(_xlfn.XLOOKUP($B23,rf1_data!$B:$B,rf1_data!AP:AP,"NaN")))</f>
        <v>2.06</v>
      </c>
      <c r="AY23" s="5">
        <f>IF(_xlfn.XLOOKUP($B23,rf1_data!$B:$B,rf1_data!AQ:AQ,"NaN")="","NaN",(_xlfn.XLOOKUP($B23,rf1_data!$B:$B,rf1_data!AQ:AQ,"NaN")))</f>
        <v>18</v>
      </c>
      <c r="AZ23" s="5" t="str">
        <f>IF(_xlfn.XLOOKUP($B23,rf1_data!$B:$B,rf1_data!AR:AR,"NaN")="","NaN",(_xlfn.XLOOKUP($B23,rf1_data!$B:$B,rf1_data!AR:AR,"NaN")))</f>
        <v>NaN</v>
      </c>
      <c r="BA23" s="5" t="str">
        <f>IF(_xlfn.XLOOKUP($B23,rf1_data!$B:$B,rf1_data!AS:AS,"NaN")="","NaN",(_xlfn.XLOOKUP($B23,rf1_data!$B:$B,rf1_data!AS:AS,"NaN")))</f>
        <v>NaN</v>
      </c>
      <c r="BB23" s="5" t="str">
        <f>IF(_xlfn.XLOOKUP($B23,rf1_data!$B:$B,rf1_data!AT:AT,"NaN")="","NaN",(_xlfn.XLOOKUP($B23,rf1_data!$B:$B,rf1_data!AT:AT,"NaN")))</f>
        <v>NaN</v>
      </c>
      <c r="BC23" s="5" t="str">
        <f>IF(_xlfn.XLOOKUP($B23,rf1_data!$B:$B,rf1_data!AU:AU,"NaN")="","NaN",(_xlfn.XLOOKUP($B23,rf1_data!$B:$B,rf1_data!AU:AU,"NaN")))</f>
        <v>NaN</v>
      </c>
      <c r="BD23" s="5" t="str">
        <f>IF(_xlfn.XLOOKUP($B23,rf1_data!$B:$B,rf1_data!AV:AV,"NaN")="","NaN",(_xlfn.XLOOKUP($B23,rf1_data!$B:$B,rf1_data!AV:AV,"NaN")))</f>
        <v>NaN</v>
      </c>
      <c r="BE23" s="5" t="str">
        <f>IF(_xlfn.XLOOKUP($B23,rf1_data!$B:$B,rf1_data!AW:AW,"NaN")="","NaN",(_xlfn.XLOOKUP($B23,rf1_data!$B:$B,rf1_data!AW:AW,"NaN")))</f>
        <v>NaN</v>
      </c>
      <c r="BF23" s="5" t="str">
        <f>IF(_xlfn.XLOOKUP($B23,rf1_data!$B:$B,rf1_data!AX:AX,"NaN")="","NaN",(_xlfn.XLOOKUP($B23,rf1_data!$B:$B,rf1_data!AX:AX,"NaN")))</f>
        <v>NaN</v>
      </c>
      <c r="BG23" s="5" t="str">
        <f>IF(_xlfn.XLOOKUP($B23,rf1_data!$B:$B,rf1_data!AY:AY,"NaN")="","NaN",(_xlfn.XLOOKUP($B23,rf1_data!$B:$B,rf1_data!AY:AY,"NaN")))</f>
        <v>NaN</v>
      </c>
      <c r="BH23" s="5" t="str">
        <f>IF(_xlfn.XLOOKUP($B23,rf1_data!$B:$B,rf1_data!AZ:AZ,"NaN")="","NaN",(_xlfn.XLOOKUP($B23,rf1_data!$B:$B,rf1_data!AZ:AZ,"NaN")))</f>
        <v>NaN</v>
      </c>
      <c r="BI23" s="5">
        <f>IF(_xlfn.XLOOKUP($B23,rf1_data!$B:$B,rf1_data!BA:BA,"NaN")="","NaN",(_xlfn.XLOOKUP($B23,rf1_data!$B:$B,rf1_data!BA:BA,"NaN")))</f>
        <v>20</v>
      </c>
      <c r="BJ23" s="5" t="str">
        <f>IF(_xlfn.XLOOKUP($B23,rf1_data!$B:$B,rf1_data!BB:BB,"NaN")="","NaN",(_xlfn.XLOOKUP($B23,rf1_data!$B:$B,rf1_data!BB:BB,"NaN")))</f>
        <v>NaN</v>
      </c>
      <c r="BK23" s="5" t="str">
        <f>IF(_xlfn.XLOOKUP($B23,rf1_data!$B:$B,rf1_data!BC:BC,"NaN")="","NaN",(_xlfn.XLOOKUP($B23,rf1_data!$B:$B,rf1_data!BC:BC,"NaN")))</f>
        <v>NaN</v>
      </c>
      <c r="BL23" s="5" t="str">
        <f>IF(_xlfn.XLOOKUP($B23,rf1_data!$B:$B,rf1_data!BD:BD,"NaN")="","NaN",(_xlfn.XLOOKUP($B23,rf1_data!$B:$B,rf1_data!BD:BD,"NaN")))</f>
        <v>NaN</v>
      </c>
      <c r="BM23" s="5" t="str">
        <f>IF(_xlfn.XLOOKUP($B23,rf1_data!$B:$B,rf1_data!BE:BE,"NaN")="","NaN",(_xlfn.XLOOKUP($B23,rf1_data!$B:$B,rf1_data!BE:BE,"NaN")))</f>
        <v>NaN</v>
      </c>
      <c r="BN23" s="5" t="str">
        <f>IF(_xlfn.XLOOKUP($B23,rf1_data!$B:$B,rf1_data!BF:BF,"NaN")="","NaN",(_xlfn.XLOOKUP($B23,rf1_data!$B:$B,rf1_data!BF:BF,"NaN")))</f>
        <v>NaN</v>
      </c>
      <c r="BO23" s="5" t="str">
        <f>IF(_xlfn.XLOOKUP($B23,rf1_data!$B:$B,rf1_data!BG:BG,"NaN")="","NaN",(_xlfn.XLOOKUP($B23,rf1_data!$B:$B,rf1_data!BG:BG,"NaN")))</f>
        <v>NaN</v>
      </c>
      <c r="BP23" s="5" t="str">
        <f>IF(_xlfn.XLOOKUP($B23,rf1_data!$B:$B,rf1_data!BH:BH,"NaN")="","NaN",(_xlfn.XLOOKUP($B23,rf1_data!$B:$B,rf1_data!BH:BH,"NaN")))</f>
        <v>NaN</v>
      </c>
      <c r="BQ23" s="5" t="str">
        <f>IF(_xlfn.XLOOKUP($B23,rf1_data!$B:$B,rf1_data!BI:BI,"NaN")="","NaN",(_xlfn.XLOOKUP($B23,rf1_data!$B:$B,rf1_data!BI:BI,"NaN")))</f>
        <v>NaN</v>
      </c>
      <c r="BR23" s="5">
        <f>IF(_xlfn.XLOOKUP($B23,rf1_data!$B:$B,rf1_data!BJ:BJ,"NaN")="","NaN",(_xlfn.XLOOKUP($B23,rf1_data!$B:$B,rf1_data!BJ:BJ,"NaN")))</f>
        <v>8991</v>
      </c>
      <c r="BS23" s="5" t="str">
        <f>IF(_xlfn.XLOOKUP($B23,rf1_data!$B:$B,rf1_data!BK:BK,"NaN")="","NaN",(_xlfn.XLOOKUP($B23,rf1_data!$B:$B,rf1_data!BK:BK,"NaN")))</f>
        <v>NaN</v>
      </c>
      <c r="BT23" s="5" t="str">
        <f>IF(_xlfn.XLOOKUP($B23,rf1_data!$B:$B,rf1_data!BL:BL,"NaN")="","NaN",(_xlfn.XLOOKUP($B23,rf1_data!$B:$B,rf1_data!BL:BL,"NaN")))</f>
        <v>NaN</v>
      </c>
      <c r="BU23" s="5" t="str">
        <f>IF(_xlfn.XLOOKUP($B23,rf1_data!$B:$B,rf1_data!BM:BM,"NaN")="","NaN",(_xlfn.XLOOKUP($B23,rf1_data!$B:$B,rf1_data!BM:BM,"NaN")))</f>
        <v>NaN</v>
      </c>
      <c r="BV23" s="5" t="str">
        <f>IF(_xlfn.XLOOKUP($B23,rf1_data!$B:$B,rf1_data!BN:BN,"NaN")="","NaN",(_xlfn.XLOOKUP($B23,rf1_data!$B:$B,rf1_data!BN:BN,"NaN")))</f>
        <v>NaN</v>
      </c>
      <c r="BW23" s="5">
        <f>IF(_xlfn.XLOOKUP($B23,rf1_data!$B:$B,rf1_data!BO:BO,"NaN")="","NaN",(_xlfn.XLOOKUP($B23,rf1_data!$B:$B,rf1_data!BO:BO,"NaN")))</f>
        <v>3.3</v>
      </c>
      <c r="BX23" s="5">
        <f>IF(_xlfn.XLOOKUP($B23,rf1_data!$B:$B,rf1_data!BP:BP,"NaN")="","NaN",(_xlfn.XLOOKUP($B23,rf1_data!$B:$B,rf1_data!BP:BP,"NaN")))</f>
        <v>4</v>
      </c>
      <c r="BY23" s="5">
        <f>IF(_xlfn.XLOOKUP($B23,rf1_data!$B:$B,rf1_data!BQ:BQ,"NaN")="","NaN",(_xlfn.XLOOKUP($B23,rf1_data!$B:$B,rf1_data!BQ:BQ,"NaN")))</f>
        <v>3.7</v>
      </c>
      <c r="BZ23" s="5">
        <f>IF(_xlfn.XLOOKUP($B23,rf1_data!$B:$B,rf1_data!BR:BR,"NaN")="","NaN",(_xlfn.XLOOKUP($B23,rf1_data!$B:$B,rf1_data!BR:BR,"NaN")))</f>
        <v>3.67</v>
      </c>
      <c r="CA23" s="5">
        <f>IF(_xlfn.XLOOKUP($B23,rf1_data!$B:$B,rf1_data!BS:BS,"NaN")="","NaN",(_xlfn.XLOOKUP($B23,rf1_data!$B:$B,rf1_data!BS:BS,"NaN")))</f>
        <v>2.3333333333333299</v>
      </c>
      <c r="CB23" s="5">
        <f>IF(_xlfn.XLOOKUP($B23,rf1_data!$B:$B,rf1_data!BT:BT,"NaN")="","NaN",(_xlfn.XLOOKUP($B23,rf1_data!$B:$B,rf1_data!BT:BT,"NaN")))</f>
        <v>3.5</v>
      </c>
      <c r="CC23" s="5">
        <f>IF(_xlfn.XLOOKUP($B23,rf1_data!$B:$B,rf1_data!BU:BU,"NaN")="","NaN",(_xlfn.XLOOKUP($B23,rf1_data!$B:$B,rf1_data!BU:BU,"NaN")))</f>
        <v>3</v>
      </c>
      <c r="CD23" s="5">
        <f>IF(_xlfn.XLOOKUP($B23,rf1_data!$B:$B,rf1_data!BV:BV,"NaN")="","NaN",(_xlfn.XLOOKUP($B23,rf1_data!$B:$B,rf1_data!BV:BV,"NaN")))</f>
        <v>2.6666666666666599</v>
      </c>
      <c r="CE23" s="5">
        <f>IF(_xlfn.XLOOKUP($B23,rf1_data!$B:$B,rf1_data!BW:BW,"NaN")="","NaN",(_xlfn.XLOOKUP($B23,rf1_data!$B:$B,rf1_data!BW:BW,"NaN")))</f>
        <v>1.9</v>
      </c>
      <c r="CF23" s="5">
        <f>IF(_xlfn.XLOOKUP($B23,rf1_data!$B:$B,rf1_data!BX:BX,"NaN")="","NaN",(_xlfn.XLOOKUP($B23,rf1_data!$B:$B,rf1_data!BX:BX,"NaN")))</f>
        <v>0</v>
      </c>
      <c r="CG23" s="5">
        <f>IF(_xlfn.XLOOKUP($B23,rf1_data!$B:$B,rf1_data!BY:BY,"NaN")="","NaN",(_xlfn.XLOOKUP($B23,rf1_data!$B:$B,rf1_data!BY:BY,"NaN")))</f>
        <v>0</v>
      </c>
      <c r="CH23" s="5">
        <f>IF(_xlfn.XLOOKUP($B23,rf1_data!$B:$B,rf1_data!BZ:BZ,"NaN")="","NaN",(_xlfn.XLOOKUP($B23,rf1_data!$B:$B,rf1_data!BZ:BZ,"NaN")))</f>
        <v>23</v>
      </c>
      <c r="CI23" s="5">
        <f>IF(_xlfn.XLOOKUP($B23,rf1_data!$B:$B,rf1_data!CA:CA,"NaN")="","NaN",(_xlfn.XLOOKUP($B23,rf1_data!$B:$B,rf1_data!CA:CA,"NaN")))</f>
        <v>27</v>
      </c>
      <c r="CJ23" s="5">
        <f>IF(_xlfn.XLOOKUP($B23,rf1_data!$B:$B,rf1_data!CB:CB,"NaN")="","NaN",(_xlfn.XLOOKUP($B23,rf1_data!$B:$B,rf1_data!CB:CB,"NaN")))</f>
        <v>11</v>
      </c>
      <c r="CK23" s="5">
        <f>IF(_xlfn.XLOOKUP($B23,rf1_data!$B:$B,rf1_data!CC:CC,"NaN")="","NaN",(_xlfn.XLOOKUP($B23,rf1_data!$B:$B,rf1_data!CC:CC,"NaN")))</f>
        <v>1.1000000000000001</v>
      </c>
      <c r="CL23" s="5">
        <f>IF(_xlfn.XLOOKUP($B23,rf1_data!$B:$B,rf1_data!CD:CD,"NaN")=0,"NaN",(_xlfn.XLOOKUP($B23,rf1_data!$B:$B,rf1_data!CD:CD,"NaN")))</f>
        <v>34</v>
      </c>
      <c r="CM23" s="5">
        <f>IF(_xlfn.XLOOKUP($B23,rf1_data!$B:$B,rf1_data!CE:CE,"NaN")="","NaN",(_xlfn.XLOOKUP($B23,rf1_data!$B:$B,rf1_data!CE:CE,"NaN")))</f>
        <v>28</v>
      </c>
      <c r="CN23" s="5">
        <f>IF(_xlfn.XLOOKUP($B23,rf1_data!$B:$B,rf1_data!CF:CF,"NaN")="","NaN",(_xlfn.XLOOKUP($B23,rf1_data!$B:$B,rf1_data!CF:CF,"NaN")))</f>
        <v>31</v>
      </c>
      <c r="CO23" s="5">
        <f>IF(_xlfn.XLOOKUP($B23,rf1_data!$B:$B,rf1_data!CG:CG,"NaN")="","NaN",(_xlfn.XLOOKUP($B23,rf1_data!$B:$B,rf1_data!CG:CG,"NaN")))</f>
        <v>26</v>
      </c>
      <c r="CP23" s="5">
        <f>IF(_xlfn.XLOOKUP($B23,rf1_data!$B:$B,rf1_data!CH:CH,"NaN")=0,"NaN",(_xlfn.XLOOKUP($B23,rf1_data!$B:$B,rf1_data!CH:CH,"NaN")))</f>
        <v>33</v>
      </c>
      <c r="CQ23" s="5">
        <f>IF(_xlfn.XLOOKUP($B23,rf1_data!$B:$B,rf1_data!CI:CI,"NaN")="","NaN",(_xlfn.XLOOKUP($B23,rf1_data!$B:$B,rf1_data!CI:CI,"NaN")))</f>
        <v>38</v>
      </c>
      <c r="CR23" s="5">
        <f>IF(_xlfn.XLOOKUP($B23,rf1_data!$B:$B,rf1_data!CJ:CJ,"NaN")="","NaN",(_xlfn.XLOOKUP($B23,rf1_data!$B:$B,rf1_data!CJ:CJ,"NaN")))</f>
        <v>60</v>
      </c>
      <c r="CS23" s="5">
        <f>IF(_xlfn.XLOOKUP($B23,rf1_data!$B:$B,rf1_data!CK:CK,"NaN")="","NaN",(_xlfn.XLOOKUP($B23,rf1_data!$B:$B,rf1_data!CK:CK,"NaN")))</f>
        <v>33</v>
      </c>
      <c r="CT23" s="5">
        <f>IF(_xlfn.XLOOKUP($B23,rf1_data!$B:$B,rf1_data!CL:CL,"NaN")="","NaN",(_xlfn.XLOOKUP($B23,rf1_data!$B:$B,rf1_data!CL:CL,"NaN")))</f>
        <v>60</v>
      </c>
      <c r="CU23" s="5">
        <f>IF(_xlfn.XLOOKUP($B23,rf1_data!$B:$B,rf1_data!CM:CM,"NaN")="","NaN",(_xlfn.XLOOKUP($B23,rf1_data!$B:$B,rf1_data!CM:CM,"NaN")))</f>
        <v>39</v>
      </c>
      <c r="CV23" s="5">
        <f>IF(_xlfn.XLOOKUP($B23,rf1_data!$B:$B,rf1_data!CN:CN,"NaN")="","NaN",(_xlfn.XLOOKUP($B23,rf1_data!$B:$B,rf1_data!CN:CN,"NaN")))</f>
        <v>60</v>
      </c>
      <c r="CW23" s="5" t="str">
        <f>IF(_xlfn.XLOOKUP($B23,rf1_data!$B:$B,rf1_data!CO:CO,"NaN")="","NaN",(_xlfn.XLOOKUP($B23,rf1_data!$B:$B,rf1_data!CO:CO,"NaN")))</f>
        <v>NaN</v>
      </c>
      <c r="CX23" s="5" t="str">
        <f>IF(_xlfn.XLOOKUP($B23,rf1_data!$B:$B,rf1_data!CP:CP,"NaN")="","NaN",(_xlfn.XLOOKUP($B23,rf1_data!$B:$B,rf1_data!CP:CP,"NaN")))</f>
        <v>NaN</v>
      </c>
      <c r="CY23" s="5">
        <f>IF(_xlfn.XLOOKUP($B23,rf1_data!$B:$B,rf1_data!CQ:CQ,"NaN")="","NaN",(_xlfn.XLOOKUP($B23,rf1_data!$B:$B,rf1_data!CQ:CQ,"NaN")))</f>
        <v>4</v>
      </c>
      <c r="CZ23" s="5">
        <f>IF(_xlfn.XLOOKUP($B23,rf1_data!$B:$B,rf1_data!CR:CR,"NaN")="","NaN",(_xlfn.XLOOKUP($B23,rf1_data!$B:$B,rf1_data!CR:CR,"NaN")))</f>
        <v>1</v>
      </c>
      <c r="DA23" s="5">
        <f>IF(_xlfn.XLOOKUP($B23,rf1_data!$B:$B,rf1_data!CS:CS,"NaN")="","NaN",(_xlfn.XLOOKUP($B23,rf1_data!$B:$B,rf1_data!CS:CS,"NaN")))</f>
        <v>1</v>
      </c>
      <c r="DB23" s="4">
        <f>IF(_xlfn.XLOOKUP($B23,island_data!$B:$B,island_data!H:H,"NaN")="","NaN",_xlfn.XLOOKUP($B23,island_data!$B:$B,island_data!H:H,"NaN"))</f>
        <v>3</v>
      </c>
      <c r="DC23" s="4">
        <f>IF(_xlfn.XLOOKUP($B23,island_data!$B:$B,island_data!I:I,"NaN")="","NaN",_xlfn.XLOOKUP($B23,island_data!$B:$B,island_data!I:I,"NaN"))</f>
        <v>2</v>
      </c>
      <c r="DD23" s="4">
        <f>IF(_xlfn.XLOOKUP($B23,island_data!$B:$B,island_data!J:J,"NaN")="","NaN",_xlfn.XLOOKUP($B23,island_data!$B:$B,island_data!J:J,"NaN"))</f>
        <v>3</v>
      </c>
      <c r="DE23" s="4" t="str">
        <f>IF(_xlfn.XLOOKUP($B23,island_data!$B:$B,island_data!K:K,"NaN")="","NaN",_xlfn.XLOOKUP($B23,island_data!$B:$B,island_data!K:K,"NaN"))</f>
        <v>NaN</v>
      </c>
      <c r="DF23" s="4">
        <f>IF(_xlfn.XLOOKUP($B23,island_data!$B:$B,island_data!L:L,"NaN")="","NaN",_xlfn.XLOOKUP($B23,island_data!$B:$B,island_data!L:L,"NaN"))</f>
        <v>28</v>
      </c>
      <c r="DG23" s="4">
        <f>IF(_xlfn.XLOOKUP($B23,island_data!$B:$B,island_data!M:M,"NaN")="","NaN",_xlfn.XLOOKUP($B23,island_data!$B:$B,island_data!M:M,"NaN"))</f>
        <v>2.7777777777777999</v>
      </c>
      <c r="DH23" s="4">
        <f>IF(_xlfn.XLOOKUP($B23,island_data!$B:$B,island_data!N:N,"NaN")="","NaN",_xlfn.XLOOKUP($B23,island_data!$B:$B,island_data!N:N,"NaN"))</f>
        <v>12</v>
      </c>
      <c r="DI23" s="4" t="str">
        <f>IF(_xlfn.XLOOKUP($B23,island_data!$B:$B,island_data!O:O,"NaN")=999,"NaN",_xlfn.XLOOKUP($B23,island_data!$B:$B,island_data!O:O,"NaN"))</f>
        <v>NaN</v>
      </c>
      <c r="DJ23" s="4">
        <f>IF(_xlfn.XLOOKUP($B23,island_data!$B:$B,island_data!P:P,"NaN")="","NaN",_xlfn.XLOOKUP($B23,island_data!$B:$B,island_data!P:P,"NaN"))</f>
        <v>7</v>
      </c>
      <c r="DK23" s="4">
        <f>IF(_xlfn.XLOOKUP($B23,island_data!$B:$B,island_data!Q:Q,"NaN")="","NaN",_xlfn.XLOOKUP($B23,island_data!$B:$B,island_data!Q:Q,"NaN"))</f>
        <v>5</v>
      </c>
      <c r="DL23" s="4" t="str">
        <f>IF(_xlfn.XLOOKUP($B23,island_data!$B:$B,island_data!R:R,"NaN")=999,"NaN",_xlfn.XLOOKUP($B23,island_data!$B:$B,island_data!R:R,"NaN"))</f>
        <v>NaN</v>
      </c>
      <c r="DM23" s="4">
        <f>IF(_xlfn.XLOOKUP($B23,island_data!$B:$B,island_data!S:S,"NaN")="","NaN",_xlfn.XLOOKUP($B23,island_data!$B:$B,island_data!S:S,"NaN"))</f>
        <v>10</v>
      </c>
      <c r="DN23" s="4">
        <f>IF(_xlfn.XLOOKUP($B23,island_data!$B:$B,island_data!T:T,"NaN")="","NaN",_xlfn.XLOOKUP($B23,island_data!$B:$B,island_data!T:T,"NaN"))</f>
        <v>3.9166666666666599</v>
      </c>
      <c r="DO23" s="4">
        <f>IF(_xlfn.XLOOKUP($B23,island_data!$B:$B,island_data!U:U,"NaN")="","NaN",_xlfn.XLOOKUP($B23,island_data!$B:$B,island_data!U:U,"NaN"))</f>
        <v>5</v>
      </c>
      <c r="DP23" s="4">
        <f>IF(_xlfn.XLOOKUP($B23,island_data!$B:$B,island_data!V:V,"NaN")="","NaN",_xlfn.XLOOKUP($B23,island_data!$B:$B,island_data!V:V,"NaN"))</f>
        <v>1</v>
      </c>
      <c r="DQ23" s="4">
        <f>IF(_xlfn.XLOOKUP($B23,island_data!$B:$B,island_data!W:W,"NaN")="","NaN",_xlfn.XLOOKUP($B23,island_data!$B:$B,island_data!W:W,"NaN"))</f>
        <v>5</v>
      </c>
      <c r="DR23" s="4">
        <f>IF(_xlfn.XLOOKUP($B23,island_data!$B:$B,island_data!X:X,"NaN")="","NaN",_xlfn.XLOOKUP($B23,island_data!$B:$B,island_data!X:X,"NaN"))</f>
        <v>5</v>
      </c>
      <c r="DS23" s="4" t="str">
        <f>IF(_xlfn.XLOOKUP($B23,island_data!$B:$B,island_data!Y:Y,"NaN")="","NaN",_xlfn.XLOOKUP($B23,island_data!$B:$B,island_data!Y:Y,"NaN"))</f>
        <v>NaN</v>
      </c>
      <c r="DT23" s="4" t="str">
        <f>IF(_xlfn.XLOOKUP($B23,island_data!$B:$B,island_data!Z:Z,"NaN")="","NaN",_xlfn.XLOOKUP($B23,island_data!$B:$B,island_data!Z:Z,"NaN"))</f>
        <v>NaN</v>
      </c>
      <c r="DU23" s="4" t="str">
        <f>IF(_xlfn.XLOOKUP($B23,island_data!$B:$B,island_data!AA:AA,"NaN")="","NaN",_xlfn.XLOOKUP($B23,island_data!$B:$B,island_data!AA:AA,"NaN"))</f>
        <v>NaN</v>
      </c>
      <c r="DV23" s="4">
        <f>IF(_xlfn.XLOOKUP($B23,island_data!$B:$B,island_data!AB:AB,"NaN")="","NaN",_xlfn.XLOOKUP($B23,island_data!$B:$B,island_data!AB:AB,"NaN"))</f>
        <v>1</v>
      </c>
      <c r="DW23" s="4">
        <f>IF(_xlfn.XLOOKUP($B23,island_data!$B:$B,island_data!AC:AC,"NaN")="","NaN",_xlfn.XLOOKUP($B23,island_data!$B:$B,island_data!AC:AC,"NaN"))</f>
        <v>19120</v>
      </c>
      <c r="DX23" s="4">
        <f>IF(_xlfn.XLOOKUP($B23,island_data!$B:$B,island_data!AD:AD,"NaN")="","NaN",_xlfn.XLOOKUP($B23,island_data!$B:$B,island_data!AD:AD,"NaN"))</f>
        <v>5</v>
      </c>
      <c r="DY23" s="4">
        <f>IF(_xlfn.XLOOKUP($B23,island_data!$B:$B,island_data!AE:AE,"NaN")="","NaN",_xlfn.XLOOKUP($B23,island_data!$B:$B,island_data!AE:AE,"NaN"))</f>
        <v>1</v>
      </c>
      <c r="DZ23" s="4" t="str">
        <f>IF(_xlfn.XLOOKUP($B23,island_data!$B:$B,island_data!AF:AF,"NaN")="","NaN",_xlfn.XLOOKUP($B23,island_data!$B:$B,island_data!AF:AF,"NaN"))</f>
        <v>NaN</v>
      </c>
      <c r="EA23" s="4" t="str">
        <f>IF(_xlfn.XLOOKUP($B23,island_data!$B:$B,island_data!AG:AG,"NaN")="","NaN",_xlfn.XLOOKUP($B23,island_data!$B:$B,island_data!AG:AG,"NaN"))</f>
        <v>NaN</v>
      </c>
      <c r="EB23" s="4" t="str">
        <f>IF(_xlfn.XLOOKUP($B23,island_data!$B:$B,island_data!AH:AH,"NaN")="","NaN",_xlfn.XLOOKUP($B23,island_data!$B:$B,island_data!AH:AH,"NaN"))</f>
        <v>NaN</v>
      </c>
      <c r="EC23" s="4" t="str">
        <f>IF(_xlfn.XLOOKUP($B23,island_data!$B:$B,island_data!AI:AI,"NaN")="","NaN",_xlfn.XLOOKUP($B23,island_data!$B:$B,island_data!AI:AI,"NaN"))</f>
        <v>NaN</v>
      </c>
      <c r="ED23" s="4" t="str">
        <f>IF(_xlfn.XLOOKUP($B23,island_data!$B:$B,island_data!AJ:AJ,"NaN")="","NaN",_xlfn.XLOOKUP($B23,island_data!$B:$B,island_data!AJ:AJ,"NaN"))</f>
        <v>NaN</v>
      </c>
      <c r="EE23" s="4" t="str">
        <f>IF(_xlfn.XLOOKUP($B23,island_data!$B:$B,island_data!AK:AK,"NaN")="","NaN",_xlfn.XLOOKUP($B23,island_data!$B:$B,island_data!AK:AK,"NaN"))</f>
        <v>NaN</v>
      </c>
      <c r="EF23" s="4" t="str">
        <f>IF(_xlfn.XLOOKUP($B23,island_data!$B:$B,island_data!AL:AL,"NaN")="","NaN",_xlfn.XLOOKUP($B23,island_data!$B:$B,island_data!AL:AL,"NaN"))</f>
        <v>NaN</v>
      </c>
      <c r="EG23" s="4" t="str">
        <f>IF(_xlfn.XLOOKUP($B23,island_data!$B:$B,island_data!AM:AM,"NaN")="","NaN",_xlfn.XLOOKUP($B23,island_data!$B:$B,island_data!AM:AM,"NaN"))</f>
        <v>NaN</v>
      </c>
      <c r="EH23" s="4" t="str">
        <f>IF(_xlfn.XLOOKUP($B23,island_data!$B:$B,island_data!AN:AN,"NaN")="","NaN",_xlfn.XLOOKUP($B23,island_data!$B:$B,island_data!AN:AN,"NaN"))</f>
        <v>NaN</v>
      </c>
      <c r="EI23" s="4" t="str">
        <f>IF(_xlfn.XLOOKUP($B23,island_data!$B:$B,island_data!AO:AO,"NaN")="","NaN",_xlfn.XLOOKUP($B23,island_data!$B:$B,island_data!AO:AO,"NaN"))</f>
        <v>NaN</v>
      </c>
      <c r="EJ23" s="8">
        <f>IF(_xlfn.XLOOKUP($A23,TabCAT!$A:$A,TabCAT!AU:AU,"NaN")="","NaN",(_xlfn.XLOOKUP($A23,TabCAT!$A:$A,TabCAT!AU:AU,"NaN")))</f>
        <v>204</v>
      </c>
      <c r="EK23" s="8" t="b">
        <f>IF(_xlfn.XLOOKUP($A23,TabCAT!$A:$A,TabCAT!AV:AV,"NaN")="","NaN",(_xlfn.XLOOKUP($A23,TabCAT!$A:$A,TabCAT!AV:AV,"NaN")))</f>
        <v>1</v>
      </c>
      <c r="EL23" s="8">
        <f>IF(_xlfn.XLOOKUP($A23,TabCAT!$A:$A,TabCAT!AW:AW,"NaN")="","NaN",(_xlfn.XLOOKUP($A23,TabCAT!$A:$A,TabCAT!AW:AW,"NaN")))</f>
        <v>6</v>
      </c>
      <c r="EM23" s="8">
        <f>IF(_xlfn.XLOOKUP($A23,TabCAT!$A:$A,TabCAT!AX:AX,"NaN")="","NaN",(_xlfn.XLOOKUP($A23,TabCAT!$A:$A,TabCAT!AX:AX,"NaN")))</f>
        <v>0</v>
      </c>
      <c r="EN23" s="8">
        <f>IF(_xlfn.XLOOKUP($A23,TabCAT!$A:$A,TabCAT!AY:AY,"NaN")="","NaN",(_xlfn.XLOOKUP($A23,TabCAT!$A:$A,TabCAT!AY:AY,"NaN")))</f>
        <v>8.01</v>
      </c>
      <c r="EO23" s="8">
        <f>IF(_xlfn.XLOOKUP($A23,TabCAT!$A:$A,TabCAT!AZ:AZ,"NaN")="","NaN",(_xlfn.XLOOKUP($A23,TabCAT!$A:$A,TabCAT!AZ:AZ,"NaN")))</f>
        <v>32</v>
      </c>
      <c r="EP23" s="8">
        <f>IF(_xlfn.XLOOKUP($A23,TabCAT!$A:$A,TabCAT!BA:BA,"NaN")="","NaN",(_xlfn.XLOOKUP($A23,TabCAT!$A:$A,TabCAT!BA:BA,"NaN")))</f>
        <v>0.88339749999999995</v>
      </c>
      <c r="EQ23" s="8">
        <f>IF(_xlfn.XLOOKUP($A23,TabCAT!$A:$A,TabCAT!BB:BB,"NaN")="","NaN",(_xlfn.XLOOKUP($A23,TabCAT!$A:$A,TabCAT!BB:BB,"NaN")))</f>
        <v>0.153694148958371</v>
      </c>
      <c r="ER23" s="8">
        <f>IF(_xlfn.XLOOKUP($A23,TabCAT!$A:$A,TabCAT!BC:BC,"NaN")="","NaN",(_xlfn.XLOOKUP($A23,TabCAT!$A:$A,TabCAT!BC:BC,"NaN")))</f>
        <v>16</v>
      </c>
      <c r="ES23" s="8">
        <f>IF(_xlfn.XLOOKUP($A23,TabCAT!$A:$A,TabCAT!BD:BD,"NaN")="","NaN",(_xlfn.XLOOKUP($A23,TabCAT!$A:$A,TabCAT!BD:BD,"NaN")))</f>
        <v>0.87044549999999998</v>
      </c>
      <c r="ET23" s="8">
        <f>IF(_xlfn.XLOOKUP($A23,TabCAT!$A:$A,TabCAT!BE:BE,"NaN")="","NaN",(_xlfn.XLOOKUP($A23,TabCAT!$A:$A,TabCAT!BE:BE,"NaN")))</f>
        <v>16</v>
      </c>
      <c r="EU23" s="8">
        <f>IF(_xlfn.XLOOKUP($A23,TabCAT!$A:$A,TabCAT!BF:BF,"NaN")="","NaN",(_xlfn.XLOOKUP($A23,TabCAT!$A:$A,TabCAT!BF:BF,"NaN")))</f>
        <v>0.92510999999999999</v>
      </c>
      <c r="EV23" s="8" t="str">
        <f>IF(_xlfn.XLOOKUP($A23,TabCAT!$A:$A,TabCAT!BG:BG,"NaN")="","NaN",(_xlfn.XLOOKUP($A23,TabCAT!$A:$A,TabCAT!BG:BG,"NaN")))</f>
        <v>NaN</v>
      </c>
      <c r="EW23" s="8" t="str">
        <f>IF(_xlfn.XLOOKUP($A23,TabCAT!$A:$A,TabCAT!BH:BH,"NaN")="","NaN",(_xlfn.XLOOKUP($A23,TabCAT!$A:$A,TabCAT!BH:BH,"NaN")))</f>
        <v>3.0.0</v>
      </c>
      <c r="EX23" s="8" t="str">
        <f>IF(_xlfn.XLOOKUP($A23,TabCAT!$A:$A,TabCAT!BI:BI,"NaN")="","NaN",(_xlfn.XLOOKUP($A23,TabCAT!$A:$A,TabCAT!BI:BI,"NaN")))</f>
        <v>English</v>
      </c>
      <c r="EY23" s="8">
        <f>IF(_xlfn.XLOOKUP($A23,TabCAT!$A:$A,TabCAT!BJ:BJ,"NaN")="","NaN",(_xlfn.XLOOKUP($A23,TabCAT!$A:$A,TabCAT!BJ:BJ,"NaN")))</f>
        <v>282</v>
      </c>
      <c r="EZ23" s="8">
        <f>IF(_xlfn.XLOOKUP($A23,TabCAT!$A:$A,TabCAT!BK:BK,"NaN")="","NaN",(_xlfn.XLOOKUP($A23,TabCAT!$A:$A,TabCAT!BK:BK,"NaN")))</f>
        <v>1</v>
      </c>
      <c r="FA23" s="8">
        <f>IF(_xlfn.XLOOKUP($A23,TabCAT!$A:$A,TabCAT!BL:BL,"NaN")="","NaN",(_xlfn.XLOOKUP($A23,TabCAT!$A:$A,TabCAT!BL:BL,"NaN")))</f>
        <v>6</v>
      </c>
      <c r="FB23" s="8">
        <f>IF(_xlfn.XLOOKUP($A23,TabCAT!$A:$A,TabCAT!BM:BM,"NaN")="","NaN",(_xlfn.XLOOKUP($A23,TabCAT!$A:$A,TabCAT!BM:BM,"NaN")))</f>
        <v>1</v>
      </c>
      <c r="FC23" s="8">
        <f>IF(_xlfn.XLOOKUP($A23,TabCAT!$A:$A,TabCAT!BN:BN,"NaN")="","NaN",(_xlfn.XLOOKUP($A23,TabCAT!$A:$A,TabCAT!BN:BN,"NaN")))</f>
        <v>6</v>
      </c>
      <c r="FD23" s="8">
        <f>IF(_xlfn.XLOOKUP($A23,TabCAT!$A:$A,TabCAT!BO:BO,"NaN")="","NaN",(_xlfn.XLOOKUP($A23,TabCAT!$A:$A,TabCAT!BO:BO,"NaN")))</f>
        <v>8</v>
      </c>
      <c r="FE23" s="8">
        <f>IF(_xlfn.XLOOKUP($A23,TabCAT!$A:$A,TabCAT!BP:BP,"NaN")="","NaN",(_xlfn.XLOOKUP($A23,TabCAT!$A:$A,TabCAT!BP:BP,"NaN")))</f>
        <v>0.88888888888888795</v>
      </c>
      <c r="FF23" s="8">
        <f>IF(_xlfn.XLOOKUP($A23,TabCAT!$A:$A,TabCAT!BQ:BQ,"NaN")="","NaN",(_xlfn.XLOOKUP($A23,TabCAT!$A:$A,TabCAT!BQ:BQ,"NaN")))</f>
        <v>7</v>
      </c>
      <c r="FG23" s="8">
        <f>IF(_xlfn.XLOOKUP($A23,TabCAT!$A:$A,TabCAT!BR:BR,"NaN")="","NaN",(_xlfn.XLOOKUP($A23,TabCAT!$A:$A,TabCAT!BR:BR,"NaN")))</f>
        <v>11</v>
      </c>
      <c r="FH23" s="8">
        <f>IF(_xlfn.XLOOKUP($A23,TabCAT!$A:$A,TabCAT!BS:BS,"NaN")="","NaN",(_xlfn.XLOOKUP($A23,TabCAT!$A:$A,TabCAT!BS:BS,"NaN")))</f>
        <v>0.91666666666666596</v>
      </c>
      <c r="FI23" s="8">
        <f>IF(_xlfn.XLOOKUP($A23,TabCAT!$A:$A,TabCAT!BT:BT,"NaN")="","NaN",(_xlfn.XLOOKUP($A23,TabCAT!$A:$A,TabCAT!BT:BT,"NaN")))</f>
        <v>10.5</v>
      </c>
      <c r="FJ23" s="8">
        <f>IF(_xlfn.XLOOKUP($A23,TabCAT!$A:$A,TabCAT!BU:BU,"NaN")="","NaN",(_xlfn.XLOOKUP($A23,TabCAT!$A:$A,TabCAT!BU:BU,"NaN")))</f>
        <v>7</v>
      </c>
      <c r="FK23" s="8">
        <f>IF(_xlfn.XLOOKUP($A23,TabCAT!$A:$A,TabCAT!BV:BV,"NaN")="","NaN",(_xlfn.XLOOKUP($A23,TabCAT!$A:$A,TabCAT!BV:BV,"NaN")))</f>
        <v>0.46666666666666601</v>
      </c>
      <c r="FL23" s="8">
        <f>IF(_xlfn.XLOOKUP($A23,TabCAT!$A:$A,TabCAT!BW:BW,"NaN")="","NaN",(_xlfn.XLOOKUP($A23,TabCAT!$A:$A,TabCAT!BW:BW,"NaN")))</f>
        <v>4.5</v>
      </c>
      <c r="FM23" s="8">
        <f>IF(_xlfn.XLOOKUP($A23,TabCAT!$A:$A,TabCAT!BX:BX,"NaN")="","NaN",(_xlfn.XLOOKUP($A23,TabCAT!$A:$A,TabCAT!BX:BX,"NaN")))</f>
        <v>32</v>
      </c>
      <c r="FN23" s="8">
        <f>IF(_xlfn.XLOOKUP($A23,TabCAT!$A:$A,TabCAT!BY:BY,"NaN")="","NaN",(_xlfn.XLOOKUP($A23,TabCAT!$A:$A,TabCAT!BY:BY,"NaN")))</f>
        <v>0.76190476190476097</v>
      </c>
      <c r="FO23" s="8">
        <f>IF(_xlfn.XLOOKUP($A23,TabCAT!$A:$A,TabCAT!BZ:BZ,"NaN")="","NaN",(_xlfn.XLOOKUP($A23,TabCAT!$A:$A,TabCAT!BZ:BZ,"NaN")))</f>
        <v>28</v>
      </c>
      <c r="FP23" s="8" t="str">
        <f>IF(_xlfn.XLOOKUP($A23,TabCAT!$A:$A,TabCAT!CA:CA,"NaN")="","NaN",(_xlfn.XLOOKUP($A23,TabCAT!$A:$A,TabCAT!CA:CA,"NaN")))</f>
        <v>3.0.0</v>
      </c>
      <c r="FQ23" s="8" t="str">
        <f>IF(_xlfn.XLOOKUP($A23,TabCAT!$A:$A,TabCAT!CB:CB,"NaN")="","NaN",(_xlfn.XLOOKUP($A23,TabCAT!$A:$A,TabCAT!CB:CB,"NaN")))</f>
        <v>English</v>
      </c>
      <c r="FR23" s="8">
        <f>IF(_xlfn.XLOOKUP($A23,TabCAT!$A:$A,TabCAT!CC:CC,"NaN")="","NaN",(_xlfn.XLOOKUP($A23,TabCAT!$A:$A,TabCAT!CC:CC,"NaN")))</f>
        <v>235</v>
      </c>
      <c r="FS23" s="8" t="b">
        <f>IF(_xlfn.XLOOKUP($A23,TabCAT!$A:$A,TabCAT!CD:CD,"NaN")="","NaN",(_xlfn.XLOOKUP($A23,TabCAT!$A:$A,TabCAT!CD:CD,"NaN")))</f>
        <v>1</v>
      </c>
      <c r="FT23" s="8">
        <f>IF(_xlfn.XLOOKUP($A23,TabCAT!$A:$A,TabCAT!CE:CE,"NaN")="","NaN",(_xlfn.XLOOKUP($A23,TabCAT!$A:$A,TabCAT!CE:CE,"NaN")))</f>
        <v>8</v>
      </c>
      <c r="FU23" s="8">
        <f>IF(_xlfn.XLOOKUP($A23,TabCAT!$A:$A,TabCAT!CF:CF,"NaN")="","NaN",(_xlfn.XLOOKUP($A23,TabCAT!$A:$A,TabCAT!CF:CF,"NaN")))</f>
        <v>0</v>
      </c>
      <c r="FV23" s="8">
        <f>IF(_xlfn.XLOOKUP($A23,TabCAT!$A:$A,TabCAT!CG:CG,"NaN")="","NaN",(_xlfn.XLOOKUP($A23,TabCAT!$A:$A,TabCAT!CG:CG,"NaN")))</f>
        <v>8.02</v>
      </c>
      <c r="FW23" s="8">
        <f>IF(_xlfn.XLOOKUP($A23,TabCAT!$A:$A,TabCAT!CH:CH,"NaN")="","NaN",(_xlfn.XLOOKUP($A23,TabCAT!$A:$A,TabCAT!CH:CH,"NaN")))</f>
        <v>16</v>
      </c>
      <c r="FX23" s="8">
        <f>IF(_xlfn.XLOOKUP($A23,TabCAT!$A:$A,TabCAT!CI:CI,"NaN")="","NaN",(_xlfn.XLOOKUP($A23,TabCAT!$A:$A,TabCAT!CI:CI,"NaN")))</f>
        <v>0.84217249999999999</v>
      </c>
      <c r="FY23" s="8">
        <f>IF(_xlfn.XLOOKUP($A23,TabCAT!$A:$A,TabCAT!CJ:CJ,"NaN")="","NaN",(_xlfn.XLOOKUP($A23,TabCAT!$A:$A,TabCAT!CJ:CJ,"NaN")))</f>
        <v>16</v>
      </c>
      <c r="FZ23" s="8">
        <f>IF(_xlfn.XLOOKUP($A23,TabCAT!$A:$A,TabCAT!CK:CK,"NaN")="","NaN",(_xlfn.XLOOKUP($A23,TabCAT!$A:$A,TabCAT!CK:CK,"NaN")))</f>
        <v>0.83828749999999996</v>
      </c>
      <c r="GA23" s="8">
        <f>IF(_xlfn.XLOOKUP($A23,TabCAT!$A:$A,TabCAT!CL:CL,"NaN")="","NaN",(_xlfn.XLOOKUP($A23,TabCAT!$A:$A,TabCAT!CL:CL,"NaN")))</f>
        <v>32</v>
      </c>
      <c r="GB23" s="8">
        <f>IF(_xlfn.XLOOKUP($A23,TabCAT!$A:$A,TabCAT!CM:CM,"NaN")="","NaN",(_xlfn.XLOOKUP($A23,TabCAT!$A:$A,TabCAT!CM:CM,"NaN")))</f>
        <v>0.82316199999999995</v>
      </c>
      <c r="GC23" s="8">
        <f>IF(_xlfn.XLOOKUP($A23,TabCAT!$A:$A,TabCAT!CN:CN,"NaN")="","NaN",(_xlfn.XLOOKUP($A23,TabCAT!$A:$A,TabCAT!CN:CN,"NaN")))</f>
        <v>20</v>
      </c>
      <c r="GD23" s="8">
        <f>IF(_xlfn.XLOOKUP($A23,TabCAT!$A:$A,TabCAT!CO:CO,"NaN")="","NaN",(_xlfn.XLOOKUP($A23,TabCAT!$A:$A,TabCAT!CO:CO,"NaN")))</f>
        <v>0.80458600000000002</v>
      </c>
      <c r="GE23" s="8">
        <f>IF(_xlfn.XLOOKUP($A23,TabCAT!$A:$A,TabCAT!CP:CP,"NaN")="","NaN",(_xlfn.XLOOKUP($A23,TabCAT!$A:$A,TabCAT!CP:CP,"NaN")))</f>
        <v>0.11289353592451599</v>
      </c>
      <c r="GF23" s="8">
        <f>IF(_xlfn.XLOOKUP($A23,TabCAT!$A:$A,TabCAT!CQ:CQ,"NaN")="","NaN",(_xlfn.XLOOKUP($A23,TabCAT!$A:$A,TabCAT!CQ:CQ,"NaN")))</f>
        <v>54</v>
      </c>
      <c r="GG23" s="8">
        <f>IF(_xlfn.XLOOKUP($A23,TabCAT!$A:$A,TabCAT!CR:CR,"NaN")="","NaN",(_xlfn.XLOOKUP($A23,TabCAT!$A:$A,TabCAT!CR:CR,"NaN")))</f>
        <v>0.84658149999999999</v>
      </c>
      <c r="GH23" s="8" t="str">
        <f>IF(_xlfn.XLOOKUP($A23,TabCAT!$A:$A,TabCAT!CS:CS,"NaN")="","NaN",(_xlfn.XLOOKUP($A23,TabCAT!$A:$A,TabCAT!CS:CS,"NaN")))</f>
        <v>NaN</v>
      </c>
    </row>
    <row r="24" spans="1:190" x14ac:dyDescent="0.2">
      <c r="A24">
        <v>10617</v>
      </c>
      <c r="B24">
        <f>_xlfn.XLOOKUP(bippity_poppity_boo!A24,rf1_data!A:A,rf1_data!B:B)</f>
        <v>190349</v>
      </c>
      <c r="C24" s="2">
        <f>(_xlfn.XLOOKUP($A24,trust!$A:$A,trust!B:B,"NaN"))</f>
        <v>5.2</v>
      </c>
      <c r="D24" s="2">
        <f>(_xlfn.XLOOKUP($A24,trust!$A:$A,trust!C:C,"NaN"))</f>
        <v>3.6</v>
      </c>
      <c r="E24" s="2">
        <f>(_xlfn.XLOOKUP($A24,trust!$A:$A,trust!D:D,"NaN"))</f>
        <v>4.6666670000000003</v>
      </c>
      <c r="F24" s="2">
        <f>(_xlfn.XLOOKUP($A24,trust!$A:$A,trust!E:E,"NaN"))</f>
        <v>4.5714290000000002</v>
      </c>
      <c r="G24" s="2">
        <f>(_xlfn.XLOOKUP($A24,trust!$A:$A,trust!F:F,"NaN"))</f>
        <v>5.4285709999999998</v>
      </c>
      <c r="H24" s="2">
        <f>(_xlfn.XLOOKUP($A24,trust!$A:$A,trust!G:G,"NaN"))</f>
        <v>3.6666669999999999</v>
      </c>
      <c r="I24" s="3">
        <f>IF(_xlfn.XLOOKUP($B24,island_data!$B:$B,island_data!C:C,"NaN")="","NaN",_xlfn.XLOOKUP($B24,island_data!$B:$B,island_data!C:C,"NaN"))</f>
        <v>45000</v>
      </c>
      <c r="J24" s="3">
        <f>IF(_xlfn.XLOOKUP($B24,island_data!$B:$B,island_data!D:D,"NaN")="","NaN",_xlfn.XLOOKUP($B24,island_data!$B:$B,island_data!D:D,"NaN"))</f>
        <v>18203</v>
      </c>
      <c r="K24" s="4">
        <f>IF(_xlfn.XLOOKUP($B24,island_data!$B:$B,island_data!E:E,"NaN")="","NaN",_xlfn.XLOOKUP($B24,island_data!$B:$B,island_data!E:E,"NaN"))</f>
        <v>73.37</v>
      </c>
      <c r="L24" s="5">
        <f>IF(_xlfn.XLOOKUP($B24,rf1_data!$B:$B,rf1_data!D:D,"NaN")="","NaN",(_xlfn.XLOOKUP($B24,rf1_data!$B:$B,rf1_data!D:D,"NaN")))</f>
        <v>73.400000000000006</v>
      </c>
      <c r="M24" s="5" t="str">
        <f>IF(_xlfn.XLOOKUP($B24,rf1_data!$B:$B,rf1_data!E:E,"NaN")="","NaN",(_xlfn.XLOOKUP($B24,rf1_data!$B:$B,rf1_data!E:E,"NaN")))</f>
        <v>White</v>
      </c>
      <c r="N24" s="5" t="str">
        <f>IF(_xlfn.XLOOKUP($B24,rf1_data!$B:$B,rf1_data!F:F,"NaN")="","NaN",(_xlfn.XLOOKUP($B24,rf1_data!$B:$B,rf1_data!F:F,"NaN")))</f>
        <v>Not Hispanic or Latino</v>
      </c>
      <c r="O24" s="5" t="str">
        <f>IF(_xlfn.XLOOKUP($B24,rf1_data!$B:$B,rf1_data!G:G,"NaN")="","NaN",(_xlfn.XLOOKUP($B24,rf1_data!$B:$B,rf1_data!G:G,"NaN")))</f>
        <v>Female</v>
      </c>
      <c r="P24" s="5">
        <f>IF(_xlfn.XLOOKUP($B24,rf1_data!$B:$B,rf1_data!H:H,"NaN")="","NaN",(_xlfn.XLOOKUP($B24,rf1_data!$B:$B,rf1_data!H:H,"NaN")))</f>
        <v>5</v>
      </c>
      <c r="Q24" s="5">
        <f>IF(_xlfn.XLOOKUP($B24,rf1_data!$B:$B,rf1_data!I:I,"NaN")="","NaN",(_xlfn.XLOOKUP($B24,rf1_data!$B:$B,rf1_data!I:I,"NaN")))</f>
        <v>4.3</v>
      </c>
      <c r="R24" s="5">
        <f>IF(_xlfn.XLOOKUP($B24,rf1_data!$B:$B,rf1_data!J:J,"NaN")="","NaN",(_xlfn.XLOOKUP($B24,rf1_data!$B:$B,rf1_data!J:J,"NaN")))</f>
        <v>0</v>
      </c>
      <c r="S24" s="5">
        <f>IF(_xlfn.XLOOKUP($B24,rf1_data!$B:$B,rf1_data!K:K,"NaN")="","NaN",(_xlfn.XLOOKUP($B24,rf1_data!$B:$B,rf1_data!K:K,"NaN")))</f>
        <v>0</v>
      </c>
      <c r="T24" s="5">
        <f>IF(_xlfn.XLOOKUP($B24,rf1_data!$B:$B,rf1_data!L:L,"NaN")="","NaN",(_xlfn.XLOOKUP($B24,rf1_data!$B:$B,rf1_data!L:L,"NaN")))</f>
        <v>0</v>
      </c>
      <c r="U24" s="5">
        <f>IF(_xlfn.XLOOKUP($B24,rf1_data!$B:$B,rf1_data!M:M,"NaN")="","NaN",(_xlfn.XLOOKUP($B24,rf1_data!$B:$B,rf1_data!M:M,"NaN")))</f>
        <v>6.5</v>
      </c>
      <c r="V24" s="5">
        <f>IF(_xlfn.XLOOKUP($B24,rf1_data!$B:$B,rf1_data!N:N,"NaN")="","NaN",(_xlfn.XLOOKUP($B24,rf1_data!$B:$B,rf1_data!N:N,"NaN")))</f>
        <v>4.33</v>
      </c>
      <c r="W24" s="5">
        <f>IF(_xlfn.XLOOKUP($B24,rf1_data!$B:$B,rf1_data!O:O,"NaN")="","NaN",(_xlfn.XLOOKUP($B24,rf1_data!$B:$B,rf1_data!O:O,"NaN")))</f>
        <v>6.88</v>
      </c>
      <c r="X24" s="5">
        <f>IF(_xlfn.XLOOKUP($B24,rf1_data!$B:$B,rf1_data!P:P,"NaN")="","NaN",(_xlfn.XLOOKUP($B24,rf1_data!$B:$B,rf1_data!P:P,"NaN")))</f>
        <v>5.33</v>
      </c>
      <c r="Y24" s="5">
        <f>IF(_xlfn.XLOOKUP($B24,rf1_data!$B:$B,rf1_data!Q:Q,"NaN")="","NaN",(_xlfn.XLOOKUP($B24,rf1_data!$B:$B,rf1_data!Q:Q,"NaN")))</f>
        <v>6</v>
      </c>
      <c r="Z24" s="5">
        <f>IF(_xlfn.XLOOKUP($B24,rf1_data!$B:$B,rf1_data!R:R,"NaN")="","NaN",(_xlfn.XLOOKUP($B24,rf1_data!$B:$B,rf1_data!R:R,"NaN")))</f>
        <v>3</v>
      </c>
      <c r="AA24" s="5">
        <f>IF(_xlfn.XLOOKUP($B24,rf1_data!$B:$B,rf1_data!S:S,"NaN")="","NaN",(_xlfn.XLOOKUP($B24,rf1_data!$B:$B,rf1_data!S:S,"NaN")))</f>
        <v>0</v>
      </c>
      <c r="AB24" s="5">
        <f>IF(_xlfn.XLOOKUP($B24,rf1_data!$B:$B,rf1_data!T:T,"NaN")="","NaN",(_xlfn.XLOOKUP($B24,rf1_data!$B:$B,rf1_data!T:T,"NaN")))</f>
        <v>2</v>
      </c>
      <c r="AC24" s="5">
        <f>IF(_xlfn.XLOOKUP($B24,rf1_data!$B:$B,rf1_data!U:U,"NaN")="","NaN",(_xlfn.XLOOKUP($B24,rf1_data!$B:$B,rf1_data!U:U,"NaN")))</f>
        <v>1</v>
      </c>
      <c r="AD24" s="5">
        <f>IF(_xlfn.XLOOKUP($B24,rf1_data!$B:$B,rf1_data!V:V,"NaN")="","NaN",(_xlfn.XLOOKUP($B24,rf1_data!$B:$B,rf1_data!V:V,"NaN")))</f>
        <v>0</v>
      </c>
      <c r="AE24" s="5">
        <f>IF(_xlfn.XLOOKUP($B24,rf1_data!$B:$B,rf1_data!W:W,"NaN")="","NaN",(_xlfn.XLOOKUP($B24,rf1_data!$B:$B,rf1_data!W:W,"NaN")))</f>
        <v>1</v>
      </c>
      <c r="AF24" s="5">
        <f>IF(_xlfn.XLOOKUP($B24,rf1_data!$B:$B,rf1_data!X:X,"NaN")="","NaN",(_xlfn.XLOOKUP($B24,rf1_data!$B:$B,rf1_data!X:X,"NaN")))</f>
        <v>1</v>
      </c>
      <c r="AG24" s="5">
        <f>IF(_xlfn.XLOOKUP($B24,rf1_data!$B:$B,rf1_data!Y:Y,"NaN")="","NaN",(_xlfn.XLOOKUP($B24,rf1_data!$B:$B,rf1_data!Y:Y,"NaN")))</f>
        <v>1</v>
      </c>
      <c r="AH24" s="5">
        <f>IF(_xlfn.XLOOKUP($B24,rf1_data!$B:$B,rf1_data!Z:Z,"NaN")="","NaN",(_xlfn.XLOOKUP($B24,rf1_data!$B:$B,rf1_data!Z:Z,"NaN")))</f>
        <v>0</v>
      </c>
      <c r="AI24" s="5">
        <f>IF(_xlfn.XLOOKUP($B24,rf1_data!$B:$B,rf1_data!AA:AA,"NaN")="","NaN",(_xlfn.XLOOKUP($B24,rf1_data!$B:$B,rf1_data!AA:AA,"NaN")))</f>
        <v>2</v>
      </c>
      <c r="AJ24" s="5">
        <f>IF(_xlfn.XLOOKUP($B24,rf1_data!$B:$B,rf1_data!AB:AB,"NaN")="","NaN",(_xlfn.XLOOKUP($B24,rf1_data!$B:$B,rf1_data!AB:AB,"NaN")))</f>
        <v>5</v>
      </c>
      <c r="AK24" s="5">
        <f>IF(_xlfn.XLOOKUP($B24,rf1_data!$B:$B,rf1_data!AC:AC,"NaN")="","NaN",(_xlfn.XLOOKUP($B24,rf1_data!$B:$B,rf1_data!AC:AC,"NaN")))</f>
        <v>36</v>
      </c>
      <c r="AL24" s="5">
        <f>IF(_xlfn.XLOOKUP($B24,rf1_data!$B:$B,rf1_data!AD:AD,"NaN")="","NaN",(_xlfn.XLOOKUP($B24,rf1_data!$B:$B,rf1_data!AD:AD,"NaN")))</f>
        <v>13</v>
      </c>
      <c r="AM24" s="5">
        <f>IF(_xlfn.XLOOKUP($B24,rf1_data!$B:$B,rf1_data!AE:AE,"NaN")="","NaN",(_xlfn.XLOOKUP($B24,rf1_data!$B:$B,rf1_data!AE:AE,"NaN")))</f>
        <v>0</v>
      </c>
      <c r="AN24" s="5">
        <f>IF(_xlfn.XLOOKUP($B24,rf1_data!$B:$B,rf1_data!AF:AF,"NaN")="","NaN",(_xlfn.XLOOKUP($B24,rf1_data!$B:$B,rf1_data!AF:AF,"NaN")))</f>
        <v>0</v>
      </c>
      <c r="AO24" s="5">
        <f>IF(_xlfn.XLOOKUP($B24,rf1_data!$B:$B,rf1_data!AG:AG,"NaN")="","NaN",(_xlfn.XLOOKUP($B24,rf1_data!$B:$B,rf1_data!AG:AG,"NaN")))</f>
        <v>7</v>
      </c>
      <c r="AP24" s="5">
        <f>IF(_xlfn.XLOOKUP($B24,rf1_data!$B:$B,rf1_data!AH:AH,"NaN")="","NaN",(_xlfn.XLOOKUP($B24,rf1_data!$B:$B,rf1_data!AH:AH,"NaN")))</f>
        <v>7</v>
      </c>
      <c r="AQ24" s="5">
        <f>IF(_xlfn.XLOOKUP($B24,rf1_data!$B:$B,rf1_data!AI:AI,"NaN")="","NaN",(_xlfn.XLOOKUP($B24,rf1_data!$B:$B,rf1_data!AI:AI,"NaN")))</f>
        <v>7</v>
      </c>
      <c r="AR24" s="5">
        <f>IF(_xlfn.XLOOKUP($B24,rf1_data!$B:$B,rf1_data!AJ:AJ,"NaN")="","NaN",(_xlfn.XLOOKUP($B24,rf1_data!$B:$B,rf1_data!AJ:AJ,"NaN")))</f>
        <v>7</v>
      </c>
      <c r="AS24" s="5">
        <f>IF(_xlfn.XLOOKUP($B24,rf1_data!$B:$B,rf1_data!AK:AK,"NaN")="","NaN",(_xlfn.XLOOKUP($B24,rf1_data!$B:$B,rf1_data!AK:AK,"NaN")))</f>
        <v>2.8</v>
      </c>
      <c r="AT24" s="5">
        <f>IF(_xlfn.XLOOKUP($B24,rf1_data!$B:$B,rf1_data!AL:AL,"NaN")="","NaN",(_xlfn.XLOOKUP($B24,rf1_data!$B:$B,rf1_data!AL:AL,"NaN")))</f>
        <v>6</v>
      </c>
      <c r="AU24" s="5">
        <f>IF(_xlfn.XLOOKUP($B24,rf1_data!$B:$B,rf1_data!AM:AM,"NaN")="","NaN",(_xlfn.XLOOKUP($B24,rf1_data!$B:$B,rf1_data!AM:AM,"NaN")))</f>
        <v>2.33</v>
      </c>
      <c r="AV24" s="5">
        <f>IF(_xlfn.XLOOKUP($B24,rf1_data!$B:$B,rf1_data!AN:AN,"NaN")="","NaN",(_xlfn.XLOOKUP($B24,rf1_data!$B:$B,rf1_data!AN:AN,"NaN")))</f>
        <v>0</v>
      </c>
      <c r="AW24" s="5">
        <f>IF(_xlfn.XLOOKUP($B24,rf1_data!$B:$B,rf1_data!AO:AO,"NaN")="","NaN",(_xlfn.XLOOKUP($B24,rf1_data!$B:$B,rf1_data!AO:AO,"NaN")))</f>
        <v>4</v>
      </c>
      <c r="AX24" s="5">
        <f>IF(_xlfn.XLOOKUP($B24,rf1_data!$B:$B,rf1_data!AP:AP,"NaN")="","NaN",(_xlfn.XLOOKUP($B24,rf1_data!$B:$B,rf1_data!AP:AP,"NaN")))</f>
        <v>9999</v>
      </c>
      <c r="AY24" s="5">
        <f>IF(_xlfn.XLOOKUP($B24,rf1_data!$B:$B,rf1_data!AQ:AQ,"NaN")="","NaN",(_xlfn.XLOOKUP($B24,rf1_data!$B:$B,rf1_data!AQ:AQ,"NaN")))</f>
        <v>72.099999999999994</v>
      </c>
      <c r="AZ24" s="5">
        <f>IF(_xlfn.XLOOKUP($B24,rf1_data!$B:$B,rf1_data!AR:AR,"NaN")="","NaN",(_xlfn.XLOOKUP($B24,rf1_data!$B:$B,rf1_data!AR:AR,"NaN")))</f>
        <v>25</v>
      </c>
      <c r="BA24" s="5">
        <f>IF(_xlfn.XLOOKUP($B24,rf1_data!$B:$B,rf1_data!AS:AS,"NaN")="","NaN",(_xlfn.XLOOKUP($B24,rf1_data!$B:$B,rf1_data!AS:AS,"NaN")))</f>
        <v>0</v>
      </c>
      <c r="BB24" s="5">
        <f>IF(_xlfn.XLOOKUP($B24,rf1_data!$B:$B,rf1_data!AT:AT,"NaN")="","NaN",(_xlfn.XLOOKUP($B24,rf1_data!$B:$B,rf1_data!AT:AT,"NaN")))</f>
        <v>0</v>
      </c>
      <c r="BC24" s="5">
        <f>IF(_xlfn.XLOOKUP($B24,rf1_data!$B:$B,rf1_data!AU:AU,"NaN")="","NaN",(_xlfn.XLOOKUP($B24,rf1_data!$B:$B,rf1_data!AU:AU,"NaN")))</f>
        <v>0</v>
      </c>
      <c r="BD24" s="5">
        <f>IF(_xlfn.XLOOKUP($B24,rf1_data!$B:$B,rf1_data!AV:AV,"NaN")="","NaN",(_xlfn.XLOOKUP($B24,rf1_data!$B:$B,rf1_data!AV:AV,"NaN")))</f>
        <v>0</v>
      </c>
      <c r="BE24" s="5">
        <f>IF(_xlfn.XLOOKUP($B24,rf1_data!$B:$B,rf1_data!AW:AW,"NaN")="","NaN",(_xlfn.XLOOKUP($B24,rf1_data!$B:$B,rf1_data!AW:AW,"NaN")))</f>
        <v>0</v>
      </c>
      <c r="BF24" s="5">
        <f>IF(_xlfn.XLOOKUP($B24,rf1_data!$B:$B,rf1_data!AX:AX,"NaN")="","NaN",(_xlfn.XLOOKUP($B24,rf1_data!$B:$B,rf1_data!AX:AX,"NaN")))</f>
        <v>0</v>
      </c>
      <c r="BG24" s="5">
        <f>IF(_xlfn.XLOOKUP($B24,rf1_data!$B:$B,rf1_data!AY:AY,"NaN")="","NaN",(_xlfn.XLOOKUP($B24,rf1_data!$B:$B,rf1_data!AY:AY,"NaN")))</f>
        <v>0</v>
      </c>
      <c r="BH24" s="5">
        <f>IF(_xlfn.XLOOKUP($B24,rf1_data!$B:$B,rf1_data!AZ:AZ,"NaN")="","NaN",(_xlfn.XLOOKUP($B24,rf1_data!$B:$B,rf1_data!AZ:AZ,"NaN")))</f>
        <v>0</v>
      </c>
      <c r="BI24" s="5">
        <f>IF(_xlfn.XLOOKUP($B24,rf1_data!$B:$B,rf1_data!BA:BA,"NaN")="","NaN",(_xlfn.XLOOKUP($B24,rf1_data!$B:$B,rf1_data!BA:BA,"NaN")))</f>
        <v>81</v>
      </c>
      <c r="BJ24" s="5">
        <f>IF(_xlfn.XLOOKUP($B24,rf1_data!$B:$B,rf1_data!BB:BB,"NaN")="","NaN",(_xlfn.XLOOKUP($B24,rf1_data!$B:$B,rf1_data!BB:BB,"NaN")))</f>
        <v>61</v>
      </c>
      <c r="BK24" s="5" t="str">
        <f>IF(_xlfn.XLOOKUP($B24,rf1_data!$B:$B,rf1_data!BC:BC,"NaN")="","NaN",(_xlfn.XLOOKUP($B24,rf1_data!$B:$B,rf1_data!BC:BC,"NaN")))</f>
        <v>NaN</v>
      </c>
      <c r="BL24" s="5" t="str">
        <f>IF(_xlfn.XLOOKUP($B24,rf1_data!$B:$B,rf1_data!BD:BD,"NaN")="","NaN",(_xlfn.XLOOKUP($B24,rf1_data!$B:$B,rf1_data!BD:BD,"NaN")))</f>
        <v>NaN</v>
      </c>
      <c r="BM24" s="5" t="str">
        <f>IF(_xlfn.XLOOKUP($B24,rf1_data!$B:$B,rf1_data!BE:BE,"NaN")="","NaN",(_xlfn.XLOOKUP($B24,rf1_data!$B:$B,rf1_data!BE:BE,"NaN")))</f>
        <v>NaN</v>
      </c>
      <c r="BN24" s="5" t="str">
        <f>IF(_xlfn.XLOOKUP($B24,rf1_data!$B:$B,rf1_data!BF:BF,"NaN")="","NaN",(_xlfn.XLOOKUP($B24,rf1_data!$B:$B,rf1_data!BF:BF,"NaN")))</f>
        <v>NaN</v>
      </c>
      <c r="BO24" s="5" t="str">
        <f>IF(_xlfn.XLOOKUP($B24,rf1_data!$B:$B,rf1_data!BG:BG,"NaN")="","NaN",(_xlfn.XLOOKUP($B24,rf1_data!$B:$B,rf1_data!BG:BG,"NaN")))</f>
        <v>NaN</v>
      </c>
      <c r="BP24" s="5">
        <f>IF(_xlfn.XLOOKUP($B24,rf1_data!$B:$B,rf1_data!BH:BH,"NaN")="","NaN",(_xlfn.XLOOKUP($B24,rf1_data!$B:$B,rf1_data!BH:BH,"NaN")))</f>
        <v>57</v>
      </c>
      <c r="BQ24" s="5">
        <f>IF(_xlfn.XLOOKUP($B24,rf1_data!$B:$B,rf1_data!BI:BI,"NaN")="","NaN",(_xlfn.XLOOKUP($B24,rf1_data!$B:$B,rf1_data!BI:BI,"NaN")))</f>
        <v>51</v>
      </c>
      <c r="BR24" s="5">
        <f>IF(_xlfn.XLOOKUP($B24,rf1_data!$B:$B,rf1_data!BJ:BJ,"NaN")="","NaN",(_xlfn.XLOOKUP($B24,rf1_data!$B:$B,rf1_data!BJ:BJ,"NaN")))</f>
        <v>8991</v>
      </c>
      <c r="BS24" s="5" t="str">
        <f>IF(_xlfn.XLOOKUP($B24,rf1_data!$B:$B,rf1_data!BK:BK,"NaN")="","NaN",(_xlfn.XLOOKUP($B24,rf1_data!$B:$B,rf1_data!BK:BK,"NaN")))</f>
        <v>NaN</v>
      </c>
      <c r="BT24" s="5" t="str">
        <f>IF(_xlfn.XLOOKUP($B24,rf1_data!$B:$B,rf1_data!BL:BL,"NaN")="","NaN",(_xlfn.XLOOKUP($B24,rf1_data!$B:$B,rf1_data!BL:BL,"NaN")))</f>
        <v>NaN</v>
      </c>
      <c r="BU24" s="5" t="str">
        <f>IF(_xlfn.XLOOKUP($B24,rf1_data!$B:$B,rf1_data!BM:BM,"NaN")="","NaN",(_xlfn.XLOOKUP($B24,rf1_data!$B:$B,rf1_data!BM:BM,"NaN")))</f>
        <v>NaN</v>
      </c>
      <c r="BV24" s="5" t="str">
        <f>IF(_xlfn.XLOOKUP($B24,rf1_data!$B:$B,rf1_data!BN:BN,"NaN")="","NaN",(_xlfn.XLOOKUP($B24,rf1_data!$B:$B,rf1_data!BN:BN,"NaN")))</f>
        <v>NaN</v>
      </c>
      <c r="BW24" s="5">
        <f>IF(_xlfn.XLOOKUP($B24,rf1_data!$B:$B,rf1_data!BO:BO,"NaN")="","NaN",(_xlfn.XLOOKUP($B24,rf1_data!$B:$B,rf1_data!BO:BO,"NaN")))</f>
        <v>4.2</v>
      </c>
      <c r="BX24" s="5">
        <f>IF(_xlfn.XLOOKUP($B24,rf1_data!$B:$B,rf1_data!BP:BP,"NaN")="","NaN",(_xlfn.XLOOKUP($B24,rf1_data!$B:$B,rf1_data!BP:BP,"NaN")))</f>
        <v>4</v>
      </c>
      <c r="BY24" s="5">
        <f>IF(_xlfn.XLOOKUP($B24,rf1_data!$B:$B,rf1_data!BQ:BQ,"NaN")="","NaN",(_xlfn.XLOOKUP($B24,rf1_data!$B:$B,rf1_data!BQ:BQ,"NaN")))</f>
        <v>4</v>
      </c>
      <c r="BZ24" s="5">
        <f>IF(_xlfn.XLOOKUP($B24,rf1_data!$B:$B,rf1_data!BR:BR,"NaN")="","NaN",(_xlfn.XLOOKUP($B24,rf1_data!$B:$B,rf1_data!BR:BR,"NaN")))</f>
        <v>4.07</v>
      </c>
      <c r="CA24" s="5">
        <f>IF(_xlfn.XLOOKUP($B24,rf1_data!$B:$B,rf1_data!BS:BS,"NaN")="","NaN",(_xlfn.XLOOKUP($B24,rf1_data!$B:$B,rf1_data!BS:BS,"NaN")))</f>
        <v>4</v>
      </c>
      <c r="CB24" s="5">
        <f>IF(_xlfn.XLOOKUP($B24,rf1_data!$B:$B,rf1_data!BT:BT,"NaN")="","NaN",(_xlfn.XLOOKUP($B24,rf1_data!$B:$B,rf1_data!BT:BT,"NaN")))</f>
        <v>4</v>
      </c>
      <c r="CC24" s="5">
        <f>IF(_xlfn.XLOOKUP($B24,rf1_data!$B:$B,rf1_data!BU:BU,"NaN")="","NaN",(_xlfn.XLOOKUP($B24,rf1_data!$B:$B,rf1_data!BU:BU,"NaN")))</f>
        <v>5.1666666666666599</v>
      </c>
      <c r="CD24" s="5">
        <f>IF(_xlfn.XLOOKUP($B24,rf1_data!$B:$B,rf1_data!BV:BV,"NaN")="","NaN",(_xlfn.XLOOKUP($B24,rf1_data!$B:$B,rf1_data!BV:BV,"NaN")))</f>
        <v>5.3333333333333304</v>
      </c>
      <c r="CE24" s="5">
        <f>IF(_xlfn.XLOOKUP($B24,rf1_data!$B:$B,rf1_data!BW:BW,"NaN")="","NaN",(_xlfn.XLOOKUP($B24,rf1_data!$B:$B,rf1_data!BW:BW,"NaN")))</f>
        <v>0.45</v>
      </c>
      <c r="CF24" s="5">
        <f>IF(_xlfn.XLOOKUP($B24,rf1_data!$B:$B,rf1_data!BX:BX,"NaN")="","NaN",(_xlfn.XLOOKUP($B24,rf1_data!$B:$B,rf1_data!BX:BX,"NaN")))</f>
        <v>0</v>
      </c>
      <c r="CG24" s="5">
        <f>IF(_xlfn.XLOOKUP($B24,rf1_data!$B:$B,rf1_data!BY:BY,"NaN")="","NaN",(_xlfn.XLOOKUP($B24,rf1_data!$B:$B,rf1_data!BY:BY,"NaN")))</f>
        <v>0</v>
      </c>
      <c r="CH24" s="5">
        <f>IF(_xlfn.XLOOKUP($B24,rf1_data!$B:$B,rf1_data!BZ:BZ,"NaN")="","NaN",(_xlfn.XLOOKUP($B24,rf1_data!$B:$B,rf1_data!BZ:BZ,"NaN")))</f>
        <v>23</v>
      </c>
      <c r="CI24" s="5">
        <f>IF(_xlfn.XLOOKUP($B24,rf1_data!$B:$B,rf1_data!CA:CA,"NaN")="","NaN",(_xlfn.XLOOKUP($B24,rf1_data!$B:$B,rf1_data!CA:CA,"NaN")))</f>
        <v>30</v>
      </c>
      <c r="CJ24" s="5">
        <f>IF(_xlfn.XLOOKUP($B24,rf1_data!$B:$B,rf1_data!CB:CB,"NaN")="","NaN",(_xlfn.XLOOKUP($B24,rf1_data!$B:$B,rf1_data!CB:CB,"NaN")))</f>
        <v>8</v>
      </c>
      <c r="CK24" s="5">
        <f>IF(_xlfn.XLOOKUP($B24,rf1_data!$B:$B,rf1_data!CC:CC,"NaN")="","NaN",(_xlfn.XLOOKUP($B24,rf1_data!$B:$B,rf1_data!CC:CC,"NaN")))</f>
        <v>0.72727272727272696</v>
      </c>
      <c r="CL24" s="5">
        <f>IF(_xlfn.XLOOKUP($B24,rf1_data!$B:$B,rf1_data!CD:CD,"NaN")=0,"NaN",(_xlfn.XLOOKUP($B24,rf1_data!$B:$B,rf1_data!CD:CD,"NaN")))</f>
        <v>31</v>
      </c>
      <c r="CM24" s="5">
        <f>IF(_xlfn.XLOOKUP($B24,rf1_data!$B:$B,rf1_data!CE:CE,"NaN")="","NaN",(_xlfn.XLOOKUP($B24,rf1_data!$B:$B,rf1_data!CE:CE,"NaN")))</f>
        <v>40</v>
      </c>
      <c r="CN24" s="5">
        <f>IF(_xlfn.XLOOKUP($B24,rf1_data!$B:$B,rf1_data!CF:CF,"NaN")="","NaN",(_xlfn.XLOOKUP($B24,rf1_data!$B:$B,rf1_data!CF:CF,"NaN")))</f>
        <v>42</v>
      </c>
      <c r="CO24" s="5">
        <f>IF(_xlfn.XLOOKUP($B24,rf1_data!$B:$B,rf1_data!CG:CG,"NaN")="","NaN",(_xlfn.XLOOKUP($B24,rf1_data!$B:$B,rf1_data!CG:CG,"NaN")))</f>
        <v>32</v>
      </c>
      <c r="CP24" s="5">
        <f>IF(_xlfn.XLOOKUP($B24,rf1_data!$B:$B,rf1_data!CH:CH,"NaN")=0,"NaN",(_xlfn.XLOOKUP($B24,rf1_data!$B:$B,rf1_data!CH:CH,"NaN")))</f>
        <v>28</v>
      </c>
      <c r="CQ24" s="5">
        <f>IF(_xlfn.XLOOKUP($B24,rf1_data!$B:$B,rf1_data!CI:CI,"NaN")="","NaN",(_xlfn.XLOOKUP($B24,rf1_data!$B:$B,rf1_data!CI:CI,"NaN")))</f>
        <v>47</v>
      </c>
      <c r="CR24" s="5">
        <f>IF(_xlfn.XLOOKUP($B24,rf1_data!$B:$B,rf1_data!CJ:CJ,"NaN")="","NaN",(_xlfn.XLOOKUP($B24,rf1_data!$B:$B,rf1_data!CJ:CJ,"NaN")))</f>
        <v>45</v>
      </c>
      <c r="CS24" s="5">
        <f>IF(_xlfn.XLOOKUP($B24,rf1_data!$B:$B,rf1_data!CK:CK,"NaN")="","NaN",(_xlfn.XLOOKUP($B24,rf1_data!$B:$B,rf1_data!CK:CK,"NaN")))</f>
        <v>47</v>
      </c>
      <c r="CT24" s="5">
        <f>IF(_xlfn.XLOOKUP($B24,rf1_data!$B:$B,rf1_data!CL:CL,"NaN")="","NaN",(_xlfn.XLOOKUP($B24,rf1_data!$B:$B,rf1_data!CL:CL,"NaN")))</f>
        <v>41</v>
      </c>
      <c r="CU24" s="5">
        <f>IF(_xlfn.XLOOKUP($B24,rf1_data!$B:$B,rf1_data!CM:CM,"NaN")="","NaN",(_xlfn.XLOOKUP($B24,rf1_data!$B:$B,rf1_data!CM:CM,"NaN")))</f>
        <v>48</v>
      </c>
      <c r="CV24" s="5">
        <f>IF(_xlfn.XLOOKUP($B24,rf1_data!$B:$B,rf1_data!CN:CN,"NaN")="","NaN",(_xlfn.XLOOKUP($B24,rf1_data!$B:$B,rf1_data!CN:CN,"NaN")))</f>
        <v>48</v>
      </c>
      <c r="CW24" s="5" t="str">
        <f>IF(_xlfn.XLOOKUP($B24,rf1_data!$B:$B,rf1_data!CO:CO,"NaN")="","NaN",(_xlfn.XLOOKUP($B24,rf1_data!$B:$B,rf1_data!CO:CO,"NaN")))</f>
        <v>NaN</v>
      </c>
      <c r="CX24" s="5" t="str">
        <f>IF(_xlfn.XLOOKUP($B24,rf1_data!$B:$B,rf1_data!CP:CP,"NaN")="","NaN",(_xlfn.XLOOKUP($B24,rf1_data!$B:$B,rf1_data!CP:CP,"NaN")))</f>
        <v>NaN</v>
      </c>
      <c r="CY24" s="5">
        <f>IF(_xlfn.XLOOKUP($B24,rf1_data!$B:$B,rf1_data!CQ:CQ,"NaN")="","NaN",(_xlfn.XLOOKUP($B24,rf1_data!$B:$B,rf1_data!CQ:CQ,"NaN")))</f>
        <v>6</v>
      </c>
      <c r="CZ24" s="5">
        <f>IF(_xlfn.XLOOKUP($B24,rf1_data!$B:$B,rf1_data!CR:CR,"NaN")="","NaN",(_xlfn.XLOOKUP($B24,rf1_data!$B:$B,rf1_data!CR:CR,"NaN")))</f>
        <v>2</v>
      </c>
      <c r="DA24" s="5">
        <f>IF(_xlfn.XLOOKUP($B24,rf1_data!$B:$B,rf1_data!CS:CS,"NaN")="","NaN",(_xlfn.XLOOKUP($B24,rf1_data!$B:$B,rf1_data!CS:CS,"NaN")))</f>
        <v>4</v>
      </c>
      <c r="DB24" s="4">
        <f>IF(_xlfn.XLOOKUP($B24,island_data!$B:$B,island_data!H:H,"NaN")="","NaN",_xlfn.XLOOKUP($B24,island_data!$B:$B,island_data!H:H,"NaN"))</f>
        <v>3</v>
      </c>
      <c r="DC24" s="4">
        <f>IF(_xlfn.XLOOKUP($B24,island_data!$B:$B,island_data!I:I,"NaN")="","NaN",_xlfn.XLOOKUP($B24,island_data!$B:$B,island_data!I:I,"NaN"))</f>
        <v>0</v>
      </c>
      <c r="DD24" s="4">
        <f>IF(_xlfn.XLOOKUP($B24,island_data!$B:$B,island_data!J:J,"NaN")="","NaN",_xlfn.XLOOKUP($B24,island_data!$B:$B,island_data!J:J,"NaN"))</f>
        <v>0</v>
      </c>
      <c r="DE24" s="4">
        <f>IF(_xlfn.XLOOKUP($B24,island_data!$B:$B,island_data!K:K,"NaN")="","NaN",_xlfn.XLOOKUP($B24,island_data!$B:$B,island_data!K:K,"NaN"))</f>
        <v>0</v>
      </c>
      <c r="DF24" s="4">
        <f>IF(_xlfn.XLOOKUP($B24,island_data!$B:$B,island_data!L:L,"NaN")="","NaN",_xlfn.XLOOKUP($B24,island_data!$B:$B,island_data!L:L,"NaN"))</f>
        <v>28</v>
      </c>
      <c r="DG24" s="4">
        <f>IF(_xlfn.XLOOKUP($B24,island_data!$B:$B,island_data!M:M,"NaN")="","NaN",_xlfn.XLOOKUP($B24,island_data!$B:$B,island_data!M:M,"NaN"))</f>
        <v>2.4444444444444402</v>
      </c>
      <c r="DH24" s="4">
        <f>IF(_xlfn.XLOOKUP($B24,island_data!$B:$B,island_data!N:N,"NaN")="","NaN",_xlfn.XLOOKUP($B24,island_data!$B:$B,island_data!N:N,"NaN"))</f>
        <v>11</v>
      </c>
      <c r="DI24" s="4" t="str">
        <f>IF(_xlfn.XLOOKUP($B24,island_data!$B:$B,island_data!O:O,"NaN")=999,"NaN",_xlfn.XLOOKUP($B24,island_data!$B:$B,island_data!O:O,"NaN"))</f>
        <v>NaN</v>
      </c>
      <c r="DJ24" s="4">
        <f>IF(_xlfn.XLOOKUP($B24,island_data!$B:$B,island_data!P:P,"NaN")="","NaN",_xlfn.XLOOKUP($B24,island_data!$B:$B,island_data!P:P,"NaN"))</f>
        <v>6</v>
      </c>
      <c r="DK24" s="4">
        <f>IF(_xlfn.XLOOKUP($B24,island_data!$B:$B,island_data!Q:Q,"NaN")="","NaN",_xlfn.XLOOKUP($B24,island_data!$B:$B,island_data!Q:Q,"NaN"))</f>
        <v>0</v>
      </c>
      <c r="DL24" s="4" t="str">
        <f>IF(_xlfn.XLOOKUP($B24,island_data!$B:$B,island_data!R:R,"NaN")=999,"NaN",_xlfn.XLOOKUP($B24,island_data!$B:$B,island_data!R:R,"NaN"))</f>
        <v>NaN</v>
      </c>
      <c r="DM24" s="4">
        <f>IF(_xlfn.XLOOKUP($B24,island_data!$B:$B,island_data!S:S,"NaN")="","NaN",_xlfn.XLOOKUP($B24,island_data!$B:$B,island_data!S:S,"NaN"))</f>
        <v>9</v>
      </c>
      <c r="DN24" s="4">
        <f>IF(_xlfn.XLOOKUP($B24,island_data!$B:$B,island_data!T:T,"NaN")="","NaN",_xlfn.XLOOKUP($B24,island_data!$B:$B,island_data!T:T,"NaN"))</f>
        <v>5</v>
      </c>
      <c r="DO24" s="4">
        <f>IF(_xlfn.XLOOKUP($B24,island_data!$B:$B,island_data!U:U,"NaN")="","NaN",_xlfn.XLOOKUP($B24,island_data!$B:$B,island_data!U:U,"NaN"))</f>
        <v>6</v>
      </c>
      <c r="DP24" s="4">
        <f>IF(_xlfn.XLOOKUP($B24,island_data!$B:$B,island_data!V:V,"NaN")="","NaN",_xlfn.XLOOKUP($B24,island_data!$B:$B,island_data!V:V,"NaN"))</f>
        <v>3</v>
      </c>
      <c r="DQ24" s="4">
        <f>IF(_xlfn.XLOOKUP($B24,island_data!$B:$B,island_data!W:W,"NaN")="","NaN",_xlfn.XLOOKUP($B24,island_data!$B:$B,island_data!W:W,"NaN"))</f>
        <v>8</v>
      </c>
      <c r="DR24" s="4">
        <f>IF(_xlfn.XLOOKUP($B24,island_data!$B:$B,island_data!X:X,"NaN")="","NaN",_xlfn.XLOOKUP($B24,island_data!$B:$B,island_data!X:X,"NaN"))</f>
        <v>6</v>
      </c>
      <c r="DS24" s="4" t="str">
        <f>IF(_xlfn.XLOOKUP($B24,island_data!$B:$B,island_data!Y:Y,"NaN")="","NaN",_xlfn.XLOOKUP($B24,island_data!$B:$B,island_data!Y:Y,"NaN"))</f>
        <v>NaN</v>
      </c>
      <c r="DT24" s="4" t="str">
        <f>IF(_xlfn.XLOOKUP($B24,island_data!$B:$B,island_data!Z:Z,"NaN")="","NaN",_xlfn.XLOOKUP($B24,island_data!$B:$B,island_data!Z:Z,"NaN"))</f>
        <v>NaN</v>
      </c>
      <c r="DU24" s="4" t="str">
        <f>IF(_xlfn.XLOOKUP($B24,island_data!$B:$B,island_data!AA:AA,"NaN")="","NaN",_xlfn.XLOOKUP($B24,island_data!$B:$B,island_data!AA:AA,"NaN"))</f>
        <v>NaN</v>
      </c>
      <c r="DV24" s="4">
        <f>IF(_xlfn.XLOOKUP($B24,island_data!$B:$B,island_data!AB:AB,"NaN")="","NaN",_xlfn.XLOOKUP($B24,island_data!$B:$B,island_data!AB:AB,"NaN"))</f>
        <v>1</v>
      </c>
      <c r="DW24" s="4">
        <f>IF(_xlfn.XLOOKUP($B24,island_data!$B:$B,island_data!AC:AC,"NaN")="","NaN",_xlfn.XLOOKUP($B24,island_data!$B:$B,island_data!AC:AC,"NaN"))</f>
        <v>2174</v>
      </c>
      <c r="DX24" s="4">
        <f>IF(_xlfn.XLOOKUP($B24,island_data!$B:$B,island_data!AD:AD,"NaN")="","NaN",_xlfn.XLOOKUP($B24,island_data!$B:$B,island_data!AD:AD,"NaN"))</f>
        <v>8</v>
      </c>
      <c r="DY24" s="4">
        <f>IF(_xlfn.XLOOKUP($B24,island_data!$B:$B,island_data!AE:AE,"NaN")="","NaN",_xlfn.XLOOKUP($B24,island_data!$B:$B,island_data!AE:AE,"NaN"))</f>
        <v>0</v>
      </c>
      <c r="DZ24" s="4" t="str">
        <f>IF(_xlfn.XLOOKUP($B24,island_data!$B:$B,island_data!AF:AF,"NaN")="","NaN",_xlfn.XLOOKUP($B24,island_data!$B:$B,island_data!AF:AF,"NaN"))</f>
        <v>NaN</v>
      </c>
      <c r="EA24" s="4" t="str">
        <f>IF(_xlfn.XLOOKUP($B24,island_data!$B:$B,island_data!AG:AG,"NaN")="","NaN",_xlfn.XLOOKUP($B24,island_data!$B:$B,island_data!AG:AG,"NaN"))</f>
        <v>NaN</v>
      </c>
      <c r="EB24" s="4" t="str">
        <f>IF(_xlfn.XLOOKUP($B24,island_data!$B:$B,island_data!AH:AH,"NaN")="","NaN",_xlfn.XLOOKUP($B24,island_data!$B:$B,island_data!AH:AH,"NaN"))</f>
        <v>NaN</v>
      </c>
      <c r="EC24" s="4" t="str">
        <f>IF(_xlfn.XLOOKUP($B24,island_data!$B:$B,island_data!AI:AI,"NaN")="","NaN",_xlfn.XLOOKUP($B24,island_data!$B:$B,island_data!AI:AI,"NaN"))</f>
        <v>NaN</v>
      </c>
      <c r="ED24" s="4" t="str">
        <f>IF(_xlfn.XLOOKUP($B24,island_data!$B:$B,island_data!AJ:AJ,"NaN")="","NaN",_xlfn.XLOOKUP($B24,island_data!$B:$B,island_data!AJ:AJ,"NaN"))</f>
        <v>NaN</v>
      </c>
      <c r="EE24" s="4" t="str">
        <f>IF(_xlfn.XLOOKUP($B24,island_data!$B:$B,island_data!AK:AK,"NaN")="","NaN",_xlfn.XLOOKUP($B24,island_data!$B:$B,island_data!AK:AK,"NaN"))</f>
        <v>NaN</v>
      </c>
      <c r="EF24" s="4" t="str">
        <f>IF(_xlfn.XLOOKUP($B24,island_data!$B:$B,island_data!AL:AL,"NaN")="","NaN",_xlfn.XLOOKUP($B24,island_data!$B:$B,island_data!AL:AL,"NaN"))</f>
        <v>NaN</v>
      </c>
      <c r="EG24" s="4" t="str">
        <f>IF(_xlfn.XLOOKUP($B24,island_data!$B:$B,island_data!AM:AM,"NaN")="","NaN",_xlfn.XLOOKUP($B24,island_data!$B:$B,island_data!AM:AM,"NaN"))</f>
        <v>NaN</v>
      </c>
      <c r="EH24" s="4">
        <f>IF(_xlfn.XLOOKUP($B24,island_data!$B:$B,island_data!AN:AN,"NaN")="","NaN",_xlfn.XLOOKUP($B24,island_data!$B:$B,island_data!AN:AN,"NaN"))</f>
        <v>3</v>
      </c>
      <c r="EI24" s="4" t="str">
        <f>IF(_xlfn.XLOOKUP($B24,island_data!$B:$B,island_data!AO:AO,"NaN")="","NaN",_xlfn.XLOOKUP($B24,island_data!$B:$B,island_data!AO:AO,"NaN"))</f>
        <v>NaN</v>
      </c>
      <c r="EJ24" s="8">
        <f>IF(_xlfn.XLOOKUP($A24,TabCAT!$A:$A,TabCAT!AU:AU,"NaN")="","NaN",(_xlfn.XLOOKUP($A24,TabCAT!$A:$A,TabCAT!AU:AU,"NaN")))</f>
        <v>195</v>
      </c>
      <c r="EK24" s="8" t="b">
        <f>IF(_xlfn.XLOOKUP($A24,TabCAT!$A:$A,TabCAT!AV:AV,"NaN")="","NaN",(_xlfn.XLOOKUP($A24,TabCAT!$A:$A,TabCAT!AV:AV,"NaN")))</f>
        <v>1</v>
      </c>
      <c r="EL24" s="8">
        <f>IF(_xlfn.XLOOKUP($A24,TabCAT!$A:$A,TabCAT!AW:AW,"NaN")="","NaN",(_xlfn.XLOOKUP($A24,TabCAT!$A:$A,TabCAT!AW:AW,"NaN")))</f>
        <v>5</v>
      </c>
      <c r="EM24" s="8">
        <f>IF(_xlfn.XLOOKUP($A24,TabCAT!$A:$A,TabCAT!AX:AX,"NaN")="","NaN",(_xlfn.XLOOKUP($A24,TabCAT!$A:$A,TabCAT!AX:AX,"NaN")))</f>
        <v>0</v>
      </c>
      <c r="EN24" s="8">
        <f>IF(_xlfn.XLOOKUP($A24,TabCAT!$A:$A,TabCAT!AY:AY,"NaN")="","NaN",(_xlfn.XLOOKUP($A24,TabCAT!$A:$A,TabCAT!AY:AY,"NaN")))</f>
        <v>6.72</v>
      </c>
      <c r="EO24" s="8">
        <f>IF(_xlfn.XLOOKUP($A24,TabCAT!$A:$A,TabCAT!AZ:AZ,"NaN")="","NaN",(_xlfn.XLOOKUP($A24,TabCAT!$A:$A,TabCAT!AZ:AZ,"NaN")))</f>
        <v>32</v>
      </c>
      <c r="EP24" s="8">
        <f>IF(_xlfn.XLOOKUP($A24,TabCAT!$A:$A,TabCAT!BA:BA,"NaN")="","NaN",(_xlfn.XLOOKUP($A24,TabCAT!$A:$A,TabCAT!BA:BA,"NaN")))</f>
        <v>1.1916910000000001</v>
      </c>
      <c r="EQ24" s="8">
        <f>IF(_xlfn.XLOOKUP($A24,TabCAT!$A:$A,TabCAT!BB:BB,"NaN")="","NaN",(_xlfn.XLOOKUP($A24,TabCAT!$A:$A,TabCAT!BB:BB,"NaN")))</f>
        <v>0.209368341975498</v>
      </c>
      <c r="ER24" s="8">
        <f>IF(_xlfn.XLOOKUP($A24,TabCAT!$A:$A,TabCAT!BC:BC,"NaN")="","NaN",(_xlfn.XLOOKUP($A24,TabCAT!$A:$A,TabCAT!BC:BC,"NaN")))</f>
        <v>16</v>
      </c>
      <c r="ES24" s="8">
        <f>IF(_xlfn.XLOOKUP($A24,TabCAT!$A:$A,TabCAT!BD:BD,"NaN")="","NaN",(_xlfn.XLOOKUP($A24,TabCAT!$A:$A,TabCAT!BD:BD,"NaN")))</f>
        <v>1.1332249999999999</v>
      </c>
      <c r="ET24" s="8">
        <f>IF(_xlfn.XLOOKUP($A24,TabCAT!$A:$A,TabCAT!BE:BE,"NaN")="","NaN",(_xlfn.XLOOKUP($A24,TabCAT!$A:$A,TabCAT!BE:BE,"NaN")))</f>
        <v>16</v>
      </c>
      <c r="EU24" s="8">
        <f>IF(_xlfn.XLOOKUP($A24,TabCAT!$A:$A,TabCAT!BF:BF,"NaN")="","NaN",(_xlfn.XLOOKUP($A24,TabCAT!$A:$A,TabCAT!BF:BF,"NaN")))</f>
        <v>1.2585454999999901</v>
      </c>
      <c r="EV24" s="8" t="str">
        <f>IF(_xlfn.XLOOKUP($A24,TabCAT!$A:$A,TabCAT!BG:BG,"NaN")="","NaN",(_xlfn.XLOOKUP($A24,TabCAT!$A:$A,TabCAT!BG:BG,"NaN")))</f>
        <v>NaN</v>
      </c>
      <c r="EW24" s="8" t="str">
        <f>IF(_xlfn.XLOOKUP($A24,TabCAT!$A:$A,TabCAT!BH:BH,"NaN")="","NaN",(_xlfn.XLOOKUP($A24,TabCAT!$A:$A,TabCAT!BH:BH,"NaN")))</f>
        <v>3.0.0</v>
      </c>
      <c r="EX24" s="8" t="str">
        <f>IF(_xlfn.XLOOKUP($A24,TabCAT!$A:$A,TabCAT!BI:BI,"NaN")="","NaN",(_xlfn.XLOOKUP($A24,TabCAT!$A:$A,TabCAT!BI:BI,"NaN")))</f>
        <v>English</v>
      </c>
      <c r="EY24" s="8">
        <f>IF(_xlfn.XLOOKUP($A24,TabCAT!$A:$A,TabCAT!BJ:BJ,"NaN")="","NaN",(_xlfn.XLOOKUP($A24,TabCAT!$A:$A,TabCAT!BJ:BJ,"NaN")))</f>
        <v>136</v>
      </c>
      <c r="EZ24" s="8">
        <f>IF(_xlfn.XLOOKUP($A24,TabCAT!$A:$A,TabCAT!BK:BK,"NaN")="","NaN",(_xlfn.XLOOKUP($A24,TabCAT!$A:$A,TabCAT!BK:BK,"NaN")))</f>
        <v>0</v>
      </c>
      <c r="FA24" s="8" t="str">
        <f>IF(_xlfn.XLOOKUP($A24,TabCAT!$A:$A,TabCAT!BL:BL,"NaN")="","NaN",(_xlfn.XLOOKUP($A24,TabCAT!$A:$A,TabCAT!BL:BL,"NaN")))</f>
        <v>NaN</v>
      </c>
      <c r="FB24" s="8" t="str">
        <f>IF(_xlfn.XLOOKUP($A24,TabCAT!$A:$A,TabCAT!BM:BM,"NaN")="","NaN",(_xlfn.XLOOKUP($A24,TabCAT!$A:$A,TabCAT!BM:BM,"NaN")))</f>
        <v>NaN</v>
      </c>
      <c r="FC24" s="8">
        <f>IF(_xlfn.XLOOKUP($A24,TabCAT!$A:$A,TabCAT!BN:BN,"NaN")="","NaN",(_xlfn.XLOOKUP($A24,TabCAT!$A:$A,TabCAT!BN:BN,"NaN")))</f>
        <v>0</v>
      </c>
      <c r="FD24" s="8" t="str">
        <f>IF(_xlfn.XLOOKUP($A24,TabCAT!$A:$A,TabCAT!BO:BO,"NaN")="","NaN",(_xlfn.XLOOKUP($A24,TabCAT!$A:$A,TabCAT!BO:BO,"NaN")))</f>
        <v>NaN</v>
      </c>
      <c r="FE24" s="8" t="str">
        <f>IF(_xlfn.XLOOKUP($A24,TabCAT!$A:$A,TabCAT!BP:BP,"NaN")="","NaN",(_xlfn.XLOOKUP($A24,TabCAT!$A:$A,TabCAT!BP:BP,"NaN")))</f>
        <v>NaN</v>
      </c>
      <c r="FF24" s="8">
        <f>IF(_xlfn.XLOOKUP($A24,TabCAT!$A:$A,TabCAT!BQ:BQ,"NaN")="","NaN",(_xlfn.XLOOKUP($A24,TabCAT!$A:$A,TabCAT!BQ:BQ,"NaN")))</f>
        <v>0</v>
      </c>
      <c r="FG24" s="8" t="str">
        <f>IF(_xlfn.XLOOKUP($A24,TabCAT!$A:$A,TabCAT!BR:BR,"NaN")="","NaN",(_xlfn.XLOOKUP($A24,TabCAT!$A:$A,TabCAT!BR:BR,"NaN")))</f>
        <v>NaN</v>
      </c>
      <c r="FH24" s="8" t="str">
        <f>IF(_xlfn.XLOOKUP($A24,TabCAT!$A:$A,TabCAT!BS:BS,"NaN")="","NaN",(_xlfn.XLOOKUP($A24,TabCAT!$A:$A,TabCAT!BS:BS,"NaN")))</f>
        <v>NaN</v>
      </c>
      <c r="FI24" s="8">
        <f>IF(_xlfn.XLOOKUP($A24,TabCAT!$A:$A,TabCAT!BT:BT,"NaN")="","NaN",(_xlfn.XLOOKUP($A24,TabCAT!$A:$A,TabCAT!BT:BT,"NaN")))</f>
        <v>0</v>
      </c>
      <c r="FJ24" s="8" t="str">
        <f>IF(_xlfn.XLOOKUP($A24,TabCAT!$A:$A,TabCAT!BU:BU,"NaN")="","NaN",(_xlfn.XLOOKUP($A24,TabCAT!$A:$A,TabCAT!BU:BU,"NaN")))</f>
        <v>NaN</v>
      </c>
      <c r="FK24" s="8" t="str">
        <f>IF(_xlfn.XLOOKUP($A24,TabCAT!$A:$A,TabCAT!BV:BV,"NaN")="","NaN",(_xlfn.XLOOKUP($A24,TabCAT!$A:$A,TabCAT!BV:BV,"NaN")))</f>
        <v>NaN</v>
      </c>
      <c r="FL24" s="8">
        <f>IF(_xlfn.XLOOKUP($A24,TabCAT!$A:$A,TabCAT!BW:BW,"NaN")="","NaN",(_xlfn.XLOOKUP($A24,TabCAT!$A:$A,TabCAT!BW:BW,"NaN")))</f>
        <v>0</v>
      </c>
      <c r="FM24" s="8" t="str">
        <f>IF(_xlfn.XLOOKUP($A24,TabCAT!$A:$A,TabCAT!BX:BX,"NaN")="","NaN",(_xlfn.XLOOKUP($A24,TabCAT!$A:$A,TabCAT!BX:BX,"NaN")))</f>
        <v>NaN</v>
      </c>
      <c r="FN24" s="8" t="str">
        <f>IF(_xlfn.XLOOKUP($A24,TabCAT!$A:$A,TabCAT!BY:BY,"NaN")="","NaN",(_xlfn.XLOOKUP($A24,TabCAT!$A:$A,TabCAT!BY:BY,"NaN")))</f>
        <v>NaN</v>
      </c>
      <c r="FO24" s="8" t="str">
        <f>IF(_xlfn.XLOOKUP($A24,TabCAT!$A:$A,TabCAT!BZ:BZ,"NaN")="","NaN",(_xlfn.XLOOKUP($A24,TabCAT!$A:$A,TabCAT!BZ:BZ,"NaN")))</f>
        <v>NaN</v>
      </c>
      <c r="FP24" s="8" t="str">
        <f>IF(_xlfn.XLOOKUP($A24,TabCAT!$A:$A,TabCAT!CA:CA,"NaN")="","NaN",(_xlfn.XLOOKUP($A24,TabCAT!$A:$A,TabCAT!CA:CA,"NaN")))</f>
        <v>3.0.0</v>
      </c>
      <c r="FQ24" s="8" t="str">
        <f>IF(_xlfn.XLOOKUP($A24,TabCAT!$A:$A,TabCAT!CB:CB,"NaN")="","NaN",(_xlfn.XLOOKUP($A24,TabCAT!$A:$A,TabCAT!CB:CB,"NaN")))</f>
        <v>English</v>
      </c>
      <c r="FR24" s="8">
        <f>IF(_xlfn.XLOOKUP($A24,TabCAT!$A:$A,TabCAT!CC:CC,"NaN")="","NaN",(_xlfn.XLOOKUP($A24,TabCAT!$A:$A,TabCAT!CC:CC,"NaN")))</f>
        <v>243</v>
      </c>
      <c r="FS24" s="8" t="b">
        <f>IF(_xlfn.XLOOKUP($A24,TabCAT!$A:$A,TabCAT!CD:CD,"NaN")="","NaN",(_xlfn.XLOOKUP($A24,TabCAT!$A:$A,TabCAT!CD:CD,"NaN")))</f>
        <v>1</v>
      </c>
      <c r="FT24" s="8">
        <f>IF(_xlfn.XLOOKUP($A24,TabCAT!$A:$A,TabCAT!CE:CE,"NaN")="","NaN",(_xlfn.XLOOKUP($A24,TabCAT!$A:$A,TabCAT!CE:CE,"NaN")))</f>
        <v>8</v>
      </c>
      <c r="FU24" s="8">
        <f>IF(_xlfn.XLOOKUP($A24,TabCAT!$A:$A,TabCAT!CF:CF,"NaN")="","NaN",(_xlfn.XLOOKUP($A24,TabCAT!$A:$A,TabCAT!CF:CF,"NaN")))</f>
        <v>0</v>
      </c>
      <c r="FV24" s="8">
        <f>IF(_xlfn.XLOOKUP($A24,TabCAT!$A:$A,TabCAT!CG:CG,"NaN")="","NaN",(_xlfn.XLOOKUP($A24,TabCAT!$A:$A,TabCAT!CG:CG,"NaN")))</f>
        <v>7.76</v>
      </c>
      <c r="FW24" s="8">
        <f>IF(_xlfn.XLOOKUP($A24,TabCAT!$A:$A,TabCAT!CH:CH,"NaN")="","NaN",(_xlfn.XLOOKUP($A24,TabCAT!$A:$A,TabCAT!CH:CH,"NaN")))</f>
        <v>16</v>
      </c>
      <c r="FX24" s="8">
        <f>IF(_xlfn.XLOOKUP($A24,TabCAT!$A:$A,TabCAT!CI:CI,"NaN")="","NaN",(_xlfn.XLOOKUP($A24,TabCAT!$A:$A,TabCAT!CI:CI,"NaN")))</f>
        <v>0.96934849999999995</v>
      </c>
      <c r="FY24" s="8">
        <f>IF(_xlfn.XLOOKUP($A24,TabCAT!$A:$A,TabCAT!CJ:CJ,"NaN")="","NaN",(_xlfn.XLOOKUP($A24,TabCAT!$A:$A,TabCAT!CJ:CJ,"NaN")))</f>
        <v>16</v>
      </c>
      <c r="FZ24" s="8">
        <f>IF(_xlfn.XLOOKUP($A24,TabCAT!$A:$A,TabCAT!CK:CK,"NaN")="","NaN",(_xlfn.XLOOKUP($A24,TabCAT!$A:$A,TabCAT!CK:CK,"NaN")))</f>
        <v>1.0884274999999899</v>
      </c>
      <c r="GA24" s="8">
        <f>IF(_xlfn.XLOOKUP($A24,TabCAT!$A:$A,TabCAT!CL:CL,"NaN")="","NaN",(_xlfn.XLOOKUP($A24,TabCAT!$A:$A,TabCAT!CL:CL,"NaN")))</f>
        <v>32</v>
      </c>
      <c r="GB24" s="8">
        <f>IF(_xlfn.XLOOKUP($A24,TabCAT!$A:$A,TabCAT!CM:CM,"NaN")="","NaN",(_xlfn.XLOOKUP($A24,TabCAT!$A:$A,TabCAT!CM:CM,"NaN")))</f>
        <v>0.88822000000000001</v>
      </c>
      <c r="GC24" s="8">
        <f>IF(_xlfn.XLOOKUP($A24,TabCAT!$A:$A,TabCAT!CN:CN,"NaN")="","NaN",(_xlfn.XLOOKUP($A24,TabCAT!$A:$A,TabCAT!CN:CN,"NaN")))</f>
        <v>20</v>
      </c>
      <c r="GD24" s="8">
        <f>IF(_xlfn.XLOOKUP($A24,TabCAT!$A:$A,TabCAT!CO:CO,"NaN")="","NaN",(_xlfn.XLOOKUP($A24,TabCAT!$A:$A,TabCAT!CO:CO,"NaN")))</f>
        <v>0.90886199999999995</v>
      </c>
      <c r="GE24" s="8">
        <f>IF(_xlfn.XLOOKUP($A24,TabCAT!$A:$A,TabCAT!CP:CP,"NaN")="","NaN",(_xlfn.XLOOKUP($A24,TabCAT!$A:$A,TabCAT!CP:CP,"NaN")))</f>
        <v>0.248435019796304</v>
      </c>
      <c r="GF24" s="8">
        <f>IF(_xlfn.XLOOKUP($A24,TabCAT!$A:$A,TabCAT!CQ:CQ,"NaN")="","NaN",(_xlfn.XLOOKUP($A24,TabCAT!$A:$A,TabCAT!CQ:CQ,"NaN")))</f>
        <v>54</v>
      </c>
      <c r="GG24" s="8">
        <f>IF(_xlfn.XLOOKUP($A24,TabCAT!$A:$A,TabCAT!CR:CR,"NaN")="","NaN",(_xlfn.XLOOKUP($A24,TabCAT!$A:$A,TabCAT!CR:CR,"NaN")))</f>
        <v>1.0091155000000001</v>
      </c>
      <c r="GH24" s="8" t="str">
        <f>IF(_xlfn.XLOOKUP($A24,TabCAT!$A:$A,TabCAT!CS:CS,"NaN")="","NaN",(_xlfn.XLOOKUP($A24,TabCAT!$A:$A,TabCAT!CS:CS,"NaN")))</f>
        <v>NaN</v>
      </c>
    </row>
    <row r="25" spans="1:190" x14ac:dyDescent="0.2">
      <c r="A25">
        <v>10636</v>
      </c>
      <c r="B25">
        <f>_xlfn.XLOOKUP(bippity_poppity_boo!A25,rf1_data!A:A,rf1_data!B:B)</f>
        <v>112596</v>
      </c>
      <c r="C25" s="2">
        <f>(_xlfn.XLOOKUP($A25,trust!$A:$A,trust!B:B,"NaN"))</f>
        <v>5.6923079999999997</v>
      </c>
      <c r="D25" s="2">
        <f>(_xlfn.XLOOKUP($A25,trust!$A:$A,trust!C:C,"NaN"))</f>
        <v>5.6666670000000003</v>
      </c>
      <c r="E25" s="2">
        <f>(_xlfn.XLOOKUP($A25,trust!$A:$A,trust!D:D,"NaN"))</f>
        <v>4.9230770000000001</v>
      </c>
      <c r="F25" s="2">
        <f>(_xlfn.XLOOKUP($A25,trust!$A:$A,trust!E:E,"NaN"))</f>
        <v>6.5</v>
      </c>
      <c r="G25" s="2">
        <f>(_xlfn.XLOOKUP($A25,trust!$A:$A,trust!F:F,"NaN"))</f>
        <v>6.6666670000000003</v>
      </c>
      <c r="H25" s="2">
        <f>(_xlfn.XLOOKUP($A25,trust!$A:$A,trust!G:G,"NaN"))</f>
        <v>5.8461540000000003</v>
      </c>
      <c r="I25" s="3">
        <f>IF(_xlfn.XLOOKUP($B25,island_data!$B:$B,island_data!C:C,"NaN")="","NaN",_xlfn.XLOOKUP($B25,island_data!$B:$B,island_data!C:C,"NaN"))</f>
        <v>45001</v>
      </c>
      <c r="J25" s="3">
        <f>IF(_xlfn.XLOOKUP($B25,island_data!$B:$B,island_data!D:D,"NaN")="","NaN",_xlfn.XLOOKUP($B25,island_data!$B:$B,island_data!D:D,"NaN"))</f>
        <v>35260</v>
      </c>
      <c r="K25" s="4">
        <f>IF(_xlfn.XLOOKUP($B25,island_data!$B:$B,island_data!E:E,"NaN")="","NaN",_xlfn.XLOOKUP($B25,island_data!$B:$B,island_data!E:E,"NaN"))</f>
        <v>26.67</v>
      </c>
      <c r="L25" s="5">
        <f>IF(_xlfn.XLOOKUP($B25,rf1_data!$B:$B,rf1_data!D:D,"NaN")="","NaN",(_xlfn.XLOOKUP($B25,rf1_data!$B:$B,rf1_data!D:D,"NaN")))</f>
        <v>26.81</v>
      </c>
      <c r="M25" s="5" t="str">
        <f>IF(_xlfn.XLOOKUP($B25,rf1_data!$B:$B,rf1_data!E:E,"NaN")="","NaN",(_xlfn.XLOOKUP($B25,rf1_data!$B:$B,rf1_data!E:E,"NaN")))</f>
        <v>Asian</v>
      </c>
      <c r="N25" s="5" t="str">
        <f>IF(_xlfn.XLOOKUP($B25,rf1_data!$B:$B,rf1_data!F:F,"NaN")="","NaN",(_xlfn.XLOOKUP($B25,rf1_data!$B:$B,rf1_data!F:F,"NaN")))</f>
        <v>Not Hispanic or Latino</v>
      </c>
      <c r="O25" s="5" t="str">
        <f>IF(_xlfn.XLOOKUP($B25,rf1_data!$B:$B,rf1_data!G:G,"NaN")="","NaN",(_xlfn.XLOOKUP($B25,rf1_data!$B:$B,rf1_data!G:G,"NaN")))</f>
        <v>Female</v>
      </c>
      <c r="P25" s="5">
        <f>IF(_xlfn.XLOOKUP($B25,rf1_data!$B:$B,rf1_data!H:H,"NaN")="","NaN",(_xlfn.XLOOKUP($B25,rf1_data!$B:$B,rf1_data!H:H,"NaN")))</f>
        <v>3.89</v>
      </c>
      <c r="Q25" s="5">
        <f>IF(_xlfn.XLOOKUP($B25,rf1_data!$B:$B,rf1_data!I:I,"NaN")="","NaN",(_xlfn.XLOOKUP($B25,rf1_data!$B:$B,rf1_data!I:I,"NaN")))</f>
        <v>3.6</v>
      </c>
      <c r="R25" s="5">
        <f>IF(_xlfn.XLOOKUP($B25,rf1_data!$B:$B,rf1_data!J:J,"NaN")="","NaN",(_xlfn.XLOOKUP($B25,rf1_data!$B:$B,rf1_data!J:J,"NaN")))</f>
        <v>3</v>
      </c>
      <c r="S25" s="5">
        <f>IF(_xlfn.XLOOKUP($B25,rf1_data!$B:$B,rf1_data!K:K,"NaN")="","NaN",(_xlfn.XLOOKUP($B25,rf1_data!$B:$B,rf1_data!K:K,"NaN")))</f>
        <v>3</v>
      </c>
      <c r="T25" s="5">
        <f>IF(_xlfn.XLOOKUP($B25,rf1_data!$B:$B,rf1_data!L:L,"NaN")="","NaN",(_xlfn.XLOOKUP($B25,rf1_data!$B:$B,rf1_data!L:L,"NaN")))</f>
        <v>0</v>
      </c>
      <c r="U25" s="5">
        <f>IF(_xlfn.XLOOKUP($B25,rf1_data!$B:$B,rf1_data!M:M,"NaN")="","NaN",(_xlfn.XLOOKUP($B25,rf1_data!$B:$B,rf1_data!M:M,"NaN")))</f>
        <v>5.67</v>
      </c>
      <c r="V25" s="5">
        <f>IF(_xlfn.XLOOKUP($B25,rf1_data!$B:$B,rf1_data!N:N,"NaN")="","NaN",(_xlfn.XLOOKUP($B25,rf1_data!$B:$B,rf1_data!N:N,"NaN")))</f>
        <v>4.67</v>
      </c>
      <c r="W25" s="5">
        <f>IF(_xlfn.XLOOKUP($B25,rf1_data!$B:$B,rf1_data!O:O,"NaN")="","NaN",(_xlfn.XLOOKUP($B25,rf1_data!$B:$B,rf1_data!O:O,"NaN")))</f>
        <v>6.5</v>
      </c>
      <c r="X25" s="5">
        <f>IF(_xlfn.XLOOKUP($B25,rf1_data!$B:$B,rf1_data!P:P,"NaN")="","NaN",(_xlfn.XLOOKUP($B25,rf1_data!$B:$B,rf1_data!P:P,"NaN")))</f>
        <v>3.67</v>
      </c>
      <c r="Y25" s="5">
        <f>IF(_xlfn.XLOOKUP($B25,rf1_data!$B:$B,rf1_data!Q:Q,"NaN")="","NaN",(_xlfn.XLOOKUP($B25,rf1_data!$B:$B,rf1_data!Q:Q,"NaN")))</f>
        <v>5.3</v>
      </c>
      <c r="Z25" s="5">
        <f>IF(_xlfn.XLOOKUP($B25,rf1_data!$B:$B,rf1_data!R:R,"NaN")="","NaN",(_xlfn.XLOOKUP($B25,rf1_data!$B:$B,rf1_data!R:R,"NaN")))</f>
        <v>34</v>
      </c>
      <c r="AA25" s="5">
        <f>IF(_xlfn.XLOOKUP($B25,rf1_data!$B:$B,rf1_data!S:S,"NaN")="","NaN",(_xlfn.XLOOKUP($B25,rf1_data!$B:$B,rf1_data!S:S,"NaN")))</f>
        <v>9</v>
      </c>
      <c r="AB25" s="5">
        <f>IF(_xlfn.XLOOKUP($B25,rf1_data!$B:$B,rf1_data!T:T,"NaN")="","NaN",(_xlfn.XLOOKUP($B25,rf1_data!$B:$B,rf1_data!T:T,"NaN")))</f>
        <v>16</v>
      </c>
      <c r="AC25" s="5">
        <f>IF(_xlfn.XLOOKUP($B25,rf1_data!$B:$B,rf1_data!U:U,"NaN")="","NaN",(_xlfn.XLOOKUP($B25,rf1_data!$B:$B,rf1_data!U:U,"NaN")))</f>
        <v>0</v>
      </c>
      <c r="AD25" s="5">
        <f>IF(_xlfn.XLOOKUP($B25,rf1_data!$B:$B,rf1_data!V:V,"NaN")="","NaN",(_xlfn.XLOOKUP($B25,rf1_data!$B:$B,rf1_data!V:V,"NaN")))</f>
        <v>9</v>
      </c>
      <c r="AE25" s="5">
        <f>IF(_xlfn.XLOOKUP($B25,rf1_data!$B:$B,rf1_data!W:W,"NaN")="","NaN",(_xlfn.XLOOKUP($B25,rf1_data!$B:$B,rf1_data!W:W,"NaN")))</f>
        <v>0</v>
      </c>
      <c r="AF25" s="5">
        <f>IF(_xlfn.XLOOKUP($B25,rf1_data!$B:$B,rf1_data!X:X,"NaN")="","NaN",(_xlfn.XLOOKUP($B25,rf1_data!$B:$B,rf1_data!X:X,"NaN")))</f>
        <v>3</v>
      </c>
      <c r="AG25" s="5">
        <f>IF(_xlfn.XLOOKUP($B25,rf1_data!$B:$B,rf1_data!Y:Y,"NaN")="","NaN",(_xlfn.XLOOKUP($B25,rf1_data!$B:$B,rf1_data!Y:Y,"NaN")))</f>
        <v>3</v>
      </c>
      <c r="AH25" s="5">
        <f>IF(_xlfn.XLOOKUP($B25,rf1_data!$B:$B,rf1_data!Z:Z,"NaN")="","NaN",(_xlfn.XLOOKUP($B25,rf1_data!$B:$B,rf1_data!Z:Z,"NaN")))</f>
        <v>2</v>
      </c>
      <c r="AI25" s="5">
        <f>IF(_xlfn.XLOOKUP($B25,rf1_data!$B:$B,rf1_data!AA:AA,"NaN")="","NaN",(_xlfn.XLOOKUP($B25,rf1_data!$B:$B,rf1_data!AA:AA,"NaN")))</f>
        <v>0</v>
      </c>
      <c r="AJ25" s="5">
        <f>IF(_xlfn.XLOOKUP($B25,rf1_data!$B:$B,rf1_data!AB:AB,"NaN")="","NaN",(_xlfn.XLOOKUP($B25,rf1_data!$B:$B,rf1_data!AB:AB,"NaN")))</f>
        <v>8</v>
      </c>
      <c r="AK25" s="5">
        <f>IF(_xlfn.XLOOKUP($B25,rf1_data!$B:$B,rf1_data!AC:AC,"NaN")="","NaN",(_xlfn.XLOOKUP($B25,rf1_data!$B:$B,rf1_data!AC:AC,"NaN")))</f>
        <v>21</v>
      </c>
      <c r="AL25" s="5">
        <f>IF(_xlfn.XLOOKUP($B25,rf1_data!$B:$B,rf1_data!AD:AD,"NaN")="","NaN",(_xlfn.XLOOKUP($B25,rf1_data!$B:$B,rf1_data!AD:AD,"NaN")))</f>
        <v>12</v>
      </c>
      <c r="AM25" s="5">
        <f>IF(_xlfn.XLOOKUP($B25,rf1_data!$B:$B,rf1_data!AE:AE,"NaN")="","NaN",(_xlfn.XLOOKUP($B25,rf1_data!$B:$B,rf1_data!AE:AE,"NaN")))</f>
        <v>0</v>
      </c>
      <c r="AN25" s="5">
        <f>IF(_xlfn.XLOOKUP($B25,rf1_data!$B:$B,rf1_data!AF:AF,"NaN")="","NaN",(_xlfn.XLOOKUP($B25,rf1_data!$B:$B,rf1_data!AF:AF,"NaN")))</f>
        <v>0</v>
      </c>
      <c r="AO25" s="5">
        <f>IF(_xlfn.XLOOKUP($B25,rf1_data!$B:$B,rf1_data!AG:AG,"NaN")="","NaN",(_xlfn.XLOOKUP($B25,rf1_data!$B:$B,rf1_data!AG:AG,"NaN")))</f>
        <v>6.67</v>
      </c>
      <c r="AP25" s="5">
        <f>IF(_xlfn.XLOOKUP($B25,rf1_data!$B:$B,rf1_data!AH:AH,"NaN")="","NaN",(_xlfn.XLOOKUP($B25,rf1_data!$B:$B,rf1_data!AH:AH,"NaN")))</f>
        <v>6.25</v>
      </c>
      <c r="AQ25" s="5">
        <f>IF(_xlfn.XLOOKUP($B25,rf1_data!$B:$B,rf1_data!AI:AI,"NaN")="","NaN",(_xlfn.XLOOKUP($B25,rf1_data!$B:$B,rf1_data!AI:AI,"NaN")))</f>
        <v>6.75</v>
      </c>
      <c r="AR25" s="5">
        <f>IF(_xlfn.XLOOKUP($B25,rf1_data!$B:$B,rf1_data!AJ:AJ,"NaN")="","NaN",(_xlfn.XLOOKUP($B25,rf1_data!$B:$B,rf1_data!AJ:AJ,"NaN")))</f>
        <v>7</v>
      </c>
      <c r="AS25" s="5">
        <f>IF(_xlfn.XLOOKUP($B25,rf1_data!$B:$B,rf1_data!AK:AK,"NaN")="","NaN",(_xlfn.XLOOKUP($B25,rf1_data!$B:$B,rf1_data!AK:AK,"NaN")))</f>
        <v>4.3</v>
      </c>
      <c r="AT25" s="5">
        <f>IF(_xlfn.XLOOKUP($B25,rf1_data!$B:$B,rf1_data!AL:AL,"NaN")="","NaN",(_xlfn.XLOOKUP($B25,rf1_data!$B:$B,rf1_data!AL:AL,"NaN")))</f>
        <v>17</v>
      </c>
      <c r="AU25" s="5">
        <f>IF(_xlfn.XLOOKUP($B25,rf1_data!$B:$B,rf1_data!AM:AM,"NaN")="","NaN",(_xlfn.XLOOKUP($B25,rf1_data!$B:$B,rf1_data!AM:AM,"NaN")))</f>
        <v>4.25</v>
      </c>
      <c r="AV25" s="5">
        <f>IF(_xlfn.XLOOKUP($B25,rf1_data!$B:$B,rf1_data!AN:AN,"NaN")="","NaN",(_xlfn.XLOOKUP($B25,rf1_data!$B:$B,rf1_data!AN:AN,"NaN")))</f>
        <v>4</v>
      </c>
      <c r="AW25" s="5">
        <f>IF(_xlfn.XLOOKUP($B25,rf1_data!$B:$B,rf1_data!AO:AO,"NaN")="","NaN",(_xlfn.XLOOKUP($B25,rf1_data!$B:$B,rf1_data!AO:AO,"NaN")))</f>
        <v>3.5</v>
      </c>
      <c r="AX25" s="5">
        <f>IF(_xlfn.XLOOKUP($B25,rf1_data!$B:$B,rf1_data!AP:AP,"NaN")="","NaN",(_xlfn.XLOOKUP($B25,rf1_data!$B:$B,rf1_data!AP:AP,"NaN")))</f>
        <v>4.7699999999999996</v>
      </c>
      <c r="AY25" s="5">
        <f>IF(_xlfn.XLOOKUP($B25,rf1_data!$B:$B,rf1_data!AQ:AQ,"NaN")="","NaN",(_xlfn.XLOOKUP($B25,rf1_data!$B:$B,rf1_data!AQ:AQ,"NaN")))</f>
        <v>31</v>
      </c>
      <c r="AZ25" s="5" t="str">
        <f>IF(_xlfn.XLOOKUP($B25,rf1_data!$B:$B,rf1_data!AR:AR,"NaN")="","NaN",(_xlfn.XLOOKUP($B25,rf1_data!$B:$B,rf1_data!AR:AR,"NaN")))</f>
        <v>NaN</v>
      </c>
      <c r="BA25" s="5" t="str">
        <f>IF(_xlfn.XLOOKUP($B25,rf1_data!$B:$B,rf1_data!AS:AS,"NaN")="","NaN",(_xlfn.XLOOKUP($B25,rf1_data!$B:$B,rf1_data!AS:AS,"NaN")))</f>
        <v>NaN</v>
      </c>
      <c r="BB25" s="5" t="str">
        <f>IF(_xlfn.XLOOKUP($B25,rf1_data!$B:$B,rf1_data!AT:AT,"NaN")="","NaN",(_xlfn.XLOOKUP($B25,rf1_data!$B:$B,rf1_data!AT:AT,"NaN")))</f>
        <v>NaN</v>
      </c>
      <c r="BC25" s="5" t="str">
        <f>IF(_xlfn.XLOOKUP($B25,rf1_data!$B:$B,rf1_data!AU:AU,"NaN")="","NaN",(_xlfn.XLOOKUP($B25,rf1_data!$B:$B,rf1_data!AU:AU,"NaN")))</f>
        <v>NaN</v>
      </c>
      <c r="BD25" s="5" t="str">
        <f>IF(_xlfn.XLOOKUP($B25,rf1_data!$B:$B,rf1_data!AV:AV,"NaN")="","NaN",(_xlfn.XLOOKUP($B25,rf1_data!$B:$B,rf1_data!AV:AV,"NaN")))</f>
        <v>NaN</v>
      </c>
      <c r="BE25" s="5" t="str">
        <f>IF(_xlfn.XLOOKUP($B25,rf1_data!$B:$B,rf1_data!AW:AW,"NaN")="","NaN",(_xlfn.XLOOKUP($B25,rf1_data!$B:$B,rf1_data!AW:AW,"NaN")))</f>
        <v>NaN</v>
      </c>
      <c r="BF25" s="5" t="str">
        <f>IF(_xlfn.XLOOKUP($B25,rf1_data!$B:$B,rf1_data!AX:AX,"NaN")="","NaN",(_xlfn.XLOOKUP($B25,rf1_data!$B:$B,rf1_data!AX:AX,"NaN")))</f>
        <v>NaN</v>
      </c>
      <c r="BG25" s="5" t="str">
        <f>IF(_xlfn.XLOOKUP($B25,rf1_data!$B:$B,rf1_data!AY:AY,"NaN")="","NaN",(_xlfn.XLOOKUP($B25,rf1_data!$B:$B,rf1_data!AY:AY,"NaN")))</f>
        <v>NaN</v>
      </c>
      <c r="BH25" s="5" t="str">
        <f>IF(_xlfn.XLOOKUP($B25,rf1_data!$B:$B,rf1_data!AZ:AZ,"NaN")="","NaN",(_xlfn.XLOOKUP($B25,rf1_data!$B:$B,rf1_data!AZ:AZ,"NaN")))</f>
        <v>NaN</v>
      </c>
      <c r="BI25" s="5">
        <f>IF(_xlfn.XLOOKUP($B25,rf1_data!$B:$B,rf1_data!BA:BA,"NaN")="","NaN",(_xlfn.XLOOKUP($B25,rf1_data!$B:$B,rf1_data!BA:BA,"NaN")))</f>
        <v>20</v>
      </c>
      <c r="BJ25" s="5" t="str">
        <f>IF(_xlfn.XLOOKUP($B25,rf1_data!$B:$B,rf1_data!BB:BB,"NaN")="","NaN",(_xlfn.XLOOKUP($B25,rf1_data!$B:$B,rf1_data!BB:BB,"NaN")))</f>
        <v>NaN</v>
      </c>
      <c r="BK25" s="5" t="str">
        <f>IF(_xlfn.XLOOKUP($B25,rf1_data!$B:$B,rf1_data!BC:BC,"NaN")="","NaN",(_xlfn.XLOOKUP($B25,rf1_data!$B:$B,rf1_data!BC:BC,"NaN")))</f>
        <v>NaN</v>
      </c>
      <c r="BL25" s="5" t="str">
        <f>IF(_xlfn.XLOOKUP($B25,rf1_data!$B:$B,rf1_data!BD:BD,"NaN")="","NaN",(_xlfn.XLOOKUP($B25,rf1_data!$B:$B,rf1_data!BD:BD,"NaN")))</f>
        <v>NaN</v>
      </c>
      <c r="BM25" s="5" t="str">
        <f>IF(_xlfn.XLOOKUP($B25,rf1_data!$B:$B,rf1_data!BE:BE,"NaN")="","NaN",(_xlfn.XLOOKUP($B25,rf1_data!$B:$B,rf1_data!BE:BE,"NaN")))</f>
        <v>NaN</v>
      </c>
      <c r="BN25" s="5" t="str">
        <f>IF(_xlfn.XLOOKUP($B25,rf1_data!$B:$B,rf1_data!BF:BF,"NaN")="","NaN",(_xlfn.XLOOKUP($B25,rf1_data!$B:$B,rf1_data!BF:BF,"NaN")))</f>
        <v>NaN</v>
      </c>
      <c r="BO25" s="5" t="str">
        <f>IF(_xlfn.XLOOKUP($B25,rf1_data!$B:$B,rf1_data!BG:BG,"NaN")="","NaN",(_xlfn.XLOOKUP($B25,rf1_data!$B:$B,rf1_data!BG:BG,"NaN")))</f>
        <v>NaN</v>
      </c>
      <c r="BP25" s="5" t="str">
        <f>IF(_xlfn.XLOOKUP($B25,rf1_data!$B:$B,rf1_data!BH:BH,"NaN")="","NaN",(_xlfn.XLOOKUP($B25,rf1_data!$B:$B,rf1_data!BH:BH,"NaN")))</f>
        <v>NaN</v>
      </c>
      <c r="BQ25" s="5" t="str">
        <f>IF(_xlfn.XLOOKUP($B25,rf1_data!$B:$B,rf1_data!BI:BI,"NaN")="","NaN",(_xlfn.XLOOKUP($B25,rf1_data!$B:$B,rf1_data!BI:BI,"NaN")))</f>
        <v>NaN</v>
      </c>
      <c r="BR25" s="5">
        <f>IF(_xlfn.XLOOKUP($B25,rf1_data!$B:$B,rf1_data!BJ:BJ,"NaN")="","NaN",(_xlfn.XLOOKUP($B25,rf1_data!$B:$B,rf1_data!BJ:BJ,"NaN")))</f>
        <v>8991</v>
      </c>
      <c r="BS25" s="5" t="str">
        <f>IF(_xlfn.XLOOKUP($B25,rf1_data!$B:$B,rf1_data!BK:BK,"NaN")="","NaN",(_xlfn.XLOOKUP($B25,rf1_data!$B:$B,rf1_data!BK:BK,"NaN")))</f>
        <v>NaN</v>
      </c>
      <c r="BT25" s="5" t="str">
        <f>IF(_xlfn.XLOOKUP($B25,rf1_data!$B:$B,rf1_data!BL:BL,"NaN")="","NaN",(_xlfn.XLOOKUP($B25,rf1_data!$B:$B,rf1_data!BL:BL,"NaN")))</f>
        <v>NaN</v>
      </c>
      <c r="BU25" s="5" t="str">
        <f>IF(_xlfn.XLOOKUP($B25,rf1_data!$B:$B,rf1_data!BM:BM,"NaN")="","NaN",(_xlfn.XLOOKUP($B25,rf1_data!$B:$B,rf1_data!BM:BM,"NaN")))</f>
        <v>NaN</v>
      </c>
      <c r="BV25" s="5" t="str">
        <f>IF(_xlfn.XLOOKUP($B25,rf1_data!$B:$B,rf1_data!BN:BN,"NaN")="","NaN",(_xlfn.XLOOKUP($B25,rf1_data!$B:$B,rf1_data!BN:BN,"NaN")))</f>
        <v>NaN</v>
      </c>
      <c r="BW25" s="5">
        <f>IF(_xlfn.XLOOKUP($B25,rf1_data!$B:$B,rf1_data!BO:BO,"NaN")="","NaN",(_xlfn.XLOOKUP($B25,rf1_data!$B:$B,rf1_data!BO:BO,"NaN")))</f>
        <v>3.6</v>
      </c>
      <c r="BX25" s="5">
        <f>IF(_xlfn.XLOOKUP($B25,rf1_data!$B:$B,rf1_data!BP:BP,"NaN")="","NaN",(_xlfn.XLOOKUP($B25,rf1_data!$B:$B,rf1_data!BP:BP,"NaN")))</f>
        <v>3.9</v>
      </c>
      <c r="BY25" s="5">
        <f>IF(_xlfn.XLOOKUP($B25,rf1_data!$B:$B,rf1_data!BQ:BQ,"NaN")="","NaN",(_xlfn.XLOOKUP($B25,rf1_data!$B:$B,rf1_data!BQ:BQ,"NaN")))</f>
        <v>4</v>
      </c>
      <c r="BZ25" s="5">
        <f>IF(_xlfn.XLOOKUP($B25,rf1_data!$B:$B,rf1_data!BR:BR,"NaN")="","NaN",(_xlfn.XLOOKUP($B25,rf1_data!$B:$B,rf1_data!BR:BR,"NaN")))</f>
        <v>3.83</v>
      </c>
      <c r="CA25" s="5">
        <f>IF(_xlfn.XLOOKUP($B25,rf1_data!$B:$B,rf1_data!BS:BS,"NaN")="","NaN",(_xlfn.XLOOKUP($B25,rf1_data!$B:$B,rf1_data!BS:BS,"NaN")))</f>
        <v>6</v>
      </c>
      <c r="CB25" s="5">
        <f>IF(_xlfn.XLOOKUP($B25,rf1_data!$B:$B,rf1_data!BT:BT,"NaN")="","NaN",(_xlfn.XLOOKUP($B25,rf1_data!$B:$B,rf1_data!BT:BT,"NaN")))</f>
        <v>5.1666666666666599</v>
      </c>
      <c r="CC25" s="5">
        <f>IF(_xlfn.XLOOKUP($B25,rf1_data!$B:$B,rf1_data!BU:BU,"NaN")="","NaN",(_xlfn.XLOOKUP($B25,rf1_data!$B:$B,rf1_data!BU:BU,"NaN")))</f>
        <v>6</v>
      </c>
      <c r="CD25" s="5">
        <f>IF(_xlfn.XLOOKUP($B25,rf1_data!$B:$B,rf1_data!BV:BV,"NaN")="","NaN",(_xlfn.XLOOKUP($B25,rf1_data!$B:$B,rf1_data!BV:BV,"NaN")))</f>
        <v>5.1666666666666599</v>
      </c>
      <c r="CE25" s="5">
        <f>IF(_xlfn.XLOOKUP($B25,rf1_data!$B:$B,rf1_data!BW:BW,"NaN")="","NaN",(_xlfn.XLOOKUP($B25,rf1_data!$B:$B,rf1_data!BW:BW,"NaN")))</f>
        <v>1.8</v>
      </c>
      <c r="CF25" s="5">
        <f>IF(_xlfn.XLOOKUP($B25,rf1_data!$B:$B,rf1_data!BX:BX,"NaN")="","NaN",(_xlfn.XLOOKUP($B25,rf1_data!$B:$B,rf1_data!BX:BX,"NaN")))</f>
        <v>0</v>
      </c>
      <c r="CG25" s="5">
        <f>IF(_xlfn.XLOOKUP($B25,rf1_data!$B:$B,rf1_data!BY:BY,"NaN")="","NaN",(_xlfn.XLOOKUP($B25,rf1_data!$B:$B,rf1_data!BY:BY,"NaN")))</f>
        <v>0</v>
      </c>
      <c r="CH25" s="5">
        <f>IF(_xlfn.XLOOKUP($B25,rf1_data!$B:$B,rf1_data!BZ:BZ,"NaN")="","NaN",(_xlfn.XLOOKUP($B25,rf1_data!$B:$B,rf1_data!BZ:BZ,"NaN")))</f>
        <v>28</v>
      </c>
      <c r="CI25" s="5">
        <f>IF(_xlfn.XLOOKUP($B25,rf1_data!$B:$B,rf1_data!CA:CA,"NaN")="","NaN",(_xlfn.XLOOKUP($B25,rf1_data!$B:$B,rf1_data!CA:CA,"NaN")))</f>
        <v>25</v>
      </c>
      <c r="CJ25" s="5">
        <f>IF(_xlfn.XLOOKUP($B25,rf1_data!$B:$B,rf1_data!CB:CB,"NaN")="","NaN",(_xlfn.XLOOKUP($B25,rf1_data!$B:$B,rf1_data!CB:CB,"NaN")))</f>
        <v>9</v>
      </c>
      <c r="CK25" s="5">
        <f>IF(_xlfn.XLOOKUP($B25,rf1_data!$B:$B,rf1_data!CC:CC,"NaN")="","NaN",(_xlfn.XLOOKUP($B25,rf1_data!$B:$B,rf1_data!CC:CC,"NaN")))</f>
        <v>0.81818181818181801</v>
      </c>
      <c r="CL25" s="5">
        <f>IF(_xlfn.XLOOKUP($B25,rf1_data!$B:$B,rf1_data!CD:CD,"NaN")=0,"NaN",(_xlfn.XLOOKUP($B25,rf1_data!$B:$B,rf1_data!CD:CD,"NaN")))</f>
        <v>36</v>
      </c>
      <c r="CM25" s="5">
        <f>IF(_xlfn.XLOOKUP($B25,rf1_data!$B:$B,rf1_data!CE:CE,"NaN")="","NaN",(_xlfn.XLOOKUP($B25,rf1_data!$B:$B,rf1_data!CE:CE,"NaN")))</f>
        <v>32</v>
      </c>
      <c r="CN25" s="5">
        <f>IF(_xlfn.XLOOKUP($B25,rf1_data!$B:$B,rf1_data!CF:CF,"NaN")="","NaN",(_xlfn.XLOOKUP($B25,rf1_data!$B:$B,rf1_data!CF:CF,"NaN")))</f>
        <v>48</v>
      </c>
      <c r="CO25" s="5">
        <f>IF(_xlfn.XLOOKUP($B25,rf1_data!$B:$B,rf1_data!CG:CG,"NaN")="","NaN",(_xlfn.XLOOKUP($B25,rf1_data!$B:$B,rf1_data!CG:CG,"NaN")))</f>
        <v>26</v>
      </c>
      <c r="CP25" s="5">
        <f>IF(_xlfn.XLOOKUP($B25,rf1_data!$B:$B,rf1_data!CH:CH,"NaN")=0,"NaN",(_xlfn.XLOOKUP($B25,rf1_data!$B:$B,rf1_data!CH:CH,"NaN")))</f>
        <v>34</v>
      </c>
      <c r="CQ25" s="5">
        <f>IF(_xlfn.XLOOKUP($B25,rf1_data!$B:$B,rf1_data!CI:CI,"NaN")="","NaN",(_xlfn.XLOOKUP($B25,rf1_data!$B:$B,rf1_data!CI:CI,"NaN")))</f>
        <v>48</v>
      </c>
      <c r="CR25" s="5">
        <f>IF(_xlfn.XLOOKUP($B25,rf1_data!$B:$B,rf1_data!CJ:CJ,"NaN")="","NaN",(_xlfn.XLOOKUP($B25,rf1_data!$B:$B,rf1_data!CJ:CJ,"NaN")))</f>
        <v>58</v>
      </c>
      <c r="CS25" s="5">
        <f>IF(_xlfn.XLOOKUP($B25,rf1_data!$B:$B,rf1_data!CK:CK,"NaN")="","NaN",(_xlfn.XLOOKUP($B25,rf1_data!$B:$B,rf1_data!CK:CK,"NaN")))</f>
        <v>40</v>
      </c>
      <c r="CT25" s="5">
        <f>IF(_xlfn.XLOOKUP($B25,rf1_data!$B:$B,rf1_data!CL:CL,"NaN")="","NaN",(_xlfn.XLOOKUP($B25,rf1_data!$B:$B,rf1_data!CL:CL,"NaN")))</f>
        <v>60</v>
      </c>
      <c r="CU25" s="5">
        <f>IF(_xlfn.XLOOKUP($B25,rf1_data!$B:$B,rf1_data!CM:CM,"NaN")="","NaN",(_xlfn.XLOOKUP($B25,rf1_data!$B:$B,rf1_data!CM:CM,"NaN")))</f>
        <v>31</v>
      </c>
      <c r="CV25" s="5">
        <f>IF(_xlfn.XLOOKUP($B25,rf1_data!$B:$B,rf1_data!CN:CN,"NaN")="","NaN",(_xlfn.XLOOKUP($B25,rf1_data!$B:$B,rf1_data!CN:CN,"NaN")))</f>
        <v>60</v>
      </c>
      <c r="CW25" s="5" t="str">
        <f>IF(_xlfn.XLOOKUP($B25,rf1_data!$B:$B,rf1_data!CO:CO,"NaN")="","NaN",(_xlfn.XLOOKUP($B25,rf1_data!$B:$B,rf1_data!CO:CO,"NaN")))</f>
        <v>NaN</v>
      </c>
      <c r="CX25" s="5" t="str">
        <f>IF(_xlfn.XLOOKUP($B25,rf1_data!$B:$B,rf1_data!CP:CP,"NaN")="","NaN",(_xlfn.XLOOKUP($B25,rf1_data!$B:$B,rf1_data!CP:CP,"NaN")))</f>
        <v>NaN</v>
      </c>
      <c r="CY25" s="5">
        <f>IF(_xlfn.XLOOKUP($B25,rf1_data!$B:$B,rf1_data!CQ:CQ,"NaN")="","NaN",(_xlfn.XLOOKUP($B25,rf1_data!$B:$B,rf1_data!CQ:CQ,"NaN")))</f>
        <v>7</v>
      </c>
      <c r="CZ25" s="5">
        <f>IF(_xlfn.XLOOKUP($B25,rf1_data!$B:$B,rf1_data!CR:CR,"NaN")="","NaN",(_xlfn.XLOOKUP($B25,rf1_data!$B:$B,rf1_data!CR:CR,"NaN")))</f>
        <v>1</v>
      </c>
      <c r="DA25" s="5">
        <f>IF(_xlfn.XLOOKUP($B25,rf1_data!$B:$B,rf1_data!CS:CS,"NaN")="","NaN",(_xlfn.XLOOKUP($B25,rf1_data!$B:$B,rf1_data!CS:CS,"NaN")))</f>
        <v>5</v>
      </c>
      <c r="DB25" s="4">
        <f>IF(_xlfn.XLOOKUP($B25,island_data!$B:$B,island_data!H:H,"NaN")="","NaN",_xlfn.XLOOKUP($B25,island_data!$B:$B,island_data!H:H,"NaN"))</f>
        <v>5</v>
      </c>
      <c r="DC25" s="4">
        <f>IF(_xlfn.XLOOKUP($B25,island_data!$B:$B,island_data!I:I,"NaN")="","NaN",_xlfn.XLOOKUP($B25,island_data!$B:$B,island_data!I:I,"NaN"))</f>
        <v>0</v>
      </c>
      <c r="DD25" s="4">
        <f>IF(_xlfn.XLOOKUP($B25,island_data!$B:$B,island_data!J:J,"NaN")="","NaN",_xlfn.XLOOKUP($B25,island_data!$B:$B,island_data!J:J,"NaN"))</f>
        <v>0</v>
      </c>
      <c r="DE25" s="4" t="str">
        <f>IF(_xlfn.XLOOKUP($B25,island_data!$B:$B,island_data!K:K,"NaN")="","NaN",_xlfn.XLOOKUP($B25,island_data!$B:$B,island_data!K:K,"NaN"))</f>
        <v>NaN</v>
      </c>
      <c r="DF25" s="4">
        <f>IF(_xlfn.XLOOKUP($B25,island_data!$B:$B,island_data!L:L,"NaN")="","NaN",_xlfn.XLOOKUP($B25,island_data!$B:$B,island_data!L:L,"NaN"))</f>
        <v>0</v>
      </c>
      <c r="DG25" s="4">
        <f>IF(_xlfn.XLOOKUP($B25,island_data!$B:$B,island_data!M:M,"NaN")="","NaN",_xlfn.XLOOKUP($B25,island_data!$B:$B,island_data!M:M,"NaN"))</f>
        <v>2.4444444444443998</v>
      </c>
      <c r="DH25" s="4">
        <f>IF(_xlfn.XLOOKUP($B25,island_data!$B:$B,island_data!N:N,"NaN")="","NaN",_xlfn.XLOOKUP($B25,island_data!$B:$B,island_data!N:N,"NaN"))</f>
        <v>12</v>
      </c>
      <c r="DI25" s="4" t="str">
        <f>IF(_xlfn.XLOOKUP($B25,island_data!$B:$B,island_data!O:O,"NaN")=999,"NaN",_xlfn.XLOOKUP($B25,island_data!$B:$B,island_data!O:O,"NaN"))</f>
        <v>NaN</v>
      </c>
      <c r="DJ25" s="4">
        <f>IF(_xlfn.XLOOKUP($B25,island_data!$B:$B,island_data!P:P,"NaN")="","NaN",_xlfn.XLOOKUP($B25,island_data!$B:$B,island_data!P:P,"NaN"))</f>
        <v>7</v>
      </c>
      <c r="DK25" s="4">
        <f>IF(_xlfn.XLOOKUP($B25,island_data!$B:$B,island_data!Q:Q,"NaN")="","NaN",_xlfn.XLOOKUP($B25,island_data!$B:$B,island_data!Q:Q,"NaN"))</f>
        <v>1</v>
      </c>
      <c r="DL25" s="4" t="str">
        <f>IF(_xlfn.XLOOKUP($B25,island_data!$B:$B,island_data!R:R,"NaN")=999,"NaN",_xlfn.XLOOKUP($B25,island_data!$B:$B,island_data!R:R,"NaN"))</f>
        <v>NaN</v>
      </c>
      <c r="DM25" s="4">
        <f>IF(_xlfn.XLOOKUP($B25,island_data!$B:$B,island_data!S:S,"NaN")="","NaN",_xlfn.XLOOKUP($B25,island_data!$B:$B,island_data!S:S,"NaN"))</f>
        <v>7</v>
      </c>
      <c r="DN25" s="4">
        <f>IF(_xlfn.XLOOKUP($B25,island_data!$B:$B,island_data!T:T,"NaN")="","NaN",_xlfn.XLOOKUP($B25,island_data!$B:$B,island_data!T:T,"NaN"))</f>
        <v>5</v>
      </c>
      <c r="DO25" s="4">
        <f>IF(_xlfn.XLOOKUP($B25,island_data!$B:$B,island_data!U:U,"NaN")="","NaN",_xlfn.XLOOKUP($B25,island_data!$B:$B,island_data!U:U,"NaN"))</f>
        <v>6</v>
      </c>
      <c r="DP25" s="4">
        <f>IF(_xlfn.XLOOKUP($B25,island_data!$B:$B,island_data!V:V,"NaN")="","NaN",_xlfn.XLOOKUP($B25,island_data!$B:$B,island_data!V:V,"NaN"))</f>
        <v>4</v>
      </c>
      <c r="DQ25" s="4">
        <f>IF(_xlfn.XLOOKUP($B25,island_data!$B:$B,island_data!W:W,"NaN")="","NaN",_xlfn.XLOOKUP($B25,island_data!$B:$B,island_data!W:W,"NaN"))</f>
        <v>6</v>
      </c>
      <c r="DR25" s="4">
        <f>IF(_xlfn.XLOOKUP($B25,island_data!$B:$B,island_data!X:X,"NaN")="","NaN",_xlfn.XLOOKUP($B25,island_data!$B:$B,island_data!X:X,"NaN"))</f>
        <v>6</v>
      </c>
      <c r="DS25" s="4" t="str">
        <f>IF(_xlfn.XLOOKUP($B25,island_data!$B:$B,island_data!Y:Y,"NaN")="","NaN",_xlfn.XLOOKUP($B25,island_data!$B:$B,island_data!Y:Y,"NaN"))</f>
        <v>NaN</v>
      </c>
      <c r="DT25" s="4" t="str">
        <f>IF(_xlfn.XLOOKUP($B25,island_data!$B:$B,island_data!Z:Z,"NaN")="","NaN",_xlfn.XLOOKUP($B25,island_data!$B:$B,island_data!Z:Z,"NaN"))</f>
        <v>NaN</v>
      </c>
      <c r="DU25" s="4" t="str">
        <f>IF(_xlfn.XLOOKUP($B25,island_data!$B:$B,island_data!AA:AA,"NaN")="","NaN",_xlfn.XLOOKUP($B25,island_data!$B:$B,island_data!AA:AA,"NaN"))</f>
        <v>NaN</v>
      </c>
      <c r="DV25" s="4">
        <f>IF(_xlfn.XLOOKUP($B25,island_data!$B:$B,island_data!AB:AB,"NaN")="","NaN",_xlfn.XLOOKUP($B25,island_data!$B:$B,island_data!AB:AB,"NaN"))</f>
        <v>1</v>
      </c>
      <c r="DW25" s="4">
        <f>IF(_xlfn.XLOOKUP($B25,island_data!$B:$B,island_data!AC:AC,"NaN")="","NaN",_xlfn.XLOOKUP($B25,island_data!$B:$B,island_data!AC:AC,"NaN"))</f>
        <v>19087</v>
      </c>
      <c r="DX25" s="4">
        <f>IF(_xlfn.XLOOKUP($B25,island_data!$B:$B,island_data!AD:AD,"NaN")="","NaN",_xlfn.XLOOKUP($B25,island_data!$B:$B,island_data!AD:AD,"NaN"))</f>
        <v>6</v>
      </c>
      <c r="DY25" s="4">
        <f>IF(_xlfn.XLOOKUP($B25,island_data!$B:$B,island_data!AE:AE,"NaN")="","NaN",_xlfn.XLOOKUP($B25,island_data!$B:$B,island_data!AE:AE,"NaN"))</f>
        <v>0</v>
      </c>
      <c r="DZ25" s="4" t="str">
        <f>IF(_xlfn.XLOOKUP($B25,island_data!$B:$B,island_data!AF:AF,"NaN")="","NaN",_xlfn.XLOOKUP($B25,island_data!$B:$B,island_data!AF:AF,"NaN"))</f>
        <v>NaN</v>
      </c>
      <c r="EA25" s="4" t="str">
        <f>IF(_xlfn.XLOOKUP($B25,island_data!$B:$B,island_data!AG:AG,"NaN")="","NaN",_xlfn.XLOOKUP($B25,island_data!$B:$B,island_data!AG:AG,"NaN"))</f>
        <v>NaN</v>
      </c>
      <c r="EB25" s="4" t="str">
        <f>IF(_xlfn.XLOOKUP($B25,island_data!$B:$B,island_data!AH:AH,"NaN")="","NaN",_xlfn.XLOOKUP($B25,island_data!$B:$B,island_data!AH:AH,"NaN"))</f>
        <v>NaN</v>
      </c>
      <c r="EC25" s="4" t="str">
        <f>IF(_xlfn.XLOOKUP($B25,island_data!$B:$B,island_data!AI:AI,"NaN")="","NaN",_xlfn.XLOOKUP($B25,island_data!$B:$B,island_data!AI:AI,"NaN"))</f>
        <v>NaN</v>
      </c>
      <c r="ED25" s="4" t="str">
        <f>IF(_xlfn.XLOOKUP($B25,island_data!$B:$B,island_data!AJ:AJ,"NaN")="","NaN",_xlfn.XLOOKUP($B25,island_data!$B:$B,island_data!AJ:AJ,"NaN"))</f>
        <v>NaN</v>
      </c>
      <c r="EE25" s="4" t="str">
        <f>IF(_xlfn.XLOOKUP($B25,island_data!$B:$B,island_data!AK:AK,"NaN")="","NaN",_xlfn.XLOOKUP($B25,island_data!$B:$B,island_data!AK:AK,"NaN"))</f>
        <v>NaN</v>
      </c>
      <c r="EF25" s="4" t="str">
        <f>IF(_xlfn.XLOOKUP($B25,island_data!$B:$B,island_data!AL:AL,"NaN")="","NaN",_xlfn.XLOOKUP($B25,island_data!$B:$B,island_data!AL:AL,"NaN"))</f>
        <v>NaN</v>
      </c>
      <c r="EG25" s="4" t="str">
        <f>IF(_xlfn.XLOOKUP($B25,island_data!$B:$B,island_data!AM:AM,"NaN")="","NaN",_xlfn.XLOOKUP($B25,island_data!$B:$B,island_data!AM:AM,"NaN"))</f>
        <v>NaN</v>
      </c>
      <c r="EH25" s="4" t="str">
        <f>IF(_xlfn.XLOOKUP($B25,island_data!$B:$B,island_data!AN:AN,"NaN")="","NaN",_xlfn.XLOOKUP($B25,island_data!$B:$B,island_data!AN:AN,"NaN"))</f>
        <v>NaN</v>
      </c>
      <c r="EI25" s="4" t="str">
        <f>IF(_xlfn.XLOOKUP($B25,island_data!$B:$B,island_data!AO:AO,"NaN")="","NaN",_xlfn.XLOOKUP($B25,island_data!$B:$B,island_data!AO:AO,"NaN"))</f>
        <v>NaN</v>
      </c>
      <c r="EJ25" s="8">
        <f>IF(_xlfn.XLOOKUP($A25,TabCAT!$A:$A,TabCAT!AU:AU,"NaN")="","NaN",(_xlfn.XLOOKUP($A25,TabCAT!$A:$A,TabCAT!AU:AU,"NaN")))</f>
        <v>152</v>
      </c>
      <c r="EK25" s="8" t="b">
        <f>IF(_xlfn.XLOOKUP($A25,TabCAT!$A:$A,TabCAT!AV:AV,"NaN")="","NaN",(_xlfn.XLOOKUP($A25,TabCAT!$A:$A,TabCAT!AV:AV,"NaN")))</f>
        <v>1</v>
      </c>
      <c r="EL25" s="8">
        <f>IF(_xlfn.XLOOKUP($A25,TabCAT!$A:$A,TabCAT!AW:AW,"NaN")="","NaN",(_xlfn.XLOOKUP($A25,TabCAT!$A:$A,TabCAT!AW:AW,"NaN")))</f>
        <v>6</v>
      </c>
      <c r="EM25" s="8">
        <f>IF(_xlfn.XLOOKUP($A25,TabCAT!$A:$A,TabCAT!AX:AX,"NaN")="","NaN",(_xlfn.XLOOKUP($A25,TabCAT!$A:$A,TabCAT!AX:AX,"NaN")))</f>
        <v>0</v>
      </c>
      <c r="EN25" s="8">
        <f>IF(_xlfn.XLOOKUP($A25,TabCAT!$A:$A,TabCAT!AY:AY,"NaN")="","NaN",(_xlfn.XLOOKUP($A25,TabCAT!$A:$A,TabCAT!AY:AY,"NaN")))</f>
        <v>9.83</v>
      </c>
      <c r="EO25" s="8">
        <f>IF(_xlfn.XLOOKUP($A25,TabCAT!$A:$A,TabCAT!AZ:AZ,"NaN")="","NaN",(_xlfn.XLOOKUP($A25,TabCAT!$A:$A,TabCAT!AZ:AZ,"NaN")))</f>
        <v>32</v>
      </c>
      <c r="EP25" s="8">
        <f>IF(_xlfn.XLOOKUP($A25,TabCAT!$A:$A,TabCAT!BA:BA,"NaN")="","NaN",(_xlfn.XLOOKUP($A25,TabCAT!$A:$A,TabCAT!BA:BA,"NaN")))</f>
        <v>0.59433000000000002</v>
      </c>
      <c r="EQ25" s="8">
        <f>IF(_xlfn.XLOOKUP($A25,TabCAT!$A:$A,TabCAT!BB:BB,"NaN")="","NaN",(_xlfn.XLOOKUP($A25,TabCAT!$A:$A,TabCAT!BB:BB,"NaN")))</f>
        <v>6.1553541346132098E-2</v>
      </c>
      <c r="ER25" s="8">
        <f>IF(_xlfn.XLOOKUP($A25,TabCAT!$A:$A,TabCAT!BC:BC,"NaN")="","NaN",(_xlfn.XLOOKUP($A25,TabCAT!$A:$A,TabCAT!BC:BC,"NaN")))</f>
        <v>16</v>
      </c>
      <c r="ES25" s="8">
        <f>IF(_xlfn.XLOOKUP($A25,TabCAT!$A:$A,TabCAT!BD:BD,"NaN")="","NaN",(_xlfn.XLOOKUP($A25,TabCAT!$A:$A,TabCAT!BD:BD,"NaN")))</f>
        <v>0.55002399999999996</v>
      </c>
      <c r="ET25" s="8">
        <f>IF(_xlfn.XLOOKUP($A25,TabCAT!$A:$A,TabCAT!BE:BE,"NaN")="","NaN",(_xlfn.XLOOKUP($A25,TabCAT!$A:$A,TabCAT!BE:BE,"NaN")))</f>
        <v>16</v>
      </c>
      <c r="EU25" s="8">
        <f>IF(_xlfn.XLOOKUP($A25,TabCAT!$A:$A,TabCAT!BF:BF,"NaN")="","NaN",(_xlfn.XLOOKUP($A25,TabCAT!$A:$A,TabCAT!BF:BF,"NaN")))</f>
        <v>0.59864799999999996</v>
      </c>
      <c r="EV25" s="8" t="str">
        <f>IF(_xlfn.XLOOKUP($A25,TabCAT!$A:$A,TabCAT!BG:BG,"NaN")="","NaN",(_xlfn.XLOOKUP($A25,TabCAT!$A:$A,TabCAT!BG:BG,"NaN")))</f>
        <v>NaN</v>
      </c>
      <c r="EW25" s="8" t="str">
        <f>IF(_xlfn.XLOOKUP($A25,TabCAT!$A:$A,TabCAT!BH:BH,"NaN")="","NaN",(_xlfn.XLOOKUP($A25,TabCAT!$A:$A,TabCAT!BH:BH,"NaN")))</f>
        <v>3.0.0</v>
      </c>
      <c r="EX25" s="8" t="str">
        <f>IF(_xlfn.XLOOKUP($A25,TabCAT!$A:$A,TabCAT!BI:BI,"NaN")="","NaN",(_xlfn.XLOOKUP($A25,TabCAT!$A:$A,TabCAT!BI:BI,"NaN")))</f>
        <v>English</v>
      </c>
      <c r="EY25" s="8">
        <f>IF(_xlfn.XLOOKUP($A25,TabCAT!$A:$A,TabCAT!BJ:BJ,"NaN")="","NaN",(_xlfn.XLOOKUP($A25,TabCAT!$A:$A,TabCAT!BJ:BJ,"NaN")))</f>
        <v>250</v>
      </c>
      <c r="EZ25" s="8">
        <f>IF(_xlfn.XLOOKUP($A25,TabCAT!$A:$A,TabCAT!BK:BK,"NaN")="","NaN",(_xlfn.XLOOKUP($A25,TabCAT!$A:$A,TabCAT!BK:BK,"NaN")))</f>
        <v>1</v>
      </c>
      <c r="FA25" s="8">
        <f>IF(_xlfn.XLOOKUP($A25,TabCAT!$A:$A,TabCAT!BL:BL,"NaN")="","NaN",(_xlfn.XLOOKUP($A25,TabCAT!$A:$A,TabCAT!BL:BL,"NaN")))</f>
        <v>6</v>
      </c>
      <c r="FB25" s="8">
        <f>IF(_xlfn.XLOOKUP($A25,TabCAT!$A:$A,TabCAT!BM:BM,"NaN")="","NaN",(_xlfn.XLOOKUP($A25,TabCAT!$A:$A,TabCAT!BM:BM,"NaN")))</f>
        <v>1</v>
      </c>
      <c r="FC25" s="8">
        <f>IF(_xlfn.XLOOKUP($A25,TabCAT!$A:$A,TabCAT!BN:BN,"NaN")="","NaN",(_xlfn.XLOOKUP($A25,TabCAT!$A:$A,TabCAT!BN:BN,"NaN")))</f>
        <v>6</v>
      </c>
      <c r="FD25" s="8">
        <f>IF(_xlfn.XLOOKUP($A25,TabCAT!$A:$A,TabCAT!BO:BO,"NaN")="","NaN",(_xlfn.XLOOKUP($A25,TabCAT!$A:$A,TabCAT!BO:BO,"NaN")))</f>
        <v>8</v>
      </c>
      <c r="FE25" s="8">
        <f>IF(_xlfn.XLOOKUP($A25,TabCAT!$A:$A,TabCAT!BP:BP,"NaN")="","NaN",(_xlfn.XLOOKUP($A25,TabCAT!$A:$A,TabCAT!BP:BP,"NaN")))</f>
        <v>0.88888888888888795</v>
      </c>
      <c r="FF25" s="8">
        <f>IF(_xlfn.XLOOKUP($A25,TabCAT!$A:$A,TabCAT!BQ:BQ,"NaN")="","NaN",(_xlfn.XLOOKUP($A25,TabCAT!$A:$A,TabCAT!BQ:BQ,"NaN")))</f>
        <v>8</v>
      </c>
      <c r="FG25" s="8">
        <f>IF(_xlfn.XLOOKUP($A25,TabCAT!$A:$A,TabCAT!BR:BR,"NaN")="","NaN",(_xlfn.XLOOKUP($A25,TabCAT!$A:$A,TabCAT!BR:BR,"NaN")))</f>
        <v>11</v>
      </c>
      <c r="FH25" s="8">
        <f>IF(_xlfn.XLOOKUP($A25,TabCAT!$A:$A,TabCAT!BS:BS,"NaN")="","NaN",(_xlfn.XLOOKUP($A25,TabCAT!$A:$A,TabCAT!BS:BS,"NaN")))</f>
        <v>0.91666666666666596</v>
      </c>
      <c r="FI25" s="8">
        <f>IF(_xlfn.XLOOKUP($A25,TabCAT!$A:$A,TabCAT!BT:BT,"NaN")="","NaN",(_xlfn.XLOOKUP($A25,TabCAT!$A:$A,TabCAT!BT:BT,"NaN")))</f>
        <v>9.5</v>
      </c>
      <c r="FJ25" s="8">
        <f>IF(_xlfn.XLOOKUP($A25,TabCAT!$A:$A,TabCAT!BU:BU,"NaN")="","NaN",(_xlfn.XLOOKUP($A25,TabCAT!$A:$A,TabCAT!BU:BU,"NaN")))</f>
        <v>12</v>
      </c>
      <c r="FK25" s="8">
        <f>IF(_xlfn.XLOOKUP($A25,TabCAT!$A:$A,TabCAT!BV:BV,"NaN")="","NaN",(_xlfn.XLOOKUP($A25,TabCAT!$A:$A,TabCAT!BV:BV,"NaN")))</f>
        <v>0.8</v>
      </c>
      <c r="FL25" s="8">
        <f>IF(_xlfn.XLOOKUP($A25,TabCAT!$A:$A,TabCAT!BW:BW,"NaN")="","NaN",(_xlfn.XLOOKUP($A25,TabCAT!$A:$A,TabCAT!BW:BW,"NaN")))</f>
        <v>11</v>
      </c>
      <c r="FM25" s="8">
        <f>IF(_xlfn.XLOOKUP($A25,TabCAT!$A:$A,TabCAT!BX:BX,"NaN")="","NaN",(_xlfn.XLOOKUP($A25,TabCAT!$A:$A,TabCAT!BX:BX,"NaN")))</f>
        <v>37</v>
      </c>
      <c r="FN25" s="8">
        <f>IF(_xlfn.XLOOKUP($A25,TabCAT!$A:$A,TabCAT!BY:BY,"NaN")="","NaN",(_xlfn.XLOOKUP($A25,TabCAT!$A:$A,TabCAT!BY:BY,"NaN")))</f>
        <v>0.88095238095238004</v>
      </c>
      <c r="FO25" s="8">
        <f>IF(_xlfn.XLOOKUP($A25,TabCAT!$A:$A,TabCAT!BZ:BZ,"NaN")="","NaN",(_xlfn.XLOOKUP($A25,TabCAT!$A:$A,TabCAT!BZ:BZ,"NaN")))</f>
        <v>34.5</v>
      </c>
      <c r="FP25" s="8" t="str">
        <f>IF(_xlfn.XLOOKUP($A25,TabCAT!$A:$A,TabCAT!CA:CA,"NaN")="","NaN",(_xlfn.XLOOKUP($A25,TabCAT!$A:$A,TabCAT!CA:CA,"NaN")))</f>
        <v>3.0.0</v>
      </c>
      <c r="FQ25" s="8" t="str">
        <f>IF(_xlfn.XLOOKUP($A25,TabCAT!$A:$A,TabCAT!CB:CB,"NaN")="","NaN",(_xlfn.XLOOKUP($A25,TabCAT!$A:$A,TabCAT!CB:CB,"NaN")))</f>
        <v>English</v>
      </c>
      <c r="FR25" s="8">
        <f>IF(_xlfn.XLOOKUP($A25,TabCAT!$A:$A,TabCAT!CC:CC,"NaN")="","NaN",(_xlfn.XLOOKUP($A25,TabCAT!$A:$A,TabCAT!CC:CC,"NaN")))</f>
        <v>215</v>
      </c>
      <c r="FS25" s="8" t="b">
        <f>IF(_xlfn.XLOOKUP($A25,TabCAT!$A:$A,TabCAT!CD:CD,"NaN")="","NaN",(_xlfn.XLOOKUP($A25,TabCAT!$A:$A,TabCAT!CD:CD,"NaN")))</f>
        <v>1</v>
      </c>
      <c r="FT25" s="8">
        <f>IF(_xlfn.XLOOKUP($A25,TabCAT!$A:$A,TabCAT!CE:CE,"NaN")="","NaN",(_xlfn.XLOOKUP($A25,TabCAT!$A:$A,TabCAT!CE:CE,"NaN")))</f>
        <v>8</v>
      </c>
      <c r="FU25" s="8">
        <f>IF(_xlfn.XLOOKUP($A25,TabCAT!$A:$A,TabCAT!CF:CF,"NaN")="","NaN",(_xlfn.XLOOKUP($A25,TabCAT!$A:$A,TabCAT!CF:CF,"NaN")))</f>
        <v>0</v>
      </c>
      <c r="FV25" s="8">
        <f>IF(_xlfn.XLOOKUP($A25,TabCAT!$A:$A,TabCAT!CG:CG,"NaN")="","NaN",(_xlfn.XLOOKUP($A25,TabCAT!$A:$A,TabCAT!CG:CG,"NaN")))</f>
        <v>9.6199999999999992</v>
      </c>
      <c r="FW25" s="8">
        <f>IF(_xlfn.XLOOKUP($A25,TabCAT!$A:$A,TabCAT!CH:CH,"NaN")="","NaN",(_xlfn.XLOOKUP($A25,TabCAT!$A:$A,TabCAT!CH:CH,"NaN")))</f>
        <v>16</v>
      </c>
      <c r="FX25" s="8">
        <f>IF(_xlfn.XLOOKUP($A25,TabCAT!$A:$A,TabCAT!CI:CI,"NaN")="","NaN",(_xlfn.XLOOKUP($A25,TabCAT!$A:$A,TabCAT!CI:CI,"NaN")))</f>
        <v>0.44657799999999997</v>
      </c>
      <c r="FY25" s="8">
        <f>IF(_xlfn.XLOOKUP($A25,TabCAT!$A:$A,TabCAT!CJ:CJ,"NaN")="","NaN",(_xlfn.XLOOKUP($A25,TabCAT!$A:$A,TabCAT!CJ:CJ,"NaN")))</f>
        <v>16</v>
      </c>
      <c r="FZ25" s="8">
        <f>IF(_xlfn.XLOOKUP($A25,TabCAT!$A:$A,TabCAT!CK:CK,"NaN")="","NaN",(_xlfn.XLOOKUP($A25,TabCAT!$A:$A,TabCAT!CK:CK,"NaN")))</f>
        <v>0.51312999999999998</v>
      </c>
      <c r="GA25" s="8">
        <f>IF(_xlfn.XLOOKUP($A25,TabCAT!$A:$A,TabCAT!CL:CL,"NaN")="","NaN",(_xlfn.XLOOKUP($A25,TabCAT!$A:$A,TabCAT!CL:CL,"NaN")))</f>
        <v>32</v>
      </c>
      <c r="GB25" s="8">
        <f>IF(_xlfn.XLOOKUP($A25,TabCAT!$A:$A,TabCAT!CM:CM,"NaN")="","NaN",(_xlfn.XLOOKUP($A25,TabCAT!$A:$A,TabCAT!CM:CM,"NaN")))</f>
        <v>0.51427250000000002</v>
      </c>
      <c r="GC25" s="8">
        <f>IF(_xlfn.XLOOKUP($A25,TabCAT!$A:$A,TabCAT!CN:CN,"NaN")="","NaN",(_xlfn.XLOOKUP($A25,TabCAT!$A:$A,TabCAT!CN:CN,"NaN")))</f>
        <v>23</v>
      </c>
      <c r="GD25" s="8">
        <f>IF(_xlfn.XLOOKUP($A25,TabCAT!$A:$A,TabCAT!CO:CO,"NaN")="","NaN",(_xlfn.XLOOKUP($A25,TabCAT!$A:$A,TabCAT!CO:CO,"NaN")))</f>
        <v>0.49645699999999998</v>
      </c>
      <c r="GE25" s="8">
        <f>IF(_xlfn.XLOOKUP($A25,TabCAT!$A:$A,TabCAT!CP:CP,"NaN")="","NaN",(_xlfn.XLOOKUP($A25,TabCAT!$A:$A,TabCAT!CP:CP,"NaN")))</f>
        <v>5.9588507044528602E-2</v>
      </c>
      <c r="GF25" s="8">
        <f>IF(_xlfn.XLOOKUP($A25,TabCAT!$A:$A,TabCAT!CQ:CQ,"NaN")="","NaN",(_xlfn.XLOOKUP($A25,TabCAT!$A:$A,TabCAT!CQ:CQ,"NaN")))</f>
        <v>51</v>
      </c>
      <c r="GG25" s="8">
        <f>IF(_xlfn.XLOOKUP($A25,TabCAT!$A:$A,TabCAT!CR:CR,"NaN")="","NaN",(_xlfn.XLOOKUP($A25,TabCAT!$A:$A,TabCAT!CR:CR,"NaN")))</f>
        <v>0.49634299999999998</v>
      </c>
      <c r="GH25" s="8" t="str">
        <f>IF(_xlfn.XLOOKUP($A25,TabCAT!$A:$A,TabCAT!CS:CS,"NaN")="","NaN",(_xlfn.XLOOKUP($A25,TabCAT!$A:$A,TabCAT!CS:CS,"NaN")))</f>
        <v>NaN</v>
      </c>
    </row>
    <row r="26" spans="1:190" x14ac:dyDescent="0.2">
      <c r="A26">
        <v>10638</v>
      </c>
      <c r="B26">
        <f>_xlfn.XLOOKUP(bippity_poppity_boo!A26,rf1_data!A:A,rf1_data!B:B)</f>
        <v>101951</v>
      </c>
      <c r="C26" s="2">
        <f>(_xlfn.XLOOKUP($A26,trust!$A:$A,trust!B:B,"NaN"))</f>
        <v>5.7142860000000004</v>
      </c>
      <c r="D26" s="2">
        <f>(_xlfn.XLOOKUP($A26,trust!$A:$A,trust!C:C,"NaN"))</f>
        <v>6.1666670000000003</v>
      </c>
      <c r="E26" s="2">
        <f>(_xlfn.XLOOKUP($A26,trust!$A:$A,trust!D:D,"NaN"))</f>
        <v>5.0769229999999999</v>
      </c>
      <c r="F26" s="2">
        <f>(_xlfn.XLOOKUP($A26,trust!$A:$A,trust!E:E,"NaN"))</f>
        <v>6.4285709999999998</v>
      </c>
      <c r="G26" s="2">
        <f>(_xlfn.XLOOKUP($A26,trust!$A:$A,trust!F:F,"NaN"))</f>
        <v>6.461538</v>
      </c>
      <c r="H26" s="2">
        <f>(_xlfn.XLOOKUP($A26,trust!$A:$A,trust!G:G,"NaN"))</f>
        <v>5.4285709999999998</v>
      </c>
      <c r="I26" s="3">
        <f>IF(_xlfn.XLOOKUP($B26,island_data!$B:$B,island_data!C:C,"NaN")="","NaN",_xlfn.XLOOKUP($B26,island_data!$B:$B,island_data!C:C,"NaN"))</f>
        <v>45000</v>
      </c>
      <c r="J26" s="3">
        <f>IF(_xlfn.XLOOKUP($B26,island_data!$B:$B,island_data!D:D,"NaN")="","NaN",_xlfn.XLOOKUP($B26,island_data!$B:$B,island_data!D:D,"NaN"))</f>
        <v>18835</v>
      </c>
      <c r="K26" s="4">
        <f>IF(_xlfn.XLOOKUP($B26,island_data!$B:$B,island_data!E:E,"NaN")="","NaN",_xlfn.XLOOKUP($B26,island_data!$B:$B,island_data!E:E,"NaN"))</f>
        <v>71.64</v>
      </c>
      <c r="L26" s="5">
        <f>IF(_xlfn.XLOOKUP($B26,rf1_data!$B:$B,rf1_data!D:D,"NaN")="","NaN",(_xlfn.XLOOKUP($B26,rf1_data!$B:$B,rf1_data!D:D,"NaN")))</f>
        <v>71.83</v>
      </c>
      <c r="M26" s="5" t="str">
        <f>IF(_xlfn.XLOOKUP($B26,rf1_data!$B:$B,rf1_data!E:E,"NaN")="","NaN",(_xlfn.XLOOKUP($B26,rf1_data!$B:$B,rf1_data!E:E,"NaN")))</f>
        <v>White</v>
      </c>
      <c r="N26" s="5" t="str">
        <f>IF(_xlfn.XLOOKUP($B26,rf1_data!$B:$B,rf1_data!F:F,"NaN")="","NaN",(_xlfn.XLOOKUP($B26,rf1_data!$B:$B,rf1_data!F:F,"NaN")))</f>
        <v>Not Hispanic or Latino</v>
      </c>
      <c r="O26" s="5" t="str">
        <f>IF(_xlfn.XLOOKUP($B26,rf1_data!$B:$B,rf1_data!G:G,"NaN")="","NaN",(_xlfn.XLOOKUP($B26,rf1_data!$B:$B,rf1_data!G:G,"NaN")))</f>
        <v>Female</v>
      </c>
      <c r="P26" s="5">
        <f>IF(_xlfn.XLOOKUP($B26,rf1_data!$B:$B,rf1_data!H:H,"NaN")="","NaN",(_xlfn.XLOOKUP($B26,rf1_data!$B:$B,rf1_data!H:H,"NaN")))</f>
        <v>4.5599999999999996</v>
      </c>
      <c r="Q26" s="5">
        <f>IF(_xlfn.XLOOKUP($B26,rf1_data!$B:$B,rf1_data!I:I,"NaN")="","NaN",(_xlfn.XLOOKUP($B26,rf1_data!$B:$B,rf1_data!I:I,"NaN")))</f>
        <v>3.9</v>
      </c>
      <c r="R26" s="5">
        <f>IF(_xlfn.XLOOKUP($B26,rf1_data!$B:$B,rf1_data!J:J,"NaN")="","NaN",(_xlfn.XLOOKUP($B26,rf1_data!$B:$B,rf1_data!J:J,"NaN")))</f>
        <v>1</v>
      </c>
      <c r="S26" s="5">
        <f>IF(_xlfn.XLOOKUP($B26,rf1_data!$B:$B,rf1_data!K:K,"NaN")="","NaN",(_xlfn.XLOOKUP($B26,rf1_data!$B:$B,rf1_data!K:K,"NaN")))</f>
        <v>0</v>
      </c>
      <c r="T26" s="5">
        <f>IF(_xlfn.XLOOKUP($B26,rf1_data!$B:$B,rf1_data!L:L,"NaN")="","NaN",(_xlfn.XLOOKUP($B26,rf1_data!$B:$B,rf1_data!L:L,"NaN")))</f>
        <v>0</v>
      </c>
      <c r="U26" s="5">
        <f>IF(_xlfn.XLOOKUP($B26,rf1_data!$B:$B,rf1_data!M:M,"NaN")="","NaN",(_xlfn.XLOOKUP($B26,rf1_data!$B:$B,rf1_data!M:M,"NaN")))</f>
        <v>5.67</v>
      </c>
      <c r="V26" s="5">
        <f>IF(_xlfn.XLOOKUP($B26,rf1_data!$B:$B,rf1_data!N:N,"NaN")="","NaN",(_xlfn.XLOOKUP($B26,rf1_data!$B:$B,rf1_data!N:N,"NaN")))</f>
        <v>5.33</v>
      </c>
      <c r="W26" s="5">
        <f>IF(_xlfn.XLOOKUP($B26,rf1_data!$B:$B,rf1_data!O:O,"NaN")="","NaN",(_xlfn.XLOOKUP($B26,rf1_data!$B:$B,rf1_data!O:O,"NaN")))</f>
        <v>6.13</v>
      </c>
      <c r="X26" s="5">
        <f>IF(_xlfn.XLOOKUP($B26,rf1_data!$B:$B,rf1_data!P:P,"NaN")="","NaN",(_xlfn.XLOOKUP($B26,rf1_data!$B:$B,rf1_data!P:P,"NaN")))</f>
        <v>4.83</v>
      </c>
      <c r="Y26" s="5">
        <f>IF(_xlfn.XLOOKUP($B26,rf1_data!$B:$B,rf1_data!Q:Q,"NaN")="","NaN",(_xlfn.XLOOKUP($B26,rf1_data!$B:$B,rf1_data!Q:Q,"NaN")))</f>
        <v>5.63</v>
      </c>
      <c r="Z26" s="5">
        <f>IF(_xlfn.XLOOKUP($B26,rf1_data!$B:$B,rf1_data!R:R,"NaN")="","NaN",(_xlfn.XLOOKUP($B26,rf1_data!$B:$B,rf1_data!R:R,"NaN")))</f>
        <v>2</v>
      </c>
      <c r="AA26" s="5">
        <f>IF(_xlfn.XLOOKUP($B26,rf1_data!$B:$B,rf1_data!S:S,"NaN")="","NaN",(_xlfn.XLOOKUP($B26,rf1_data!$B:$B,rf1_data!S:S,"NaN")))</f>
        <v>1</v>
      </c>
      <c r="AB26" s="5">
        <f>IF(_xlfn.XLOOKUP($B26,rf1_data!$B:$B,rf1_data!T:T,"NaN")="","NaN",(_xlfn.XLOOKUP($B26,rf1_data!$B:$B,rf1_data!T:T,"NaN")))</f>
        <v>1</v>
      </c>
      <c r="AC26" s="5">
        <f>IF(_xlfn.XLOOKUP($B26,rf1_data!$B:$B,rf1_data!U:U,"NaN")="","NaN",(_xlfn.XLOOKUP($B26,rf1_data!$B:$B,rf1_data!U:U,"NaN")))</f>
        <v>0</v>
      </c>
      <c r="AD26" s="5">
        <f>IF(_xlfn.XLOOKUP($B26,rf1_data!$B:$B,rf1_data!V:V,"NaN")="","NaN",(_xlfn.XLOOKUP($B26,rf1_data!$B:$B,rf1_data!V:V,"NaN")))</f>
        <v>0</v>
      </c>
      <c r="AE26" s="5">
        <f>IF(_xlfn.XLOOKUP($B26,rf1_data!$B:$B,rf1_data!W:W,"NaN")="","NaN",(_xlfn.XLOOKUP($B26,rf1_data!$B:$B,rf1_data!W:W,"NaN")))</f>
        <v>0</v>
      </c>
      <c r="AF26" s="5">
        <f>IF(_xlfn.XLOOKUP($B26,rf1_data!$B:$B,rf1_data!X:X,"NaN")="","NaN",(_xlfn.XLOOKUP($B26,rf1_data!$B:$B,rf1_data!X:X,"NaN")))</f>
        <v>5</v>
      </c>
      <c r="AG26" s="5">
        <f>IF(_xlfn.XLOOKUP($B26,rf1_data!$B:$B,rf1_data!Y:Y,"NaN")="","NaN",(_xlfn.XLOOKUP($B26,rf1_data!$B:$B,rf1_data!Y:Y,"NaN")))</f>
        <v>9</v>
      </c>
      <c r="AH26" s="5">
        <f>IF(_xlfn.XLOOKUP($B26,rf1_data!$B:$B,rf1_data!Z:Z,"NaN")="","NaN",(_xlfn.XLOOKUP($B26,rf1_data!$B:$B,rf1_data!Z:Z,"NaN")))</f>
        <v>1</v>
      </c>
      <c r="AI26" s="5">
        <f>IF(_xlfn.XLOOKUP($B26,rf1_data!$B:$B,rf1_data!AA:AA,"NaN")="","NaN",(_xlfn.XLOOKUP($B26,rf1_data!$B:$B,rf1_data!AA:AA,"NaN")))</f>
        <v>2</v>
      </c>
      <c r="AJ26" s="5">
        <f>IF(_xlfn.XLOOKUP($B26,rf1_data!$B:$B,rf1_data!AB:AB,"NaN")="","NaN",(_xlfn.XLOOKUP($B26,rf1_data!$B:$B,rf1_data!AB:AB,"NaN")))</f>
        <v>17</v>
      </c>
      <c r="AK26" s="5">
        <f>IF(_xlfn.XLOOKUP($B26,rf1_data!$B:$B,rf1_data!AC:AC,"NaN")="","NaN",(_xlfn.XLOOKUP($B26,rf1_data!$B:$B,rf1_data!AC:AC,"NaN")))</f>
        <v>40</v>
      </c>
      <c r="AL26" s="5">
        <f>IF(_xlfn.XLOOKUP($B26,rf1_data!$B:$B,rf1_data!AD:AD,"NaN")="","NaN",(_xlfn.XLOOKUP($B26,rf1_data!$B:$B,rf1_data!AD:AD,"NaN")))</f>
        <v>10</v>
      </c>
      <c r="AM26" s="5">
        <f>IF(_xlfn.XLOOKUP($B26,rf1_data!$B:$B,rf1_data!AE:AE,"NaN")="","NaN",(_xlfn.XLOOKUP($B26,rf1_data!$B:$B,rf1_data!AE:AE,"NaN")))</f>
        <v>0</v>
      </c>
      <c r="AN26" s="5">
        <f>IF(_xlfn.XLOOKUP($B26,rf1_data!$B:$B,rf1_data!AF:AF,"NaN")="","NaN",(_xlfn.XLOOKUP($B26,rf1_data!$B:$B,rf1_data!AF:AF,"NaN")))</f>
        <v>0</v>
      </c>
      <c r="AO26" s="5">
        <f>IF(_xlfn.XLOOKUP($B26,rf1_data!$B:$B,rf1_data!AG:AG,"NaN")="","NaN",(_xlfn.XLOOKUP($B26,rf1_data!$B:$B,rf1_data!AG:AG,"NaN")))</f>
        <v>7</v>
      </c>
      <c r="AP26" s="5">
        <f>IF(_xlfn.XLOOKUP($B26,rf1_data!$B:$B,rf1_data!AH:AH,"NaN")="","NaN",(_xlfn.XLOOKUP($B26,rf1_data!$B:$B,rf1_data!AH:AH,"NaN")))</f>
        <v>7</v>
      </c>
      <c r="AQ26" s="5">
        <f>IF(_xlfn.XLOOKUP($B26,rf1_data!$B:$B,rf1_data!AI:AI,"NaN")="","NaN",(_xlfn.XLOOKUP($B26,rf1_data!$B:$B,rf1_data!AI:AI,"NaN")))</f>
        <v>7</v>
      </c>
      <c r="AR26" s="5">
        <f>IF(_xlfn.XLOOKUP($B26,rf1_data!$B:$B,rf1_data!AJ:AJ,"NaN")="","NaN",(_xlfn.XLOOKUP($B26,rf1_data!$B:$B,rf1_data!AJ:AJ,"NaN")))</f>
        <v>7</v>
      </c>
      <c r="AS26" s="5">
        <f>IF(_xlfn.XLOOKUP($B26,rf1_data!$B:$B,rf1_data!AK:AK,"NaN")="","NaN",(_xlfn.XLOOKUP($B26,rf1_data!$B:$B,rf1_data!AK:AK,"NaN")))</f>
        <v>3</v>
      </c>
      <c r="AT26" s="5">
        <f>IF(_xlfn.XLOOKUP($B26,rf1_data!$B:$B,rf1_data!AL:AL,"NaN")="","NaN",(_xlfn.XLOOKUP($B26,rf1_data!$B:$B,rf1_data!AL:AL,"NaN")))</f>
        <v>12</v>
      </c>
      <c r="AU26" s="5">
        <f>IF(_xlfn.XLOOKUP($B26,rf1_data!$B:$B,rf1_data!AM:AM,"NaN")="","NaN",(_xlfn.XLOOKUP($B26,rf1_data!$B:$B,rf1_data!AM:AM,"NaN")))</f>
        <v>2.75</v>
      </c>
      <c r="AV26" s="5">
        <f>IF(_xlfn.XLOOKUP($B26,rf1_data!$B:$B,rf1_data!AN:AN,"NaN")="","NaN",(_xlfn.XLOOKUP($B26,rf1_data!$B:$B,rf1_data!AN:AN,"NaN")))</f>
        <v>8</v>
      </c>
      <c r="AW26" s="5">
        <f>IF(_xlfn.XLOOKUP($B26,rf1_data!$B:$B,rf1_data!AO:AO,"NaN")="","NaN",(_xlfn.XLOOKUP($B26,rf1_data!$B:$B,rf1_data!AO:AO,"NaN")))</f>
        <v>2.67</v>
      </c>
      <c r="AX26" s="5">
        <f>IF(_xlfn.XLOOKUP($B26,rf1_data!$B:$B,rf1_data!AP:AP,"NaN")="","NaN",(_xlfn.XLOOKUP($B26,rf1_data!$B:$B,rf1_data!AP:AP,"NaN")))</f>
        <v>9999</v>
      </c>
      <c r="AY26" s="5" t="str">
        <f>IF(_xlfn.XLOOKUP($B26,rf1_data!$B:$B,rf1_data!AQ:AQ,"NaN")="","NaN",(_xlfn.XLOOKUP($B26,rf1_data!$B:$B,rf1_data!AQ:AQ,"NaN")))</f>
        <v>NaN</v>
      </c>
      <c r="AZ26" s="5" t="str">
        <f>IF(_xlfn.XLOOKUP($B26,rf1_data!$B:$B,rf1_data!AR:AR,"NaN")="","NaN",(_xlfn.XLOOKUP($B26,rf1_data!$B:$B,rf1_data!AR:AR,"NaN")))</f>
        <v>NaN</v>
      </c>
      <c r="BA26" s="5" t="str">
        <f>IF(_xlfn.XLOOKUP($B26,rf1_data!$B:$B,rf1_data!AS:AS,"NaN")="","NaN",(_xlfn.XLOOKUP($B26,rf1_data!$B:$B,rf1_data!AS:AS,"NaN")))</f>
        <v>NaN</v>
      </c>
      <c r="BB26" s="5" t="str">
        <f>IF(_xlfn.XLOOKUP($B26,rf1_data!$B:$B,rf1_data!AT:AT,"NaN")="","NaN",(_xlfn.XLOOKUP($B26,rf1_data!$B:$B,rf1_data!AT:AT,"NaN")))</f>
        <v>NaN</v>
      </c>
      <c r="BC26" s="5" t="str">
        <f>IF(_xlfn.XLOOKUP($B26,rf1_data!$B:$B,rf1_data!AU:AU,"NaN")="","NaN",(_xlfn.XLOOKUP($B26,rf1_data!$B:$B,rf1_data!AU:AU,"NaN")))</f>
        <v>NaN</v>
      </c>
      <c r="BD26" s="5" t="str">
        <f>IF(_xlfn.XLOOKUP($B26,rf1_data!$B:$B,rf1_data!AV:AV,"NaN")="","NaN",(_xlfn.XLOOKUP($B26,rf1_data!$B:$B,rf1_data!AV:AV,"NaN")))</f>
        <v>NaN</v>
      </c>
      <c r="BE26" s="5" t="str">
        <f>IF(_xlfn.XLOOKUP($B26,rf1_data!$B:$B,rf1_data!AW:AW,"NaN")="","NaN",(_xlfn.XLOOKUP($B26,rf1_data!$B:$B,rf1_data!AW:AW,"NaN")))</f>
        <v>NaN</v>
      </c>
      <c r="BF26" s="5" t="str">
        <f>IF(_xlfn.XLOOKUP($B26,rf1_data!$B:$B,rf1_data!AX:AX,"NaN")="","NaN",(_xlfn.XLOOKUP($B26,rf1_data!$B:$B,rf1_data!AX:AX,"NaN")))</f>
        <v>NaN</v>
      </c>
      <c r="BG26" s="5" t="str">
        <f>IF(_xlfn.XLOOKUP($B26,rf1_data!$B:$B,rf1_data!AY:AY,"NaN")="","NaN",(_xlfn.XLOOKUP($B26,rf1_data!$B:$B,rf1_data!AY:AY,"NaN")))</f>
        <v>NaN</v>
      </c>
      <c r="BH26" s="5" t="str">
        <f>IF(_xlfn.XLOOKUP($B26,rf1_data!$B:$B,rf1_data!AZ:AZ,"NaN")="","NaN",(_xlfn.XLOOKUP($B26,rf1_data!$B:$B,rf1_data!AZ:AZ,"NaN")))</f>
        <v>NaN</v>
      </c>
      <c r="BI26" s="5">
        <f>IF(_xlfn.XLOOKUP($B26,rf1_data!$B:$B,rf1_data!BA:BA,"NaN")="","NaN",(_xlfn.XLOOKUP($B26,rf1_data!$B:$B,rf1_data!BA:BA,"NaN")))</f>
        <v>20</v>
      </c>
      <c r="BJ26" s="5" t="str">
        <f>IF(_xlfn.XLOOKUP($B26,rf1_data!$B:$B,rf1_data!BB:BB,"NaN")="","NaN",(_xlfn.XLOOKUP($B26,rf1_data!$B:$B,rf1_data!BB:BB,"NaN")))</f>
        <v>NaN</v>
      </c>
      <c r="BK26" s="5" t="str">
        <f>IF(_xlfn.XLOOKUP($B26,rf1_data!$B:$B,rf1_data!BC:BC,"NaN")="","NaN",(_xlfn.XLOOKUP($B26,rf1_data!$B:$B,rf1_data!BC:BC,"NaN")))</f>
        <v>NaN</v>
      </c>
      <c r="BL26" s="5" t="str">
        <f>IF(_xlfn.XLOOKUP($B26,rf1_data!$B:$B,rf1_data!BD:BD,"NaN")="","NaN",(_xlfn.XLOOKUP($B26,rf1_data!$B:$B,rf1_data!BD:BD,"NaN")))</f>
        <v>NaN</v>
      </c>
      <c r="BM26" s="5" t="str">
        <f>IF(_xlfn.XLOOKUP($B26,rf1_data!$B:$B,rf1_data!BE:BE,"NaN")="","NaN",(_xlfn.XLOOKUP($B26,rf1_data!$B:$B,rf1_data!BE:BE,"NaN")))</f>
        <v>NaN</v>
      </c>
      <c r="BN26" s="5" t="str">
        <f>IF(_xlfn.XLOOKUP($B26,rf1_data!$B:$B,rf1_data!BF:BF,"NaN")="","NaN",(_xlfn.XLOOKUP($B26,rf1_data!$B:$B,rf1_data!BF:BF,"NaN")))</f>
        <v>NaN</v>
      </c>
      <c r="BO26" s="5" t="str">
        <f>IF(_xlfn.XLOOKUP($B26,rf1_data!$B:$B,rf1_data!BG:BG,"NaN")="","NaN",(_xlfn.XLOOKUP($B26,rf1_data!$B:$B,rf1_data!BG:BG,"NaN")))</f>
        <v>NaN</v>
      </c>
      <c r="BP26" s="5" t="str">
        <f>IF(_xlfn.XLOOKUP($B26,rf1_data!$B:$B,rf1_data!BH:BH,"NaN")="","NaN",(_xlfn.XLOOKUP($B26,rf1_data!$B:$B,rf1_data!BH:BH,"NaN")))</f>
        <v>NaN</v>
      </c>
      <c r="BQ26" s="5" t="str">
        <f>IF(_xlfn.XLOOKUP($B26,rf1_data!$B:$B,rf1_data!BI:BI,"NaN")="","NaN",(_xlfn.XLOOKUP($B26,rf1_data!$B:$B,rf1_data!BI:BI,"NaN")))</f>
        <v>NaN</v>
      </c>
      <c r="BR26" s="5">
        <f>IF(_xlfn.XLOOKUP($B26,rf1_data!$B:$B,rf1_data!BJ:BJ,"NaN")="","NaN",(_xlfn.XLOOKUP($B26,rf1_data!$B:$B,rf1_data!BJ:BJ,"NaN")))</f>
        <v>8991</v>
      </c>
      <c r="BS26" s="5" t="str">
        <f>IF(_xlfn.XLOOKUP($B26,rf1_data!$B:$B,rf1_data!BK:BK,"NaN")="","NaN",(_xlfn.XLOOKUP($B26,rf1_data!$B:$B,rf1_data!BK:BK,"NaN")))</f>
        <v>NaN</v>
      </c>
      <c r="BT26" s="5" t="str">
        <f>IF(_xlfn.XLOOKUP($B26,rf1_data!$B:$B,rf1_data!BL:BL,"NaN")="","NaN",(_xlfn.XLOOKUP($B26,rf1_data!$B:$B,rf1_data!BL:BL,"NaN")))</f>
        <v>NaN</v>
      </c>
      <c r="BU26" s="5" t="str">
        <f>IF(_xlfn.XLOOKUP($B26,rf1_data!$B:$B,rf1_data!BM:BM,"NaN")="","NaN",(_xlfn.XLOOKUP($B26,rf1_data!$B:$B,rf1_data!BM:BM,"NaN")))</f>
        <v>NaN</v>
      </c>
      <c r="BV26" s="5" t="str">
        <f>IF(_xlfn.XLOOKUP($B26,rf1_data!$B:$B,rf1_data!BN:BN,"NaN")="","NaN",(_xlfn.XLOOKUP($B26,rf1_data!$B:$B,rf1_data!BN:BN,"NaN")))</f>
        <v>NaN</v>
      </c>
      <c r="BW26" s="5">
        <f>IF(_xlfn.XLOOKUP($B26,rf1_data!$B:$B,rf1_data!BO:BO,"NaN")="","NaN",(_xlfn.XLOOKUP($B26,rf1_data!$B:$B,rf1_data!BO:BO,"NaN")))</f>
        <v>4.0999999999999996</v>
      </c>
      <c r="BX26" s="5">
        <f>IF(_xlfn.XLOOKUP($B26,rf1_data!$B:$B,rf1_data!BP:BP,"NaN")="","NaN",(_xlfn.XLOOKUP($B26,rf1_data!$B:$B,rf1_data!BP:BP,"NaN")))</f>
        <v>4.2</v>
      </c>
      <c r="BY26" s="5">
        <f>IF(_xlfn.XLOOKUP($B26,rf1_data!$B:$B,rf1_data!BQ:BQ,"NaN")="","NaN",(_xlfn.XLOOKUP($B26,rf1_data!$B:$B,rf1_data!BQ:BQ,"NaN")))</f>
        <v>4.2</v>
      </c>
      <c r="BZ26" s="5">
        <f>IF(_xlfn.XLOOKUP($B26,rf1_data!$B:$B,rf1_data!BR:BR,"NaN")="","NaN",(_xlfn.XLOOKUP($B26,rf1_data!$B:$B,rf1_data!BR:BR,"NaN")))</f>
        <v>4.17</v>
      </c>
      <c r="CA26" s="5">
        <f>IF(_xlfn.XLOOKUP($B26,rf1_data!$B:$B,rf1_data!BS:BS,"NaN")="","NaN",(_xlfn.XLOOKUP($B26,rf1_data!$B:$B,rf1_data!BS:BS,"NaN")))</f>
        <v>6</v>
      </c>
      <c r="CB26" s="5">
        <f>IF(_xlfn.XLOOKUP($B26,rf1_data!$B:$B,rf1_data!BT:BT,"NaN")="","NaN",(_xlfn.XLOOKUP($B26,rf1_data!$B:$B,rf1_data!BT:BT,"NaN")))</f>
        <v>5.1666666666666599</v>
      </c>
      <c r="CC26" s="5">
        <f>IF(_xlfn.XLOOKUP($B26,rf1_data!$B:$B,rf1_data!BU:BU,"NaN")="","NaN",(_xlfn.XLOOKUP($B26,rf1_data!$B:$B,rf1_data!BU:BU,"NaN")))</f>
        <v>6</v>
      </c>
      <c r="CD26" s="5">
        <f>IF(_xlfn.XLOOKUP($B26,rf1_data!$B:$B,rf1_data!BV:BV,"NaN")="","NaN",(_xlfn.XLOOKUP($B26,rf1_data!$B:$B,rf1_data!BV:BV,"NaN")))</f>
        <v>5.1666666666666599</v>
      </c>
      <c r="CE26" s="5">
        <f>IF(_xlfn.XLOOKUP($B26,rf1_data!$B:$B,rf1_data!BW:BW,"NaN")="","NaN",(_xlfn.XLOOKUP($B26,rf1_data!$B:$B,rf1_data!BW:BW,"NaN")))</f>
        <v>0.85</v>
      </c>
      <c r="CF26" s="5">
        <f>IF(_xlfn.XLOOKUP($B26,rf1_data!$B:$B,rf1_data!BX:BX,"NaN")="","NaN",(_xlfn.XLOOKUP($B26,rf1_data!$B:$B,rf1_data!BX:BX,"NaN")))</f>
        <v>0</v>
      </c>
      <c r="CG26" s="5">
        <f>IF(_xlfn.XLOOKUP($B26,rf1_data!$B:$B,rf1_data!BY:BY,"NaN")="","NaN",(_xlfn.XLOOKUP($B26,rf1_data!$B:$B,rf1_data!BY:BY,"NaN")))</f>
        <v>0</v>
      </c>
      <c r="CH26" s="5">
        <f>IF(_xlfn.XLOOKUP($B26,rf1_data!$B:$B,rf1_data!BZ:BZ,"NaN")="","NaN",(_xlfn.XLOOKUP($B26,rf1_data!$B:$B,rf1_data!BZ:BZ,"NaN")))</f>
        <v>19</v>
      </c>
      <c r="CI26" s="5">
        <f>IF(_xlfn.XLOOKUP($B26,rf1_data!$B:$B,rf1_data!CA:CA,"NaN")="","NaN",(_xlfn.XLOOKUP($B26,rf1_data!$B:$B,rf1_data!CA:CA,"NaN")))</f>
        <v>24</v>
      </c>
      <c r="CJ26" s="5">
        <f>IF(_xlfn.XLOOKUP($B26,rf1_data!$B:$B,rf1_data!CB:CB,"NaN")="","NaN",(_xlfn.XLOOKUP($B26,rf1_data!$B:$B,rf1_data!CB:CB,"NaN")))</f>
        <v>7</v>
      </c>
      <c r="CK26" s="5">
        <f>IF(_xlfn.XLOOKUP($B26,rf1_data!$B:$B,rf1_data!CC:CC,"NaN")="","NaN",(_xlfn.XLOOKUP($B26,rf1_data!$B:$B,rf1_data!CC:CC,"NaN")))</f>
        <v>0.875</v>
      </c>
      <c r="CL26" s="5">
        <f>IF(_xlfn.XLOOKUP($B26,rf1_data!$B:$B,rf1_data!CD:CD,"NaN")=0,"NaN",(_xlfn.XLOOKUP($B26,rf1_data!$B:$B,rf1_data!CD:CD,"NaN")))</f>
        <v>26</v>
      </c>
      <c r="CM26" s="5">
        <f>IF(_xlfn.XLOOKUP($B26,rf1_data!$B:$B,rf1_data!CE:CE,"NaN")="","NaN",(_xlfn.XLOOKUP($B26,rf1_data!$B:$B,rf1_data!CE:CE,"NaN")))</f>
        <v>19</v>
      </c>
      <c r="CN26" s="5">
        <f>IF(_xlfn.XLOOKUP($B26,rf1_data!$B:$B,rf1_data!CF:CF,"NaN")="","NaN",(_xlfn.XLOOKUP($B26,rf1_data!$B:$B,rf1_data!CF:CF,"NaN")))</f>
        <v>29</v>
      </c>
      <c r="CO26" s="5">
        <f>IF(_xlfn.XLOOKUP($B26,rf1_data!$B:$B,rf1_data!CG:CG,"NaN")="","NaN",(_xlfn.XLOOKUP($B26,rf1_data!$B:$B,rf1_data!CG:CG,"NaN")))</f>
        <v>26</v>
      </c>
      <c r="CP26" s="5">
        <f>IF(_xlfn.XLOOKUP($B26,rf1_data!$B:$B,rf1_data!CH:CH,"NaN")=0,"NaN",(_xlfn.XLOOKUP($B26,rf1_data!$B:$B,rf1_data!CH:CH,"NaN")))</f>
        <v>31</v>
      </c>
      <c r="CQ26" s="5">
        <f>IF(_xlfn.XLOOKUP($B26,rf1_data!$B:$B,rf1_data!CI:CI,"NaN")="","NaN",(_xlfn.XLOOKUP($B26,rf1_data!$B:$B,rf1_data!CI:CI,"NaN")))</f>
        <v>48</v>
      </c>
      <c r="CR26" s="5">
        <f>IF(_xlfn.XLOOKUP($B26,rf1_data!$B:$B,rf1_data!CJ:CJ,"NaN")="","NaN",(_xlfn.XLOOKUP($B26,rf1_data!$B:$B,rf1_data!CJ:CJ,"NaN")))</f>
        <v>60</v>
      </c>
      <c r="CS26" s="5">
        <f>IF(_xlfn.XLOOKUP($B26,rf1_data!$B:$B,rf1_data!CK:CK,"NaN")="","NaN",(_xlfn.XLOOKUP($B26,rf1_data!$B:$B,rf1_data!CK:CK,"NaN")))</f>
        <v>33</v>
      </c>
      <c r="CT26" s="5">
        <f>IF(_xlfn.XLOOKUP($B26,rf1_data!$B:$B,rf1_data!CL:CL,"NaN")="","NaN",(_xlfn.XLOOKUP($B26,rf1_data!$B:$B,rf1_data!CL:CL,"NaN")))</f>
        <v>60</v>
      </c>
      <c r="CU26" s="5">
        <f>IF(_xlfn.XLOOKUP($B26,rf1_data!$B:$B,rf1_data!CM:CM,"NaN")="","NaN",(_xlfn.XLOOKUP($B26,rf1_data!$B:$B,rf1_data!CM:CM,"NaN")))</f>
        <v>42</v>
      </c>
      <c r="CV26" s="5">
        <f>IF(_xlfn.XLOOKUP($B26,rf1_data!$B:$B,rf1_data!CN:CN,"NaN")="","NaN",(_xlfn.XLOOKUP($B26,rf1_data!$B:$B,rf1_data!CN:CN,"NaN")))</f>
        <v>60</v>
      </c>
      <c r="CW26" s="5" t="str">
        <f>IF(_xlfn.XLOOKUP($B26,rf1_data!$B:$B,rf1_data!CO:CO,"NaN")="","NaN",(_xlfn.XLOOKUP($B26,rf1_data!$B:$B,rf1_data!CO:CO,"NaN")))</f>
        <v>NaN</v>
      </c>
      <c r="CX26" s="5" t="str">
        <f>IF(_xlfn.XLOOKUP($B26,rf1_data!$B:$B,rf1_data!CP:CP,"NaN")="","NaN",(_xlfn.XLOOKUP($B26,rf1_data!$B:$B,rf1_data!CP:CP,"NaN")))</f>
        <v>NaN</v>
      </c>
      <c r="CY26" s="5">
        <f>IF(_xlfn.XLOOKUP($B26,rf1_data!$B:$B,rf1_data!CQ:CQ,"NaN")="","NaN",(_xlfn.XLOOKUP($B26,rf1_data!$B:$B,rf1_data!CQ:CQ,"NaN")))</f>
        <v>6</v>
      </c>
      <c r="CZ26" s="5">
        <f>IF(_xlfn.XLOOKUP($B26,rf1_data!$B:$B,rf1_data!CR:CR,"NaN")="","NaN",(_xlfn.XLOOKUP($B26,rf1_data!$B:$B,rf1_data!CR:CR,"NaN")))</f>
        <v>1</v>
      </c>
      <c r="DA26" s="5">
        <f>IF(_xlfn.XLOOKUP($B26,rf1_data!$B:$B,rf1_data!CS:CS,"NaN")="","NaN",(_xlfn.XLOOKUP($B26,rf1_data!$B:$B,rf1_data!CS:CS,"NaN")))</f>
        <v>1</v>
      </c>
      <c r="DB26" s="4">
        <f>IF(_xlfn.XLOOKUP($B26,island_data!$B:$B,island_data!H:H,"NaN")="","NaN",_xlfn.XLOOKUP($B26,island_data!$B:$B,island_data!H:H,"NaN"))</f>
        <v>1</v>
      </c>
      <c r="DC26" s="4">
        <f>IF(_xlfn.XLOOKUP($B26,island_data!$B:$B,island_data!I:I,"NaN")="","NaN",_xlfn.XLOOKUP($B26,island_data!$B:$B,island_data!I:I,"NaN"))</f>
        <v>0</v>
      </c>
      <c r="DD26" s="4">
        <f>IF(_xlfn.XLOOKUP($B26,island_data!$B:$B,island_data!J:J,"NaN")="","NaN",_xlfn.XLOOKUP($B26,island_data!$B:$B,island_data!J:J,"NaN"))</f>
        <v>0</v>
      </c>
      <c r="DE26" s="4" t="str">
        <f>IF(_xlfn.XLOOKUP($B26,island_data!$B:$B,island_data!K:K,"NaN")="","NaN",_xlfn.XLOOKUP($B26,island_data!$B:$B,island_data!K:K,"NaN"))</f>
        <v>NaN</v>
      </c>
      <c r="DF26" s="4">
        <f>IF(_xlfn.XLOOKUP($B26,island_data!$B:$B,island_data!L:L,"NaN")="","NaN",_xlfn.XLOOKUP($B26,island_data!$B:$B,island_data!L:L,"NaN"))</f>
        <v>28</v>
      </c>
      <c r="DG26" s="4">
        <f>IF(_xlfn.XLOOKUP($B26,island_data!$B:$B,island_data!M:M,"NaN")="","NaN",_xlfn.XLOOKUP($B26,island_data!$B:$B,island_data!M:M,"NaN"))</f>
        <v>2.8888888888888999</v>
      </c>
      <c r="DH26" s="4">
        <f>IF(_xlfn.XLOOKUP($B26,island_data!$B:$B,island_data!N:N,"NaN")="","NaN",_xlfn.XLOOKUP($B26,island_data!$B:$B,island_data!N:N,"NaN"))</f>
        <v>10</v>
      </c>
      <c r="DI26" s="4" t="str">
        <f>IF(_xlfn.XLOOKUP($B26,island_data!$B:$B,island_data!O:O,"NaN")=999,"NaN",_xlfn.XLOOKUP($B26,island_data!$B:$B,island_data!O:O,"NaN"))</f>
        <v>NaN</v>
      </c>
      <c r="DJ26" s="4">
        <f>IF(_xlfn.XLOOKUP($B26,island_data!$B:$B,island_data!P:P,"NaN")="","NaN",_xlfn.XLOOKUP($B26,island_data!$B:$B,island_data!P:P,"NaN"))</f>
        <v>6</v>
      </c>
      <c r="DK26" s="4">
        <f>IF(_xlfn.XLOOKUP($B26,island_data!$B:$B,island_data!Q:Q,"NaN")="","NaN",_xlfn.XLOOKUP($B26,island_data!$B:$B,island_data!Q:Q,"NaN"))</f>
        <v>6</v>
      </c>
      <c r="DL26" s="4" t="str">
        <f>IF(_xlfn.XLOOKUP($B26,island_data!$B:$B,island_data!R:R,"NaN")=999,"NaN",_xlfn.XLOOKUP($B26,island_data!$B:$B,island_data!R:R,"NaN"))</f>
        <v>NaN</v>
      </c>
      <c r="DM26" s="4">
        <f>IF(_xlfn.XLOOKUP($B26,island_data!$B:$B,island_data!S:S,"NaN")="","NaN",_xlfn.XLOOKUP($B26,island_data!$B:$B,island_data!S:S,"NaN"))</f>
        <v>9</v>
      </c>
      <c r="DN26" s="4">
        <f>IF(_xlfn.XLOOKUP($B26,island_data!$B:$B,island_data!T:T,"NaN")="","NaN",_xlfn.XLOOKUP($B26,island_data!$B:$B,island_data!T:T,"NaN"))</f>
        <v>3.9166666666666998</v>
      </c>
      <c r="DO26" s="4">
        <f>IF(_xlfn.XLOOKUP($B26,island_data!$B:$B,island_data!U:U,"NaN")="","NaN",_xlfn.XLOOKUP($B26,island_data!$B:$B,island_data!U:U,"NaN"))</f>
        <v>4</v>
      </c>
      <c r="DP26" s="4">
        <f>IF(_xlfn.XLOOKUP($B26,island_data!$B:$B,island_data!V:V,"NaN")="","NaN",_xlfn.XLOOKUP($B26,island_data!$B:$B,island_data!V:V,"NaN"))</f>
        <v>5</v>
      </c>
      <c r="DQ26" s="4">
        <f>IF(_xlfn.XLOOKUP($B26,island_data!$B:$B,island_data!W:W,"NaN")="","NaN",_xlfn.XLOOKUP($B26,island_data!$B:$B,island_data!W:W,"NaN"))</f>
        <v>8</v>
      </c>
      <c r="DR26" s="4">
        <f>IF(_xlfn.XLOOKUP($B26,island_data!$B:$B,island_data!X:X,"NaN")="","NaN",_xlfn.XLOOKUP($B26,island_data!$B:$B,island_data!X:X,"NaN"))</f>
        <v>4</v>
      </c>
      <c r="DS26" s="4" t="str">
        <f>IF(_xlfn.XLOOKUP($B26,island_data!$B:$B,island_data!Y:Y,"NaN")="","NaN",_xlfn.XLOOKUP($B26,island_data!$B:$B,island_data!Y:Y,"NaN"))</f>
        <v>NaN</v>
      </c>
      <c r="DT26" s="4" t="str">
        <f>IF(_xlfn.XLOOKUP($B26,island_data!$B:$B,island_data!Z:Z,"NaN")="","NaN",_xlfn.XLOOKUP($B26,island_data!$B:$B,island_data!Z:Z,"NaN"))</f>
        <v>NaN</v>
      </c>
      <c r="DU26" s="4" t="str">
        <f>IF(_xlfn.XLOOKUP($B26,island_data!$B:$B,island_data!AA:AA,"NaN")="","NaN",_xlfn.XLOOKUP($B26,island_data!$B:$B,island_data!AA:AA,"NaN"))</f>
        <v>NaN</v>
      </c>
      <c r="DV26" s="4">
        <f>IF(_xlfn.XLOOKUP($B26,island_data!$B:$B,island_data!AB:AB,"NaN")="","NaN",_xlfn.XLOOKUP($B26,island_data!$B:$B,island_data!AB:AB,"NaN"))</f>
        <v>1</v>
      </c>
      <c r="DW26" s="4">
        <f>IF(_xlfn.XLOOKUP($B26,island_data!$B:$B,island_data!AC:AC,"NaN")="","NaN",_xlfn.XLOOKUP($B26,island_data!$B:$B,island_data!AC:AC,"NaN"))</f>
        <v>13021</v>
      </c>
      <c r="DX26" s="4">
        <f>IF(_xlfn.XLOOKUP($B26,island_data!$B:$B,island_data!AD:AD,"NaN")="","NaN",_xlfn.XLOOKUP($B26,island_data!$B:$B,island_data!AD:AD,"NaN"))</f>
        <v>8</v>
      </c>
      <c r="DY26" s="4">
        <f>IF(_xlfn.XLOOKUP($B26,island_data!$B:$B,island_data!AE:AE,"NaN")="","NaN",_xlfn.XLOOKUP($B26,island_data!$B:$B,island_data!AE:AE,"NaN"))</f>
        <v>0</v>
      </c>
      <c r="DZ26" s="4" t="str">
        <f>IF(_xlfn.XLOOKUP($B26,island_data!$B:$B,island_data!AF:AF,"NaN")="","NaN",_xlfn.XLOOKUP($B26,island_data!$B:$B,island_data!AF:AF,"NaN"))</f>
        <v>NaN</v>
      </c>
      <c r="EA26" s="4" t="str">
        <f>IF(_xlfn.XLOOKUP($B26,island_data!$B:$B,island_data!AG:AG,"NaN")="","NaN",_xlfn.XLOOKUP($B26,island_data!$B:$B,island_data!AG:AG,"NaN"))</f>
        <v>NaN</v>
      </c>
      <c r="EB26" s="4" t="str">
        <f>IF(_xlfn.XLOOKUP($B26,island_data!$B:$B,island_data!AH:AH,"NaN")="","NaN",_xlfn.XLOOKUP($B26,island_data!$B:$B,island_data!AH:AH,"NaN"))</f>
        <v>NaN</v>
      </c>
      <c r="EC26" s="4" t="str">
        <f>IF(_xlfn.XLOOKUP($B26,island_data!$B:$B,island_data!AI:AI,"NaN")="","NaN",_xlfn.XLOOKUP($B26,island_data!$B:$B,island_data!AI:AI,"NaN"))</f>
        <v>NaN</v>
      </c>
      <c r="ED26" s="4" t="str">
        <f>IF(_xlfn.XLOOKUP($B26,island_data!$B:$B,island_data!AJ:AJ,"NaN")="","NaN",_xlfn.XLOOKUP($B26,island_data!$B:$B,island_data!AJ:AJ,"NaN"))</f>
        <v>NaN</v>
      </c>
      <c r="EE26" s="4" t="str">
        <f>IF(_xlfn.XLOOKUP($B26,island_data!$B:$B,island_data!AK:AK,"NaN")="","NaN",_xlfn.XLOOKUP($B26,island_data!$B:$B,island_data!AK:AK,"NaN"))</f>
        <v>NaN</v>
      </c>
      <c r="EF26" s="4" t="str">
        <f>IF(_xlfn.XLOOKUP($B26,island_data!$B:$B,island_data!AL:AL,"NaN")="","NaN",_xlfn.XLOOKUP($B26,island_data!$B:$B,island_data!AL:AL,"NaN"))</f>
        <v>NaN</v>
      </c>
      <c r="EG26" s="4" t="str">
        <f>IF(_xlfn.XLOOKUP($B26,island_data!$B:$B,island_data!AM:AM,"NaN")="","NaN",_xlfn.XLOOKUP($B26,island_data!$B:$B,island_data!AM:AM,"NaN"))</f>
        <v>NaN</v>
      </c>
      <c r="EH26" s="4">
        <f>IF(_xlfn.XLOOKUP($B26,island_data!$B:$B,island_data!AN:AN,"NaN")="","NaN",_xlfn.XLOOKUP($B26,island_data!$B:$B,island_data!AN:AN,"NaN"))</f>
        <v>0</v>
      </c>
      <c r="EI26" s="4" t="str">
        <f>IF(_xlfn.XLOOKUP($B26,island_data!$B:$B,island_data!AO:AO,"NaN")="","NaN",_xlfn.XLOOKUP($B26,island_data!$B:$B,island_data!AO:AO,"NaN"))</f>
        <v>NaN</v>
      </c>
      <c r="EJ26" s="8">
        <f>IF(_xlfn.XLOOKUP($A26,TabCAT!$A:$A,TabCAT!AU:AU,"NaN")="","NaN",(_xlfn.XLOOKUP($A26,TabCAT!$A:$A,TabCAT!AU:AU,"NaN")))</f>
        <v>175</v>
      </c>
      <c r="EK26" s="8" t="b">
        <f>IF(_xlfn.XLOOKUP($A26,TabCAT!$A:$A,TabCAT!AV:AV,"NaN")="","NaN",(_xlfn.XLOOKUP($A26,TabCAT!$A:$A,TabCAT!AV:AV,"NaN")))</f>
        <v>1</v>
      </c>
      <c r="EL26" s="8">
        <f>IF(_xlfn.XLOOKUP($A26,TabCAT!$A:$A,TabCAT!AW:AW,"NaN")="","NaN",(_xlfn.XLOOKUP($A26,TabCAT!$A:$A,TabCAT!AW:AW,"NaN")))</f>
        <v>6</v>
      </c>
      <c r="EM26" s="8">
        <f>IF(_xlfn.XLOOKUP($A26,TabCAT!$A:$A,TabCAT!AX:AX,"NaN")="","NaN",(_xlfn.XLOOKUP($A26,TabCAT!$A:$A,TabCAT!AX:AX,"NaN")))</f>
        <v>0</v>
      </c>
      <c r="EN26" s="8">
        <f>IF(_xlfn.XLOOKUP($A26,TabCAT!$A:$A,TabCAT!AY:AY,"NaN")="","NaN",(_xlfn.XLOOKUP($A26,TabCAT!$A:$A,TabCAT!AY:AY,"NaN")))</f>
        <v>7.08</v>
      </c>
      <c r="EO26" s="8">
        <f>IF(_xlfn.XLOOKUP($A26,TabCAT!$A:$A,TabCAT!AZ:AZ,"NaN")="","NaN",(_xlfn.XLOOKUP($A26,TabCAT!$A:$A,TabCAT!AZ:AZ,"NaN")))</f>
        <v>32</v>
      </c>
      <c r="EP26" s="8">
        <f>IF(_xlfn.XLOOKUP($A26,TabCAT!$A:$A,TabCAT!BA:BA,"NaN")="","NaN",(_xlfn.XLOOKUP($A26,TabCAT!$A:$A,TabCAT!BA:BA,"NaN")))</f>
        <v>1.0773765</v>
      </c>
      <c r="EQ26" s="8">
        <f>IF(_xlfn.XLOOKUP($A26,TabCAT!$A:$A,TabCAT!BB:BB,"NaN")="","NaN",(_xlfn.XLOOKUP($A26,TabCAT!$A:$A,TabCAT!BB:BB,"NaN")))</f>
        <v>0.16733572360236501</v>
      </c>
      <c r="ER26" s="8">
        <f>IF(_xlfn.XLOOKUP($A26,TabCAT!$A:$A,TabCAT!BC:BC,"NaN")="","NaN",(_xlfn.XLOOKUP($A26,TabCAT!$A:$A,TabCAT!BC:BC,"NaN")))</f>
        <v>16</v>
      </c>
      <c r="ES26" s="8">
        <f>IF(_xlfn.XLOOKUP($A26,TabCAT!$A:$A,TabCAT!BD:BD,"NaN")="","NaN",(_xlfn.XLOOKUP($A26,TabCAT!$A:$A,TabCAT!BD:BD,"NaN")))</f>
        <v>0.97817149999999997</v>
      </c>
      <c r="ET26" s="8">
        <f>IF(_xlfn.XLOOKUP($A26,TabCAT!$A:$A,TabCAT!BE:BE,"NaN")="","NaN",(_xlfn.XLOOKUP($A26,TabCAT!$A:$A,TabCAT!BE:BE,"NaN")))</f>
        <v>16</v>
      </c>
      <c r="EU26" s="8">
        <f>IF(_xlfn.XLOOKUP($A26,TabCAT!$A:$A,TabCAT!BF:BF,"NaN")="","NaN",(_xlfn.XLOOKUP($A26,TabCAT!$A:$A,TabCAT!BF:BF,"NaN")))</f>
        <v>1.1562779999999999</v>
      </c>
      <c r="EV26" s="8" t="str">
        <f>IF(_xlfn.XLOOKUP($A26,TabCAT!$A:$A,TabCAT!BG:BG,"NaN")="","NaN",(_xlfn.XLOOKUP($A26,TabCAT!$A:$A,TabCAT!BG:BG,"NaN")))</f>
        <v>NaN</v>
      </c>
      <c r="EW26" s="8" t="str">
        <f>IF(_xlfn.XLOOKUP($A26,TabCAT!$A:$A,TabCAT!BH:BH,"NaN")="","NaN",(_xlfn.XLOOKUP($A26,TabCAT!$A:$A,TabCAT!BH:BH,"NaN")))</f>
        <v>3.0.0</v>
      </c>
      <c r="EX26" s="8" t="str">
        <f>IF(_xlfn.XLOOKUP($A26,TabCAT!$A:$A,TabCAT!BI:BI,"NaN")="","NaN",(_xlfn.XLOOKUP($A26,TabCAT!$A:$A,TabCAT!BI:BI,"NaN")))</f>
        <v>English</v>
      </c>
      <c r="EY26" s="8">
        <f>IF(_xlfn.XLOOKUP($A26,TabCAT!$A:$A,TabCAT!BJ:BJ,"NaN")="","NaN",(_xlfn.XLOOKUP($A26,TabCAT!$A:$A,TabCAT!BJ:BJ,"NaN")))</f>
        <v>259</v>
      </c>
      <c r="EZ26" s="8">
        <f>IF(_xlfn.XLOOKUP($A26,TabCAT!$A:$A,TabCAT!BK:BK,"NaN")="","NaN",(_xlfn.XLOOKUP($A26,TabCAT!$A:$A,TabCAT!BK:BK,"NaN")))</f>
        <v>1</v>
      </c>
      <c r="FA26" s="8">
        <f>IF(_xlfn.XLOOKUP($A26,TabCAT!$A:$A,TabCAT!BL:BL,"NaN")="","NaN",(_xlfn.XLOOKUP($A26,TabCAT!$A:$A,TabCAT!BL:BL,"NaN")))</f>
        <v>6</v>
      </c>
      <c r="FB26" s="8">
        <f>IF(_xlfn.XLOOKUP($A26,TabCAT!$A:$A,TabCAT!BM:BM,"NaN")="","NaN",(_xlfn.XLOOKUP($A26,TabCAT!$A:$A,TabCAT!BM:BM,"NaN")))</f>
        <v>1</v>
      </c>
      <c r="FC26" s="8">
        <f>IF(_xlfn.XLOOKUP($A26,TabCAT!$A:$A,TabCAT!BN:BN,"NaN")="","NaN",(_xlfn.XLOOKUP($A26,TabCAT!$A:$A,TabCAT!BN:BN,"NaN")))</f>
        <v>6</v>
      </c>
      <c r="FD26" s="8">
        <f>IF(_xlfn.XLOOKUP($A26,TabCAT!$A:$A,TabCAT!BO:BO,"NaN")="","NaN",(_xlfn.XLOOKUP($A26,TabCAT!$A:$A,TabCAT!BO:BO,"NaN")))</f>
        <v>4</v>
      </c>
      <c r="FE26" s="8">
        <f>IF(_xlfn.XLOOKUP($A26,TabCAT!$A:$A,TabCAT!BP:BP,"NaN")="","NaN",(_xlfn.XLOOKUP($A26,TabCAT!$A:$A,TabCAT!BP:BP,"NaN")))</f>
        <v>0.44444444444444398</v>
      </c>
      <c r="FF26" s="8">
        <f>IF(_xlfn.XLOOKUP($A26,TabCAT!$A:$A,TabCAT!BQ:BQ,"NaN")="","NaN",(_xlfn.XLOOKUP($A26,TabCAT!$A:$A,TabCAT!BQ:BQ,"NaN")))</f>
        <v>4</v>
      </c>
      <c r="FG26" s="8">
        <f>IF(_xlfn.XLOOKUP($A26,TabCAT!$A:$A,TabCAT!BR:BR,"NaN")="","NaN",(_xlfn.XLOOKUP($A26,TabCAT!$A:$A,TabCAT!BR:BR,"NaN")))</f>
        <v>10</v>
      </c>
      <c r="FH26" s="8">
        <f>IF(_xlfn.XLOOKUP($A26,TabCAT!$A:$A,TabCAT!BS:BS,"NaN")="","NaN",(_xlfn.XLOOKUP($A26,TabCAT!$A:$A,TabCAT!BS:BS,"NaN")))</f>
        <v>0.83333333333333304</v>
      </c>
      <c r="FI26" s="8">
        <f>IF(_xlfn.XLOOKUP($A26,TabCAT!$A:$A,TabCAT!BT:BT,"NaN")="","NaN",(_xlfn.XLOOKUP($A26,TabCAT!$A:$A,TabCAT!BT:BT,"NaN")))</f>
        <v>6</v>
      </c>
      <c r="FJ26" s="8">
        <f>IF(_xlfn.XLOOKUP($A26,TabCAT!$A:$A,TabCAT!BU:BU,"NaN")="","NaN",(_xlfn.XLOOKUP($A26,TabCAT!$A:$A,TabCAT!BU:BU,"NaN")))</f>
        <v>12</v>
      </c>
      <c r="FK26" s="8">
        <f>IF(_xlfn.XLOOKUP($A26,TabCAT!$A:$A,TabCAT!BV:BV,"NaN")="","NaN",(_xlfn.XLOOKUP($A26,TabCAT!$A:$A,TabCAT!BV:BV,"NaN")))</f>
        <v>0.8</v>
      </c>
      <c r="FL26" s="8">
        <f>IF(_xlfn.XLOOKUP($A26,TabCAT!$A:$A,TabCAT!BW:BW,"NaN")="","NaN",(_xlfn.XLOOKUP($A26,TabCAT!$A:$A,TabCAT!BW:BW,"NaN")))</f>
        <v>6.5</v>
      </c>
      <c r="FM26" s="8">
        <f>IF(_xlfn.XLOOKUP($A26,TabCAT!$A:$A,TabCAT!BX:BX,"NaN")="","NaN",(_xlfn.XLOOKUP($A26,TabCAT!$A:$A,TabCAT!BX:BX,"NaN")))</f>
        <v>32</v>
      </c>
      <c r="FN26" s="8">
        <f>IF(_xlfn.XLOOKUP($A26,TabCAT!$A:$A,TabCAT!BY:BY,"NaN")="","NaN",(_xlfn.XLOOKUP($A26,TabCAT!$A:$A,TabCAT!BY:BY,"NaN")))</f>
        <v>0.76190476190476097</v>
      </c>
      <c r="FO26" s="8">
        <f>IF(_xlfn.XLOOKUP($A26,TabCAT!$A:$A,TabCAT!BZ:BZ,"NaN")="","NaN",(_xlfn.XLOOKUP($A26,TabCAT!$A:$A,TabCAT!BZ:BZ,"NaN")))</f>
        <v>22.5</v>
      </c>
      <c r="FP26" s="8" t="str">
        <f>IF(_xlfn.XLOOKUP($A26,TabCAT!$A:$A,TabCAT!CA:CA,"NaN")="","NaN",(_xlfn.XLOOKUP($A26,TabCAT!$A:$A,TabCAT!CA:CA,"NaN")))</f>
        <v>3.0.0</v>
      </c>
      <c r="FQ26" s="8" t="str">
        <f>IF(_xlfn.XLOOKUP($A26,TabCAT!$A:$A,TabCAT!CB:CB,"NaN")="","NaN",(_xlfn.XLOOKUP($A26,TabCAT!$A:$A,TabCAT!CB:CB,"NaN")))</f>
        <v>English</v>
      </c>
      <c r="FR26" s="8">
        <f>IF(_xlfn.XLOOKUP($A26,TabCAT!$A:$A,TabCAT!CC:CC,"NaN")="","NaN",(_xlfn.XLOOKUP($A26,TabCAT!$A:$A,TabCAT!CC:CC,"NaN")))</f>
        <v>250</v>
      </c>
      <c r="FS26" s="8" t="b">
        <f>IF(_xlfn.XLOOKUP($A26,TabCAT!$A:$A,TabCAT!CD:CD,"NaN")="","NaN",(_xlfn.XLOOKUP($A26,TabCAT!$A:$A,TabCAT!CD:CD,"NaN")))</f>
        <v>1</v>
      </c>
      <c r="FT26" s="8">
        <f>IF(_xlfn.XLOOKUP($A26,TabCAT!$A:$A,TabCAT!CE:CE,"NaN")="","NaN",(_xlfn.XLOOKUP($A26,TabCAT!$A:$A,TabCAT!CE:CE,"NaN")))</f>
        <v>8</v>
      </c>
      <c r="FU26" s="8">
        <f>IF(_xlfn.XLOOKUP($A26,TabCAT!$A:$A,TabCAT!CF:CF,"NaN")="","NaN",(_xlfn.XLOOKUP($A26,TabCAT!$A:$A,TabCAT!CF:CF,"NaN")))</f>
        <v>0</v>
      </c>
      <c r="FV26" s="8">
        <f>IF(_xlfn.XLOOKUP($A26,TabCAT!$A:$A,TabCAT!CG:CG,"NaN")="","NaN",(_xlfn.XLOOKUP($A26,TabCAT!$A:$A,TabCAT!CG:CG,"NaN")))</f>
        <v>7.86</v>
      </c>
      <c r="FW26" s="8">
        <f>IF(_xlfn.XLOOKUP($A26,TabCAT!$A:$A,TabCAT!CH:CH,"NaN")="","NaN",(_xlfn.XLOOKUP($A26,TabCAT!$A:$A,TabCAT!CH:CH,"NaN")))</f>
        <v>16</v>
      </c>
      <c r="FX26" s="8">
        <f>IF(_xlfn.XLOOKUP($A26,TabCAT!$A:$A,TabCAT!CI:CI,"NaN")="","NaN",(_xlfn.XLOOKUP($A26,TabCAT!$A:$A,TabCAT!CI:CI,"NaN")))</f>
        <v>0.76861099999999904</v>
      </c>
      <c r="FY26" s="8">
        <f>IF(_xlfn.XLOOKUP($A26,TabCAT!$A:$A,TabCAT!CJ:CJ,"NaN")="","NaN",(_xlfn.XLOOKUP($A26,TabCAT!$A:$A,TabCAT!CJ:CJ,"NaN")))</f>
        <v>16</v>
      </c>
      <c r="FZ26" s="8">
        <f>IF(_xlfn.XLOOKUP($A26,TabCAT!$A:$A,TabCAT!CK:CK,"NaN")="","NaN",(_xlfn.XLOOKUP($A26,TabCAT!$A:$A,TabCAT!CK:CK,"NaN")))</f>
        <v>0.87451999999999996</v>
      </c>
      <c r="GA26" s="8">
        <f>IF(_xlfn.XLOOKUP($A26,TabCAT!$A:$A,TabCAT!CL:CL,"NaN")="","NaN",(_xlfn.XLOOKUP($A26,TabCAT!$A:$A,TabCAT!CL:CL,"NaN")))</f>
        <v>32</v>
      </c>
      <c r="GB26" s="8">
        <f>IF(_xlfn.XLOOKUP($A26,TabCAT!$A:$A,TabCAT!CM:CM,"NaN")="","NaN",(_xlfn.XLOOKUP($A26,TabCAT!$A:$A,TabCAT!CM:CM,"NaN")))</f>
        <v>0.86372099999999996</v>
      </c>
      <c r="GC26" s="8">
        <f>IF(_xlfn.XLOOKUP($A26,TabCAT!$A:$A,TabCAT!CN:CN,"NaN")="","NaN",(_xlfn.XLOOKUP($A26,TabCAT!$A:$A,TabCAT!CN:CN,"NaN")))</f>
        <v>18</v>
      </c>
      <c r="GD26" s="8">
        <f>IF(_xlfn.XLOOKUP($A26,TabCAT!$A:$A,TabCAT!CO:CO,"NaN")="","NaN",(_xlfn.XLOOKUP($A26,TabCAT!$A:$A,TabCAT!CO:CO,"NaN")))</f>
        <v>0.83982400000000001</v>
      </c>
      <c r="GE26" s="8">
        <f>IF(_xlfn.XLOOKUP($A26,TabCAT!$A:$A,TabCAT!CP:CP,"NaN")="","NaN",(_xlfn.XLOOKUP($A26,TabCAT!$A:$A,TabCAT!CP:CP,"NaN")))</f>
        <v>0.36407777332631802</v>
      </c>
      <c r="GF26" s="8">
        <f>IF(_xlfn.XLOOKUP($A26,TabCAT!$A:$A,TabCAT!CQ:CQ,"NaN")="","NaN",(_xlfn.XLOOKUP($A26,TabCAT!$A:$A,TabCAT!CQ:CQ,"NaN")))</f>
        <v>56</v>
      </c>
      <c r="GG26" s="8">
        <f>IF(_xlfn.XLOOKUP($A26,TabCAT!$A:$A,TabCAT!CR:CR,"NaN")="","NaN",(_xlfn.XLOOKUP($A26,TabCAT!$A:$A,TabCAT!CR:CR,"NaN")))</f>
        <v>0.83992</v>
      </c>
      <c r="GH26" s="8" t="str">
        <f>IF(_xlfn.XLOOKUP($A26,TabCAT!$A:$A,TabCAT!CS:CS,"NaN")="","NaN",(_xlfn.XLOOKUP($A26,TabCAT!$A:$A,TabCAT!CS:CS,"NaN")))</f>
        <v>NaN</v>
      </c>
    </row>
    <row r="27" spans="1:190" x14ac:dyDescent="0.2">
      <c r="A27">
        <v>10640</v>
      </c>
      <c r="B27">
        <f>_xlfn.XLOOKUP(bippity_poppity_boo!A27,rf1_data!A:A,rf1_data!B:B)</f>
        <v>30392</v>
      </c>
      <c r="C27" s="2">
        <f>(_xlfn.XLOOKUP($A27,trust!$A:$A,trust!B:B,"NaN"))</f>
        <v>3</v>
      </c>
      <c r="D27" s="2">
        <f>(_xlfn.XLOOKUP($A27,trust!$A:$A,trust!C:C,"NaN"))</f>
        <v>5.5</v>
      </c>
      <c r="E27" s="2">
        <f>(_xlfn.XLOOKUP($A27,trust!$A:$A,trust!D:D,"NaN"))</f>
        <v>2.2222219999999999</v>
      </c>
      <c r="F27" s="2">
        <f>(_xlfn.XLOOKUP($A27,trust!$A:$A,trust!E:E,"NaN"))</f>
        <v>3.5555560000000002</v>
      </c>
      <c r="G27" s="2">
        <f>(_xlfn.XLOOKUP($A27,trust!$A:$A,trust!F:F,"NaN"))</f>
        <v>5</v>
      </c>
      <c r="H27" s="2">
        <f>(_xlfn.XLOOKUP($A27,trust!$A:$A,trust!G:G,"NaN"))</f>
        <v>4.9090910000000001</v>
      </c>
      <c r="I27" s="3">
        <f>IF(_xlfn.XLOOKUP($B27,island_data!$B:$B,island_data!C:C,"NaN")="","NaN",_xlfn.XLOOKUP($B27,island_data!$B:$B,island_data!C:C,"NaN"))</f>
        <v>45001</v>
      </c>
      <c r="J27" s="3">
        <f>IF(_xlfn.XLOOKUP($B27,island_data!$B:$B,island_data!D:D,"NaN")="","NaN",_xlfn.XLOOKUP($B27,island_data!$B:$B,island_data!D:D,"NaN"))</f>
        <v>33609</v>
      </c>
      <c r="K27" s="4">
        <f>IF(_xlfn.XLOOKUP($B27,island_data!$B:$B,island_data!E:E,"NaN")="","NaN",_xlfn.XLOOKUP($B27,island_data!$B:$B,island_data!E:E,"NaN"))</f>
        <v>31.19</v>
      </c>
      <c r="L27" s="5">
        <f>IF(_xlfn.XLOOKUP($B27,rf1_data!$B:$B,rf1_data!D:D,"NaN")="","NaN",(_xlfn.XLOOKUP($B27,rf1_data!$B:$B,rf1_data!D:D,"NaN")))</f>
        <v>31.73</v>
      </c>
      <c r="M27" s="5" t="str">
        <f>IF(_xlfn.XLOOKUP($B27,rf1_data!$B:$B,rf1_data!E:E,"NaN")="","NaN",(_xlfn.XLOOKUP($B27,rf1_data!$B:$B,rf1_data!E:E,"NaN")))</f>
        <v>White</v>
      </c>
      <c r="N27" s="5" t="str">
        <f>IF(_xlfn.XLOOKUP($B27,rf1_data!$B:$B,rf1_data!F:F,"NaN")="","NaN",(_xlfn.XLOOKUP($B27,rf1_data!$B:$B,rf1_data!F:F,"NaN")))</f>
        <v>Not Hispanic or Latino</v>
      </c>
      <c r="O27" s="5" t="str">
        <f>IF(_xlfn.XLOOKUP($B27,rf1_data!$B:$B,rf1_data!G:G,"NaN")="","NaN",(_xlfn.XLOOKUP($B27,rf1_data!$B:$B,rf1_data!G:G,"NaN")))</f>
        <v>Female</v>
      </c>
      <c r="P27" s="5">
        <f>IF(_xlfn.XLOOKUP($B27,rf1_data!$B:$B,rf1_data!H:H,"NaN")="","NaN",(_xlfn.XLOOKUP($B27,rf1_data!$B:$B,rf1_data!H:H,"NaN")))</f>
        <v>3.22</v>
      </c>
      <c r="Q27" s="5">
        <f>IF(_xlfn.XLOOKUP($B27,rf1_data!$B:$B,rf1_data!I:I,"NaN")="","NaN",(_xlfn.XLOOKUP($B27,rf1_data!$B:$B,rf1_data!I:I,"NaN")))</f>
        <v>3</v>
      </c>
      <c r="R27" s="5">
        <f>IF(_xlfn.XLOOKUP($B27,rf1_data!$B:$B,rf1_data!J:J,"NaN")="","NaN",(_xlfn.XLOOKUP($B27,rf1_data!$B:$B,rf1_data!J:J,"NaN")))</f>
        <v>0</v>
      </c>
      <c r="S27" s="5">
        <f>IF(_xlfn.XLOOKUP($B27,rf1_data!$B:$B,rf1_data!K:K,"NaN")="","NaN",(_xlfn.XLOOKUP($B27,rf1_data!$B:$B,rf1_data!K:K,"NaN")))</f>
        <v>1</v>
      </c>
      <c r="T27" s="5">
        <f>IF(_xlfn.XLOOKUP($B27,rf1_data!$B:$B,rf1_data!L:L,"NaN")="","NaN",(_xlfn.XLOOKUP($B27,rf1_data!$B:$B,rf1_data!L:L,"NaN")))</f>
        <v>0</v>
      </c>
      <c r="U27" s="5">
        <f>IF(_xlfn.XLOOKUP($B27,rf1_data!$B:$B,rf1_data!M:M,"NaN")="","NaN",(_xlfn.XLOOKUP($B27,rf1_data!$B:$B,rf1_data!M:M,"NaN")))</f>
        <v>6</v>
      </c>
      <c r="V27" s="5">
        <f>IF(_xlfn.XLOOKUP($B27,rf1_data!$B:$B,rf1_data!N:N,"NaN")="","NaN",(_xlfn.XLOOKUP($B27,rf1_data!$B:$B,rf1_data!N:N,"NaN")))</f>
        <v>4.83</v>
      </c>
      <c r="W27" s="5">
        <f>IF(_xlfn.XLOOKUP($B27,rf1_data!$B:$B,rf1_data!O:O,"NaN")="","NaN",(_xlfn.XLOOKUP($B27,rf1_data!$B:$B,rf1_data!O:O,"NaN")))</f>
        <v>4.38</v>
      </c>
      <c r="X27" s="5">
        <f>IF(_xlfn.XLOOKUP($B27,rf1_data!$B:$B,rf1_data!P:P,"NaN")="","NaN",(_xlfn.XLOOKUP($B27,rf1_data!$B:$B,rf1_data!P:P,"NaN")))</f>
        <v>5.5</v>
      </c>
      <c r="Y27" s="5">
        <f>IF(_xlfn.XLOOKUP($B27,rf1_data!$B:$B,rf1_data!Q:Q,"NaN")="","NaN",(_xlfn.XLOOKUP($B27,rf1_data!$B:$B,rf1_data!Q:Q,"NaN")))</f>
        <v>5.17</v>
      </c>
      <c r="Z27" s="5">
        <f>IF(_xlfn.XLOOKUP($B27,rf1_data!$B:$B,rf1_data!R:R,"NaN")="","NaN",(_xlfn.XLOOKUP($B27,rf1_data!$B:$B,rf1_data!R:R,"NaN")))</f>
        <v>23</v>
      </c>
      <c r="AA27" s="5">
        <f>IF(_xlfn.XLOOKUP($B27,rf1_data!$B:$B,rf1_data!S:S,"NaN")="","NaN",(_xlfn.XLOOKUP($B27,rf1_data!$B:$B,rf1_data!S:S,"NaN")))</f>
        <v>6</v>
      </c>
      <c r="AB27" s="5">
        <f>IF(_xlfn.XLOOKUP($B27,rf1_data!$B:$B,rf1_data!T:T,"NaN")="","NaN",(_xlfn.XLOOKUP($B27,rf1_data!$B:$B,rf1_data!T:T,"NaN")))</f>
        <v>14</v>
      </c>
      <c r="AC27" s="5">
        <f>IF(_xlfn.XLOOKUP($B27,rf1_data!$B:$B,rf1_data!U:U,"NaN")="","NaN",(_xlfn.XLOOKUP($B27,rf1_data!$B:$B,rf1_data!U:U,"NaN")))</f>
        <v>3</v>
      </c>
      <c r="AD27" s="5">
        <f>IF(_xlfn.XLOOKUP($B27,rf1_data!$B:$B,rf1_data!V:V,"NaN")="","NaN",(_xlfn.XLOOKUP($B27,rf1_data!$B:$B,rf1_data!V:V,"NaN")))</f>
        <v>0</v>
      </c>
      <c r="AE27" s="5">
        <f>IF(_xlfn.XLOOKUP($B27,rf1_data!$B:$B,rf1_data!W:W,"NaN")="","NaN",(_xlfn.XLOOKUP($B27,rf1_data!$B:$B,rf1_data!W:W,"NaN")))</f>
        <v>2</v>
      </c>
      <c r="AF27" s="5">
        <f>IF(_xlfn.XLOOKUP($B27,rf1_data!$B:$B,rf1_data!X:X,"NaN")="","NaN",(_xlfn.XLOOKUP($B27,rf1_data!$B:$B,rf1_data!X:X,"NaN")))</f>
        <v>6</v>
      </c>
      <c r="AG27" s="5">
        <f>IF(_xlfn.XLOOKUP($B27,rf1_data!$B:$B,rf1_data!Y:Y,"NaN")="","NaN",(_xlfn.XLOOKUP($B27,rf1_data!$B:$B,rf1_data!Y:Y,"NaN")))</f>
        <v>9</v>
      </c>
      <c r="AH27" s="5">
        <f>IF(_xlfn.XLOOKUP($B27,rf1_data!$B:$B,rf1_data!Z:Z,"NaN")="","NaN",(_xlfn.XLOOKUP($B27,rf1_data!$B:$B,rf1_data!Z:Z,"NaN")))</f>
        <v>3</v>
      </c>
      <c r="AI27" s="5">
        <f>IF(_xlfn.XLOOKUP($B27,rf1_data!$B:$B,rf1_data!AA:AA,"NaN")="","NaN",(_xlfn.XLOOKUP($B27,rf1_data!$B:$B,rf1_data!AA:AA,"NaN")))</f>
        <v>4</v>
      </c>
      <c r="AJ27" s="5">
        <f>IF(_xlfn.XLOOKUP($B27,rf1_data!$B:$B,rf1_data!AB:AB,"NaN")="","NaN",(_xlfn.XLOOKUP($B27,rf1_data!$B:$B,rf1_data!AB:AB,"NaN")))</f>
        <v>24</v>
      </c>
      <c r="AK27" s="5">
        <f>IF(_xlfn.XLOOKUP($B27,rf1_data!$B:$B,rf1_data!AC:AC,"NaN")="","NaN",(_xlfn.XLOOKUP($B27,rf1_data!$B:$B,rf1_data!AC:AC,"NaN")))</f>
        <v>34</v>
      </c>
      <c r="AL27" s="5">
        <f>IF(_xlfn.XLOOKUP($B27,rf1_data!$B:$B,rf1_data!AD:AD,"NaN")="","NaN",(_xlfn.XLOOKUP($B27,rf1_data!$B:$B,rf1_data!AD:AD,"NaN")))</f>
        <v>17</v>
      </c>
      <c r="AM27" s="5">
        <f>IF(_xlfn.XLOOKUP($B27,rf1_data!$B:$B,rf1_data!AE:AE,"NaN")="","NaN",(_xlfn.XLOOKUP($B27,rf1_data!$B:$B,rf1_data!AE:AE,"NaN")))</f>
        <v>0</v>
      </c>
      <c r="AN27" s="5">
        <f>IF(_xlfn.XLOOKUP($B27,rf1_data!$B:$B,rf1_data!AF:AF,"NaN")="","NaN",(_xlfn.XLOOKUP($B27,rf1_data!$B:$B,rf1_data!AF:AF,"NaN")))</f>
        <v>0</v>
      </c>
      <c r="AO27" s="5">
        <f>IF(_xlfn.XLOOKUP($B27,rf1_data!$B:$B,rf1_data!AG:AG,"NaN")="","NaN",(_xlfn.XLOOKUP($B27,rf1_data!$B:$B,rf1_data!AG:AG,"NaN")))</f>
        <v>6.67</v>
      </c>
      <c r="AP27" s="5">
        <f>IF(_xlfn.XLOOKUP($B27,rf1_data!$B:$B,rf1_data!AH:AH,"NaN")="","NaN",(_xlfn.XLOOKUP($B27,rf1_data!$B:$B,rf1_data!AH:AH,"NaN")))</f>
        <v>7</v>
      </c>
      <c r="AQ27" s="5">
        <f>IF(_xlfn.XLOOKUP($B27,rf1_data!$B:$B,rf1_data!AI:AI,"NaN")="","NaN",(_xlfn.XLOOKUP($B27,rf1_data!$B:$B,rf1_data!AI:AI,"NaN")))</f>
        <v>6</v>
      </c>
      <c r="AR27" s="5">
        <f>IF(_xlfn.XLOOKUP($B27,rf1_data!$B:$B,rf1_data!AJ:AJ,"NaN")="","NaN",(_xlfn.XLOOKUP($B27,rf1_data!$B:$B,rf1_data!AJ:AJ,"NaN")))</f>
        <v>7</v>
      </c>
      <c r="AS27" s="5">
        <f>IF(_xlfn.XLOOKUP($B27,rf1_data!$B:$B,rf1_data!AK:AK,"NaN")="","NaN",(_xlfn.XLOOKUP($B27,rf1_data!$B:$B,rf1_data!AK:AK,"NaN")))</f>
        <v>3.3</v>
      </c>
      <c r="AT27" s="5">
        <f>IF(_xlfn.XLOOKUP($B27,rf1_data!$B:$B,rf1_data!AL:AL,"NaN")="","NaN",(_xlfn.XLOOKUP($B27,rf1_data!$B:$B,rf1_data!AL:AL,"NaN")))</f>
        <v>19</v>
      </c>
      <c r="AU27" s="5">
        <f>IF(_xlfn.XLOOKUP($B27,rf1_data!$B:$B,rf1_data!AM:AM,"NaN")="","NaN",(_xlfn.XLOOKUP($B27,rf1_data!$B:$B,rf1_data!AM:AM,"NaN")))</f>
        <v>1.92</v>
      </c>
      <c r="AV27" s="5">
        <f>IF(_xlfn.XLOOKUP($B27,rf1_data!$B:$B,rf1_data!AN:AN,"NaN")="","NaN",(_xlfn.XLOOKUP($B27,rf1_data!$B:$B,rf1_data!AN:AN,"NaN")))</f>
        <v>8</v>
      </c>
      <c r="AW27" s="5">
        <f>IF(_xlfn.XLOOKUP($B27,rf1_data!$B:$B,rf1_data!AO:AO,"NaN")="","NaN",(_xlfn.XLOOKUP($B27,rf1_data!$B:$B,rf1_data!AO:AO,"NaN")))</f>
        <v>1.67</v>
      </c>
      <c r="AX27" s="5">
        <f>IF(_xlfn.XLOOKUP($B27,rf1_data!$B:$B,rf1_data!AP:AP,"NaN")="","NaN",(_xlfn.XLOOKUP($B27,rf1_data!$B:$B,rf1_data!AP:AP,"NaN")))</f>
        <v>9999</v>
      </c>
      <c r="AY27" s="5" t="str">
        <f>IF(_xlfn.XLOOKUP($B27,rf1_data!$B:$B,rf1_data!AQ:AQ,"NaN")="","NaN",(_xlfn.XLOOKUP($B27,rf1_data!$B:$B,rf1_data!AQ:AQ,"NaN")))</f>
        <v>NaN</v>
      </c>
      <c r="AZ27" s="5" t="str">
        <f>IF(_xlfn.XLOOKUP($B27,rf1_data!$B:$B,rf1_data!AR:AR,"NaN")="","NaN",(_xlfn.XLOOKUP($B27,rf1_data!$B:$B,rf1_data!AR:AR,"NaN")))</f>
        <v>NaN</v>
      </c>
      <c r="BA27" s="5" t="str">
        <f>IF(_xlfn.XLOOKUP($B27,rf1_data!$B:$B,rf1_data!AS:AS,"NaN")="","NaN",(_xlfn.XLOOKUP($B27,rf1_data!$B:$B,rf1_data!AS:AS,"NaN")))</f>
        <v>NaN</v>
      </c>
      <c r="BB27" s="5" t="str">
        <f>IF(_xlfn.XLOOKUP($B27,rf1_data!$B:$B,rf1_data!AT:AT,"NaN")="","NaN",(_xlfn.XLOOKUP($B27,rf1_data!$B:$B,rf1_data!AT:AT,"NaN")))</f>
        <v>NaN</v>
      </c>
      <c r="BC27" s="5" t="str">
        <f>IF(_xlfn.XLOOKUP($B27,rf1_data!$B:$B,rf1_data!AU:AU,"NaN")="","NaN",(_xlfn.XLOOKUP($B27,rf1_data!$B:$B,rf1_data!AU:AU,"NaN")))</f>
        <v>NaN</v>
      </c>
      <c r="BD27" s="5" t="str">
        <f>IF(_xlfn.XLOOKUP($B27,rf1_data!$B:$B,rf1_data!AV:AV,"NaN")="","NaN",(_xlfn.XLOOKUP($B27,rf1_data!$B:$B,rf1_data!AV:AV,"NaN")))</f>
        <v>NaN</v>
      </c>
      <c r="BE27" s="5" t="str">
        <f>IF(_xlfn.XLOOKUP($B27,rf1_data!$B:$B,rf1_data!AW:AW,"NaN")="","NaN",(_xlfn.XLOOKUP($B27,rf1_data!$B:$B,rf1_data!AW:AW,"NaN")))</f>
        <v>NaN</v>
      </c>
      <c r="BF27" s="5" t="str">
        <f>IF(_xlfn.XLOOKUP($B27,rf1_data!$B:$B,rf1_data!AX:AX,"NaN")="","NaN",(_xlfn.XLOOKUP($B27,rf1_data!$B:$B,rf1_data!AX:AX,"NaN")))</f>
        <v>NaN</v>
      </c>
      <c r="BG27" s="5" t="str">
        <f>IF(_xlfn.XLOOKUP($B27,rf1_data!$B:$B,rf1_data!AY:AY,"NaN")="","NaN",(_xlfn.XLOOKUP($B27,rf1_data!$B:$B,rf1_data!AY:AY,"NaN")))</f>
        <v>NaN</v>
      </c>
      <c r="BH27" s="5" t="str">
        <f>IF(_xlfn.XLOOKUP($B27,rf1_data!$B:$B,rf1_data!AZ:AZ,"NaN")="","NaN",(_xlfn.XLOOKUP($B27,rf1_data!$B:$B,rf1_data!AZ:AZ,"NaN")))</f>
        <v>NaN</v>
      </c>
      <c r="BI27" s="5">
        <f>IF(_xlfn.XLOOKUP($B27,rf1_data!$B:$B,rf1_data!BA:BA,"NaN")="","NaN",(_xlfn.XLOOKUP($B27,rf1_data!$B:$B,rf1_data!BA:BA,"NaN")))</f>
        <v>20</v>
      </c>
      <c r="BJ27" s="5" t="str">
        <f>IF(_xlfn.XLOOKUP($B27,rf1_data!$B:$B,rf1_data!BB:BB,"NaN")="","NaN",(_xlfn.XLOOKUP($B27,rf1_data!$B:$B,rf1_data!BB:BB,"NaN")))</f>
        <v>NaN</v>
      </c>
      <c r="BK27" s="5" t="str">
        <f>IF(_xlfn.XLOOKUP($B27,rf1_data!$B:$B,rf1_data!BC:BC,"NaN")="","NaN",(_xlfn.XLOOKUP($B27,rf1_data!$B:$B,rf1_data!BC:BC,"NaN")))</f>
        <v>NaN</v>
      </c>
      <c r="BL27" s="5" t="str">
        <f>IF(_xlfn.XLOOKUP($B27,rf1_data!$B:$B,rf1_data!BD:BD,"NaN")="","NaN",(_xlfn.XLOOKUP($B27,rf1_data!$B:$B,rf1_data!BD:BD,"NaN")))</f>
        <v>NaN</v>
      </c>
      <c r="BM27" s="5" t="str">
        <f>IF(_xlfn.XLOOKUP($B27,rf1_data!$B:$B,rf1_data!BE:BE,"NaN")="","NaN",(_xlfn.XLOOKUP($B27,rf1_data!$B:$B,rf1_data!BE:BE,"NaN")))</f>
        <v>NaN</v>
      </c>
      <c r="BN27" s="5" t="str">
        <f>IF(_xlfn.XLOOKUP($B27,rf1_data!$B:$B,rf1_data!BF:BF,"NaN")="","NaN",(_xlfn.XLOOKUP($B27,rf1_data!$B:$B,rf1_data!BF:BF,"NaN")))</f>
        <v>NaN</v>
      </c>
      <c r="BO27" s="5" t="str">
        <f>IF(_xlfn.XLOOKUP($B27,rf1_data!$B:$B,rf1_data!BG:BG,"NaN")="","NaN",(_xlfn.XLOOKUP($B27,rf1_data!$B:$B,rf1_data!BG:BG,"NaN")))</f>
        <v>NaN</v>
      </c>
      <c r="BP27" s="5" t="str">
        <f>IF(_xlfn.XLOOKUP($B27,rf1_data!$B:$B,rf1_data!BH:BH,"NaN")="","NaN",(_xlfn.XLOOKUP($B27,rf1_data!$B:$B,rf1_data!BH:BH,"NaN")))</f>
        <v>NaN</v>
      </c>
      <c r="BQ27" s="5" t="str">
        <f>IF(_xlfn.XLOOKUP($B27,rf1_data!$B:$B,rf1_data!BI:BI,"NaN")="","NaN",(_xlfn.XLOOKUP($B27,rf1_data!$B:$B,rf1_data!BI:BI,"NaN")))</f>
        <v>NaN</v>
      </c>
      <c r="BR27" s="5">
        <f>IF(_xlfn.XLOOKUP($B27,rf1_data!$B:$B,rf1_data!BJ:BJ,"NaN")="","NaN",(_xlfn.XLOOKUP($B27,rf1_data!$B:$B,rf1_data!BJ:BJ,"NaN")))</f>
        <v>8991</v>
      </c>
      <c r="BS27" s="5" t="str">
        <f>IF(_xlfn.XLOOKUP($B27,rf1_data!$B:$B,rf1_data!BK:BK,"NaN")="","NaN",(_xlfn.XLOOKUP($B27,rf1_data!$B:$B,rf1_data!BK:BK,"NaN")))</f>
        <v>NaN</v>
      </c>
      <c r="BT27" s="5" t="str">
        <f>IF(_xlfn.XLOOKUP($B27,rf1_data!$B:$B,rf1_data!BL:BL,"NaN")="","NaN",(_xlfn.XLOOKUP($B27,rf1_data!$B:$B,rf1_data!BL:BL,"NaN")))</f>
        <v>NaN</v>
      </c>
      <c r="BU27" s="5" t="str">
        <f>IF(_xlfn.XLOOKUP($B27,rf1_data!$B:$B,rf1_data!BM:BM,"NaN")="","NaN",(_xlfn.XLOOKUP($B27,rf1_data!$B:$B,rf1_data!BM:BM,"NaN")))</f>
        <v>NaN</v>
      </c>
      <c r="BV27" s="5" t="str">
        <f>IF(_xlfn.XLOOKUP($B27,rf1_data!$B:$B,rf1_data!BN:BN,"NaN")="","NaN",(_xlfn.XLOOKUP($B27,rf1_data!$B:$B,rf1_data!BN:BN,"NaN")))</f>
        <v>NaN</v>
      </c>
      <c r="BW27" s="5">
        <f>IF(_xlfn.XLOOKUP($B27,rf1_data!$B:$B,rf1_data!BO:BO,"NaN")="","NaN",(_xlfn.XLOOKUP($B27,rf1_data!$B:$B,rf1_data!BO:BO,"NaN")))</f>
        <v>4</v>
      </c>
      <c r="BX27" s="5">
        <f>IF(_xlfn.XLOOKUP($B27,rf1_data!$B:$B,rf1_data!BP:BP,"NaN")="","NaN",(_xlfn.XLOOKUP($B27,rf1_data!$B:$B,rf1_data!BP:BP,"NaN")))</f>
        <v>4.7</v>
      </c>
      <c r="BY27" s="5">
        <f>IF(_xlfn.XLOOKUP($B27,rf1_data!$B:$B,rf1_data!BQ:BQ,"NaN")="","NaN",(_xlfn.XLOOKUP($B27,rf1_data!$B:$B,rf1_data!BQ:BQ,"NaN")))</f>
        <v>4.5999999999999996</v>
      </c>
      <c r="BZ27" s="5">
        <f>IF(_xlfn.XLOOKUP($B27,rf1_data!$B:$B,rf1_data!BR:BR,"NaN")="","NaN",(_xlfn.XLOOKUP($B27,rf1_data!$B:$B,rf1_data!BR:BR,"NaN")))</f>
        <v>4.43</v>
      </c>
      <c r="CA27" s="5">
        <f>IF(_xlfn.XLOOKUP($B27,rf1_data!$B:$B,rf1_data!BS:BS,"NaN")="","NaN",(_xlfn.XLOOKUP($B27,rf1_data!$B:$B,rf1_data!BS:BS,"NaN")))</f>
        <v>6</v>
      </c>
      <c r="CB27" s="5">
        <f>IF(_xlfn.XLOOKUP($B27,rf1_data!$B:$B,rf1_data!BT:BT,"NaN")="","NaN",(_xlfn.XLOOKUP($B27,rf1_data!$B:$B,rf1_data!BT:BT,"NaN")))</f>
        <v>5.1666666666666599</v>
      </c>
      <c r="CC27" s="5">
        <f>IF(_xlfn.XLOOKUP($B27,rf1_data!$B:$B,rf1_data!BU:BU,"NaN")="","NaN",(_xlfn.XLOOKUP($B27,rf1_data!$B:$B,rf1_data!BU:BU,"NaN")))</f>
        <v>6</v>
      </c>
      <c r="CD27" s="5">
        <f>IF(_xlfn.XLOOKUP($B27,rf1_data!$B:$B,rf1_data!BV:BV,"NaN")="","NaN",(_xlfn.XLOOKUP($B27,rf1_data!$B:$B,rf1_data!BV:BV,"NaN")))</f>
        <v>5.1666666666666599</v>
      </c>
      <c r="CE27" s="5">
        <f>IF(_xlfn.XLOOKUP($B27,rf1_data!$B:$B,rf1_data!BW:BW,"NaN")="","NaN",(_xlfn.XLOOKUP($B27,rf1_data!$B:$B,rf1_data!BW:BW,"NaN")))</f>
        <v>0.65</v>
      </c>
      <c r="CF27" s="5">
        <f>IF(_xlfn.XLOOKUP($B27,rf1_data!$B:$B,rf1_data!BX:BX,"NaN")="","NaN",(_xlfn.XLOOKUP($B27,rf1_data!$B:$B,rf1_data!BX:BX,"NaN")))</f>
        <v>0</v>
      </c>
      <c r="CG27" s="5">
        <f>IF(_xlfn.XLOOKUP($B27,rf1_data!$B:$B,rf1_data!BY:BY,"NaN")="","NaN",(_xlfn.XLOOKUP($B27,rf1_data!$B:$B,rf1_data!BY:BY,"NaN")))</f>
        <v>0</v>
      </c>
      <c r="CH27" s="5">
        <f>IF(_xlfn.XLOOKUP($B27,rf1_data!$B:$B,rf1_data!BZ:BZ,"NaN")="","NaN",(_xlfn.XLOOKUP($B27,rf1_data!$B:$B,rf1_data!BZ:BZ,"NaN")))</f>
        <v>25</v>
      </c>
      <c r="CI27" s="5">
        <f>IF(_xlfn.XLOOKUP($B27,rf1_data!$B:$B,rf1_data!CA:CA,"NaN")="","NaN",(_xlfn.XLOOKUP($B27,rf1_data!$B:$B,rf1_data!CA:CA,"NaN")))</f>
        <v>27</v>
      </c>
      <c r="CJ27" s="5">
        <f>IF(_xlfn.XLOOKUP($B27,rf1_data!$B:$B,rf1_data!CB:CB,"NaN")="","NaN",(_xlfn.XLOOKUP($B27,rf1_data!$B:$B,rf1_data!CB:CB,"NaN")))</f>
        <v>9</v>
      </c>
      <c r="CK27" s="5">
        <f>IF(_xlfn.XLOOKUP($B27,rf1_data!$B:$B,rf1_data!CC:CC,"NaN")="","NaN",(_xlfn.XLOOKUP($B27,rf1_data!$B:$B,rf1_data!CC:CC,"NaN")))</f>
        <v>0.9</v>
      </c>
      <c r="CL27" s="5">
        <f>IF(_xlfn.XLOOKUP($B27,rf1_data!$B:$B,rf1_data!CD:CD,"NaN")=0,"NaN",(_xlfn.XLOOKUP($B27,rf1_data!$B:$B,rf1_data!CD:CD,"NaN")))</f>
        <v>32</v>
      </c>
      <c r="CM27" s="5">
        <f>IF(_xlfn.XLOOKUP($B27,rf1_data!$B:$B,rf1_data!CE:CE,"NaN")="","NaN",(_xlfn.XLOOKUP($B27,rf1_data!$B:$B,rf1_data!CE:CE,"NaN")))</f>
        <v>30</v>
      </c>
      <c r="CN27" s="5">
        <f>IF(_xlfn.XLOOKUP($B27,rf1_data!$B:$B,rf1_data!CF:CF,"NaN")="","NaN",(_xlfn.XLOOKUP($B27,rf1_data!$B:$B,rf1_data!CF:CF,"NaN")))</f>
        <v>35</v>
      </c>
      <c r="CO27" s="5">
        <f>IF(_xlfn.XLOOKUP($B27,rf1_data!$B:$B,rf1_data!CG:CG,"NaN")="","NaN",(_xlfn.XLOOKUP($B27,rf1_data!$B:$B,rf1_data!CG:CG,"NaN")))</f>
        <v>25</v>
      </c>
      <c r="CP27" s="5">
        <f>IF(_xlfn.XLOOKUP($B27,rf1_data!$B:$B,rf1_data!CH:CH,"NaN")=0,"NaN",(_xlfn.XLOOKUP($B27,rf1_data!$B:$B,rf1_data!CH:CH,"NaN")))</f>
        <v>32</v>
      </c>
      <c r="CQ27" s="5">
        <f>IF(_xlfn.XLOOKUP($B27,rf1_data!$B:$B,rf1_data!CI:CI,"NaN")="","NaN",(_xlfn.XLOOKUP($B27,rf1_data!$B:$B,rf1_data!CI:CI,"NaN")))</f>
        <v>48</v>
      </c>
      <c r="CR27" s="5" t="str">
        <f>IF(_xlfn.XLOOKUP($B27,rf1_data!$B:$B,rf1_data!CJ:CJ,"NaN")="","NaN",(_xlfn.XLOOKUP($B27,rf1_data!$B:$B,rf1_data!CJ:CJ,"NaN")))</f>
        <v>NaN</v>
      </c>
      <c r="CS27" s="5">
        <f>IF(_xlfn.XLOOKUP($B27,rf1_data!$B:$B,rf1_data!CK:CK,"NaN")="","NaN",(_xlfn.XLOOKUP($B27,rf1_data!$B:$B,rf1_data!CK:CK,"NaN")))</f>
        <v>39</v>
      </c>
      <c r="CT27" s="5">
        <f>IF(_xlfn.XLOOKUP($B27,rf1_data!$B:$B,rf1_data!CL:CL,"NaN")="","NaN",(_xlfn.XLOOKUP($B27,rf1_data!$B:$B,rf1_data!CL:CL,"NaN")))</f>
        <v>60</v>
      </c>
      <c r="CU27" s="5">
        <f>IF(_xlfn.XLOOKUP($B27,rf1_data!$B:$B,rf1_data!CM:CM,"NaN")="","NaN",(_xlfn.XLOOKUP($B27,rf1_data!$B:$B,rf1_data!CM:CM,"NaN")))</f>
        <v>33</v>
      </c>
      <c r="CV27" s="5">
        <f>IF(_xlfn.XLOOKUP($B27,rf1_data!$B:$B,rf1_data!CN:CN,"NaN")="","NaN",(_xlfn.XLOOKUP($B27,rf1_data!$B:$B,rf1_data!CN:CN,"NaN")))</f>
        <v>60</v>
      </c>
      <c r="CW27" s="5">
        <f>IF(_xlfn.XLOOKUP($B27,rf1_data!$B:$B,rf1_data!CO:CO,"NaN")="","NaN",(_xlfn.XLOOKUP($B27,rf1_data!$B:$B,rf1_data!CO:CO,"NaN")))</f>
        <v>1</v>
      </c>
      <c r="CX27" s="5">
        <f>IF(_xlfn.XLOOKUP($B27,rf1_data!$B:$B,rf1_data!CP:CP,"NaN")="","NaN",(_xlfn.XLOOKUP($B27,rf1_data!$B:$B,rf1_data!CP:CP,"NaN")))</f>
        <v>1</v>
      </c>
      <c r="CY27" s="5">
        <f>IF(_xlfn.XLOOKUP($B27,rf1_data!$B:$B,rf1_data!CQ:CQ,"NaN")="","NaN",(_xlfn.XLOOKUP($B27,rf1_data!$B:$B,rf1_data!CQ:CQ,"NaN")))</f>
        <v>7</v>
      </c>
      <c r="CZ27" s="5">
        <f>IF(_xlfn.XLOOKUP($B27,rf1_data!$B:$B,rf1_data!CR:CR,"NaN")="","NaN",(_xlfn.XLOOKUP($B27,rf1_data!$B:$B,rf1_data!CR:CR,"NaN")))</f>
        <v>1</v>
      </c>
      <c r="DA27" s="5">
        <f>IF(_xlfn.XLOOKUP($B27,rf1_data!$B:$B,rf1_data!CS:CS,"NaN")="","NaN",(_xlfn.XLOOKUP($B27,rf1_data!$B:$B,rf1_data!CS:CS,"NaN")))</f>
        <v>1</v>
      </c>
      <c r="DB27" s="4">
        <f>IF(_xlfn.XLOOKUP($B27,island_data!$B:$B,island_data!H:H,"NaN")="","NaN",_xlfn.XLOOKUP($B27,island_data!$B:$B,island_data!H:H,"NaN"))</f>
        <v>0</v>
      </c>
      <c r="DC27" s="4">
        <f>IF(_xlfn.XLOOKUP($B27,island_data!$B:$B,island_data!I:I,"NaN")="","NaN",_xlfn.XLOOKUP($B27,island_data!$B:$B,island_data!I:I,"NaN"))</f>
        <v>0</v>
      </c>
      <c r="DD27" s="4">
        <f>IF(_xlfn.XLOOKUP($B27,island_data!$B:$B,island_data!J:J,"NaN")="","NaN",_xlfn.XLOOKUP($B27,island_data!$B:$B,island_data!J:J,"NaN"))</f>
        <v>0</v>
      </c>
      <c r="DE27" s="4" t="str">
        <f>IF(_xlfn.XLOOKUP($B27,island_data!$B:$B,island_data!K:K,"NaN")="","NaN",_xlfn.XLOOKUP($B27,island_data!$B:$B,island_data!K:K,"NaN"))</f>
        <v>NaN</v>
      </c>
      <c r="DF27" s="4">
        <f>IF(_xlfn.XLOOKUP($B27,island_data!$B:$B,island_data!L:L,"NaN")="","NaN",_xlfn.XLOOKUP($B27,island_data!$B:$B,island_data!L:L,"NaN"))</f>
        <v>0</v>
      </c>
      <c r="DG27" s="4">
        <f>IF(_xlfn.XLOOKUP($B27,island_data!$B:$B,island_data!M:M,"NaN")="","NaN",_xlfn.XLOOKUP($B27,island_data!$B:$B,island_data!M:M,"NaN"))</f>
        <v>3.5555555555556002</v>
      </c>
      <c r="DH27" s="4">
        <f>IF(_xlfn.XLOOKUP($B27,island_data!$B:$B,island_data!N:N,"NaN")="","NaN",_xlfn.XLOOKUP($B27,island_data!$B:$B,island_data!N:N,"NaN"))</f>
        <v>12</v>
      </c>
      <c r="DI27" s="4" t="str">
        <f>IF(_xlfn.XLOOKUP($B27,island_data!$B:$B,island_data!O:O,"NaN")=999,"NaN",_xlfn.XLOOKUP($B27,island_data!$B:$B,island_data!O:O,"NaN"))</f>
        <v>NaN</v>
      </c>
      <c r="DJ27" s="4">
        <f>IF(_xlfn.XLOOKUP($B27,island_data!$B:$B,island_data!P:P,"NaN")="","NaN",_xlfn.XLOOKUP($B27,island_data!$B:$B,island_data!P:P,"NaN"))</f>
        <v>8</v>
      </c>
      <c r="DK27" s="4">
        <f>IF(_xlfn.XLOOKUP($B27,island_data!$B:$B,island_data!Q:Q,"NaN")="","NaN",_xlfn.XLOOKUP($B27,island_data!$B:$B,island_data!Q:Q,"NaN"))</f>
        <v>12</v>
      </c>
      <c r="DL27" s="4" t="str">
        <f>IF(_xlfn.XLOOKUP($B27,island_data!$B:$B,island_data!R:R,"NaN")=999,"NaN",_xlfn.XLOOKUP($B27,island_data!$B:$B,island_data!R:R,"NaN"))</f>
        <v>NaN</v>
      </c>
      <c r="DM27" s="4">
        <f>IF(_xlfn.XLOOKUP($B27,island_data!$B:$B,island_data!S:S,"NaN")="","NaN",_xlfn.XLOOKUP($B27,island_data!$B:$B,island_data!S:S,"NaN"))</f>
        <v>12</v>
      </c>
      <c r="DN27" s="4">
        <f>IF(_xlfn.XLOOKUP($B27,island_data!$B:$B,island_data!T:T,"NaN")="","NaN",_xlfn.XLOOKUP($B27,island_data!$B:$B,island_data!T:T,"NaN"))</f>
        <v>4.8333333333333002</v>
      </c>
      <c r="DO27" s="4">
        <f>IF(_xlfn.XLOOKUP($B27,island_data!$B:$B,island_data!U:U,"NaN")="","NaN",_xlfn.XLOOKUP($B27,island_data!$B:$B,island_data!U:U,"NaN"))</f>
        <v>5</v>
      </c>
      <c r="DP27" s="4">
        <f>IF(_xlfn.XLOOKUP($B27,island_data!$B:$B,island_data!V:V,"NaN")="","NaN",_xlfn.XLOOKUP($B27,island_data!$B:$B,island_data!V:V,"NaN"))</f>
        <v>5</v>
      </c>
      <c r="DQ27" s="4">
        <f>IF(_xlfn.XLOOKUP($B27,island_data!$B:$B,island_data!W:W,"NaN")="","NaN",_xlfn.XLOOKUP($B27,island_data!$B:$B,island_data!W:W,"NaN"))</f>
        <v>6</v>
      </c>
      <c r="DR27" s="4">
        <f>IF(_xlfn.XLOOKUP($B27,island_data!$B:$B,island_data!X:X,"NaN")="","NaN",_xlfn.XLOOKUP($B27,island_data!$B:$B,island_data!X:X,"NaN"))</f>
        <v>5</v>
      </c>
      <c r="DS27" s="4" t="str">
        <f>IF(_xlfn.XLOOKUP($B27,island_data!$B:$B,island_data!Y:Y,"NaN")="","NaN",_xlfn.XLOOKUP($B27,island_data!$B:$B,island_data!Y:Y,"NaN"))</f>
        <v>NaN</v>
      </c>
      <c r="DT27" s="4" t="str">
        <f>IF(_xlfn.XLOOKUP($B27,island_data!$B:$B,island_data!Z:Z,"NaN")="","NaN",_xlfn.XLOOKUP($B27,island_data!$B:$B,island_data!Z:Z,"NaN"))</f>
        <v>NaN</v>
      </c>
      <c r="DU27" s="4" t="str">
        <f>IF(_xlfn.XLOOKUP($B27,island_data!$B:$B,island_data!AA:AA,"NaN")="","NaN",_xlfn.XLOOKUP($B27,island_data!$B:$B,island_data!AA:AA,"NaN"))</f>
        <v>NaN</v>
      </c>
      <c r="DV27" s="4">
        <f>IF(_xlfn.XLOOKUP($B27,island_data!$B:$B,island_data!AB:AB,"NaN")="","NaN",_xlfn.XLOOKUP($B27,island_data!$B:$B,island_data!AB:AB,"NaN"))</f>
        <v>3</v>
      </c>
      <c r="DW27" s="4">
        <f>IF(_xlfn.XLOOKUP($B27,island_data!$B:$B,island_data!AC:AC,"NaN")="","NaN",_xlfn.XLOOKUP($B27,island_data!$B:$B,island_data!AC:AC,"NaN"))</f>
        <v>19145</v>
      </c>
      <c r="DX27" s="4">
        <f>IF(_xlfn.XLOOKUP($B27,island_data!$B:$B,island_data!AD:AD,"NaN")="","NaN",_xlfn.XLOOKUP($B27,island_data!$B:$B,island_data!AD:AD,"NaN"))</f>
        <v>6</v>
      </c>
      <c r="DY27" s="4">
        <f>IF(_xlfn.XLOOKUP($B27,island_data!$B:$B,island_data!AE:AE,"NaN")="","NaN",_xlfn.XLOOKUP($B27,island_data!$B:$B,island_data!AE:AE,"NaN"))</f>
        <v>0</v>
      </c>
      <c r="DZ27" s="4" t="str">
        <f>IF(_xlfn.XLOOKUP($B27,island_data!$B:$B,island_data!AF:AF,"NaN")="","NaN",_xlfn.XLOOKUP($B27,island_data!$B:$B,island_data!AF:AF,"NaN"))</f>
        <v>NaN</v>
      </c>
      <c r="EA27" s="4" t="str">
        <f>IF(_xlfn.XLOOKUP($B27,island_data!$B:$B,island_data!AG:AG,"NaN")="","NaN",_xlfn.XLOOKUP($B27,island_data!$B:$B,island_data!AG:AG,"NaN"))</f>
        <v>NaN</v>
      </c>
      <c r="EB27" s="4" t="str">
        <f>IF(_xlfn.XLOOKUP($B27,island_data!$B:$B,island_data!AH:AH,"NaN")="","NaN",_xlfn.XLOOKUP($B27,island_data!$B:$B,island_data!AH:AH,"NaN"))</f>
        <v>NaN</v>
      </c>
      <c r="EC27" s="4" t="str">
        <f>IF(_xlfn.XLOOKUP($B27,island_data!$B:$B,island_data!AI:AI,"NaN")="","NaN",_xlfn.XLOOKUP($B27,island_data!$B:$B,island_data!AI:AI,"NaN"))</f>
        <v>NaN</v>
      </c>
      <c r="ED27" s="4" t="str">
        <f>IF(_xlfn.XLOOKUP($B27,island_data!$B:$B,island_data!AJ:AJ,"NaN")="","NaN",_xlfn.XLOOKUP($B27,island_data!$B:$B,island_data!AJ:AJ,"NaN"))</f>
        <v>NaN</v>
      </c>
      <c r="EE27" s="4" t="str">
        <f>IF(_xlfn.XLOOKUP($B27,island_data!$B:$B,island_data!AK:AK,"NaN")="","NaN",_xlfn.XLOOKUP($B27,island_data!$B:$B,island_data!AK:AK,"NaN"))</f>
        <v>NaN</v>
      </c>
      <c r="EF27" s="4" t="str">
        <f>IF(_xlfn.XLOOKUP($B27,island_data!$B:$B,island_data!AL:AL,"NaN")="","NaN",_xlfn.XLOOKUP($B27,island_data!$B:$B,island_data!AL:AL,"NaN"))</f>
        <v>NaN</v>
      </c>
      <c r="EG27" s="4" t="str">
        <f>IF(_xlfn.XLOOKUP($B27,island_data!$B:$B,island_data!AM:AM,"NaN")="","NaN",_xlfn.XLOOKUP($B27,island_data!$B:$B,island_data!AM:AM,"NaN"))</f>
        <v>NaN</v>
      </c>
      <c r="EH27" s="4" t="str">
        <f>IF(_xlfn.XLOOKUP($B27,island_data!$B:$B,island_data!AN:AN,"NaN")="","NaN",_xlfn.XLOOKUP($B27,island_data!$B:$B,island_data!AN:AN,"NaN"))</f>
        <v>NaN</v>
      </c>
      <c r="EI27" s="4" t="str">
        <f>IF(_xlfn.XLOOKUP($B27,island_data!$B:$B,island_data!AO:AO,"NaN")="","NaN",_xlfn.XLOOKUP($B27,island_data!$B:$B,island_data!AO:AO,"NaN"))</f>
        <v>NaN</v>
      </c>
      <c r="EJ27" s="8" t="str">
        <f>IF(_xlfn.XLOOKUP($A27,TabCAT!$A:$A,TabCAT!AU:AU,"NaN")="","NaN",(_xlfn.XLOOKUP($A27,TabCAT!$A:$A,TabCAT!AU:AU,"NaN")))</f>
        <v>NaN</v>
      </c>
      <c r="EK27" s="8" t="str">
        <f>IF(_xlfn.XLOOKUP($A27,TabCAT!$A:$A,TabCAT!AV:AV,"NaN")="","NaN",(_xlfn.XLOOKUP($A27,TabCAT!$A:$A,TabCAT!AV:AV,"NaN")))</f>
        <v>NaN</v>
      </c>
      <c r="EL27" s="8" t="str">
        <f>IF(_xlfn.XLOOKUP($A27,TabCAT!$A:$A,TabCAT!AW:AW,"NaN")="","NaN",(_xlfn.XLOOKUP($A27,TabCAT!$A:$A,TabCAT!AW:AW,"NaN")))</f>
        <v>NaN</v>
      </c>
      <c r="EM27" s="8" t="str">
        <f>IF(_xlfn.XLOOKUP($A27,TabCAT!$A:$A,TabCAT!AX:AX,"NaN")="","NaN",(_xlfn.XLOOKUP($A27,TabCAT!$A:$A,TabCAT!AX:AX,"NaN")))</f>
        <v>NaN</v>
      </c>
      <c r="EN27" s="8" t="str">
        <f>IF(_xlfn.XLOOKUP($A27,TabCAT!$A:$A,TabCAT!AY:AY,"NaN")="","NaN",(_xlfn.XLOOKUP($A27,TabCAT!$A:$A,TabCAT!AY:AY,"NaN")))</f>
        <v>NaN</v>
      </c>
      <c r="EO27" s="8" t="str">
        <f>IF(_xlfn.XLOOKUP($A27,TabCAT!$A:$A,TabCAT!AZ:AZ,"NaN")="","NaN",(_xlfn.XLOOKUP($A27,TabCAT!$A:$A,TabCAT!AZ:AZ,"NaN")))</f>
        <v>NaN</v>
      </c>
      <c r="EP27" s="8" t="str">
        <f>IF(_xlfn.XLOOKUP($A27,TabCAT!$A:$A,TabCAT!BA:BA,"NaN")="","NaN",(_xlfn.XLOOKUP($A27,TabCAT!$A:$A,TabCAT!BA:BA,"NaN")))</f>
        <v>NaN</v>
      </c>
      <c r="EQ27" s="8" t="str">
        <f>IF(_xlfn.XLOOKUP($A27,TabCAT!$A:$A,TabCAT!BB:BB,"NaN")="","NaN",(_xlfn.XLOOKUP($A27,TabCAT!$A:$A,TabCAT!BB:BB,"NaN")))</f>
        <v>NaN</v>
      </c>
      <c r="ER27" s="8" t="str">
        <f>IF(_xlfn.XLOOKUP($A27,TabCAT!$A:$A,TabCAT!BC:BC,"NaN")="","NaN",(_xlfn.XLOOKUP($A27,TabCAT!$A:$A,TabCAT!BC:BC,"NaN")))</f>
        <v>NaN</v>
      </c>
      <c r="ES27" s="8" t="str">
        <f>IF(_xlfn.XLOOKUP($A27,TabCAT!$A:$A,TabCAT!BD:BD,"NaN")="","NaN",(_xlfn.XLOOKUP($A27,TabCAT!$A:$A,TabCAT!BD:BD,"NaN")))</f>
        <v>NaN</v>
      </c>
      <c r="ET27" s="8" t="str">
        <f>IF(_xlfn.XLOOKUP($A27,TabCAT!$A:$A,TabCAT!BE:BE,"NaN")="","NaN",(_xlfn.XLOOKUP($A27,TabCAT!$A:$A,TabCAT!BE:BE,"NaN")))</f>
        <v>NaN</v>
      </c>
      <c r="EU27" s="8" t="str">
        <f>IF(_xlfn.XLOOKUP($A27,TabCAT!$A:$A,TabCAT!BF:BF,"NaN")="","NaN",(_xlfn.XLOOKUP($A27,TabCAT!$A:$A,TabCAT!BF:BF,"NaN")))</f>
        <v>NaN</v>
      </c>
      <c r="EV27" s="8" t="str">
        <f>IF(_xlfn.XLOOKUP($A27,TabCAT!$A:$A,TabCAT!BG:BG,"NaN")="","NaN",(_xlfn.XLOOKUP($A27,TabCAT!$A:$A,TabCAT!BG:BG,"NaN")))</f>
        <v>NaN</v>
      </c>
      <c r="EW27" s="8" t="str">
        <f>IF(_xlfn.XLOOKUP($A27,TabCAT!$A:$A,TabCAT!BH:BH,"NaN")="","NaN",(_xlfn.XLOOKUP($A27,TabCAT!$A:$A,TabCAT!BH:BH,"NaN")))</f>
        <v>NaN</v>
      </c>
      <c r="EX27" s="8" t="str">
        <f>IF(_xlfn.XLOOKUP($A27,TabCAT!$A:$A,TabCAT!BI:BI,"NaN")="","NaN",(_xlfn.XLOOKUP($A27,TabCAT!$A:$A,TabCAT!BI:BI,"NaN")))</f>
        <v>NaN</v>
      </c>
      <c r="EY27" s="8" t="str">
        <f>IF(_xlfn.XLOOKUP($A27,TabCAT!$A:$A,TabCAT!BJ:BJ,"NaN")="","NaN",(_xlfn.XLOOKUP($A27,TabCAT!$A:$A,TabCAT!BJ:BJ,"NaN")))</f>
        <v>NaN</v>
      </c>
      <c r="EZ27" s="8" t="str">
        <f>IF(_xlfn.XLOOKUP($A27,TabCAT!$A:$A,TabCAT!BK:BK,"NaN")="","NaN",(_xlfn.XLOOKUP($A27,TabCAT!$A:$A,TabCAT!BK:BK,"NaN")))</f>
        <v>NaN</v>
      </c>
      <c r="FA27" s="8" t="str">
        <f>IF(_xlfn.XLOOKUP($A27,TabCAT!$A:$A,TabCAT!BL:BL,"NaN")="","NaN",(_xlfn.XLOOKUP($A27,TabCAT!$A:$A,TabCAT!BL:BL,"NaN")))</f>
        <v>NaN</v>
      </c>
      <c r="FB27" s="8" t="str">
        <f>IF(_xlfn.XLOOKUP($A27,TabCAT!$A:$A,TabCAT!BM:BM,"NaN")="","NaN",(_xlfn.XLOOKUP($A27,TabCAT!$A:$A,TabCAT!BM:BM,"NaN")))</f>
        <v>NaN</v>
      </c>
      <c r="FC27" s="8" t="str">
        <f>IF(_xlfn.XLOOKUP($A27,TabCAT!$A:$A,TabCAT!BN:BN,"NaN")="","NaN",(_xlfn.XLOOKUP($A27,TabCAT!$A:$A,TabCAT!BN:BN,"NaN")))</f>
        <v>NaN</v>
      </c>
      <c r="FD27" s="8" t="str">
        <f>IF(_xlfn.XLOOKUP($A27,TabCAT!$A:$A,TabCAT!BO:BO,"NaN")="","NaN",(_xlfn.XLOOKUP($A27,TabCAT!$A:$A,TabCAT!BO:BO,"NaN")))</f>
        <v>NaN</v>
      </c>
      <c r="FE27" s="8" t="str">
        <f>IF(_xlfn.XLOOKUP($A27,TabCAT!$A:$A,TabCAT!BP:BP,"NaN")="","NaN",(_xlfn.XLOOKUP($A27,TabCAT!$A:$A,TabCAT!BP:BP,"NaN")))</f>
        <v>NaN</v>
      </c>
      <c r="FF27" s="8" t="str">
        <f>IF(_xlfn.XLOOKUP($A27,TabCAT!$A:$A,TabCAT!BQ:BQ,"NaN")="","NaN",(_xlfn.XLOOKUP($A27,TabCAT!$A:$A,TabCAT!BQ:BQ,"NaN")))</f>
        <v>NaN</v>
      </c>
      <c r="FG27" s="8" t="str">
        <f>IF(_xlfn.XLOOKUP($A27,TabCAT!$A:$A,TabCAT!BR:BR,"NaN")="","NaN",(_xlfn.XLOOKUP($A27,TabCAT!$A:$A,TabCAT!BR:BR,"NaN")))</f>
        <v>NaN</v>
      </c>
      <c r="FH27" s="8" t="str">
        <f>IF(_xlfn.XLOOKUP($A27,TabCAT!$A:$A,TabCAT!BS:BS,"NaN")="","NaN",(_xlfn.XLOOKUP($A27,TabCAT!$A:$A,TabCAT!BS:BS,"NaN")))</f>
        <v>NaN</v>
      </c>
      <c r="FI27" s="8" t="str">
        <f>IF(_xlfn.XLOOKUP($A27,TabCAT!$A:$A,TabCAT!BT:BT,"NaN")="","NaN",(_xlfn.XLOOKUP($A27,TabCAT!$A:$A,TabCAT!BT:BT,"NaN")))</f>
        <v>NaN</v>
      </c>
      <c r="FJ27" s="8" t="str">
        <f>IF(_xlfn.XLOOKUP($A27,TabCAT!$A:$A,TabCAT!BU:BU,"NaN")="","NaN",(_xlfn.XLOOKUP($A27,TabCAT!$A:$A,TabCAT!BU:BU,"NaN")))</f>
        <v>NaN</v>
      </c>
      <c r="FK27" s="8" t="str">
        <f>IF(_xlfn.XLOOKUP($A27,TabCAT!$A:$A,TabCAT!BV:BV,"NaN")="","NaN",(_xlfn.XLOOKUP($A27,TabCAT!$A:$A,TabCAT!BV:BV,"NaN")))</f>
        <v>NaN</v>
      </c>
      <c r="FL27" s="8" t="str">
        <f>IF(_xlfn.XLOOKUP($A27,TabCAT!$A:$A,TabCAT!BW:BW,"NaN")="","NaN",(_xlfn.XLOOKUP($A27,TabCAT!$A:$A,TabCAT!BW:BW,"NaN")))</f>
        <v>NaN</v>
      </c>
      <c r="FM27" s="8" t="str">
        <f>IF(_xlfn.XLOOKUP($A27,TabCAT!$A:$A,TabCAT!BX:BX,"NaN")="","NaN",(_xlfn.XLOOKUP($A27,TabCAT!$A:$A,TabCAT!BX:BX,"NaN")))</f>
        <v>NaN</v>
      </c>
      <c r="FN27" s="8" t="str">
        <f>IF(_xlfn.XLOOKUP($A27,TabCAT!$A:$A,TabCAT!BY:BY,"NaN")="","NaN",(_xlfn.XLOOKUP($A27,TabCAT!$A:$A,TabCAT!BY:BY,"NaN")))</f>
        <v>NaN</v>
      </c>
      <c r="FO27" s="8" t="str">
        <f>IF(_xlfn.XLOOKUP($A27,TabCAT!$A:$A,TabCAT!BZ:BZ,"NaN")="","NaN",(_xlfn.XLOOKUP($A27,TabCAT!$A:$A,TabCAT!BZ:BZ,"NaN")))</f>
        <v>NaN</v>
      </c>
      <c r="FP27" s="8" t="str">
        <f>IF(_xlfn.XLOOKUP($A27,TabCAT!$A:$A,TabCAT!CA:CA,"NaN")="","NaN",(_xlfn.XLOOKUP($A27,TabCAT!$A:$A,TabCAT!CA:CA,"NaN")))</f>
        <v>NaN</v>
      </c>
      <c r="FQ27" s="8" t="str">
        <f>IF(_xlfn.XLOOKUP($A27,TabCAT!$A:$A,TabCAT!CB:CB,"NaN")="","NaN",(_xlfn.XLOOKUP($A27,TabCAT!$A:$A,TabCAT!CB:CB,"NaN")))</f>
        <v>NaN</v>
      </c>
      <c r="FR27" s="8" t="str">
        <f>IF(_xlfn.XLOOKUP($A27,TabCAT!$A:$A,TabCAT!CC:CC,"NaN")="","NaN",(_xlfn.XLOOKUP($A27,TabCAT!$A:$A,TabCAT!CC:CC,"NaN")))</f>
        <v>NaN</v>
      </c>
      <c r="FS27" s="8" t="str">
        <f>IF(_xlfn.XLOOKUP($A27,TabCAT!$A:$A,TabCAT!CD:CD,"NaN")="","NaN",(_xlfn.XLOOKUP($A27,TabCAT!$A:$A,TabCAT!CD:CD,"NaN")))</f>
        <v>NaN</v>
      </c>
      <c r="FT27" s="8" t="str">
        <f>IF(_xlfn.XLOOKUP($A27,TabCAT!$A:$A,TabCAT!CE:CE,"NaN")="","NaN",(_xlfn.XLOOKUP($A27,TabCAT!$A:$A,TabCAT!CE:CE,"NaN")))</f>
        <v>NaN</v>
      </c>
      <c r="FU27" s="8" t="str">
        <f>IF(_xlfn.XLOOKUP($A27,TabCAT!$A:$A,TabCAT!CF:CF,"NaN")="","NaN",(_xlfn.XLOOKUP($A27,TabCAT!$A:$A,TabCAT!CF:CF,"NaN")))</f>
        <v>NaN</v>
      </c>
      <c r="FV27" s="8" t="str">
        <f>IF(_xlfn.XLOOKUP($A27,TabCAT!$A:$A,TabCAT!CG:CG,"NaN")="","NaN",(_xlfn.XLOOKUP($A27,TabCAT!$A:$A,TabCAT!CG:CG,"NaN")))</f>
        <v>NaN</v>
      </c>
      <c r="FW27" s="8" t="str">
        <f>IF(_xlfn.XLOOKUP($A27,TabCAT!$A:$A,TabCAT!CH:CH,"NaN")="","NaN",(_xlfn.XLOOKUP($A27,TabCAT!$A:$A,TabCAT!CH:CH,"NaN")))</f>
        <v>NaN</v>
      </c>
      <c r="FX27" s="8" t="str">
        <f>IF(_xlfn.XLOOKUP($A27,TabCAT!$A:$A,TabCAT!CI:CI,"NaN")="","NaN",(_xlfn.XLOOKUP($A27,TabCAT!$A:$A,TabCAT!CI:CI,"NaN")))</f>
        <v>NaN</v>
      </c>
      <c r="FY27" s="8" t="str">
        <f>IF(_xlfn.XLOOKUP($A27,TabCAT!$A:$A,TabCAT!CJ:CJ,"NaN")="","NaN",(_xlfn.XLOOKUP($A27,TabCAT!$A:$A,TabCAT!CJ:CJ,"NaN")))</f>
        <v>NaN</v>
      </c>
      <c r="FZ27" s="8" t="str">
        <f>IF(_xlfn.XLOOKUP($A27,TabCAT!$A:$A,TabCAT!CK:CK,"NaN")="","NaN",(_xlfn.XLOOKUP($A27,TabCAT!$A:$A,TabCAT!CK:CK,"NaN")))</f>
        <v>NaN</v>
      </c>
      <c r="GA27" s="8" t="str">
        <f>IF(_xlfn.XLOOKUP($A27,TabCAT!$A:$A,TabCAT!CL:CL,"NaN")="","NaN",(_xlfn.XLOOKUP($A27,TabCAT!$A:$A,TabCAT!CL:CL,"NaN")))</f>
        <v>NaN</v>
      </c>
      <c r="GB27" s="8" t="str">
        <f>IF(_xlfn.XLOOKUP($A27,TabCAT!$A:$A,TabCAT!CM:CM,"NaN")="","NaN",(_xlfn.XLOOKUP($A27,TabCAT!$A:$A,TabCAT!CM:CM,"NaN")))</f>
        <v>NaN</v>
      </c>
      <c r="GC27" s="8" t="str">
        <f>IF(_xlfn.XLOOKUP($A27,TabCAT!$A:$A,TabCAT!CN:CN,"NaN")="","NaN",(_xlfn.XLOOKUP($A27,TabCAT!$A:$A,TabCAT!CN:CN,"NaN")))</f>
        <v>NaN</v>
      </c>
      <c r="GD27" s="8" t="str">
        <f>IF(_xlfn.XLOOKUP($A27,TabCAT!$A:$A,TabCAT!CO:CO,"NaN")="","NaN",(_xlfn.XLOOKUP($A27,TabCAT!$A:$A,TabCAT!CO:CO,"NaN")))</f>
        <v>NaN</v>
      </c>
      <c r="GE27" s="8" t="str">
        <f>IF(_xlfn.XLOOKUP($A27,TabCAT!$A:$A,TabCAT!CP:CP,"NaN")="","NaN",(_xlfn.XLOOKUP($A27,TabCAT!$A:$A,TabCAT!CP:CP,"NaN")))</f>
        <v>NaN</v>
      </c>
      <c r="GF27" s="8" t="str">
        <f>IF(_xlfn.XLOOKUP($A27,TabCAT!$A:$A,TabCAT!CQ:CQ,"NaN")="","NaN",(_xlfn.XLOOKUP($A27,TabCAT!$A:$A,TabCAT!CQ:CQ,"NaN")))</f>
        <v>NaN</v>
      </c>
      <c r="GG27" s="8" t="str">
        <f>IF(_xlfn.XLOOKUP($A27,TabCAT!$A:$A,TabCAT!CR:CR,"NaN")="","NaN",(_xlfn.XLOOKUP($A27,TabCAT!$A:$A,TabCAT!CR:CR,"NaN")))</f>
        <v>NaN</v>
      </c>
      <c r="GH27" s="8" t="str">
        <f>IF(_xlfn.XLOOKUP($A27,TabCAT!$A:$A,TabCAT!CS:CS,"NaN")="","NaN",(_xlfn.XLOOKUP($A27,TabCAT!$A:$A,TabCAT!CS:CS,"NaN")))</f>
        <v>NaN</v>
      </c>
    </row>
    <row r="28" spans="1:190" x14ac:dyDescent="0.2">
      <c r="A28">
        <v>10641</v>
      </c>
      <c r="B28">
        <f>_xlfn.XLOOKUP(bippity_poppity_boo!A28,rf1_data!A:A,rf1_data!B:B)</f>
        <v>32278</v>
      </c>
      <c r="C28" s="2">
        <f>(_xlfn.XLOOKUP($A28,trust!$A:$A,trust!B:B,"NaN"))</f>
        <v>3.6</v>
      </c>
      <c r="D28" s="2">
        <f>(_xlfn.XLOOKUP($A28,trust!$A:$A,trust!C:C,"NaN"))</f>
        <v>4.5714290000000002</v>
      </c>
      <c r="E28" s="2">
        <f>(_xlfn.XLOOKUP($A28,trust!$A:$A,trust!D:D,"NaN"))</f>
        <v>2.5</v>
      </c>
      <c r="F28" s="2">
        <f>(_xlfn.XLOOKUP($A28,trust!$A:$A,trust!E:E,"NaN"))</f>
        <v>3.6</v>
      </c>
      <c r="G28" s="2">
        <f>(_xlfn.XLOOKUP($A28,trust!$A:$A,trust!F:F,"NaN"))</f>
        <v>6.2857139999999996</v>
      </c>
      <c r="H28" s="2">
        <f>(_xlfn.XLOOKUP($A28,trust!$A:$A,trust!G:G,"NaN"))</f>
        <v>6.3333329999999997</v>
      </c>
      <c r="I28" s="3">
        <f>IF(_xlfn.XLOOKUP($B28,island_data!$B:$B,island_data!C:C,"NaN")="","NaN",_xlfn.XLOOKUP($B28,island_data!$B:$B,island_data!C:C,"NaN"))</f>
        <v>45001</v>
      </c>
      <c r="J28" s="3">
        <f>IF(_xlfn.XLOOKUP($B28,island_data!$B:$B,island_data!D:D,"NaN")="","NaN",_xlfn.XLOOKUP($B28,island_data!$B:$B,island_data!D:D,"NaN"))</f>
        <v>28785</v>
      </c>
      <c r="K28" s="4">
        <f>IF(_xlfn.XLOOKUP($B28,island_data!$B:$B,island_data!E:E,"NaN")="","NaN",_xlfn.XLOOKUP($B28,island_data!$B:$B,island_data!E:E,"NaN"))</f>
        <v>44.4</v>
      </c>
      <c r="L28" s="5">
        <f>IF(_xlfn.XLOOKUP($B28,rf1_data!$B:$B,rf1_data!D:D,"NaN")="","NaN",(_xlfn.XLOOKUP($B28,rf1_data!$B:$B,rf1_data!D:D,"NaN")))</f>
        <v>44.68</v>
      </c>
      <c r="M28" s="5" t="str">
        <f>IF(_xlfn.XLOOKUP($B28,rf1_data!$B:$B,rf1_data!E:E,"NaN")="","NaN",(_xlfn.XLOOKUP($B28,rf1_data!$B:$B,rf1_data!E:E,"NaN")))</f>
        <v>White</v>
      </c>
      <c r="N28" s="5" t="str">
        <f>IF(_xlfn.XLOOKUP($B28,rf1_data!$B:$B,rf1_data!F:F,"NaN")="","NaN",(_xlfn.XLOOKUP($B28,rf1_data!$B:$B,rf1_data!F:F,"NaN")))</f>
        <v>Not Hispanic or Latino</v>
      </c>
      <c r="O28" s="5" t="str">
        <f>IF(_xlfn.XLOOKUP($B28,rf1_data!$B:$B,rf1_data!G:G,"NaN")="","NaN",(_xlfn.XLOOKUP($B28,rf1_data!$B:$B,rf1_data!G:G,"NaN")))</f>
        <v>Female</v>
      </c>
      <c r="P28" s="5">
        <f>IF(_xlfn.XLOOKUP($B28,rf1_data!$B:$B,rf1_data!H:H,"NaN")="","NaN",(_xlfn.XLOOKUP($B28,rf1_data!$B:$B,rf1_data!H:H,"NaN")))</f>
        <v>4.67</v>
      </c>
      <c r="Q28" s="5">
        <f>IF(_xlfn.XLOOKUP($B28,rf1_data!$B:$B,rf1_data!I:I,"NaN")="","NaN",(_xlfn.XLOOKUP($B28,rf1_data!$B:$B,rf1_data!I:I,"NaN")))</f>
        <v>4.5</v>
      </c>
      <c r="R28" s="5">
        <f>IF(_xlfn.XLOOKUP($B28,rf1_data!$B:$B,rf1_data!J:J,"NaN")="","NaN",(_xlfn.XLOOKUP($B28,rf1_data!$B:$B,rf1_data!J:J,"NaN")))</f>
        <v>4</v>
      </c>
      <c r="S28" s="5">
        <f>IF(_xlfn.XLOOKUP($B28,rf1_data!$B:$B,rf1_data!K:K,"NaN")="","NaN",(_xlfn.XLOOKUP($B28,rf1_data!$B:$B,rf1_data!K:K,"NaN")))</f>
        <v>1</v>
      </c>
      <c r="T28" s="5">
        <f>IF(_xlfn.XLOOKUP($B28,rf1_data!$B:$B,rf1_data!L:L,"NaN")="","NaN",(_xlfn.XLOOKUP($B28,rf1_data!$B:$B,rf1_data!L:L,"NaN")))</f>
        <v>0</v>
      </c>
      <c r="U28" s="5">
        <f>IF(_xlfn.XLOOKUP($B28,rf1_data!$B:$B,rf1_data!M:M,"NaN")="","NaN",(_xlfn.XLOOKUP($B28,rf1_data!$B:$B,rf1_data!M:M,"NaN")))</f>
        <v>6.33</v>
      </c>
      <c r="V28" s="5">
        <f>IF(_xlfn.XLOOKUP($B28,rf1_data!$B:$B,rf1_data!N:N,"NaN")="","NaN",(_xlfn.XLOOKUP($B28,rf1_data!$B:$B,rf1_data!N:N,"NaN")))</f>
        <v>4.83</v>
      </c>
      <c r="W28" s="5">
        <f>IF(_xlfn.XLOOKUP($B28,rf1_data!$B:$B,rf1_data!O:O,"NaN")="","NaN",(_xlfn.XLOOKUP($B28,rf1_data!$B:$B,rf1_data!O:O,"NaN")))</f>
        <v>6</v>
      </c>
      <c r="X28" s="5">
        <f>IF(_xlfn.XLOOKUP($B28,rf1_data!$B:$B,rf1_data!P:P,"NaN")="","NaN",(_xlfn.XLOOKUP($B28,rf1_data!$B:$B,rf1_data!P:P,"NaN")))</f>
        <v>5.83</v>
      </c>
      <c r="Y28" s="5">
        <f>IF(_xlfn.XLOOKUP($B28,rf1_data!$B:$B,rf1_data!Q:Q,"NaN")="","NaN",(_xlfn.XLOOKUP($B28,rf1_data!$B:$B,rf1_data!Q:Q,"NaN")))</f>
        <v>5.8</v>
      </c>
      <c r="Z28" s="5">
        <f>IF(_xlfn.XLOOKUP($B28,rf1_data!$B:$B,rf1_data!R:R,"NaN")="","NaN",(_xlfn.XLOOKUP($B28,rf1_data!$B:$B,rf1_data!R:R,"NaN")))</f>
        <v>9</v>
      </c>
      <c r="AA28" s="5">
        <f>IF(_xlfn.XLOOKUP($B28,rf1_data!$B:$B,rf1_data!S:S,"NaN")="","NaN",(_xlfn.XLOOKUP($B28,rf1_data!$B:$B,rf1_data!S:S,"NaN")))</f>
        <v>3</v>
      </c>
      <c r="AB28" s="5">
        <f>IF(_xlfn.XLOOKUP($B28,rf1_data!$B:$B,rf1_data!T:T,"NaN")="","NaN",(_xlfn.XLOOKUP($B28,rf1_data!$B:$B,rf1_data!T:T,"NaN")))</f>
        <v>6</v>
      </c>
      <c r="AC28" s="5">
        <f>IF(_xlfn.XLOOKUP($B28,rf1_data!$B:$B,rf1_data!U:U,"NaN")="","NaN",(_xlfn.XLOOKUP($B28,rf1_data!$B:$B,rf1_data!U:U,"NaN")))</f>
        <v>0</v>
      </c>
      <c r="AD28" s="5">
        <f>IF(_xlfn.XLOOKUP($B28,rf1_data!$B:$B,rf1_data!V:V,"NaN")="","NaN",(_xlfn.XLOOKUP($B28,rf1_data!$B:$B,rf1_data!V:V,"NaN")))</f>
        <v>0</v>
      </c>
      <c r="AE28" s="5">
        <f>IF(_xlfn.XLOOKUP($B28,rf1_data!$B:$B,rf1_data!W:W,"NaN")="","NaN",(_xlfn.XLOOKUP($B28,rf1_data!$B:$B,rf1_data!W:W,"NaN")))</f>
        <v>1</v>
      </c>
      <c r="AF28" s="5">
        <f>IF(_xlfn.XLOOKUP($B28,rf1_data!$B:$B,rf1_data!X:X,"NaN")="","NaN",(_xlfn.XLOOKUP($B28,rf1_data!$B:$B,rf1_data!X:X,"NaN")))</f>
        <v>2</v>
      </c>
      <c r="AG28" s="5">
        <f>IF(_xlfn.XLOOKUP($B28,rf1_data!$B:$B,rf1_data!Y:Y,"NaN")="","NaN",(_xlfn.XLOOKUP($B28,rf1_data!$B:$B,rf1_data!Y:Y,"NaN")))</f>
        <v>7</v>
      </c>
      <c r="AH28" s="5">
        <f>IF(_xlfn.XLOOKUP($B28,rf1_data!$B:$B,rf1_data!Z:Z,"NaN")="","NaN",(_xlfn.XLOOKUP($B28,rf1_data!$B:$B,rf1_data!Z:Z,"NaN")))</f>
        <v>1</v>
      </c>
      <c r="AI28" s="5">
        <f>IF(_xlfn.XLOOKUP($B28,rf1_data!$B:$B,rf1_data!AA:AA,"NaN")="","NaN",(_xlfn.XLOOKUP($B28,rf1_data!$B:$B,rf1_data!AA:AA,"NaN")))</f>
        <v>1</v>
      </c>
      <c r="AJ28" s="5">
        <f>IF(_xlfn.XLOOKUP($B28,rf1_data!$B:$B,rf1_data!AB:AB,"NaN")="","NaN",(_xlfn.XLOOKUP($B28,rf1_data!$B:$B,rf1_data!AB:AB,"NaN")))</f>
        <v>12</v>
      </c>
      <c r="AK28" s="5">
        <f>IF(_xlfn.XLOOKUP($B28,rf1_data!$B:$B,rf1_data!AC:AC,"NaN")="","NaN",(_xlfn.XLOOKUP($B28,rf1_data!$B:$B,rf1_data!AC:AC,"NaN")))</f>
        <v>37</v>
      </c>
      <c r="AL28" s="5">
        <f>IF(_xlfn.XLOOKUP($B28,rf1_data!$B:$B,rf1_data!AD:AD,"NaN")="","NaN",(_xlfn.XLOOKUP($B28,rf1_data!$B:$B,rf1_data!AD:AD,"NaN")))</f>
        <v>11</v>
      </c>
      <c r="AM28" s="5">
        <f>IF(_xlfn.XLOOKUP($B28,rf1_data!$B:$B,rf1_data!AE:AE,"NaN")="","NaN",(_xlfn.XLOOKUP($B28,rf1_data!$B:$B,rf1_data!AE:AE,"NaN")))</f>
        <v>0</v>
      </c>
      <c r="AN28" s="5">
        <f>IF(_xlfn.XLOOKUP($B28,rf1_data!$B:$B,rf1_data!AF:AF,"NaN")="","NaN",(_xlfn.XLOOKUP($B28,rf1_data!$B:$B,rf1_data!AF:AF,"NaN")))</f>
        <v>0</v>
      </c>
      <c r="AO28" s="5">
        <f>IF(_xlfn.XLOOKUP($B28,rf1_data!$B:$B,rf1_data!AG:AG,"NaN")="","NaN",(_xlfn.XLOOKUP($B28,rf1_data!$B:$B,rf1_data!AG:AG,"NaN")))</f>
        <v>6.75</v>
      </c>
      <c r="AP28" s="5">
        <f>IF(_xlfn.XLOOKUP($B28,rf1_data!$B:$B,rf1_data!AH:AH,"NaN")="","NaN",(_xlfn.XLOOKUP($B28,rf1_data!$B:$B,rf1_data!AH:AH,"NaN")))</f>
        <v>6.5</v>
      </c>
      <c r="AQ28" s="5">
        <f>IF(_xlfn.XLOOKUP($B28,rf1_data!$B:$B,rf1_data!AI:AI,"NaN")="","NaN",(_xlfn.XLOOKUP($B28,rf1_data!$B:$B,rf1_data!AI:AI,"NaN")))</f>
        <v>6.75</v>
      </c>
      <c r="AR28" s="5">
        <f>IF(_xlfn.XLOOKUP($B28,rf1_data!$B:$B,rf1_data!AJ:AJ,"NaN")="","NaN",(_xlfn.XLOOKUP($B28,rf1_data!$B:$B,rf1_data!AJ:AJ,"NaN")))</f>
        <v>7</v>
      </c>
      <c r="AS28" s="5">
        <f>IF(_xlfn.XLOOKUP($B28,rf1_data!$B:$B,rf1_data!AK:AK,"NaN")="","NaN",(_xlfn.XLOOKUP($B28,rf1_data!$B:$B,rf1_data!AK:AK,"NaN")))</f>
        <v>2.5</v>
      </c>
      <c r="AT28" s="5">
        <f>IF(_xlfn.XLOOKUP($B28,rf1_data!$B:$B,rf1_data!AL:AL,"NaN")="","NaN",(_xlfn.XLOOKUP($B28,rf1_data!$B:$B,rf1_data!AL:AL,"NaN")))</f>
        <v>17</v>
      </c>
      <c r="AU28" s="5">
        <f>IF(_xlfn.XLOOKUP($B28,rf1_data!$B:$B,rf1_data!AM:AM,"NaN")="","NaN",(_xlfn.XLOOKUP($B28,rf1_data!$B:$B,rf1_data!AM:AM,"NaN")))</f>
        <v>2.83</v>
      </c>
      <c r="AV28" s="5">
        <f>IF(_xlfn.XLOOKUP($B28,rf1_data!$B:$B,rf1_data!AN:AN,"NaN")="","NaN",(_xlfn.XLOOKUP($B28,rf1_data!$B:$B,rf1_data!AN:AN,"NaN")))</f>
        <v>16</v>
      </c>
      <c r="AW28" s="5">
        <f>IF(_xlfn.XLOOKUP($B28,rf1_data!$B:$B,rf1_data!AO:AO,"NaN")="","NaN",(_xlfn.XLOOKUP($B28,rf1_data!$B:$B,rf1_data!AO:AO,"NaN")))</f>
        <v>2.67</v>
      </c>
      <c r="AX28" s="5">
        <f>IF(_xlfn.XLOOKUP($B28,rf1_data!$B:$B,rf1_data!AP:AP,"NaN")="","NaN",(_xlfn.XLOOKUP($B28,rf1_data!$B:$B,rf1_data!AP:AP,"NaN")))</f>
        <v>3.11</v>
      </c>
      <c r="AY28" s="5" t="str">
        <f>IF(_xlfn.XLOOKUP($B28,rf1_data!$B:$B,rf1_data!AQ:AQ,"NaN")="","NaN",(_xlfn.XLOOKUP($B28,rf1_data!$B:$B,rf1_data!AQ:AQ,"NaN")))</f>
        <v>NaN</v>
      </c>
      <c r="AZ28" s="5" t="str">
        <f>IF(_xlfn.XLOOKUP($B28,rf1_data!$B:$B,rf1_data!AR:AR,"NaN")="","NaN",(_xlfn.XLOOKUP($B28,rf1_data!$B:$B,rf1_data!AR:AR,"NaN")))</f>
        <v>NaN</v>
      </c>
      <c r="BA28" s="5" t="str">
        <f>IF(_xlfn.XLOOKUP($B28,rf1_data!$B:$B,rf1_data!AS:AS,"NaN")="","NaN",(_xlfn.XLOOKUP($B28,rf1_data!$B:$B,rf1_data!AS:AS,"NaN")))</f>
        <v>NaN</v>
      </c>
      <c r="BB28" s="5" t="str">
        <f>IF(_xlfn.XLOOKUP($B28,rf1_data!$B:$B,rf1_data!AT:AT,"NaN")="","NaN",(_xlfn.XLOOKUP($B28,rf1_data!$B:$B,rf1_data!AT:AT,"NaN")))</f>
        <v>NaN</v>
      </c>
      <c r="BC28" s="5" t="str">
        <f>IF(_xlfn.XLOOKUP($B28,rf1_data!$B:$B,rf1_data!AU:AU,"NaN")="","NaN",(_xlfn.XLOOKUP($B28,rf1_data!$B:$B,rf1_data!AU:AU,"NaN")))</f>
        <v>NaN</v>
      </c>
      <c r="BD28" s="5" t="str">
        <f>IF(_xlfn.XLOOKUP($B28,rf1_data!$B:$B,rf1_data!AV:AV,"NaN")="","NaN",(_xlfn.XLOOKUP($B28,rf1_data!$B:$B,rf1_data!AV:AV,"NaN")))</f>
        <v>NaN</v>
      </c>
      <c r="BE28" s="5" t="str">
        <f>IF(_xlfn.XLOOKUP($B28,rf1_data!$B:$B,rf1_data!AW:AW,"NaN")="","NaN",(_xlfn.XLOOKUP($B28,rf1_data!$B:$B,rf1_data!AW:AW,"NaN")))</f>
        <v>NaN</v>
      </c>
      <c r="BF28" s="5" t="str">
        <f>IF(_xlfn.XLOOKUP($B28,rf1_data!$B:$B,rf1_data!AX:AX,"NaN")="","NaN",(_xlfn.XLOOKUP($B28,rf1_data!$B:$B,rf1_data!AX:AX,"NaN")))</f>
        <v>NaN</v>
      </c>
      <c r="BG28" s="5" t="str">
        <f>IF(_xlfn.XLOOKUP($B28,rf1_data!$B:$B,rf1_data!AY:AY,"NaN")="","NaN",(_xlfn.XLOOKUP($B28,rf1_data!$B:$B,rf1_data!AY:AY,"NaN")))</f>
        <v>NaN</v>
      </c>
      <c r="BH28" s="5" t="str">
        <f>IF(_xlfn.XLOOKUP($B28,rf1_data!$B:$B,rf1_data!AZ:AZ,"NaN")="","NaN",(_xlfn.XLOOKUP($B28,rf1_data!$B:$B,rf1_data!AZ:AZ,"NaN")))</f>
        <v>NaN</v>
      </c>
      <c r="BI28" s="5">
        <f>IF(_xlfn.XLOOKUP($B28,rf1_data!$B:$B,rf1_data!BA:BA,"NaN")="","NaN",(_xlfn.XLOOKUP($B28,rf1_data!$B:$B,rf1_data!BA:BA,"NaN")))</f>
        <v>20</v>
      </c>
      <c r="BJ28" s="5" t="str">
        <f>IF(_xlfn.XLOOKUP($B28,rf1_data!$B:$B,rf1_data!BB:BB,"NaN")="","NaN",(_xlfn.XLOOKUP($B28,rf1_data!$B:$B,rf1_data!BB:BB,"NaN")))</f>
        <v>NaN</v>
      </c>
      <c r="BK28" s="5" t="str">
        <f>IF(_xlfn.XLOOKUP($B28,rf1_data!$B:$B,rf1_data!BC:BC,"NaN")="","NaN",(_xlfn.XLOOKUP($B28,rf1_data!$B:$B,rf1_data!BC:BC,"NaN")))</f>
        <v>NaN</v>
      </c>
      <c r="BL28" s="5" t="str">
        <f>IF(_xlfn.XLOOKUP($B28,rf1_data!$B:$B,rf1_data!BD:BD,"NaN")="","NaN",(_xlfn.XLOOKUP($B28,rf1_data!$B:$B,rf1_data!BD:BD,"NaN")))</f>
        <v>NaN</v>
      </c>
      <c r="BM28" s="5" t="str">
        <f>IF(_xlfn.XLOOKUP($B28,rf1_data!$B:$B,rf1_data!BE:BE,"NaN")="","NaN",(_xlfn.XLOOKUP($B28,rf1_data!$B:$B,rf1_data!BE:BE,"NaN")))</f>
        <v>NaN</v>
      </c>
      <c r="BN28" s="5" t="str">
        <f>IF(_xlfn.XLOOKUP($B28,rf1_data!$B:$B,rf1_data!BF:BF,"NaN")="","NaN",(_xlfn.XLOOKUP($B28,rf1_data!$B:$B,rf1_data!BF:BF,"NaN")))</f>
        <v>NaN</v>
      </c>
      <c r="BO28" s="5" t="str">
        <f>IF(_xlfn.XLOOKUP($B28,rf1_data!$B:$B,rf1_data!BG:BG,"NaN")="","NaN",(_xlfn.XLOOKUP($B28,rf1_data!$B:$B,rf1_data!BG:BG,"NaN")))</f>
        <v>NaN</v>
      </c>
      <c r="BP28" s="5" t="str">
        <f>IF(_xlfn.XLOOKUP($B28,rf1_data!$B:$B,rf1_data!BH:BH,"NaN")="","NaN",(_xlfn.XLOOKUP($B28,rf1_data!$B:$B,rf1_data!BH:BH,"NaN")))</f>
        <v>NaN</v>
      </c>
      <c r="BQ28" s="5" t="str">
        <f>IF(_xlfn.XLOOKUP($B28,rf1_data!$B:$B,rf1_data!BI:BI,"NaN")="","NaN",(_xlfn.XLOOKUP($B28,rf1_data!$B:$B,rf1_data!BI:BI,"NaN")))</f>
        <v>NaN</v>
      </c>
      <c r="BR28" s="5">
        <f>IF(_xlfn.XLOOKUP($B28,rf1_data!$B:$B,rf1_data!BJ:BJ,"NaN")="","NaN",(_xlfn.XLOOKUP($B28,rf1_data!$B:$B,rf1_data!BJ:BJ,"NaN")))</f>
        <v>8991</v>
      </c>
      <c r="BS28" s="5" t="str">
        <f>IF(_xlfn.XLOOKUP($B28,rf1_data!$B:$B,rf1_data!BK:BK,"NaN")="","NaN",(_xlfn.XLOOKUP($B28,rf1_data!$B:$B,rf1_data!BK:BK,"NaN")))</f>
        <v>NaN</v>
      </c>
      <c r="BT28" s="5" t="str">
        <f>IF(_xlfn.XLOOKUP($B28,rf1_data!$B:$B,rf1_data!BL:BL,"NaN")="","NaN",(_xlfn.XLOOKUP($B28,rf1_data!$B:$B,rf1_data!BL:BL,"NaN")))</f>
        <v>NaN</v>
      </c>
      <c r="BU28" s="5" t="str">
        <f>IF(_xlfn.XLOOKUP($B28,rf1_data!$B:$B,rf1_data!BM:BM,"NaN")="","NaN",(_xlfn.XLOOKUP($B28,rf1_data!$B:$B,rf1_data!BM:BM,"NaN")))</f>
        <v>NaN</v>
      </c>
      <c r="BV28" s="5" t="str">
        <f>IF(_xlfn.XLOOKUP($B28,rf1_data!$B:$B,rf1_data!BN:BN,"NaN")="","NaN",(_xlfn.XLOOKUP($B28,rf1_data!$B:$B,rf1_data!BN:BN,"NaN")))</f>
        <v>NaN</v>
      </c>
      <c r="BW28" s="5">
        <f>IF(_xlfn.XLOOKUP($B28,rf1_data!$B:$B,rf1_data!BO:BO,"NaN")="","NaN",(_xlfn.XLOOKUP($B28,rf1_data!$B:$B,rf1_data!BO:BO,"NaN")))</f>
        <v>3.5</v>
      </c>
      <c r="BX28" s="5">
        <f>IF(_xlfn.XLOOKUP($B28,rf1_data!$B:$B,rf1_data!BP:BP,"NaN")="","NaN",(_xlfn.XLOOKUP($B28,rf1_data!$B:$B,rf1_data!BP:BP,"NaN")))</f>
        <v>4</v>
      </c>
      <c r="BY28" s="5">
        <f>IF(_xlfn.XLOOKUP($B28,rf1_data!$B:$B,rf1_data!BQ:BQ,"NaN")="","NaN",(_xlfn.XLOOKUP($B28,rf1_data!$B:$B,rf1_data!BQ:BQ,"NaN")))</f>
        <v>4.0999999999999996</v>
      </c>
      <c r="BZ28" s="5">
        <f>IF(_xlfn.XLOOKUP($B28,rf1_data!$B:$B,rf1_data!BR:BR,"NaN")="","NaN",(_xlfn.XLOOKUP($B28,rf1_data!$B:$B,rf1_data!BR:BR,"NaN")))</f>
        <v>3.87</v>
      </c>
      <c r="CA28" s="5">
        <f>IF(_xlfn.XLOOKUP($B28,rf1_data!$B:$B,rf1_data!BS:BS,"NaN")="","NaN",(_xlfn.XLOOKUP($B28,rf1_data!$B:$B,rf1_data!BS:BS,"NaN")))</f>
        <v>6</v>
      </c>
      <c r="CB28" s="5">
        <f>IF(_xlfn.XLOOKUP($B28,rf1_data!$B:$B,rf1_data!BT:BT,"NaN")="","NaN",(_xlfn.XLOOKUP($B28,rf1_data!$B:$B,rf1_data!BT:BT,"NaN")))</f>
        <v>5.1666666666666599</v>
      </c>
      <c r="CC28" s="5">
        <f>IF(_xlfn.XLOOKUP($B28,rf1_data!$B:$B,rf1_data!BU:BU,"NaN")="","NaN",(_xlfn.XLOOKUP($B28,rf1_data!$B:$B,rf1_data!BU:BU,"NaN")))</f>
        <v>3.8333333333333299</v>
      </c>
      <c r="CD28" s="5">
        <f>IF(_xlfn.XLOOKUP($B28,rf1_data!$B:$B,rf1_data!BV:BV,"NaN")="","NaN",(_xlfn.XLOOKUP($B28,rf1_data!$B:$B,rf1_data!BV:BV,"NaN")))</f>
        <v>3.8333333333333299</v>
      </c>
      <c r="CE28" s="5">
        <f>IF(_xlfn.XLOOKUP($B28,rf1_data!$B:$B,rf1_data!BW:BW,"NaN")="","NaN",(_xlfn.XLOOKUP($B28,rf1_data!$B:$B,rf1_data!BW:BW,"NaN")))</f>
        <v>1.25</v>
      </c>
      <c r="CF28" s="5">
        <f>IF(_xlfn.XLOOKUP($B28,rf1_data!$B:$B,rf1_data!BX:BX,"NaN")="","NaN",(_xlfn.XLOOKUP($B28,rf1_data!$B:$B,rf1_data!BX:BX,"NaN")))</f>
        <v>0</v>
      </c>
      <c r="CG28" s="5">
        <f>IF(_xlfn.XLOOKUP($B28,rf1_data!$B:$B,rf1_data!BY:BY,"NaN")="","NaN",(_xlfn.XLOOKUP($B28,rf1_data!$B:$B,rf1_data!BY:BY,"NaN")))</f>
        <v>0</v>
      </c>
      <c r="CH28" s="5">
        <f>IF(_xlfn.XLOOKUP($B28,rf1_data!$B:$B,rf1_data!BZ:BZ,"NaN")="","NaN",(_xlfn.XLOOKUP($B28,rf1_data!$B:$B,rf1_data!BZ:BZ,"NaN")))</f>
        <v>26</v>
      </c>
      <c r="CI28" s="5" t="str">
        <f>IF(_xlfn.XLOOKUP($B28,rf1_data!$B:$B,rf1_data!CA:CA,"NaN")="","NaN",(_xlfn.XLOOKUP($B28,rf1_data!$B:$B,rf1_data!CA:CA,"NaN")))</f>
        <v>NaN</v>
      </c>
      <c r="CJ28" s="5">
        <f>IF(_xlfn.XLOOKUP($B28,rf1_data!$B:$B,rf1_data!CB:CB,"NaN")="","NaN",(_xlfn.XLOOKUP($B28,rf1_data!$B:$B,rf1_data!CB:CB,"NaN")))</f>
        <v>9</v>
      </c>
      <c r="CK28" s="5">
        <f>IF(_xlfn.XLOOKUP($B28,rf1_data!$B:$B,rf1_data!CC:CC,"NaN")="","NaN",(_xlfn.XLOOKUP($B28,rf1_data!$B:$B,rf1_data!CC:CC,"NaN")))</f>
        <v>0.81818181818181801</v>
      </c>
      <c r="CL28" s="5">
        <f>IF(_xlfn.XLOOKUP($B28,rf1_data!$B:$B,rf1_data!CD:CD,"NaN")=0,"NaN",(_xlfn.XLOOKUP($B28,rf1_data!$B:$B,rf1_data!CD:CD,"NaN")))</f>
        <v>35</v>
      </c>
      <c r="CM28" s="5">
        <f>IF(_xlfn.XLOOKUP($B28,rf1_data!$B:$B,rf1_data!CE:CE,"NaN")="","NaN",(_xlfn.XLOOKUP($B28,rf1_data!$B:$B,rf1_data!CE:CE,"NaN")))</f>
        <v>37</v>
      </c>
      <c r="CN28" s="5">
        <f>IF(_xlfn.XLOOKUP($B28,rf1_data!$B:$B,rf1_data!CF:CF,"NaN")="","NaN",(_xlfn.XLOOKUP($B28,rf1_data!$B:$B,rf1_data!CF:CF,"NaN")))</f>
        <v>58</v>
      </c>
      <c r="CO28" s="5">
        <f>IF(_xlfn.XLOOKUP($B28,rf1_data!$B:$B,rf1_data!CG:CG,"NaN")="","NaN",(_xlfn.XLOOKUP($B28,rf1_data!$B:$B,rf1_data!CG:CG,"NaN")))</f>
        <v>26</v>
      </c>
      <c r="CP28" s="5">
        <f>IF(_xlfn.XLOOKUP($B28,rf1_data!$B:$B,rf1_data!CH:CH,"NaN")=0,"NaN",(_xlfn.XLOOKUP($B28,rf1_data!$B:$B,rf1_data!CH:CH,"NaN")))</f>
        <v>35</v>
      </c>
      <c r="CQ28" s="5">
        <f>IF(_xlfn.XLOOKUP($B28,rf1_data!$B:$B,rf1_data!CI:CI,"NaN")="","NaN",(_xlfn.XLOOKUP($B28,rf1_data!$B:$B,rf1_data!CI:CI,"NaN")))</f>
        <v>48</v>
      </c>
      <c r="CR28" s="5">
        <f>IF(_xlfn.XLOOKUP($B28,rf1_data!$B:$B,rf1_data!CJ:CJ,"NaN")="","NaN",(_xlfn.XLOOKUP($B28,rf1_data!$B:$B,rf1_data!CJ:CJ,"NaN")))</f>
        <v>47</v>
      </c>
      <c r="CS28" s="5">
        <f>IF(_xlfn.XLOOKUP($B28,rf1_data!$B:$B,rf1_data!CK:CK,"NaN")="","NaN",(_xlfn.XLOOKUP($B28,rf1_data!$B:$B,rf1_data!CK:CK,"NaN")))</f>
        <v>35</v>
      </c>
      <c r="CT28" s="5">
        <f>IF(_xlfn.XLOOKUP($B28,rf1_data!$B:$B,rf1_data!CL:CL,"NaN")="","NaN",(_xlfn.XLOOKUP($B28,rf1_data!$B:$B,rf1_data!CL:CL,"NaN")))</f>
        <v>60</v>
      </c>
      <c r="CU28" s="5">
        <f>IF(_xlfn.XLOOKUP($B28,rf1_data!$B:$B,rf1_data!CM:CM,"NaN")="","NaN",(_xlfn.XLOOKUP($B28,rf1_data!$B:$B,rf1_data!CM:CM,"NaN")))</f>
        <v>38</v>
      </c>
      <c r="CV28" s="5">
        <f>IF(_xlfn.XLOOKUP($B28,rf1_data!$B:$B,rf1_data!CN:CN,"NaN")="","NaN",(_xlfn.XLOOKUP($B28,rf1_data!$B:$B,rf1_data!CN:CN,"NaN")))</f>
        <v>60</v>
      </c>
      <c r="CW28" s="5" t="str">
        <f>IF(_xlfn.XLOOKUP($B28,rf1_data!$B:$B,rf1_data!CO:CO,"NaN")="","NaN",(_xlfn.XLOOKUP($B28,rf1_data!$B:$B,rf1_data!CO:CO,"NaN")))</f>
        <v>NaN</v>
      </c>
      <c r="CX28" s="5" t="str">
        <f>IF(_xlfn.XLOOKUP($B28,rf1_data!$B:$B,rf1_data!CP:CP,"NaN")="","NaN",(_xlfn.XLOOKUP($B28,rf1_data!$B:$B,rf1_data!CP:CP,"NaN")))</f>
        <v>NaN</v>
      </c>
      <c r="CY28" s="5">
        <f>IF(_xlfn.XLOOKUP($B28,rf1_data!$B:$B,rf1_data!CQ:CQ,"NaN")="","NaN",(_xlfn.XLOOKUP($B28,rf1_data!$B:$B,rf1_data!CQ:CQ,"NaN")))</f>
        <v>7</v>
      </c>
      <c r="CZ28" s="5">
        <f>IF(_xlfn.XLOOKUP($B28,rf1_data!$B:$B,rf1_data!CR:CR,"NaN")="","NaN",(_xlfn.XLOOKUP($B28,rf1_data!$B:$B,rf1_data!CR:CR,"NaN")))</f>
        <v>1</v>
      </c>
      <c r="DA28" s="5">
        <f>IF(_xlfn.XLOOKUP($B28,rf1_data!$B:$B,rf1_data!CS:CS,"NaN")="","NaN",(_xlfn.XLOOKUP($B28,rf1_data!$B:$B,rf1_data!CS:CS,"NaN")))</f>
        <v>1</v>
      </c>
      <c r="DB28" s="4">
        <f>IF(_xlfn.XLOOKUP($B28,island_data!$B:$B,island_data!H:H,"NaN")="","NaN",_xlfn.XLOOKUP($B28,island_data!$B:$B,island_data!H:H,"NaN"))</f>
        <v>4</v>
      </c>
      <c r="DC28" s="4">
        <f>IF(_xlfn.XLOOKUP($B28,island_data!$B:$B,island_data!I:I,"NaN")="","NaN",_xlfn.XLOOKUP($B28,island_data!$B:$B,island_data!I:I,"NaN"))</f>
        <v>4</v>
      </c>
      <c r="DD28" s="4">
        <f>IF(_xlfn.XLOOKUP($B28,island_data!$B:$B,island_data!J:J,"NaN")="","NaN",_xlfn.XLOOKUP($B28,island_data!$B:$B,island_data!J:J,"NaN"))</f>
        <v>0</v>
      </c>
      <c r="DE28" s="4" t="str">
        <f>IF(_xlfn.XLOOKUP($B28,island_data!$B:$B,island_data!K:K,"NaN")="","NaN",_xlfn.XLOOKUP($B28,island_data!$B:$B,island_data!K:K,"NaN"))</f>
        <v>NaN</v>
      </c>
      <c r="DF28" s="4">
        <f>IF(_xlfn.XLOOKUP($B28,island_data!$B:$B,island_data!L:L,"NaN")="","NaN",_xlfn.XLOOKUP($B28,island_data!$B:$B,island_data!L:L,"NaN"))</f>
        <v>31</v>
      </c>
      <c r="DG28" s="4">
        <f>IF(_xlfn.XLOOKUP($B28,island_data!$B:$B,island_data!M:M,"NaN")="","NaN",_xlfn.XLOOKUP($B28,island_data!$B:$B,island_data!M:M,"NaN"))</f>
        <v>3.2777777777777999</v>
      </c>
      <c r="DH28" s="4">
        <f>IF(_xlfn.XLOOKUP($B28,island_data!$B:$B,island_data!N:N,"NaN")="","NaN",_xlfn.XLOOKUP($B28,island_data!$B:$B,island_data!N:N,"NaN"))</f>
        <v>9</v>
      </c>
      <c r="DI28" s="4" t="str">
        <f>IF(_xlfn.XLOOKUP($B28,island_data!$B:$B,island_data!O:O,"NaN")=999,"NaN",_xlfn.XLOOKUP($B28,island_data!$B:$B,island_data!O:O,"NaN"))</f>
        <v>NaN</v>
      </c>
      <c r="DJ28" s="4">
        <f>IF(_xlfn.XLOOKUP($B28,island_data!$B:$B,island_data!P:P,"NaN")="","NaN",_xlfn.XLOOKUP($B28,island_data!$B:$B,island_data!P:P,"NaN"))</f>
        <v>8</v>
      </c>
      <c r="DK28" s="4">
        <f>IF(_xlfn.XLOOKUP($B28,island_data!$B:$B,island_data!Q:Q,"NaN")="","NaN",_xlfn.XLOOKUP($B28,island_data!$B:$B,island_data!Q:Q,"NaN"))</f>
        <v>8</v>
      </c>
      <c r="DL28" s="4" t="str">
        <f>IF(_xlfn.XLOOKUP($B28,island_data!$B:$B,island_data!R:R,"NaN")=999,"NaN",_xlfn.XLOOKUP($B28,island_data!$B:$B,island_data!R:R,"NaN"))</f>
        <v>NaN</v>
      </c>
      <c r="DM28" s="4">
        <f>IF(_xlfn.XLOOKUP($B28,island_data!$B:$B,island_data!S:S,"NaN")="","NaN",_xlfn.XLOOKUP($B28,island_data!$B:$B,island_data!S:S,"NaN"))</f>
        <v>10</v>
      </c>
      <c r="DN28" s="4">
        <f>IF(_xlfn.XLOOKUP($B28,island_data!$B:$B,island_data!T:T,"NaN")="","NaN",_xlfn.XLOOKUP($B28,island_data!$B:$B,island_data!T:T,"NaN"))</f>
        <v>5</v>
      </c>
      <c r="DO28" s="4">
        <f>IF(_xlfn.XLOOKUP($B28,island_data!$B:$B,island_data!U:U,"NaN")="","NaN",_xlfn.XLOOKUP($B28,island_data!$B:$B,island_data!U:U,"NaN"))</f>
        <v>6</v>
      </c>
      <c r="DP28" s="4">
        <f>IF(_xlfn.XLOOKUP($B28,island_data!$B:$B,island_data!V:V,"NaN")="","NaN",_xlfn.XLOOKUP($B28,island_data!$B:$B,island_data!V:V,"NaN"))</f>
        <v>1</v>
      </c>
      <c r="DQ28" s="4">
        <f>IF(_xlfn.XLOOKUP($B28,island_data!$B:$B,island_data!W:W,"NaN")="","NaN",_xlfn.XLOOKUP($B28,island_data!$B:$B,island_data!W:W,"NaN"))</f>
        <v>5</v>
      </c>
      <c r="DR28" s="4">
        <f>IF(_xlfn.XLOOKUP($B28,island_data!$B:$B,island_data!X:X,"NaN")="","NaN",_xlfn.XLOOKUP($B28,island_data!$B:$B,island_data!X:X,"NaN"))</f>
        <v>6</v>
      </c>
      <c r="DS28" s="4" t="str">
        <f>IF(_xlfn.XLOOKUP($B28,island_data!$B:$B,island_data!Y:Y,"NaN")="","NaN",_xlfn.XLOOKUP($B28,island_data!$B:$B,island_data!Y:Y,"NaN"))</f>
        <v>NaN</v>
      </c>
      <c r="DT28" s="4" t="str">
        <f>IF(_xlfn.XLOOKUP($B28,island_data!$B:$B,island_data!Z:Z,"NaN")="","NaN",_xlfn.XLOOKUP($B28,island_data!$B:$B,island_data!Z:Z,"NaN"))</f>
        <v>NaN</v>
      </c>
      <c r="DU28" s="4" t="str">
        <f>IF(_xlfn.XLOOKUP($B28,island_data!$B:$B,island_data!AA:AA,"NaN")="","NaN",_xlfn.XLOOKUP($B28,island_data!$B:$B,island_data!AA:AA,"NaN"))</f>
        <v>NaN</v>
      </c>
      <c r="DV28" s="4">
        <f>IF(_xlfn.XLOOKUP($B28,island_data!$B:$B,island_data!AB:AB,"NaN")="","NaN",_xlfn.XLOOKUP($B28,island_data!$B:$B,island_data!AB:AB,"NaN"))</f>
        <v>1</v>
      </c>
      <c r="DW28" s="4">
        <f>IF(_xlfn.XLOOKUP($B28,island_data!$B:$B,island_data!AC:AC,"NaN")="","NaN",_xlfn.XLOOKUP($B28,island_data!$B:$B,island_data!AC:AC,"NaN"))</f>
        <v>22307</v>
      </c>
      <c r="DX28" s="4">
        <f>IF(_xlfn.XLOOKUP($B28,island_data!$B:$B,island_data!AD:AD,"NaN")="","NaN",_xlfn.XLOOKUP($B28,island_data!$B:$B,island_data!AD:AD,"NaN"))</f>
        <v>5</v>
      </c>
      <c r="DY28" s="4">
        <f>IF(_xlfn.XLOOKUP($B28,island_data!$B:$B,island_data!AE:AE,"NaN")="","NaN",_xlfn.XLOOKUP($B28,island_data!$B:$B,island_data!AE:AE,"NaN"))</f>
        <v>0</v>
      </c>
      <c r="DZ28" s="4" t="str">
        <f>IF(_xlfn.XLOOKUP($B28,island_data!$B:$B,island_data!AF:AF,"NaN")="","NaN",_xlfn.XLOOKUP($B28,island_data!$B:$B,island_data!AF:AF,"NaN"))</f>
        <v>NaN</v>
      </c>
      <c r="EA28" s="4" t="str">
        <f>IF(_xlfn.XLOOKUP($B28,island_data!$B:$B,island_data!AG:AG,"NaN")="","NaN",_xlfn.XLOOKUP($B28,island_data!$B:$B,island_data!AG:AG,"NaN"))</f>
        <v>NaN</v>
      </c>
      <c r="EB28" s="4" t="str">
        <f>IF(_xlfn.XLOOKUP($B28,island_data!$B:$B,island_data!AH:AH,"NaN")="","NaN",_xlfn.XLOOKUP($B28,island_data!$B:$B,island_data!AH:AH,"NaN"))</f>
        <v>NaN</v>
      </c>
      <c r="EC28" s="4" t="str">
        <f>IF(_xlfn.XLOOKUP($B28,island_data!$B:$B,island_data!AI:AI,"NaN")="","NaN",_xlfn.XLOOKUP($B28,island_data!$B:$B,island_data!AI:AI,"NaN"))</f>
        <v>NaN</v>
      </c>
      <c r="ED28" s="4" t="str">
        <f>IF(_xlfn.XLOOKUP($B28,island_data!$B:$B,island_data!AJ:AJ,"NaN")="","NaN",_xlfn.XLOOKUP($B28,island_data!$B:$B,island_data!AJ:AJ,"NaN"))</f>
        <v>NaN</v>
      </c>
      <c r="EE28" s="4" t="str">
        <f>IF(_xlfn.XLOOKUP($B28,island_data!$B:$B,island_data!AK:AK,"NaN")="","NaN",_xlfn.XLOOKUP($B28,island_data!$B:$B,island_data!AK:AK,"NaN"))</f>
        <v>NaN</v>
      </c>
      <c r="EF28" s="4" t="str">
        <f>IF(_xlfn.XLOOKUP($B28,island_data!$B:$B,island_data!AL:AL,"NaN")="","NaN",_xlfn.XLOOKUP($B28,island_data!$B:$B,island_data!AL:AL,"NaN"))</f>
        <v>NaN</v>
      </c>
      <c r="EG28" s="4" t="str">
        <f>IF(_xlfn.XLOOKUP($B28,island_data!$B:$B,island_data!AM:AM,"NaN")="","NaN",_xlfn.XLOOKUP($B28,island_data!$B:$B,island_data!AM:AM,"NaN"))</f>
        <v>NaN</v>
      </c>
      <c r="EH28" s="4" t="str">
        <f>IF(_xlfn.XLOOKUP($B28,island_data!$B:$B,island_data!AN:AN,"NaN")="","NaN",_xlfn.XLOOKUP($B28,island_data!$B:$B,island_data!AN:AN,"NaN"))</f>
        <v>NaN</v>
      </c>
      <c r="EI28" s="4" t="str">
        <f>IF(_xlfn.XLOOKUP($B28,island_data!$B:$B,island_data!AO:AO,"NaN")="","NaN",_xlfn.XLOOKUP($B28,island_data!$B:$B,island_data!AO:AO,"NaN"))</f>
        <v>NaN</v>
      </c>
      <c r="EJ28" s="8" t="str">
        <f>IF(_xlfn.XLOOKUP($A28,TabCAT!$A:$A,TabCAT!AU:AU,"NaN")="","NaN",(_xlfn.XLOOKUP($A28,TabCAT!$A:$A,TabCAT!AU:AU,"NaN")))</f>
        <v>NaN</v>
      </c>
      <c r="EK28" s="8" t="str">
        <f>IF(_xlfn.XLOOKUP($A28,TabCAT!$A:$A,TabCAT!AV:AV,"NaN")="","NaN",(_xlfn.XLOOKUP($A28,TabCAT!$A:$A,TabCAT!AV:AV,"NaN")))</f>
        <v>NaN</v>
      </c>
      <c r="EL28" s="8" t="str">
        <f>IF(_xlfn.XLOOKUP($A28,TabCAT!$A:$A,TabCAT!AW:AW,"NaN")="","NaN",(_xlfn.XLOOKUP($A28,TabCAT!$A:$A,TabCAT!AW:AW,"NaN")))</f>
        <v>NaN</v>
      </c>
      <c r="EM28" s="8" t="str">
        <f>IF(_xlfn.XLOOKUP($A28,TabCAT!$A:$A,TabCAT!AX:AX,"NaN")="","NaN",(_xlfn.XLOOKUP($A28,TabCAT!$A:$A,TabCAT!AX:AX,"NaN")))</f>
        <v>NaN</v>
      </c>
      <c r="EN28" s="8" t="str">
        <f>IF(_xlfn.XLOOKUP($A28,TabCAT!$A:$A,TabCAT!AY:AY,"NaN")="","NaN",(_xlfn.XLOOKUP($A28,TabCAT!$A:$A,TabCAT!AY:AY,"NaN")))</f>
        <v>NaN</v>
      </c>
      <c r="EO28" s="8" t="str">
        <f>IF(_xlfn.XLOOKUP($A28,TabCAT!$A:$A,TabCAT!AZ:AZ,"NaN")="","NaN",(_xlfn.XLOOKUP($A28,TabCAT!$A:$A,TabCAT!AZ:AZ,"NaN")))</f>
        <v>NaN</v>
      </c>
      <c r="EP28" s="8" t="str">
        <f>IF(_xlfn.XLOOKUP($A28,TabCAT!$A:$A,TabCAT!BA:BA,"NaN")="","NaN",(_xlfn.XLOOKUP($A28,TabCAT!$A:$A,TabCAT!BA:BA,"NaN")))</f>
        <v>NaN</v>
      </c>
      <c r="EQ28" s="8" t="str">
        <f>IF(_xlfn.XLOOKUP($A28,TabCAT!$A:$A,TabCAT!BB:BB,"NaN")="","NaN",(_xlfn.XLOOKUP($A28,TabCAT!$A:$A,TabCAT!BB:BB,"NaN")))</f>
        <v>NaN</v>
      </c>
      <c r="ER28" s="8" t="str">
        <f>IF(_xlfn.XLOOKUP($A28,TabCAT!$A:$A,TabCAT!BC:BC,"NaN")="","NaN",(_xlfn.XLOOKUP($A28,TabCAT!$A:$A,TabCAT!BC:BC,"NaN")))</f>
        <v>NaN</v>
      </c>
      <c r="ES28" s="8" t="str">
        <f>IF(_xlfn.XLOOKUP($A28,TabCAT!$A:$A,TabCAT!BD:BD,"NaN")="","NaN",(_xlfn.XLOOKUP($A28,TabCAT!$A:$A,TabCAT!BD:BD,"NaN")))</f>
        <v>NaN</v>
      </c>
      <c r="ET28" s="8" t="str">
        <f>IF(_xlfn.XLOOKUP($A28,TabCAT!$A:$A,TabCAT!BE:BE,"NaN")="","NaN",(_xlfn.XLOOKUP($A28,TabCAT!$A:$A,TabCAT!BE:BE,"NaN")))</f>
        <v>NaN</v>
      </c>
      <c r="EU28" s="8" t="str">
        <f>IF(_xlfn.XLOOKUP($A28,TabCAT!$A:$A,TabCAT!BF:BF,"NaN")="","NaN",(_xlfn.XLOOKUP($A28,TabCAT!$A:$A,TabCAT!BF:BF,"NaN")))</f>
        <v>NaN</v>
      </c>
      <c r="EV28" s="8" t="str">
        <f>IF(_xlfn.XLOOKUP($A28,TabCAT!$A:$A,TabCAT!BG:BG,"NaN")="","NaN",(_xlfn.XLOOKUP($A28,TabCAT!$A:$A,TabCAT!BG:BG,"NaN")))</f>
        <v>NaN</v>
      </c>
      <c r="EW28" s="8" t="str">
        <f>IF(_xlfn.XLOOKUP($A28,TabCAT!$A:$A,TabCAT!BH:BH,"NaN")="","NaN",(_xlfn.XLOOKUP($A28,TabCAT!$A:$A,TabCAT!BH:BH,"NaN")))</f>
        <v>NaN</v>
      </c>
      <c r="EX28" s="8" t="str">
        <f>IF(_xlfn.XLOOKUP($A28,TabCAT!$A:$A,TabCAT!BI:BI,"NaN")="","NaN",(_xlfn.XLOOKUP($A28,TabCAT!$A:$A,TabCAT!BI:BI,"NaN")))</f>
        <v>NaN</v>
      </c>
      <c r="EY28" s="8" t="str">
        <f>IF(_xlfn.XLOOKUP($A28,TabCAT!$A:$A,TabCAT!BJ:BJ,"NaN")="","NaN",(_xlfn.XLOOKUP($A28,TabCAT!$A:$A,TabCAT!BJ:BJ,"NaN")))</f>
        <v>NaN</v>
      </c>
      <c r="EZ28" s="8" t="str">
        <f>IF(_xlfn.XLOOKUP($A28,TabCAT!$A:$A,TabCAT!BK:BK,"NaN")="","NaN",(_xlfn.XLOOKUP($A28,TabCAT!$A:$A,TabCAT!BK:BK,"NaN")))</f>
        <v>NaN</v>
      </c>
      <c r="FA28" s="8" t="str">
        <f>IF(_xlfn.XLOOKUP($A28,TabCAT!$A:$A,TabCAT!BL:BL,"NaN")="","NaN",(_xlfn.XLOOKUP($A28,TabCAT!$A:$A,TabCAT!BL:BL,"NaN")))</f>
        <v>NaN</v>
      </c>
      <c r="FB28" s="8" t="str">
        <f>IF(_xlfn.XLOOKUP($A28,TabCAT!$A:$A,TabCAT!BM:BM,"NaN")="","NaN",(_xlfn.XLOOKUP($A28,TabCAT!$A:$A,TabCAT!BM:BM,"NaN")))</f>
        <v>NaN</v>
      </c>
      <c r="FC28" s="8" t="str">
        <f>IF(_xlfn.XLOOKUP($A28,TabCAT!$A:$A,TabCAT!BN:BN,"NaN")="","NaN",(_xlfn.XLOOKUP($A28,TabCAT!$A:$A,TabCAT!BN:BN,"NaN")))</f>
        <v>NaN</v>
      </c>
      <c r="FD28" s="8" t="str">
        <f>IF(_xlfn.XLOOKUP($A28,TabCAT!$A:$A,TabCAT!BO:BO,"NaN")="","NaN",(_xlfn.XLOOKUP($A28,TabCAT!$A:$A,TabCAT!BO:BO,"NaN")))</f>
        <v>NaN</v>
      </c>
      <c r="FE28" s="8" t="str">
        <f>IF(_xlfn.XLOOKUP($A28,TabCAT!$A:$A,TabCAT!BP:BP,"NaN")="","NaN",(_xlfn.XLOOKUP($A28,TabCAT!$A:$A,TabCAT!BP:BP,"NaN")))</f>
        <v>NaN</v>
      </c>
      <c r="FF28" s="8" t="str">
        <f>IF(_xlfn.XLOOKUP($A28,TabCAT!$A:$A,TabCAT!BQ:BQ,"NaN")="","NaN",(_xlfn.XLOOKUP($A28,TabCAT!$A:$A,TabCAT!BQ:BQ,"NaN")))</f>
        <v>NaN</v>
      </c>
      <c r="FG28" s="8" t="str">
        <f>IF(_xlfn.XLOOKUP($A28,TabCAT!$A:$A,TabCAT!BR:BR,"NaN")="","NaN",(_xlfn.XLOOKUP($A28,TabCAT!$A:$A,TabCAT!BR:BR,"NaN")))</f>
        <v>NaN</v>
      </c>
      <c r="FH28" s="8" t="str">
        <f>IF(_xlfn.XLOOKUP($A28,TabCAT!$A:$A,TabCAT!BS:BS,"NaN")="","NaN",(_xlfn.XLOOKUP($A28,TabCAT!$A:$A,TabCAT!BS:BS,"NaN")))</f>
        <v>NaN</v>
      </c>
      <c r="FI28" s="8" t="str">
        <f>IF(_xlfn.XLOOKUP($A28,TabCAT!$A:$A,TabCAT!BT:BT,"NaN")="","NaN",(_xlfn.XLOOKUP($A28,TabCAT!$A:$A,TabCAT!BT:BT,"NaN")))</f>
        <v>NaN</v>
      </c>
      <c r="FJ28" s="8" t="str">
        <f>IF(_xlfn.XLOOKUP($A28,TabCAT!$A:$A,TabCAT!BU:BU,"NaN")="","NaN",(_xlfn.XLOOKUP($A28,TabCAT!$A:$A,TabCAT!BU:BU,"NaN")))</f>
        <v>NaN</v>
      </c>
      <c r="FK28" s="8" t="str">
        <f>IF(_xlfn.XLOOKUP($A28,TabCAT!$A:$A,TabCAT!BV:BV,"NaN")="","NaN",(_xlfn.XLOOKUP($A28,TabCAT!$A:$A,TabCAT!BV:BV,"NaN")))</f>
        <v>NaN</v>
      </c>
      <c r="FL28" s="8" t="str">
        <f>IF(_xlfn.XLOOKUP($A28,TabCAT!$A:$A,TabCAT!BW:BW,"NaN")="","NaN",(_xlfn.XLOOKUP($A28,TabCAT!$A:$A,TabCAT!BW:BW,"NaN")))</f>
        <v>NaN</v>
      </c>
      <c r="FM28" s="8" t="str">
        <f>IF(_xlfn.XLOOKUP($A28,TabCAT!$A:$A,TabCAT!BX:BX,"NaN")="","NaN",(_xlfn.XLOOKUP($A28,TabCAT!$A:$A,TabCAT!BX:BX,"NaN")))</f>
        <v>NaN</v>
      </c>
      <c r="FN28" s="8" t="str">
        <f>IF(_xlfn.XLOOKUP($A28,TabCAT!$A:$A,TabCAT!BY:BY,"NaN")="","NaN",(_xlfn.XLOOKUP($A28,TabCAT!$A:$A,TabCAT!BY:BY,"NaN")))</f>
        <v>NaN</v>
      </c>
      <c r="FO28" s="8" t="str">
        <f>IF(_xlfn.XLOOKUP($A28,TabCAT!$A:$A,TabCAT!BZ:BZ,"NaN")="","NaN",(_xlfn.XLOOKUP($A28,TabCAT!$A:$A,TabCAT!BZ:BZ,"NaN")))</f>
        <v>NaN</v>
      </c>
      <c r="FP28" s="8" t="str">
        <f>IF(_xlfn.XLOOKUP($A28,TabCAT!$A:$A,TabCAT!CA:CA,"NaN")="","NaN",(_xlfn.XLOOKUP($A28,TabCAT!$A:$A,TabCAT!CA:CA,"NaN")))</f>
        <v>NaN</v>
      </c>
      <c r="FQ28" s="8" t="str">
        <f>IF(_xlfn.XLOOKUP($A28,TabCAT!$A:$A,TabCAT!CB:CB,"NaN")="","NaN",(_xlfn.XLOOKUP($A28,TabCAT!$A:$A,TabCAT!CB:CB,"NaN")))</f>
        <v>NaN</v>
      </c>
      <c r="FR28" s="8" t="str">
        <f>IF(_xlfn.XLOOKUP($A28,TabCAT!$A:$A,TabCAT!CC:CC,"NaN")="","NaN",(_xlfn.XLOOKUP($A28,TabCAT!$A:$A,TabCAT!CC:CC,"NaN")))</f>
        <v>NaN</v>
      </c>
      <c r="FS28" s="8" t="str">
        <f>IF(_xlfn.XLOOKUP($A28,TabCAT!$A:$A,TabCAT!CD:CD,"NaN")="","NaN",(_xlfn.XLOOKUP($A28,TabCAT!$A:$A,TabCAT!CD:CD,"NaN")))</f>
        <v>NaN</v>
      </c>
      <c r="FT28" s="8" t="str">
        <f>IF(_xlfn.XLOOKUP($A28,TabCAT!$A:$A,TabCAT!CE:CE,"NaN")="","NaN",(_xlfn.XLOOKUP($A28,TabCAT!$A:$A,TabCAT!CE:CE,"NaN")))</f>
        <v>NaN</v>
      </c>
      <c r="FU28" s="8" t="str">
        <f>IF(_xlfn.XLOOKUP($A28,TabCAT!$A:$A,TabCAT!CF:CF,"NaN")="","NaN",(_xlfn.XLOOKUP($A28,TabCAT!$A:$A,TabCAT!CF:CF,"NaN")))</f>
        <v>NaN</v>
      </c>
      <c r="FV28" s="8" t="str">
        <f>IF(_xlfn.XLOOKUP($A28,TabCAT!$A:$A,TabCAT!CG:CG,"NaN")="","NaN",(_xlfn.XLOOKUP($A28,TabCAT!$A:$A,TabCAT!CG:CG,"NaN")))</f>
        <v>NaN</v>
      </c>
      <c r="FW28" s="8" t="str">
        <f>IF(_xlfn.XLOOKUP($A28,TabCAT!$A:$A,TabCAT!CH:CH,"NaN")="","NaN",(_xlfn.XLOOKUP($A28,TabCAT!$A:$A,TabCAT!CH:CH,"NaN")))</f>
        <v>NaN</v>
      </c>
      <c r="FX28" s="8" t="str">
        <f>IF(_xlfn.XLOOKUP($A28,TabCAT!$A:$A,TabCAT!CI:CI,"NaN")="","NaN",(_xlfn.XLOOKUP($A28,TabCAT!$A:$A,TabCAT!CI:CI,"NaN")))</f>
        <v>NaN</v>
      </c>
      <c r="FY28" s="8" t="str">
        <f>IF(_xlfn.XLOOKUP($A28,TabCAT!$A:$A,TabCAT!CJ:CJ,"NaN")="","NaN",(_xlfn.XLOOKUP($A28,TabCAT!$A:$A,TabCAT!CJ:CJ,"NaN")))</f>
        <v>NaN</v>
      </c>
      <c r="FZ28" s="8" t="str">
        <f>IF(_xlfn.XLOOKUP($A28,TabCAT!$A:$A,TabCAT!CK:CK,"NaN")="","NaN",(_xlfn.XLOOKUP($A28,TabCAT!$A:$A,TabCAT!CK:CK,"NaN")))</f>
        <v>NaN</v>
      </c>
      <c r="GA28" s="8" t="str">
        <f>IF(_xlfn.XLOOKUP($A28,TabCAT!$A:$A,TabCAT!CL:CL,"NaN")="","NaN",(_xlfn.XLOOKUP($A28,TabCAT!$A:$A,TabCAT!CL:CL,"NaN")))</f>
        <v>NaN</v>
      </c>
      <c r="GB28" s="8" t="str">
        <f>IF(_xlfn.XLOOKUP($A28,TabCAT!$A:$A,TabCAT!CM:CM,"NaN")="","NaN",(_xlfn.XLOOKUP($A28,TabCAT!$A:$A,TabCAT!CM:CM,"NaN")))</f>
        <v>NaN</v>
      </c>
      <c r="GC28" s="8" t="str">
        <f>IF(_xlfn.XLOOKUP($A28,TabCAT!$A:$A,TabCAT!CN:CN,"NaN")="","NaN",(_xlfn.XLOOKUP($A28,TabCAT!$A:$A,TabCAT!CN:CN,"NaN")))</f>
        <v>NaN</v>
      </c>
      <c r="GD28" s="8" t="str">
        <f>IF(_xlfn.XLOOKUP($A28,TabCAT!$A:$A,TabCAT!CO:CO,"NaN")="","NaN",(_xlfn.XLOOKUP($A28,TabCAT!$A:$A,TabCAT!CO:CO,"NaN")))</f>
        <v>NaN</v>
      </c>
      <c r="GE28" s="8" t="str">
        <f>IF(_xlfn.XLOOKUP($A28,TabCAT!$A:$A,TabCAT!CP:CP,"NaN")="","NaN",(_xlfn.XLOOKUP($A28,TabCAT!$A:$A,TabCAT!CP:CP,"NaN")))</f>
        <v>NaN</v>
      </c>
      <c r="GF28" s="8" t="str">
        <f>IF(_xlfn.XLOOKUP($A28,TabCAT!$A:$A,TabCAT!CQ:CQ,"NaN")="","NaN",(_xlfn.XLOOKUP($A28,TabCAT!$A:$A,TabCAT!CQ:CQ,"NaN")))</f>
        <v>NaN</v>
      </c>
      <c r="GG28" s="8" t="str">
        <f>IF(_xlfn.XLOOKUP($A28,TabCAT!$A:$A,TabCAT!CR:CR,"NaN")="","NaN",(_xlfn.XLOOKUP($A28,TabCAT!$A:$A,TabCAT!CR:CR,"NaN")))</f>
        <v>NaN</v>
      </c>
      <c r="GH28" s="8" t="str">
        <f>IF(_xlfn.XLOOKUP($A28,TabCAT!$A:$A,TabCAT!CS:CS,"NaN")="","NaN",(_xlfn.XLOOKUP($A28,TabCAT!$A:$A,TabCAT!CS:CS,"NaN")))</f>
        <v>NaN</v>
      </c>
    </row>
    <row r="29" spans="1:190" x14ac:dyDescent="0.2">
      <c r="A29">
        <v>10642</v>
      </c>
      <c r="B29">
        <f>_xlfn.XLOOKUP(bippity_poppity_boo!A29,rf1_data!A:A,rf1_data!B:B)</f>
        <v>31691</v>
      </c>
      <c r="C29" s="2">
        <f>(_xlfn.XLOOKUP($A29,trust!$A:$A,trust!B:B,"NaN"))</f>
        <v>2.285714</v>
      </c>
      <c r="D29" s="2">
        <f>(_xlfn.XLOOKUP($A29,trust!$A:$A,trust!C:C,"NaN"))</f>
        <v>2.5</v>
      </c>
      <c r="E29" s="2">
        <f>(_xlfn.XLOOKUP($A29,trust!$A:$A,trust!D:D,"NaN"))</f>
        <v>2.6666669999999999</v>
      </c>
      <c r="F29" s="2">
        <f>(_xlfn.XLOOKUP($A29,trust!$A:$A,trust!E:E,"NaN"))</f>
        <v>2.6</v>
      </c>
      <c r="G29" s="2">
        <f>(_xlfn.XLOOKUP($A29,trust!$A:$A,trust!F:F,"NaN"))</f>
        <v>5.8571429999999998</v>
      </c>
      <c r="H29" s="2">
        <f>(_xlfn.XLOOKUP($A29,trust!$A:$A,trust!G:G,"NaN"))</f>
        <v>6</v>
      </c>
      <c r="I29" s="3">
        <f>IF(_xlfn.XLOOKUP($B29,island_data!$B:$B,island_data!C:C,"NaN")="","NaN",_xlfn.XLOOKUP($B29,island_data!$B:$B,island_data!C:C,"NaN"))</f>
        <v>45000</v>
      </c>
      <c r="J29" s="3">
        <f>IF(_xlfn.XLOOKUP($B29,island_data!$B:$B,island_data!D:D,"NaN")="","NaN",_xlfn.XLOOKUP($B29,island_data!$B:$B,island_data!D:D,"NaN"))</f>
        <v>33473</v>
      </c>
      <c r="K29" s="4">
        <f>IF(_xlfn.XLOOKUP($B29,island_data!$B:$B,island_data!E:E,"NaN")="","NaN",_xlfn.XLOOKUP($B29,island_data!$B:$B,island_data!E:E,"NaN"))</f>
        <v>31.56</v>
      </c>
      <c r="L29" s="5">
        <f>IF(_xlfn.XLOOKUP($B29,rf1_data!$B:$B,rf1_data!D:D,"NaN")="","NaN",(_xlfn.XLOOKUP($B29,rf1_data!$B:$B,rf1_data!D:D,"NaN")))</f>
        <v>31.9</v>
      </c>
      <c r="M29" s="5" t="str">
        <f>IF(_xlfn.XLOOKUP($B29,rf1_data!$B:$B,rf1_data!E:E,"NaN")="","NaN",(_xlfn.XLOOKUP($B29,rf1_data!$B:$B,rf1_data!E:E,"NaN")))</f>
        <v>White</v>
      </c>
      <c r="N29" s="5" t="str">
        <f>IF(_xlfn.XLOOKUP($B29,rf1_data!$B:$B,rf1_data!F:F,"NaN")="","NaN",(_xlfn.XLOOKUP($B29,rf1_data!$B:$B,rf1_data!F:F,"NaN")))</f>
        <v>Not Hispanic or Latino</v>
      </c>
      <c r="O29" s="5" t="str">
        <f>IF(_xlfn.XLOOKUP($B29,rf1_data!$B:$B,rf1_data!G:G,"NaN")="","NaN",(_xlfn.XLOOKUP($B29,rf1_data!$B:$B,rf1_data!G:G,"NaN")))</f>
        <v>Female</v>
      </c>
      <c r="P29" s="5">
        <f>IF(_xlfn.XLOOKUP($B29,rf1_data!$B:$B,rf1_data!H:H,"NaN")="","NaN",(_xlfn.XLOOKUP($B29,rf1_data!$B:$B,rf1_data!H:H,"NaN")))</f>
        <v>4.67</v>
      </c>
      <c r="Q29" s="5">
        <f>IF(_xlfn.XLOOKUP($B29,rf1_data!$B:$B,rf1_data!I:I,"NaN")="","NaN",(_xlfn.XLOOKUP($B29,rf1_data!$B:$B,rf1_data!I:I,"NaN")))</f>
        <v>3.2</v>
      </c>
      <c r="R29" s="5">
        <f>IF(_xlfn.XLOOKUP($B29,rf1_data!$B:$B,rf1_data!J:J,"NaN")="","NaN",(_xlfn.XLOOKUP($B29,rf1_data!$B:$B,rf1_data!J:J,"NaN")))</f>
        <v>21</v>
      </c>
      <c r="S29" s="5">
        <f>IF(_xlfn.XLOOKUP($B29,rf1_data!$B:$B,rf1_data!K:K,"NaN")="","NaN",(_xlfn.XLOOKUP($B29,rf1_data!$B:$B,rf1_data!K:K,"NaN")))</f>
        <v>21</v>
      </c>
      <c r="T29" s="5">
        <f>IF(_xlfn.XLOOKUP($B29,rf1_data!$B:$B,rf1_data!L:L,"NaN")="","NaN",(_xlfn.XLOOKUP($B29,rf1_data!$B:$B,rf1_data!L:L,"NaN")))</f>
        <v>0</v>
      </c>
      <c r="U29" s="5">
        <f>IF(_xlfn.XLOOKUP($B29,rf1_data!$B:$B,rf1_data!M:M,"NaN")="","NaN",(_xlfn.XLOOKUP($B29,rf1_data!$B:$B,rf1_data!M:M,"NaN")))</f>
        <v>5</v>
      </c>
      <c r="V29" s="5">
        <f>IF(_xlfn.XLOOKUP($B29,rf1_data!$B:$B,rf1_data!N:N,"NaN")="","NaN",(_xlfn.XLOOKUP($B29,rf1_data!$B:$B,rf1_data!N:N,"NaN")))</f>
        <v>2</v>
      </c>
      <c r="W29" s="5">
        <f>IF(_xlfn.XLOOKUP($B29,rf1_data!$B:$B,rf1_data!O:O,"NaN")="","NaN",(_xlfn.XLOOKUP($B29,rf1_data!$B:$B,rf1_data!O:O,"NaN")))</f>
        <v>2.13</v>
      </c>
      <c r="X29" s="5">
        <f>IF(_xlfn.XLOOKUP($B29,rf1_data!$B:$B,rf1_data!P:P,"NaN")="","NaN",(_xlfn.XLOOKUP($B29,rf1_data!$B:$B,rf1_data!P:P,"NaN")))</f>
        <v>5.83</v>
      </c>
      <c r="Y29" s="5">
        <f>IF(_xlfn.XLOOKUP($B29,rf1_data!$B:$B,rf1_data!Q:Q,"NaN")="","NaN",(_xlfn.XLOOKUP($B29,rf1_data!$B:$B,rf1_data!Q:Q,"NaN")))</f>
        <v>3.67</v>
      </c>
      <c r="Z29" s="5">
        <f>IF(_xlfn.XLOOKUP($B29,rf1_data!$B:$B,rf1_data!R:R,"NaN")="","NaN",(_xlfn.XLOOKUP($B29,rf1_data!$B:$B,rf1_data!R:R,"NaN")))</f>
        <v>39</v>
      </c>
      <c r="AA29" s="5">
        <f>IF(_xlfn.XLOOKUP($B29,rf1_data!$B:$B,rf1_data!S:S,"NaN")="","NaN",(_xlfn.XLOOKUP($B29,rf1_data!$B:$B,rf1_data!S:S,"NaN")))</f>
        <v>7</v>
      </c>
      <c r="AB29" s="5">
        <f>IF(_xlfn.XLOOKUP($B29,rf1_data!$B:$B,rf1_data!T:T,"NaN")="","NaN",(_xlfn.XLOOKUP($B29,rf1_data!$B:$B,rf1_data!T:T,"NaN")))</f>
        <v>19</v>
      </c>
      <c r="AC29" s="5">
        <f>IF(_xlfn.XLOOKUP($B29,rf1_data!$B:$B,rf1_data!U:U,"NaN")="","NaN",(_xlfn.XLOOKUP($B29,rf1_data!$B:$B,rf1_data!U:U,"NaN")))</f>
        <v>8</v>
      </c>
      <c r="AD29" s="5">
        <f>IF(_xlfn.XLOOKUP($B29,rf1_data!$B:$B,rf1_data!V:V,"NaN")="","NaN",(_xlfn.XLOOKUP($B29,rf1_data!$B:$B,rf1_data!V:V,"NaN")))</f>
        <v>5</v>
      </c>
      <c r="AE29" s="5">
        <f>IF(_xlfn.XLOOKUP($B29,rf1_data!$B:$B,rf1_data!W:W,"NaN")="","NaN",(_xlfn.XLOOKUP($B29,rf1_data!$B:$B,rf1_data!W:W,"NaN")))</f>
        <v>1</v>
      </c>
      <c r="AF29" s="5">
        <f>IF(_xlfn.XLOOKUP($B29,rf1_data!$B:$B,rf1_data!X:X,"NaN")="","NaN",(_xlfn.XLOOKUP($B29,rf1_data!$B:$B,rf1_data!X:X,"NaN")))</f>
        <v>7</v>
      </c>
      <c r="AG29" s="5">
        <f>IF(_xlfn.XLOOKUP($B29,rf1_data!$B:$B,rf1_data!Y:Y,"NaN")="","NaN",(_xlfn.XLOOKUP($B29,rf1_data!$B:$B,rf1_data!Y:Y,"NaN")))</f>
        <v>5</v>
      </c>
      <c r="AH29" s="5">
        <f>IF(_xlfn.XLOOKUP($B29,rf1_data!$B:$B,rf1_data!Z:Z,"NaN")="","NaN",(_xlfn.XLOOKUP($B29,rf1_data!$B:$B,rf1_data!Z:Z,"NaN")))</f>
        <v>5</v>
      </c>
      <c r="AI29" s="5">
        <f>IF(_xlfn.XLOOKUP($B29,rf1_data!$B:$B,rf1_data!AA:AA,"NaN")="","NaN",(_xlfn.XLOOKUP($B29,rf1_data!$B:$B,rf1_data!AA:AA,"NaN")))</f>
        <v>4</v>
      </c>
      <c r="AJ29" s="5">
        <f>IF(_xlfn.XLOOKUP($B29,rf1_data!$B:$B,rf1_data!AB:AB,"NaN")="","NaN",(_xlfn.XLOOKUP($B29,rf1_data!$B:$B,rf1_data!AB:AB,"NaN")))</f>
        <v>22</v>
      </c>
      <c r="AK29" s="5">
        <f>IF(_xlfn.XLOOKUP($B29,rf1_data!$B:$B,rf1_data!AC:AC,"NaN")="","NaN",(_xlfn.XLOOKUP($B29,rf1_data!$B:$B,rf1_data!AC:AC,"NaN")))</f>
        <v>33</v>
      </c>
      <c r="AL29" s="5">
        <f>IF(_xlfn.XLOOKUP($B29,rf1_data!$B:$B,rf1_data!AD:AD,"NaN")="","NaN",(_xlfn.XLOOKUP($B29,rf1_data!$B:$B,rf1_data!AD:AD,"NaN")))</f>
        <v>13</v>
      </c>
      <c r="AM29" s="5">
        <f>IF(_xlfn.XLOOKUP($B29,rf1_data!$B:$B,rf1_data!AE:AE,"NaN")="","NaN",(_xlfn.XLOOKUP($B29,rf1_data!$B:$B,rf1_data!AE:AE,"NaN")))</f>
        <v>0</v>
      </c>
      <c r="AN29" s="5">
        <f>IF(_xlfn.XLOOKUP($B29,rf1_data!$B:$B,rf1_data!AF:AF,"NaN")="","NaN",(_xlfn.XLOOKUP($B29,rf1_data!$B:$B,rf1_data!AF:AF,"NaN")))</f>
        <v>0</v>
      </c>
      <c r="AO29" s="5">
        <f>IF(_xlfn.XLOOKUP($B29,rf1_data!$B:$B,rf1_data!AG:AG,"NaN")="","NaN",(_xlfn.XLOOKUP($B29,rf1_data!$B:$B,rf1_data!AG:AG,"NaN")))</f>
        <v>3.83</v>
      </c>
      <c r="AP29" s="5">
        <f>IF(_xlfn.XLOOKUP($B29,rf1_data!$B:$B,rf1_data!AH:AH,"NaN")="","NaN",(_xlfn.XLOOKUP($B29,rf1_data!$B:$B,rf1_data!AH:AH,"NaN")))</f>
        <v>4.75</v>
      </c>
      <c r="AQ29" s="5">
        <f>IF(_xlfn.XLOOKUP($B29,rf1_data!$B:$B,rf1_data!AI:AI,"NaN")="","NaN",(_xlfn.XLOOKUP($B29,rf1_data!$B:$B,rf1_data!AI:AI,"NaN")))</f>
        <v>1</v>
      </c>
      <c r="AR29" s="5">
        <f>IF(_xlfn.XLOOKUP($B29,rf1_data!$B:$B,rf1_data!AJ:AJ,"NaN")="","NaN",(_xlfn.XLOOKUP($B29,rf1_data!$B:$B,rf1_data!AJ:AJ,"NaN")))</f>
        <v>5.75</v>
      </c>
      <c r="AS29" s="5">
        <f>IF(_xlfn.XLOOKUP($B29,rf1_data!$B:$B,rf1_data!AK:AK,"NaN")="","NaN",(_xlfn.XLOOKUP($B29,rf1_data!$B:$B,rf1_data!AK:AK,"NaN")))</f>
        <v>2.6</v>
      </c>
      <c r="AT29" s="5">
        <f>IF(_xlfn.XLOOKUP($B29,rf1_data!$B:$B,rf1_data!AL:AL,"NaN")="","NaN",(_xlfn.XLOOKUP($B29,rf1_data!$B:$B,rf1_data!AL:AL,"NaN")))</f>
        <v>12</v>
      </c>
      <c r="AU29" s="5">
        <f>IF(_xlfn.XLOOKUP($B29,rf1_data!$B:$B,rf1_data!AM:AM,"NaN")="","NaN",(_xlfn.XLOOKUP($B29,rf1_data!$B:$B,rf1_data!AM:AM,"NaN")))</f>
        <v>1.92</v>
      </c>
      <c r="AV29" s="5">
        <f>IF(_xlfn.XLOOKUP($B29,rf1_data!$B:$B,rf1_data!AN:AN,"NaN")="","NaN",(_xlfn.XLOOKUP($B29,rf1_data!$B:$B,rf1_data!AN:AN,"NaN")))</f>
        <v>14</v>
      </c>
      <c r="AW29" s="5">
        <f>IF(_xlfn.XLOOKUP($B29,rf1_data!$B:$B,rf1_data!AO:AO,"NaN")="","NaN",(_xlfn.XLOOKUP($B29,rf1_data!$B:$B,rf1_data!AO:AO,"NaN")))</f>
        <v>1.17</v>
      </c>
      <c r="AX29" s="5">
        <f>IF(_xlfn.XLOOKUP($B29,rf1_data!$B:$B,rf1_data!AP:AP,"NaN")="","NaN",(_xlfn.XLOOKUP($B29,rf1_data!$B:$B,rf1_data!AP:AP,"NaN")))</f>
        <v>9999</v>
      </c>
      <c r="AY29" s="5" t="str">
        <f>IF(_xlfn.XLOOKUP($B29,rf1_data!$B:$B,rf1_data!AQ:AQ,"NaN")="","NaN",(_xlfn.XLOOKUP($B29,rf1_data!$B:$B,rf1_data!AQ:AQ,"NaN")))</f>
        <v>NaN</v>
      </c>
      <c r="AZ29" s="5" t="str">
        <f>IF(_xlfn.XLOOKUP($B29,rf1_data!$B:$B,rf1_data!AR:AR,"NaN")="","NaN",(_xlfn.XLOOKUP($B29,rf1_data!$B:$B,rf1_data!AR:AR,"NaN")))</f>
        <v>NaN</v>
      </c>
      <c r="BA29" s="5" t="str">
        <f>IF(_xlfn.XLOOKUP($B29,rf1_data!$B:$B,rf1_data!AS:AS,"NaN")="","NaN",(_xlfn.XLOOKUP($B29,rf1_data!$B:$B,rf1_data!AS:AS,"NaN")))</f>
        <v>NaN</v>
      </c>
      <c r="BB29" s="5" t="str">
        <f>IF(_xlfn.XLOOKUP($B29,rf1_data!$B:$B,rf1_data!AT:AT,"NaN")="","NaN",(_xlfn.XLOOKUP($B29,rf1_data!$B:$B,rf1_data!AT:AT,"NaN")))</f>
        <v>NaN</v>
      </c>
      <c r="BC29" s="5" t="str">
        <f>IF(_xlfn.XLOOKUP($B29,rf1_data!$B:$B,rf1_data!AU:AU,"NaN")="","NaN",(_xlfn.XLOOKUP($B29,rf1_data!$B:$B,rf1_data!AU:AU,"NaN")))</f>
        <v>NaN</v>
      </c>
      <c r="BD29" s="5" t="str">
        <f>IF(_xlfn.XLOOKUP($B29,rf1_data!$B:$B,rf1_data!AV:AV,"NaN")="","NaN",(_xlfn.XLOOKUP($B29,rf1_data!$B:$B,rf1_data!AV:AV,"NaN")))</f>
        <v>NaN</v>
      </c>
      <c r="BE29" s="5" t="str">
        <f>IF(_xlfn.XLOOKUP($B29,rf1_data!$B:$B,rf1_data!AW:AW,"NaN")="","NaN",(_xlfn.XLOOKUP($B29,rf1_data!$B:$B,rf1_data!AW:AW,"NaN")))</f>
        <v>NaN</v>
      </c>
      <c r="BF29" s="5" t="str">
        <f>IF(_xlfn.XLOOKUP($B29,rf1_data!$B:$B,rf1_data!AX:AX,"NaN")="","NaN",(_xlfn.XLOOKUP($B29,rf1_data!$B:$B,rf1_data!AX:AX,"NaN")))</f>
        <v>NaN</v>
      </c>
      <c r="BG29" s="5" t="str">
        <f>IF(_xlfn.XLOOKUP($B29,rf1_data!$B:$B,rf1_data!AY:AY,"NaN")="","NaN",(_xlfn.XLOOKUP($B29,rf1_data!$B:$B,rf1_data!AY:AY,"NaN")))</f>
        <v>NaN</v>
      </c>
      <c r="BH29" s="5" t="str">
        <f>IF(_xlfn.XLOOKUP($B29,rf1_data!$B:$B,rf1_data!AZ:AZ,"NaN")="","NaN",(_xlfn.XLOOKUP($B29,rf1_data!$B:$B,rf1_data!AZ:AZ,"NaN")))</f>
        <v>NaN</v>
      </c>
      <c r="BI29" s="5">
        <f>IF(_xlfn.XLOOKUP($B29,rf1_data!$B:$B,rf1_data!BA:BA,"NaN")="","NaN",(_xlfn.XLOOKUP($B29,rf1_data!$B:$B,rf1_data!BA:BA,"NaN")))</f>
        <v>20</v>
      </c>
      <c r="BJ29" s="5" t="str">
        <f>IF(_xlfn.XLOOKUP($B29,rf1_data!$B:$B,rf1_data!BB:BB,"NaN")="","NaN",(_xlfn.XLOOKUP($B29,rf1_data!$B:$B,rf1_data!BB:BB,"NaN")))</f>
        <v>NaN</v>
      </c>
      <c r="BK29" s="5" t="str">
        <f>IF(_xlfn.XLOOKUP($B29,rf1_data!$B:$B,rf1_data!BC:BC,"NaN")="","NaN",(_xlfn.XLOOKUP($B29,rf1_data!$B:$B,rf1_data!BC:BC,"NaN")))</f>
        <v>NaN</v>
      </c>
      <c r="BL29" s="5" t="str">
        <f>IF(_xlfn.XLOOKUP($B29,rf1_data!$B:$B,rf1_data!BD:BD,"NaN")="","NaN",(_xlfn.XLOOKUP($B29,rf1_data!$B:$B,rf1_data!BD:BD,"NaN")))</f>
        <v>NaN</v>
      </c>
      <c r="BM29" s="5" t="str">
        <f>IF(_xlfn.XLOOKUP($B29,rf1_data!$B:$B,rf1_data!BE:BE,"NaN")="","NaN",(_xlfn.XLOOKUP($B29,rf1_data!$B:$B,rf1_data!BE:BE,"NaN")))</f>
        <v>NaN</v>
      </c>
      <c r="BN29" s="5" t="str">
        <f>IF(_xlfn.XLOOKUP($B29,rf1_data!$B:$B,rf1_data!BF:BF,"NaN")="","NaN",(_xlfn.XLOOKUP($B29,rf1_data!$B:$B,rf1_data!BF:BF,"NaN")))</f>
        <v>NaN</v>
      </c>
      <c r="BO29" s="5" t="str">
        <f>IF(_xlfn.XLOOKUP($B29,rf1_data!$B:$B,rf1_data!BG:BG,"NaN")="","NaN",(_xlfn.XLOOKUP($B29,rf1_data!$B:$B,rf1_data!BG:BG,"NaN")))</f>
        <v>NaN</v>
      </c>
      <c r="BP29" s="5" t="str">
        <f>IF(_xlfn.XLOOKUP($B29,rf1_data!$B:$B,rf1_data!BH:BH,"NaN")="","NaN",(_xlfn.XLOOKUP($B29,rf1_data!$B:$B,rf1_data!BH:BH,"NaN")))</f>
        <v>NaN</v>
      </c>
      <c r="BQ29" s="5" t="str">
        <f>IF(_xlfn.XLOOKUP($B29,rf1_data!$B:$B,rf1_data!BI:BI,"NaN")="","NaN",(_xlfn.XLOOKUP($B29,rf1_data!$B:$B,rf1_data!BI:BI,"NaN")))</f>
        <v>NaN</v>
      </c>
      <c r="BR29" s="5">
        <f>IF(_xlfn.XLOOKUP($B29,rf1_data!$B:$B,rf1_data!BJ:BJ,"NaN")="","NaN",(_xlfn.XLOOKUP($B29,rf1_data!$B:$B,rf1_data!BJ:BJ,"NaN")))</f>
        <v>8991</v>
      </c>
      <c r="BS29" s="5" t="str">
        <f>IF(_xlfn.XLOOKUP($B29,rf1_data!$B:$B,rf1_data!BK:BK,"NaN")="","NaN",(_xlfn.XLOOKUP($B29,rf1_data!$B:$B,rf1_data!BK:BK,"NaN")))</f>
        <v>NaN</v>
      </c>
      <c r="BT29" s="5" t="str">
        <f>IF(_xlfn.XLOOKUP($B29,rf1_data!$B:$B,rf1_data!BL:BL,"NaN")="","NaN",(_xlfn.XLOOKUP($B29,rf1_data!$B:$B,rf1_data!BL:BL,"NaN")))</f>
        <v>NaN</v>
      </c>
      <c r="BU29" s="5" t="str">
        <f>IF(_xlfn.XLOOKUP($B29,rf1_data!$B:$B,rf1_data!BM:BM,"NaN")="","NaN",(_xlfn.XLOOKUP($B29,rf1_data!$B:$B,rf1_data!BM:BM,"NaN")))</f>
        <v>NaN</v>
      </c>
      <c r="BV29" s="5" t="str">
        <f>IF(_xlfn.XLOOKUP($B29,rf1_data!$B:$B,rf1_data!BN:BN,"NaN")="","NaN",(_xlfn.XLOOKUP($B29,rf1_data!$B:$B,rf1_data!BN:BN,"NaN")))</f>
        <v>NaN</v>
      </c>
      <c r="BW29" s="5">
        <f>IF(_xlfn.XLOOKUP($B29,rf1_data!$B:$B,rf1_data!BO:BO,"NaN")="","NaN",(_xlfn.XLOOKUP($B29,rf1_data!$B:$B,rf1_data!BO:BO,"NaN")))</f>
        <v>2.2999999999999998</v>
      </c>
      <c r="BX29" s="5">
        <f>IF(_xlfn.XLOOKUP($B29,rf1_data!$B:$B,rf1_data!BP:BP,"NaN")="","NaN",(_xlfn.XLOOKUP($B29,rf1_data!$B:$B,rf1_data!BP:BP,"NaN")))</f>
        <v>4.2</v>
      </c>
      <c r="BY29" s="5">
        <f>IF(_xlfn.XLOOKUP($B29,rf1_data!$B:$B,rf1_data!BQ:BQ,"NaN")="","NaN",(_xlfn.XLOOKUP($B29,rf1_data!$B:$B,rf1_data!BQ:BQ,"NaN")))</f>
        <v>3.8</v>
      </c>
      <c r="BZ29" s="5">
        <f>IF(_xlfn.XLOOKUP($B29,rf1_data!$B:$B,rf1_data!BR:BR,"NaN")="","NaN",(_xlfn.XLOOKUP($B29,rf1_data!$B:$B,rf1_data!BR:BR,"NaN")))</f>
        <v>3.43</v>
      </c>
      <c r="CA29" s="5">
        <f>IF(_xlfn.XLOOKUP($B29,rf1_data!$B:$B,rf1_data!BS:BS,"NaN")="","NaN",(_xlfn.XLOOKUP($B29,rf1_data!$B:$B,rf1_data!BS:BS,"NaN")))</f>
        <v>5.1666666666666599</v>
      </c>
      <c r="CB29" s="5">
        <f>IF(_xlfn.XLOOKUP($B29,rf1_data!$B:$B,rf1_data!BT:BT,"NaN")="","NaN",(_xlfn.XLOOKUP($B29,rf1_data!$B:$B,rf1_data!BT:BT,"NaN")))</f>
        <v>3.5</v>
      </c>
      <c r="CC29" s="5">
        <f>IF(_xlfn.XLOOKUP($B29,rf1_data!$B:$B,rf1_data!BU:BU,"NaN")="","NaN",(_xlfn.XLOOKUP($B29,rf1_data!$B:$B,rf1_data!BU:BU,"NaN")))</f>
        <v>3.5</v>
      </c>
      <c r="CD29" s="5">
        <f>IF(_xlfn.XLOOKUP($B29,rf1_data!$B:$B,rf1_data!BV:BV,"NaN")="","NaN",(_xlfn.XLOOKUP($B29,rf1_data!$B:$B,rf1_data!BV:BV,"NaN")))</f>
        <v>4.3333333333333304</v>
      </c>
      <c r="CE29" s="5">
        <f>IF(_xlfn.XLOOKUP($B29,rf1_data!$B:$B,rf1_data!BW:BW,"NaN")="","NaN",(_xlfn.XLOOKUP($B29,rf1_data!$B:$B,rf1_data!BW:BW,"NaN")))</f>
        <v>1.6</v>
      </c>
      <c r="CF29" s="5">
        <f>IF(_xlfn.XLOOKUP($B29,rf1_data!$B:$B,rf1_data!BX:BX,"NaN")="","NaN",(_xlfn.XLOOKUP($B29,rf1_data!$B:$B,rf1_data!BX:BX,"NaN")))</f>
        <v>0</v>
      </c>
      <c r="CG29" s="5">
        <f>IF(_xlfn.XLOOKUP($B29,rf1_data!$B:$B,rf1_data!BY:BY,"NaN")="","NaN",(_xlfn.XLOOKUP($B29,rf1_data!$B:$B,rf1_data!BY:BY,"NaN")))</f>
        <v>0</v>
      </c>
      <c r="CH29" s="5">
        <f>IF(_xlfn.XLOOKUP($B29,rf1_data!$B:$B,rf1_data!BZ:BZ,"NaN")="","NaN",(_xlfn.XLOOKUP($B29,rf1_data!$B:$B,rf1_data!BZ:BZ,"NaN")))</f>
        <v>26</v>
      </c>
      <c r="CI29" s="5">
        <f>IF(_xlfn.XLOOKUP($B29,rf1_data!$B:$B,rf1_data!CA:CA,"NaN")="","NaN",(_xlfn.XLOOKUP($B29,rf1_data!$B:$B,rf1_data!CA:CA,"NaN")))</f>
        <v>27</v>
      </c>
      <c r="CJ29" s="5">
        <f>IF(_xlfn.XLOOKUP($B29,rf1_data!$B:$B,rf1_data!CB:CB,"NaN")="","NaN",(_xlfn.XLOOKUP($B29,rf1_data!$B:$B,rf1_data!CB:CB,"NaN")))</f>
        <v>10</v>
      </c>
      <c r="CK29" s="5">
        <f>IF(_xlfn.XLOOKUP($B29,rf1_data!$B:$B,rf1_data!CC:CC,"NaN")="","NaN",(_xlfn.XLOOKUP($B29,rf1_data!$B:$B,rf1_data!CC:CC,"NaN")))</f>
        <v>0.83333333333333304</v>
      </c>
      <c r="CL29" s="5">
        <f>IF(_xlfn.XLOOKUP($B29,rf1_data!$B:$B,rf1_data!CD:CD,"NaN")=0,"NaN",(_xlfn.XLOOKUP($B29,rf1_data!$B:$B,rf1_data!CD:CD,"NaN")))</f>
        <v>34</v>
      </c>
      <c r="CM29" s="5">
        <f>IF(_xlfn.XLOOKUP($B29,rf1_data!$B:$B,rf1_data!CE:CE,"NaN")="","NaN",(_xlfn.XLOOKUP($B29,rf1_data!$B:$B,rf1_data!CE:CE,"NaN")))</f>
        <v>46</v>
      </c>
      <c r="CN29" s="5">
        <f>IF(_xlfn.XLOOKUP($B29,rf1_data!$B:$B,rf1_data!CF:CF,"NaN")="","NaN",(_xlfn.XLOOKUP($B29,rf1_data!$B:$B,rf1_data!CF:CF,"NaN")))</f>
        <v>59</v>
      </c>
      <c r="CO29" s="5">
        <f>IF(_xlfn.XLOOKUP($B29,rf1_data!$B:$B,rf1_data!CG:CG,"NaN")="","NaN",(_xlfn.XLOOKUP($B29,rf1_data!$B:$B,rf1_data!CG:CG,"NaN")))</f>
        <v>23</v>
      </c>
      <c r="CP29" s="5">
        <f>IF(_xlfn.XLOOKUP($B29,rf1_data!$B:$B,rf1_data!CH:CH,"NaN")=0,"NaN",(_xlfn.XLOOKUP($B29,rf1_data!$B:$B,rf1_data!CH:CH,"NaN")))</f>
        <v>28</v>
      </c>
      <c r="CQ29" s="5">
        <f>IF(_xlfn.XLOOKUP($B29,rf1_data!$B:$B,rf1_data!CI:CI,"NaN")="","NaN",(_xlfn.XLOOKUP($B29,rf1_data!$B:$B,rf1_data!CI:CI,"NaN")))</f>
        <v>42</v>
      </c>
      <c r="CR29" s="5">
        <f>IF(_xlfn.XLOOKUP($B29,rf1_data!$B:$B,rf1_data!CJ:CJ,"NaN")="","NaN",(_xlfn.XLOOKUP($B29,rf1_data!$B:$B,rf1_data!CJ:CJ,"NaN")))</f>
        <v>60</v>
      </c>
      <c r="CS29" s="5">
        <f>IF(_xlfn.XLOOKUP($B29,rf1_data!$B:$B,rf1_data!CK:CK,"NaN")="","NaN",(_xlfn.XLOOKUP($B29,rf1_data!$B:$B,rf1_data!CK:CK,"NaN")))</f>
        <v>39</v>
      </c>
      <c r="CT29" s="5">
        <f>IF(_xlfn.XLOOKUP($B29,rf1_data!$B:$B,rf1_data!CL:CL,"NaN")="","NaN",(_xlfn.XLOOKUP($B29,rf1_data!$B:$B,rf1_data!CL:CL,"NaN")))</f>
        <v>60</v>
      </c>
      <c r="CU29" s="5">
        <f>IF(_xlfn.XLOOKUP($B29,rf1_data!$B:$B,rf1_data!CM:CM,"NaN")="","NaN",(_xlfn.XLOOKUP($B29,rf1_data!$B:$B,rf1_data!CM:CM,"NaN")))</f>
        <v>30</v>
      </c>
      <c r="CV29" s="5">
        <f>IF(_xlfn.XLOOKUP($B29,rf1_data!$B:$B,rf1_data!CN:CN,"NaN")="","NaN",(_xlfn.XLOOKUP($B29,rf1_data!$B:$B,rf1_data!CN:CN,"NaN")))</f>
        <v>60</v>
      </c>
      <c r="CW29" s="5" t="str">
        <f>IF(_xlfn.XLOOKUP($B29,rf1_data!$B:$B,rf1_data!CO:CO,"NaN")="","NaN",(_xlfn.XLOOKUP($B29,rf1_data!$B:$B,rf1_data!CO:CO,"NaN")))</f>
        <v>NaN</v>
      </c>
      <c r="CX29" s="5" t="str">
        <f>IF(_xlfn.XLOOKUP($B29,rf1_data!$B:$B,rf1_data!CP:CP,"NaN")="","NaN",(_xlfn.XLOOKUP($B29,rf1_data!$B:$B,rf1_data!CP:CP,"NaN")))</f>
        <v>NaN</v>
      </c>
      <c r="CY29" s="5">
        <f>IF(_xlfn.XLOOKUP($B29,rf1_data!$B:$B,rf1_data!CQ:CQ,"NaN")="","NaN",(_xlfn.XLOOKUP($B29,rf1_data!$B:$B,rf1_data!CQ:CQ,"NaN")))</f>
        <v>2</v>
      </c>
      <c r="CZ29" s="5">
        <f>IF(_xlfn.XLOOKUP($B29,rf1_data!$B:$B,rf1_data!CR:CR,"NaN")="","NaN",(_xlfn.XLOOKUP($B29,rf1_data!$B:$B,rf1_data!CR:CR,"NaN")))</f>
        <v>4</v>
      </c>
      <c r="DA29" s="5">
        <f>IF(_xlfn.XLOOKUP($B29,rf1_data!$B:$B,rf1_data!CS:CS,"NaN")="","NaN",(_xlfn.XLOOKUP($B29,rf1_data!$B:$B,rf1_data!CS:CS,"NaN")))</f>
        <v>1</v>
      </c>
      <c r="DB29" s="4">
        <f>IF(_xlfn.XLOOKUP($B29,island_data!$B:$B,island_data!H:H,"NaN")="","NaN",_xlfn.XLOOKUP($B29,island_data!$B:$B,island_data!H:H,"NaN"))</f>
        <v>2</v>
      </c>
      <c r="DC29" s="4">
        <f>IF(_xlfn.XLOOKUP($B29,island_data!$B:$B,island_data!I:I,"NaN")="","NaN",_xlfn.XLOOKUP($B29,island_data!$B:$B,island_data!I:I,"NaN"))</f>
        <v>5</v>
      </c>
      <c r="DD29" s="4">
        <f>IF(_xlfn.XLOOKUP($B29,island_data!$B:$B,island_data!J:J,"NaN")="","NaN",_xlfn.XLOOKUP($B29,island_data!$B:$B,island_data!J:J,"NaN"))</f>
        <v>6</v>
      </c>
      <c r="DE29" s="4" t="str">
        <f>IF(_xlfn.XLOOKUP($B29,island_data!$B:$B,island_data!K:K,"NaN")="","NaN",_xlfn.XLOOKUP($B29,island_data!$B:$B,island_data!K:K,"NaN"))</f>
        <v>NaN</v>
      </c>
      <c r="DF29" s="4">
        <f>IF(_xlfn.XLOOKUP($B29,island_data!$B:$B,island_data!L:L,"NaN")="","NaN",_xlfn.XLOOKUP($B29,island_data!$B:$B,island_data!L:L,"NaN"))</f>
        <v>0</v>
      </c>
      <c r="DG29" s="4">
        <f>IF(_xlfn.XLOOKUP($B29,island_data!$B:$B,island_data!M:M,"NaN")="","NaN",_xlfn.XLOOKUP($B29,island_data!$B:$B,island_data!M:M,"NaN"))</f>
        <v>2</v>
      </c>
      <c r="DH29" s="4">
        <f>IF(_xlfn.XLOOKUP($B29,island_data!$B:$B,island_data!N:N,"NaN")="","NaN",_xlfn.XLOOKUP($B29,island_data!$B:$B,island_data!N:N,"NaN"))</f>
        <v>6</v>
      </c>
      <c r="DI29" s="4" t="str">
        <f>IF(_xlfn.XLOOKUP($B29,island_data!$B:$B,island_data!O:O,"NaN")=999,"NaN",_xlfn.XLOOKUP($B29,island_data!$B:$B,island_data!O:O,"NaN"))</f>
        <v>NaN</v>
      </c>
      <c r="DJ29" s="4">
        <f>IF(_xlfn.XLOOKUP($B29,island_data!$B:$B,island_data!P:P,"NaN")="","NaN",_xlfn.XLOOKUP($B29,island_data!$B:$B,island_data!P:P,"NaN"))</f>
        <v>4</v>
      </c>
      <c r="DK29" s="4">
        <f>IF(_xlfn.XLOOKUP($B29,island_data!$B:$B,island_data!Q:Q,"NaN")="","NaN",_xlfn.XLOOKUP($B29,island_data!$B:$B,island_data!Q:Q,"NaN"))</f>
        <v>6</v>
      </c>
      <c r="DL29" s="4" t="str">
        <f>IF(_xlfn.XLOOKUP($B29,island_data!$B:$B,island_data!R:R,"NaN")=999,"NaN",_xlfn.XLOOKUP($B29,island_data!$B:$B,island_data!R:R,"NaN"))</f>
        <v>NaN</v>
      </c>
      <c r="DM29" s="4">
        <f>IF(_xlfn.XLOOKUP($B29,island_data!$B:$B,island_data!S:S,"NaN")="","NaN",_xlfn.XLOOKUP($B29,island_data!$B:$B,island_data!S:S,"NaN"))</f>
        <v>6</v>
      </c>
      <c r="DN29" s="4">
        <f>IF(_xlfn.XLOOKUP($B29,island_data!$B:$B,island_data!T:T,"NaN")="","NaN",_xlfn.XLOOKUP($B29,island_data!$B:$B,island_data!T:T,"NaN"))</f>
        <v>2.75</v>
      </c>
      <c r="DO29" s="4">
        <f>IF(_xlfn.XLOOKUP($B29,island_data!$B:$B,island_data!U:U,"NaN")="","NaN",_xlfn.XLOOKUP($B29,island_data!$B:$B,island_data!U:U,"NaN"))</f>
        <v>4</v>
      </c>
      <c r="DP29" s="4">
        <f>IF(_xlfn.XLOOKUP($B29,island_data!$B:$B,island_data!V:V,"NaN")="","NaN",_xlfn.XLOOKUP($B29,island_data!$B:$B,island_data!V:V,"NaN"))</f>
        <v>0</v>
      </c>
      <c r="DQ29" s="4">
        <f>IF(_xlfn.XLOOKUP($B29,island_data!$B:$B,island_data!W:W,"NaN")="","NaN",_xlfn.XLOOKUP($B29,island_data!$B:$B,island_data!W:W,"NaN"))</f>
        <v>4</v>
      </c>
      <c r="DR29" s="4">
        <f>IF(_xlfn.XLOOKUP($B29,island_data!$B:$B,island_data!X:X,"NaN")="","NaN",_xlfn.XLOOKUP($B29,island_data!$B:$B,island_data!X:X,"NaN"))</f>
        <v>4</v>
      </c>
      <c r="DS29" s="4" t="str">
        <f>IF(_xlfn.XLOOKUP($B29,island_data!$B:$B,island_data!Y:Y,"NaN")="","NaN",_xlfn.XLOOKUP($B29,island_data!$B:$B,island_data!Y:Y,"NaN"))</f>
        <v>NaN</v>
      </c>
      <c r="DT29" s="4" t="str">
        <f>IF(_xlfn.XLOOKUP($B29,island_data!$B:$B,island_data!Z:Z,"NaN")="","NaN",_xlfn.XLOOKUP($B29,island_data!$B:$B,island_data!Z:Z,"NaN"))</f>
        <v>NaN</v>
      </c>
      <c r="DU29" s="4" t="str">
        <f>IF(_xlfn.XLOOKUP($B29,island_data!$B:$B,island_data!AA:AA,"NaN")="","NaN",_xlfn.XLOOKUP($B29,island_data!$B:$B,island_data!AA:AA,"NaN"))</f>
        <v>NaN</v>
      </c>
      <c r="DV29" s="4">
        <f>IF(_xlfn.XLOOKUP($B29,island_data!$B:$B,island_data!AB:AB,"NaN")="","NaN",_xlfn.XLOOKUP($B29,island_data!$B:$B,island_data!AB:AB,"NaN"))</f>
        <v>1</v>
      </c>
      <c r="DW29" s="4">
        <f>IF(_xlfn.XLOOKUP($B29,island_data!$B:$B,island_data!AC:AC,"NaN")="","NaN",_xlfn.XLOOKUP($B29,island_data!$B:$B,island_data!AC:AC,"NaN"))</f>
        <v>19124</v>
      </c>
      <c r="DX29" s="4">
        <f>IF(_xlfn.XLOOKUP($B29,island_data!$B:$B,island_data!AD:AD,"NaN")="","NaN",_xlfn.XLOOKUP($B29,island_data!$B:$B,island_data!AD:AD,"NaN"))</f>
        <v>4</v>
      </c>
      <c r="DY29" s="4">
        <f>IF(_xlfn.XLOOKUP($B29,island_data!$B:$B,island_data!AE:AE,"NaN")="","NaN",_xlfn.XLOOKUP($B29,island_data!$B:$B,island_data!AE:AE,"NaN"))</f>
        <v>0</v>
      </c>
      <c r="DZ29" s="4" t="str">
        <f>IF(_xlfn.XLOOKUP($B29,island_data!$B:$B,island_data!AF:AF,"NaN")="","NaN",_xlfn.XLOOKUP($B29,island_data!$B:$B,island_data!AF:AF,"NaN"))</f>
        <v>NaN</v>
      </c>
      <c r="EA29" s="4" t="str">
        <f>IF(_xlfn.XLOOKUP($B29,island_data!$B:$B,island_data!AG:AG,"NaN")="","NaN",_xlfn.XLOOKUP($B29,island_data!$B:$B,island_data!AG:AG,"NaN"))</f>
        <v>NaN</v>
      </c>
      <c r="EB29" s="4" t="str">
        <f>IF(_xlfn.XLOOKUP($B29,island_data!$B:$B,island_data!AH:AH,"NaN")="","NaN",_xlfn.XLOOKUP($B29,island_data!$B:$B,island_data!AH:AH,"NaN"))</f>
        <v>NaN</v>
      </c>
      <c r="EC29" s="4" t="str">
        <f>IF(_xlfn.XLOOKUP($B29,island_data!$B:$B,island_data!AI:AI,"NaN")="","NaN",_xlfn.XLOOKUP($B29,island_data!$B:$B,island_data!AI:AI,"NaN"))</f>
        <v>NaN</v>
      </c>
      <c r="ED29" s="4" t="str">
        <f>IF(_xlfn.XLOOKUP($B29,island_data!$B:$B,island_data!AJ:AJ,"NaN")="","NaN",_xlfn.XLOOKUP($B29,island_data!$B:$B,island_data!AJ:AJ,"NaN"))</f>
        <v>NaN</v>
      </c>
      <c r="EE29" s="4" t="str">
        <f>IF(_xlfn.XLOOKUP($B29,island_data!$B:$B,island_data!AK:AK,"NaN")="","NaN",_xlfn.XLOOKUP($B29,island_data!$B:$B,island_data!AK:AK,"NaN"))</f>
        <v>NaN</v>
      </c>
      <c r="EF29" s="4" t="str">
        <f>IF(_xlfn.XLOOKUP($B29,island_data!$B:$B,island_data!AL:AL,"NaN")="","NaN",_xlfn.XLOOKUP($B29,island_data!$B:$B,island_data!AL:AL,"NaN"))</f>
        <v>NaN</v>
      </c>
      <c r="EG29" s="4" t="str">
        <f>IF(_xlfn.XLOOKUP($B29,island_data!$B:$B,island_data!AM:AM,"NaN")="","NaN",_xlfn.XLOOKUP($B29,island_data!$B:$B,island_data!AM:AM,"NaN"))</f>
        <v>NaN</v>
      </c>
      <c r="EH29" s="4" t="str">
        <f>IF(_xlfn.XLOOKUP($B29,island_data!$B:$B,island_data!AN:AN,"NaN")="","NaN",_xlfn.XLOOKUP($B29,island_data!$B:$B,island_data!AN:AN,"NaN"))</f>
        <v>NaN</v>
      </c>
      <c r="EI29" s="4" t="str">
        <f>IF(_xlfn.XLOOKUP($B29,island_data!$B:$B,island_data!AO:AO,"NaN")="","NaN",_xlfn.XLOOKUP($B29,island_data!$B:$B,island_data!AO:AO,"NaN"))</f>
        <v>NaN</v>
      </c>
      <c r="EJ29" s="8">
        <f>IF(_xlfn.XLOOKUP($A29,TabCAT!$A:$A,TabCAT!AU:AU,"NaN")="","NaN",(_xlfn.XLOOKUP($A29,TabCAT!$A:$A,TabCAT!AU:AU,"NaN")))</f>
        <v>183</v>
      </c>
      <c r="EK29" s="8" t="b">
        <f>IF(_xlfn.XLOOKUP($A29,TabCAT!$A:$A,TabCAT!AV:AV,"NaN")="","NaN",(_xlfn.XLOOKUP($A29,TabCAT!$A:$A,TabCAT!AV:AV,"NaN")))</f>
        <v>1</v>
      </c>
      <c r="EL29" s="8">
        <f>IF(_xlfn.XLOOKUP($A29,TabCAT!$A:$A,TabCAT!AW:AW,"NaN")="","NaN",(_xlfn.XLOOKUP($A29,TabCAT!$A:$A,TabCAT!AW:AW,"NaN")))</f>
        <v>5</v>
      </c>
      <c r="EM29" s="8">
        <f>IF(_xlfn.XLOOKUP($A29,TabCAT!$A:$A,TabCAT!AX:AX,"NaN")="","NaN",(_xlfn.XLOOKUP($A29,TabCAT!$A:$A,TabCAT!AX:AX,"NaN")))</f>
        <v>0</v>
      </c>
      <c r="EN29" s="8">
        <f>IF(_xlfn.XLOOKUP($A29,TabCAT!$A:$A,TabCAT!AY:AY,"NaN")="","NaN",(_xlfn.XLOOKUP($A29,TabCAT!$A:$A,TabCAT!AY:AY,"NaN")))</f>
        <v>8.5</v>
      </c>
      <c r="EO29" s="8">
        <f>IF(_xlfn.XLOOKUP($A29,TabCAT!$A:$A,TabCAT!AZ:AZ,"NaN")="","NaN",(_xlfn.XLOOKUP($A29,TabCAT!$A:$A,TabCAT!AZ:AZ,"NaN")))</f>
        <v>30</v>
      </c>
      <c r="EP29" s="8">
        <f>IF(_xlfn.XLOOKUP($A29,TabCAT!$A:$A,TabCAT!BA:BA,"NaN")="","NaN",(_xlfn.XLOOKUP($A29,TabCAT!$A:$A,TabCAT!BA:BA,"NaN")))</f>
        <v>0.694824</v>
      </c>
      <c r="EQ29" s="8">
        <f>IF(_xlfn.XLOOKUP($A29,TabCAT!$A:$A,TabCAT!BB:BB,"NaN")="","NaN",(_xlfn.XLOOKUP($A29,TabCAT!$A:$A,TabCAT!BB:BB,"NaN")))</f>
        <v>6.97689448151778E-2</v>
      </c>
      <c r="ER29" s="8">
        <f>IF(_xlfn.XLOOKUP($A29,TabCAT!$A:$A,TabCAT!BC:BC,"NaN")="","NaN",(_xlfn.XLOOKUP($A29,TabCAT!$A:$A,TabCAT!BC:BC,"NaN")))</f>
        <v>16</v>
      </c>
      <c r="ES29" s="8">
        <f>IF(_xlfn.XLOOKUP($A29,TabCAT!$A:$A,TabCAT!BD:BD,"NaN")="","NaN",(_xlfn.XLOOKUP($A29,TabCAT!$A:$A,TabCAT!BD:BD,"NaN")))</f>
        <v>0.67087600000000003</v>
      </c>
      <c r="ET29" s="8">
        <f>IF(_xlfn.XLOOKUP($A29,TabCAT!$A:$A,TabCAT!BE:BE,"NaN")="","NaN",(_xlfn.XLOOKUP($A29,TabCAT!$A:$A,TabCAT!BE:BE,"NaN")))</f>
        <v>14</v>
      </c>
      <c r="EU29" s="8">
        <f>IF(_xlfn.XLOOKUP($A29,TabCAT!$A:$A,TabCAT!BF:BF,"NaN")="","NaN",(_xlfn.XLOOKUP($A29,TabCAT!$A:$A,TabCAT!BF:BF,"NaN")))</f>
        <v>0.70832450000000002</v>
      </c>
      <c r="EV29" s="8">
        <f>IF(_xlfn.XLOOKUP($A29,TabCAT!$A:$A,TabCAT!BG:BG,"NaN")="","NaN",(_xlfn.XLOOKUP($A29,TabCAT!$A:$A,TabCAT!BG:BG,"NaN")))</f>
        <v>9.4339999999999993E-2</v>
      </c>
      <c r="EW29" s="8" t="str">
        <f>IF(_xlfn.XLOOKUP($A29,TabCAT!$A:$A,TabCAT!BH:BH,"NaN")="","NaN",(_xlfn.XLOOKUP($A29,TabCAT!$A:$A,TabCAT!BH:BH,"NaN")))</f>
        <v>3.0.0</v>
      </c>
      <c r="EX29" s="8" t="str">
        <f>IF(_xlfn.XLOOKUP($A29,TabCAT!$A:$A,TabCAT!BI:BI,"NaN")="","NaN",(_xlfn.XLOOKUP($A29,TabCAT!$A:$A,TabCAT!BI:BI,"NaN")))</f>
        <v>English</v>
      </c>
      <c r="EY29" s="8">
        <f>IF(_xlfn.XLOOKUP($A29,TabCAT!$A:$A,TabCAT!BJ:BJ,"NaN")="","NaN",(_xlfn.XLOOKUP($A29,TabCAT!$A:$A,TabCAT!BJ:BJ,"NaN")))</f>
        <v>262</v>
      </c>
      <c r="EZ29" s="8">
        <f>IF(_xlfn.XLOOKUP($A29,TabCAT!$A:$A,TabCAT!BK:BK,"NaN")="","NaN",(_xlfn.XLOOKUP($A29,TabCAT!$A:$A,TabCAT!BK:BK,"NaN")))</f>
        <v>1</v>
      </c>
      <c r="FA29" s="8">
        <f>IF(_xlfn.XLOOKUP($A29,TabCAT!$A:$A,TabCAT!BL:BL,"NaN")="","NaN",(_xlfn.XLOOKUP($A29,TabCAT!$A:$A,TabCAT!BL:BL,"NaN")))</f>
        <v>6</v>
      </c>
      <c r="FB29" s="8">
        <f>IF(_xlfn.XLOOKUP($A29,TabCAT!$A:$A,TabCAT!BM:BM,"NaN")="","NaN",(_xlfn.XLOOKUP($A29,TabCAT!$A:$A,TabCAT!BM:BM,"NaN")))</f>
        <v>1</v>
      </c>
      <c r="FC29" s="8">
        <f>IF(_xlfn.XLOOKUP($A29,TabCAT!$A:$A,TabCAT!BN:BN,"NaN")="","NaN",(_xlfn.XLOOKUP($A29,TabCAT!$A:$A,TabCAT!BN:BN,"NaN")))</f>
        <v>5</v>
      </c>
      <c r="FD29" s="8">
        <f>IF(_xlfn.XLOOKUP($A29,TabCAT!$A:$A,TabCAT!BO:BO,"NaN")="","NaN",(_xlfn.XLOOKUP($A29,TabCAT!$A:$A,TabCAT!BO:BO,"NaN")))</f>
        <v>9</v>
      </c>
      <c r="FE29" s="8">
        <f>IF(_xlfn.XLOOKUP($A29,TabCAT!$A:$A,TabCAT!BP:BP,"NaN")="","NaN",(_xlfn.XLOOKUP($A29,TabCAT!$A:$A,TabCAT!BP:BP,"NaN")))</f>
        <v>1</v>
      </c>
      <c r="FF29" s="8">
        <f>IF(_xlfn.XLOOKUP($A29,TabCAT!$A:$A,TabCAT!BQ:BQ,"NaN")="","NaN",(_xlfn.XLOOKUP($A29,TabCAT!$A:$A,TabCAT!BQ:BQ,"NaN")))</f>
        <v>9</v>
      </c>
      <c r="FG29" s="8">
        <f>IF(_xlfn.XLOOKUP($A29,TabCAT!$A:$A,TabCAT!BR:BR,"NaN")="","NaN",(_xlfn.XLOOKUP($A29,TabCAT!$A:$A,TabCAT!BR:BR,"NaN")))</f>
        <v>10</v>
      </c>
      <c r="FH29" s="8">
        <f>IF(_xlfn.XLOOKUP($A29,TabCAT!$A:$A,TabCAT!BS:BS,"NaN")="","NaN",(_xlfn.XLOOKUP($A29,TabCAT!$A:$A,TabCAT!BS:BS,"NaN")))</f>
        <v>0.83333333333333304</v>
      </c>
      <c r="FI29" s="8">
        <f>IF(_xlfn.XLOOKUP($A29,TabCAT!$A:$A,TabCAT!BT:BT,"NaN")="","NaN",(_xlfn.XLOOKUP($A29,TabCAT!$A:$A,TabCAT!BT:BT,"NaN")))</f>
        <v>9</v>
      </c>
      <c r="FJ29" s="8">
        <f>IF(_xlfn.XLOOKUP($A29,TabCAT!$A:$A,TabCAT!BU:BU,"NaN")="","NaN",(_xlfn.XLOOKUP($A29,TabCAT!$A:$A,TabCAT!BU:BU,"NaN")))</f>
        <v>13</v>
      </c>
      <c r="FK29" s="8">
        <f>IF(_xlfn.XLOOKUP($A29,TabCAT!$A:$A,TabCAT!BV:BV,"NaN")="","NaN",(_xlfn.XLOOKUP($A29,TabCAT!$A:$A,TabCAT!BV:BV,"NaN")))</f>
        <v>0.86666666666666603</v>
      </c>
      <c r="FL29" s="8">
        <f>IF(_xlfn.XLOOKUP($A29,TabCAT!$A:$A,TabCAT!BW:BW,"NaN")="","NaN",(_xlfn.XLOOKUP($A29,TabCAT!$A:$A,TabCAT!BW:BW,"NaN")))</f>
        <v>7.5</v>
      </c>
      <c r="FM29" s="8">
        <f>IF(_xlfn.XLOOKUP($A29,TabCAT!$A:$A,TabCAT!BX:BX,"NaN")="","NaN",(_xlfn.XLOOKUP($A29,TabCAT!$A:$A,TabCAT!BX:BX,"NaN")))</f>
        <v>38</v>
      </c>
      <c r="FN29" s="8">
        <f>IF(_xlfn.XLOOKUP($A29,TabCAT!$A:$A,TabCAT!BY:BY,"NaN")="","NaN",(_xlfn.XLOOKUP($A29,TabCAT!$A:$A,TabCAT!BY:BY,"NaN")))</f>
        <v>0.90476190476190399</v>
      </c>
      <c r="FO29" s="8">
        <f>IF(_xlfn.XLOOKUP($A29,TabCAT!$A:$A,TabCAT!BZ:BZ,"NaN")="","NaN",(_xlfn.XLOOKUP($A29,TabCAT!$A:$A,TabCAT!BZ:BZ,"NaN")))</f>
        <v>30.5</v>
      </c>
      <c r="FP29" s="8" t="str">
        <f>IF(_xlfn.XLOOKUP($A29,TabCAT!$A:$A,TabCAT!CA:CA,"NaN")="","NaN",(_xlfn.XLOOKUP($A29,TabCAT!$A:$A,TabCAT!CA:CA,"NaN")))</f>
        <v>3.0.0</v>
      </c>
      <c r="FQ29" s="8" t="str">
        <f>IF(_xlfn.XLOOKUP($A29,TabCAT!$A:$A,TabCAT!CB:CB,"NaN")="","NaN",(_xlfn.XLOOKUP($A29,TabCAT!$A:$A,TabCAT!CB:CB,"NaN")))</f>
        <v>English</v>
      </c>
      <c r="FR29" s="8">
        <f>IF(_xlfn.XLOOKUP($A29,TabCAT!$A:$A,TabCAT!CC:CC,"NaN")="","NaN",(_xlfn.XLOOKUP($A29,TabCAT!$A:$A,TabCAT!CC:CC,"NaN")))</f>
        <v>213</v>
      </c>
      <c r="FS29" s="8" t="b">
        <f>IF(_xlfn.XLOOKUP($A29,TabCAT!$A:$A,TabCAT!CD:CD,"NaN")="","NaN",(_xlfn.XLOOKUP($A29,TabCAT!$A:$A,TabCAT!CD:CD,"NaN")))</f>
        <v>1</v>
      </c>
      <c r="FT29" s="8">
        <f>IF(_xlfn.XLOOKUP($A29,TabCAT!$A:$A,TabCAT!CE:CE,"NaN")="","NaN",(_xlfn.XLOOKUP($A29,TabCAT!$A:$A,TabCAT!CE:CE,"NaN")))</f>
        <v>7</v>
      </c>
      <c r="FU29" s="8">
        <f>IF(_xlfn.XLOOKUP($A29,TabCAT!$A:$A,TabCAT!CF:CF,"NaN")="","NaN",(_xlfn.XLOOKUP($A29,TabCAT!$A:$A,TabCAT!CF:CF,"NaN")))</f>
        <v>0</v>
      </c>
      <c r="FV29" s="8">
        <f>IF(_xlfn.XLOOKUP($A29,TabCAT!$A:$A,TabCAT!CG:CG,"NaN")="","NaN",(_xlfn.XLOOKUP($A29,TabCAT!$A:$A,TabCAT!CG:CG,"NaN")))</f>
        <v>8.8699999999999992</v>
      </c>
      <c r="FW29" s="8">
        <f>IF(_xlfn.XLOOKUP($A29,TabCAT!$A:$A,TabCAT!CH:CH,"NaN")="","NaN",(_xlfn.XLOOKUP($A29,TabCAT!$A:$A,TabCAT!CH:CH,"NaN")))</f>
        <v>16</v>
      </c>
      <c r="FX29" s="8">
        <f>IF(_xlfn.XLOOKUP($A29,TabCAT!$A:$A,TabCAT!CI:CI,"NaN")="","NaN",(_xlfn.XLOOKUP($A29,TabCAT!$A:$A,TabCAT!CI:CI,"NaN")))</f>
        <v>0.57957250000000005</v>
      </c>
      <c r="FY29" s="8">
        <f>IF(_xlfn.XLOOKUP($A29,TabCAT!$A:$A,TabCAT!CJ:CJ,"NaN")="","NaN",(_xlfn.XLOOKUP($A29,TabCAT!$A:$A,TabCAT!CJ:CJ,"NaN")))</f>
        <v>16</v>
      </c>
      <c r="FZ29" s="8">
        <f>IF(_xlfn.XLOOKUP($A29,TabCAT!$A:$A,TabCAT!CK:CK,"NaN")="","NaN",(_xlfn.XLOOKUP($A29,TabCAT!$A:$A,TabCAT!CK:CK,"NaN")))</f>
        <v>0.60061549999999997</v>
      </c>
      <c r="GA29" s="8">
        <f>IF(_xlfn.XLOOKUP($A29,TabCAT!$A:$A,TabCAT!CL:CL,"NaN")="","NaN",(_xlfn.XLOOKUP($A29,TabCAT!$A:$A,TabCAT!CL:CL,"NaN")))</f>
        <v>31</v>
      </c>
      <c r="GB29" s="8">
        <f>IF(_xlfn.XLOOKUP($A29,TabCAT!$A:$A,TabCAT!CM:CM,"NaN")="","NaN",(_xlfn.XLOOKUP($A29,TabCAT!$A:$A,TabCAT!CM:CM,"NaN")))</f>
        <v>0.61310799999999999</v>
      </c>
      <c r="GC29" s="8">
        <f>IF(_xlfn.XLOOKUP($A29,TabCAT!$A:$A,TabCAT!CN:CN,"NaN")="","NaN",(_xlfn.XLOOKUP($A29,TabCAT!$A:$A,TabCAT!CN:CN,"NaN")))</f>
        <v>19</v>
      </c>
      <c r="GD29" s="8">
        <f>IF(_xlfn.XLOOKUP($A29,TabCAT!$A:$A,TabCAT!CO:CO,"NaN")="","NaN",(_xlfn.XLOOKUP($A29,TabCAT!$A:$A,TabCAT!CO:CO,"NaN")))</f>
        <v>0.61310799999999999</v>
      </c>
      <c r="GE29" s="8">
        <f>IF(_xlfn.XLOOKUP($A29,TabCAT!$A:$A,TabCAT!CP:CP,"NaN")="","NaN",(_xlfn.XLOOKUP($A29,TabCAT!$A:$A,TabCAT!CP:CP,"NaN")))</f>
        <v>0.241281587265714</v>
      </c>
      <c r="GF29" s="8">
        <f>IF(_xlfn.XLOOKUP($A29,TabCAT!$A:$A,TabCAT!CQ:CQ,"NaN")="","NaN",(_xlfn.XLOOKUP($A29,TabCAT!$A:$A,TabCAT!CQ:CQ,"NaN")))</f>
        <v>53</v>
      </c>
      <c r="GG29" s="8">
        <f>IF(_xlfn.XLOOKUP($A29,TabCAT!$A:$A,TabCAT!CR:CR,"NaN")="","NaN",(_xlfn.XLOOKUP($A29,TabCAT!$A:$A,TabCAT!CR:CR,"NaN")))</f>
        <v>0.61325799999999997</v>
      </c>
      <c r="GH29" s="8">
        <f>IF(_xlfn.XLOOKUP($A29,TabCAT!$A:$A,TabCAT!CS:CS,"NaN")="","NaN",(_xlfn.XLOOKUP($A29,TabCAT!$A:$A,TabCAT!CS:CS,"NaN")))</f>
        <v>1.5072460000000001</v>
      </c>
    </row>
    <row r="30" spans="1:190" x14ac:dyDescent="0.2">
      <c r="A30">
        <v>10644</v>
      </c>
      <c r="B30">
        <f>_xlfn.XLOOKUP(bippity_poppity_boo!A30,rf1_data!A:A,rf1_data!B:B)</f>
        <v>101853</v>
      </c>
      <c r="C30" s="2">
        <f>(_xlfn.XLOOKUP($A30,trust!$A:$A,trust!B:B,"NaN"))</f>
        <v>2.8571430000000002</v>
      </c>
      <c r="D30" s="2">
        <f>(_xlfn.XLOOKUP($A30,trust!$A:$A,trust!C:C,"NaN"))</f>
        <v>4</v>
      </c>
      <c r="E30" s="2">
        <f>(_xlfn.XLOOKUP($A30,trust!$A:$A,trust!D:D,"NaN"))</f>
        <v>3.1428569999999998</v>
      </c>
      <c r="F30" s="2">
        <f>(_xlfn.XLOOKUP($A30,trust!$A:$A,trust!E:E,"NaN"))</f>
        <v>3.7777780000000001</v>
      </c>
      <c r="G30" s="2">
        <f>(_xlfn.XLOOKUP($A30,trust!$A:$A,trust!F:F,"NaN"))</f>
        <v>5.6923079999999997</v>
      </c>
      <c r="H30" s="2">
        <f>(_xlfn.XLOOKUP($A30,trust!$A:$A,trust!G:G,"NaN"))</f>
        <v>6.1428570000000002</v>
      </c>
      <c r="I30" s="3">
        <f>IF(_xlfn.XLOOKUP($B30,island_data!$B:$B,island_data!C:C,"NaN")="","NaN",_xlfn.XLOOKUP($B30,island_data!$B:$B,island_data!C:C,"NaN"))</f>
        <v>45000</v>
      </c>
      <c r="J30" s="3">
        <f>IF(_xlfn.XLOOKUP($B30,island_data!$B:$B,island_data!D:D,"NaN")="","NaN",_xlfn.XLOOKUP($B30,island_data!$B:$B,island_data!D:D,"NaN"))</f>
        <v>19685</v>
      </c>
      <c r="K30" s="4">
        <f>IF(_xlfn.XLOOKUP($B30,island_data!$B:$B,island_data!E:E,"NaN")="","NaN",_xlfn.XLOOKUP($B30,island_data!$B:$B,island_data!E:E,"NaN"))</f>
        <v>69.31</v>
      </c>
      <c r="L30" s="5">
        <f>IF(_xlfn.XLOOKUP($B30,rf1_data!$B:$B,rf1_data!D:D,"NaN")="","NaN",(_xlfn.XLOOKUP($B30,rf1_data!$B:$B,rf1_data!D:D,"NaN")))</f>
        <v>69.41</v>
      </c>
      <c r="M30" s="5" t="str">
        <f>IF(_xlfn.XLOOKUP($B30,rf1_data!$B:$B,rf1_data!E:E,"NaN")="","NaN",(_xlfn.XLOOKUP($B30,rf1_data!$B:$B,rf1_data!E:E,"NaN")))</f>
        <v>White</v>
      </c>
      <c r="N30" s="5" t="str">
        <f>IF(_xlfn.XLOOKUP($B30,rf1_data!$B:$B,rf1_data!F:F,"NaN")="","NaN",(_xlfn.XLOOKUP($B30,rf1_data!$B:$B,rf1_data!F:F,"NaN")))</f>
        <v>Not Hispanic or Latino</v>
      </c>
      <c r="O30" s="5" t="str">
        <f>IF(_xlfn.XLOOKUP($B30,rf1_data!$B:$B,rf1_data!G:G,"NaN")="","NaN",(_xlfn.XLOOKUP($B30,rf1_data!$B:$B,rf1_data!G:G,"NaN")))</f>
        <v>Female</v>
      </c>
      <c r="P30" s="5">
        <f>IF(_xlfn.XLOOKUP($B30,rf1_data!$B:$B,rf1_data!H:H,"NaN")="","NaN",(_xlfn.XLOOKUP($B30,rf1_data!$B:$B,rf1_data!H:H,"NaN")))</f>
        <v>3.44</v>
      </c>
      <c r="Q30" s="5">
        <f>IF(_xlfn.XLOOKUP($B30,rf1_data!$B:$B,rf1_data!I:I,"NaN")="","NaN",(_xlfn.XLOOKUP($B30,rf1_data!$B:$B,rf1_data!I:I,"NaN")))</f>
        <v>3.2</v>
      </c>
      <c r="R30" s="5">
        <f>IF(_xlfn.XLOOKUP($B30,rf1_data!$B:$B,rf1_data!J:J,"NaN")="","NaN",(_xlfn.XLOOKUP($B30,rf1_data!$B:$B,rf1_data!J:J,"NaN")))</f>
        <v>1</v>
      </c>
      <c r="S30" s="5">
        <f>IF(_xlfn.XLOOKUP($B30,rf1_data!$B:$B,rf1_data!K:K,"NaN")="","NaN",(_xlfn.XLOOKUP($B30,rf1_data!$B:$B,rf1_data!K:K,"NaN")))</f>
        <v>1</v>
      </c>
      <c r="T30" s="5">
        <f>IF(_xlfn.XLOOKUP($B30,rf1_data!$B:$B,rf1_data!L:L,"NaN")="","NaN",(_xlfn.XLOOKUP($B30,rf1_data!$B:$B,rf1_data!L:L,"NaN")))</f>
        <v>0</v>
      </c>
      <c r="U30" s="5">
        <f>IF(_xlfn.XLOOKUP($B30,rf1_data!$B:$B,rf1_data!M:M,"NaN")="","NaN",(_xlfn.XLOOKUP($B30,rf1_data!$B:$B,rf1_data!M:M,"NaN")))</f>
        <v>5.5</v>
      </c>
      <c r="V30" s="5">
        <f>IF(_xlfn.XLOOKUP($B30,rf1_data!$B:$B,rf1_data!N:N,"NaN")="","NaN",(_xlfn.XLOOKUP($B30,rf1_data!$B:$B,rf1_data!N:N,"NaN")))</f>
        <v>3.5</v>
      </c>
      <c r="W30" s="5">
        <f>IF(_xlfn.XLOOKUP($B30,rf1_data!$B:$B,rf1_data!O:O,"NaN")="","NaN",(_xlfn.XLOOKUP($B30,rf1_data!$B:$B,rf1_data!O:O,"NaN")))</f>
        <v>4.5</v>
      </c>
      <c r="X30" s="5">
        <f>IF(_xlfn.XLOOKUP($B30,rf1_data!$B:$B,rf1_data!P:P,"NaN")="","NaN",(_xlfn.XLOOKUP($B30,rf1_data!$B:$B,rf1_data!P:P,"NaN")))</f>
        <v>5</v>
      </c>
      <c r="Y30" s="5">
        <f>IF(_xlfn.XLOOKUP($B30,rf1_data!$B:$B,rf1_data!Q:Q,"NaN")="","NaN",(_xlfn.XLOOKUP($B30,rf1_data!$B:$B,rf1_data!Q:Q,"NaN")))</f>
        <v>4.5999999999999996</v>
      </c>
      <c r="Z30" s="5">
        <f>IF(_xlfn.XLOOKUP($B30,rf1_data!$B:$B,rf1_data!R:R,"NaN")="","NaN",(_xlfn.XLOOKUP($B30,rf1_data!$B:$B,rf1_data!R:R,"NaN")))</f>
        <v>18</v>
      </c>
      <c r="AA30" s="5">
        <f>IF(_xlfn.XLOOKUP($B30,rf1_data!$B:$B,rf1_data!S:S,"NaN")="","NaN",(_xlfn.XLOOKUP($B30,rf1_data!$B:$B,rf1_data!S:S,"NaN")))</f>
        <v>4</v>
      </c>
      <c r="AB30" s="5">
        <f>IF(_xlfn.XLOOKUP($B30,rf1_data!$B:$B,rf1_data!T:T,"NaN")="","NaN",(_xlfn.XLOOKUP($B30,rf1_data!$B:$B,rf1_data!T:T,"NaN")))</f>
        <v>7</v>
      </c>
      <c r="AC30" s="5">
        <f>IF(_xlfn.XLOOKUP($B30,rf1_data!$B:$B,rf1_data!U:U,"NaN")="","NaN",(_xlfn.XLOOKUP($B30,rf1_data!$B:$B,rf1_data!U:U,"NaN")))</f>
        <v>2</v>
      </c>
      <c r="AD30" s="5">
        <f>IF(_xlfn.XLOOKUP($B30,rf1_data!$B:$B,rf1_data!V:V,"NaN")="","NaN",(_xlfn.XLOOKUP($B30,rf1_data!$B:$B,rf1_data!V:V,"NaN")))</f>
        <v>5</v>
      </c>
      <c r="AE30" s="5">
        <f>IF(_xlfn.XLOOKUP($B30,rf1_data!$B:$B,rf1_data!W:W,"NaN")="","NaN",(_xlfn.XLOOKUP($B30,rf1_data!$B:$B,rf1_data!W:W,"NaN")))</f>
        <v>3</v>
      </c>
      <c r="AF30" s="5">
        <f>IF(_xlfn.XLOOKUP($B30,rf1_data!$B:$B,rf1_data!X:X,"NaN")="","NaN",(_xlfn.XLOOKUP($B30,rf1_data!$B:$B,rf1_data!X:X,"NaN")))</f>
        <v>6</v>
      </c>
      <c r="AG30" s="5">
        <f>IF(_xlfn.XLOOKUP($B30,rf1_data!$B:$B,rf1_data!Y:Y,"NaN")="","NaN",(_xlfn.XLOOKUP($B30,rf1_data!$B:$B,rf1_data!Y:Y,"NaN")))</f>
        <v>6</v>
      </c>
      <c r="AH30" s="5">
        <f>IF(_xlfn.XLOOKUP($B30,rf1_data!$B:$B,rf1_data!Z:Z,"NaN")="","NaN",(_xlfn.XLOOKUP($B30,rf1_data!$B:$B,rf1_data!Z:Z,"NaN")))</f>
        <v>6</v>
      </c>
      <c r="AI30" s="5">
        <f>IF(_xlfn.XLOOKUP($B30,rf1_data!$B:$B,rf1_data!AA:AA,"NaN")="","NaN",(_xlfn.XLOOKUP($B30,rf1_data!$B:$B,rf1_data!AA:AA,"NaN")))</f>
        <v>4</v>
      </c>
      <c r="AJ30" s="5">
        <f>IF(_xlfn.XLOOKUP($B30,rf1_data!$B:$B,rf1_data!AB:AB,"NaN")="","NaN",(_xlfn.XLOOKUP($B30,rf1_data!$B:$B,rf1_data!AB:AB,"NaN")))</f>
        <v>25</v>
      </c>
      <c r="AK30" s="5">
        <f>IF(_xlfn.XLOOKUP($B30,rf1_data!$B:$B,rf1_data!AC:AC,"NaN")="","NaN",(_xlfn.XLOOKUP($B30,rf1_data!$B:$B,rf1_data!AC:AC,"NaN")))</f>
        <v>25</v>
      </c>
      <c r="AL30" s="5">
        <f>IF(_xlfn.XLOOKUP($B30,rf1_data!$B:$B,rf1_data!AD:AD,"NaN")="","NaN",(_xlfn.XLOOKUP($B30,rf1_data!$B:$B,rf1_data!AD:AD,"NaN")))</f>
        <v>11</v>
      </c>
      <c r="AM30" s="5">
        <f>IF(_xlfn.XLOOKUP($B30,rf1_data!$B:$B,rf1_data!AE:AE,"NaN")="","NaN",(_xlfn.XLOOKUP($B30,rf1_data!$B:$B,rf1_data!AE:AE,"NaN")))</f>
        <v>0</v>
      </c>
      <c r="AN30" s="5">
        <f>IF(_xlfn.XLOOKUP($B30,rf1_data!$B:$B,rf1_data!AF:AF,"NaN")="","NaN",(_xlfn.XLOOKUP($B30,rf1_data!$B:$B,rf1_data!AF:AF,"NaN")))</f>
        <v>0</v>
      </c>
      <c r="AO30" s="5">
        <f>IF(_xlfn.XLOOKUP($B30,rf1_data!$B:$B,rf1_data!AG:AG,"NaN")="","NaN",(_xlfn.XLOOKUP($B30,rf1_data!$B:$B,rf1_data!AG:AG,"NaN")))</f>
        <v>5.92</v>
      </c>
      <c r="AP30" s="5">
        <f>IF(_xlfn.XLOOKUP($B30,rf1_data!$B:$B,rf1_data!AH:AH,"NaN")="","NaN",(_xlfn.XLOOKUP($B30,rf1_data!$B:$B,rf1_data!AH:AH,"NaN")))</f>
        <v>6</v>
      </c>
      <c r="AQ30" s="5">
        <f>IF(_xlfn.XLOOKUP($B30,rf1_data!$B:$B,rf1_data!AI:AI,"NaN")="","NaN",(_xlfn.XLOOKUP($B30,rf1_data!$B:$B,rf1_data!AI:AI,"NaN")))</f>
        <v>5.75</v>
      </c>
      <c r="AR30" s="5">
        <f>IF(_xlfn.XLOOKUP($B30,rf1_data!$B:$B,rf1_data!AJ:AJ,"NaN")="","NaN",(_xlfn.XLOOKUP($B30,rf1_data!$B:$B,rf1_data!AJ:AJ,"NaN")))</f>
        <v>6</v>
      </c>
      <c r="AS30" s="5">
        <f>IF(_xlfn.XLOOKUP($B30,rf1_data!$B:$B,rf1_data!AK:AK,"NaN")="","NaN",(_xlfn.XLOOKUP($B30,rf1_data!$B:$B,rf1_data!AK:AK,"NaN")))</f>
        <v>3</v>
      </c>
      <c r="AT30" s="5">
        <f>IF(_xlfn.XLOOKUP($B30,rf1_data!$B:$B,rf1_data!AL:AL,"NaN")="","NaN",(_xlfn.XLOOKUP($B30,rf1_data!$B:$B,rf1_data!AL:AL,"NaN")))</f>
        <v>15</v>
      </c>
      <c r="AU30" s="5">
        <f>IF(_xlfn.XLOOKUP($B30,rf1_data!$B:$B,rf1_data!AM:AM,"NaN")="","NaN",(_xlfn.XLOOKUP($B30,rf1_data!$B:$B,rf1_data!AM:AM,"NaN")))</f>
        <v>4.5</v>
      </c>
      <c r="AV30" s="5">
        <f>IF(_xlfn.XLOOKUP($B30,rf1_data!$B:$B,rf1_data!AN:AN,"NaN")="","NaN",(_xlfn.XLOOKUP($B30,rf1_data!$B:$B,rf1_data!AN:AN,"NaN")))</f>
        <v>3</v>
      </c>
      <c r="AW30" s="5">
        <f>IF(_xlfn.XLOOKUP($B30,rf1_data!$B:$B,rf1_data!AO:AO,"NaN")="","NaN",(_xlfn.XLOOKUP($B30,rf1_data!$B:$B,rf1_data!AO:AO,"NaN")))</f>
        <v>3.17</v>
      </c>
      <c r="AX30" s="5">
        <f>IF(_xlfn.XLOOKUP($B30,rf1_data!$B:$B,rf1_data!AP:AP,"NaN")="","NaN",(_xlfn.XLOOKUP($B30,rf1_data!$B:$B,rf1_data!AP:AP,"NaN")))</f>
        <v>4.37</v>
      </c>
      <c r="AY30" s="5">
        <f>IF(_xlfn.XLOOKUP($B30,rf1_data!$B:$B,rf1_data!AQ:AQ,"NaN")="","NaN",(_xlfn.XLOOKUP($B30,rf1_data!$B:$B,rf1_data!AQ:AQ,"NaN")))</f>
        <v>51.1</v>
      </c>
      <c r="AZ30" s="5" t="str">
        <f>IF(_xlfn.XLOOKUP($B30,rf1_data!$B:$B,rf1_data!AR:AR,"NaN")="","NaN",(_xlfn.XLOOKUP($B30,rf1_data!$B:$B,rf1_data!AR:AR,"NaN")))</f>
        <v>NaN</v>
      </c>
      <c r="BA30" s="5" t="str">
        <f>IF(_xlfn.XLOOKUP($B30,rf1_data!$B:$B,rf1_data!AS:AS,"NaN")="","NaN",(_xlfn.XLOOKUP($B30,rf1_data!$B:$B,rf1_data!AS:AS,"NaN")))</f>
        <v>NaN</v>
      </c>
      <c r="BB30" s="5" t="str">
        <f>IF(_xlfn.XLOOKUP($B30,rf1_data!$B:$B,rf1_data!AT:AT,"NaN")="","NaN",(_xlfn.XLOOKUP($B30,rf1_data!$B:$B,rf1_data!AT:AT,"NaN")))</f>
        <v>NaN</v>
      </c>
      <c r="BC30" s="5" t="str">
        <f>IF(_xlfn.XLOOKUP($B30,rf1_data!$B:$B,rf1_data!AU:AU,"NaN")="","NaN",(_xlfn.XLOOKUP($B30,rf1_data!$B:$B,rf1_data!AU:AU,"NaN")))</f>
        <v>NaN</v>
      </c>
      <c r="BD30" s="5" t="str">
        <f>IF(_xlfn.XLOOKUP($B30,rf1_data!$B:$B,rf1_data!AV:AV,"NaN")="","NaN",(_xlfn.XLOOKUP($B30,rf1_data!$B:$B,rf1_data!AV:AV,"NaN")))</f>
        <v>NaN</v>
      </c>
      <c r="BE30" s="5" t="str">
        <f>IF(_xlfn.XLOOKUP($B30,rf1_data!$B:$B,rf1_data!AW:AW,"NaN")="","NaN",(_xlfn.XLOOKUP($B30,rf1_data!$B:$B,rf1_data!AW:AW,"NaN")))</f>
        <v>NaN</v>
      </c>
      <c r="BF30" s="5" t="str">
        <f>IF(_xlfn.XLOOKUP($B30,rf1_data!$B:$B,rf1_data!AX:AX,"NaN")="","NaN",(_xlfn.XLOOKUP($B30,rf1_data!$B:$B,rf1_data!AX:AX,"NaN")))</f>
        <v>NaN</v>
      </c>
      <c r="BG30" s="5" t="str">
        <f>IF(_xlfn.XLOOKUP($B30,rf1_data!$B:$B,rf1_data!AY:AY,"NaN")="","NaN",(_xlfn.XLOOKUP($B30,rf1_data!$B:$B,rf1_data!AY:AY,"NaN")))</f>
        <v>NaN</v>
      </c>
      <c r="BH30" s="5" t="str">
        <f>IF(_xlfn.XLOOKUP($B30,rf1_data!$B:$B,rf1_data!AZ:AZ,"NaN")="","NaN",(_xlfn.XLOOKUP($B30,rf1_data!$B:$B,rf1_data!AZ:AZ,"NaN")))</f>
        <v>NaN</v>
      </c>
      <c r="BI30" s="5">
        <f>IF(_xlfn.XLOOKUP($B30,rf1_data!$B:$B,rf1_data!BA:BA,"NaN")="","NaN",(_xlfn.XLOOKUP($B30,rf1_data!$B:$B,rf1_data!BA:BA,"NaN")))</f>
        <v>20</v>
      </c>
      <c r="BJ30" s="5" t="str">
        <f>IF(_xlfn.XLOOKUP($B30,rf1_data!$B:$B,rf1_data!BB:BB,"NaN")="","NaN",(_xlfn.XLOOKUP($B30,rf1_data!$B:$B,rf1_data!BB:BB,"NaN")))</f>
        <v>NaN</v>
      </c>
      <c r="BK30" s="5" t="str">
        <f>IF(_xlfn.XLOOKUP($B30,rf1_data!$B:$B,rf1_data!BC:BC,"NaN")="","NaN",(_xlfn.XLOOKUP($B30,rf1_data!$B:$B,rf1_data!BC:BC,"NaN")))</f>
        <v>NaN</v>
      </c>
      <c r="BL30" s="5" t="str">
        <f>IF(_xlfn.XLOOKUP($B30,rf1_data!$B:$B,rf1_data!BD:BD,"NaN")="","NaN",(_xlfn.XLOOKUP($B30,rf1_data!$B:$B,rf1_data!BD:BD,"NaN")))</f>
        <v>NaN</v>
      </c>
      <c r="BM30" s="5" t="str">
        <f>IF(_xlfn.XLOOKUP($B30,rf1_data!$B:$B,rf1_data!BE:BE,"NaN")="","NaN",(_xlfn.XLOOKUP($B30,rf1_data!$B:$B,rf1_data!BE:BE,"NaN")))</f>
        <v>NaN</v>
      </c>
      <c r="BN30" s="5" t="str">
        <f>IF(_xlfn.XLOOKUP($B30,rf1_data!$B:$B,rf1_data!BF:BF,"NaN")="","NaN",(_xlfn.XLOOKUP($B30,rf1_data!$B:$B,rf1_data!BF:BF,"NaN")))</f>
        <v>NaN</v>
      </c>
      <c r="BO30" s="5" t="str">
        <f>IF(_xlfn.XLOOKUP($B30,rf1_data!$B:$B,rf1_data!BG:BG,"NaN")="","NaN",(_xlfn.XLOOKUP($B30,rf1_data!$B:$B,rf1_data!BG:BG,"NaN")))</f>
        <v>NaN</v>
      </c>
      <c r="BP30" s="5" t="str">
        <f>IF(_xlfn.XLOOKUP($B30,rf1_data!$B:$B,rf1_data!BH:BH,"NaN")="","NaN",(_xlfn.XLOOKUP($B30,rf1_data!$B:$B,rf1_data!BH:BH,"NaN")))</f>
        <v>NaN</v>
      </c>
      <c r="BQ30" s="5" t="str">
        <f>IF(_xlfn.XLOOKUP($B30,rf1_data!$B:$B,rf1_data!BI:BI,"NaN")="","NaN",(_xlfn.XLOOKUP($B30,rf1_data!$B:$B,rf1_data!BI:BI,"NaN")))</f>
        <v>NaN</v>
      </c>
      <c r="BR30" s="5">
        <f>IF(_xlfn.XLOOKUP($B30,rf1_data!$B:$B,rf1_data!BJ:BJ,"NaN")="","NaN",(_xlfn.XLOOKUP($B30,rf1_data!$B:$B,rf1_data!BJ:BJ,"NaN")))</f>
        <v>8991</v>
      </c>
      <c r="BS30" s="5" t="str">
        <f>IF(_xlfn.XLOOKUP($B30,rf1_data!$B:$B,rf1_data!BK:BK,"NaN")="","NaN",(_xlfn.XLOOKUP($B30,rf1_data!$B:$B,rf1_data!BK:BK,"NaN")))</f>
        <v>NaN</v>
      </c>
      <c r="BT30" s="5" t="str">
        <f>IF(_xlfn.XLOOKUP($B30,rf1_data!$B:$B,rf1_data!BL:BL,"NaN")="","NaN",(_xlfn.XLOOKUP($B30,rf1_data!$B:$B,rf1_data!BL:BL,"NaN")))</f>
        <v>NaN</v>
      </c>
      <c r="BU30" s="5" t="str">
        <f>IF(_xlfn.XLOOKUP($B30,rf1_data!$B:$B,rf1_data!BM:BM,"NaN")="","NaN",(_xlfn.XLOOKUP($B30,rf1_data!$B:$B,rf1_data!BM:BM,"NaN")))</f>
        <v>NaN</v>
      </c>
      <c r="BV30" s="5" t="str">
        <f>IF(_xlfn.XLOOKUP($B30,rf1_data!$B:$B,rf1_data!BN:BN,"NaN")="","NaN",(_xlfn.XLOOKUP($B30,rf1_data!$B:$B,rf1_data!BN:BN,"NaN")))</f>
        <v>NaN</v>
      </c>
      <c r="BW30" s="5">
        <f>IF(_xlfn.XLOOKUP($B30,rf1_data!$B:$B,rf1_data!BO:BO,"NaN")="","NaN",(_xlfn.XLOOKUP($B30,rf1_data!$B:$B,rf1_data!BO:BO,"NaN")))</f>
        <v>3.6</v>
      </c>
      <c r="BX30" s="5">
        <f>IF(_xlfn.XLOOKUP($B30,rf1_data!$B:$B,rf1_data!BP:BP,"NaN")="","NaN",(_xlfn.XLOOKUP($B30,rf1_data!$B:$B,rf1_data!BP:BP,"NaN")))</f>
        <v>3.6</v>
      </c>
      <c r="BY30" s="5">
        <f>IF(_xlfn.XLOOKUP($B30,rf1_data!$B:$B,rf1_data!BQ:BQ,"NaN")="","NaN",(_xlfn.XLOOKUP($B30,rf1_data!$B:$B,rf1_data!BQ:BQ,"NaN")))</f>
        <v>4</v>
      </c>
      <c r="BZ30" s="5">
        <f>IF(_xlfn.XLOOKUP($B30,rf1_data!$B:$B,rf1_data!BR:BR,"NaN")="","NaN",(_xlfn.XLOOKUP($B30,rf1_data!$B:$B,rf1_data!BR:BR,"NaN")))</f>
        <v>3.73</v>
      </c>
      <c r="CA30" s="5">
        <f>IF(_xlfn.XLOOKUP($B30,rf1_data!$B:$B,rf1_data!BS:BS,"NaN")="","NaN",(_xlfn.XLOOKUP($B30,rf1_data!$B:$B,rf1_data!BS:BS,"NaN")))</f>
        <v>3.3333333333333299</v>
      </c>
      <c r="CB30" s="5">
        <f>IF(_xlfn.XLOOKUP($B30,rf1_data!$B:$B,rf1_data!BT:BT,"NaN")="","NaN",(_xlfn.XLOOKUP($B30,rf1_data!$B:$B,rf1_data!BT:BT,"NaN")))</f>
        <v>4.5</v>
      </c>
      <c r="CC30" s="5">
        <f>IF(_xlfn.XLOOKUP($B30,rf1_data!$B:$B,rf1_data!BU:BU,"NaN")="","NaN",(_xlfn.XLOOKUP($B30,rf1_data!$B:$B,rf1_data!BU:BU,"NaN")))</f>
        <v>4.5</v>
      </c>
      <c r="CD30" s="5">
        <f>IF(_xlfn.XLOOKUP($B30,rf1_data!$B:$B,rf1_data!BV:BV,"NaN")="","NaN",(_xlfn.XLOOKUP($B30,rf1_data!$B:$B,rf1_data!BV:BV,"NaN")))</f>
        <v>4.5</v>
      </c>
      <c r="CE30" s="5">
        <f>IF(_xlfn.XLOOKUP($B30,rf1_data!$B:$B,rf1_data!BW:BW,"NaN")="","NaN",(_xlfn.XLOOKUP($B30,rf1_data!$B:$B,rf1_data!BW:BW,"NaN")))</f>
        <v>3</v>
      </c>
      <c r="CF30" s="5">
        <f>IF(_xlfn.XLOOKUP($B30,rf1_data!$B:$B,rf1_data!BX:BX,"NaN")="","NaN",(_xlfn.XLOOKUP($B30,rf1_data!$B:$B,rf1_data!BX:BX,"NaN")))</f>
        <v>0</v>
      </c>
      <c r="CG30" s="5">
        <f>IF(_xlfn.XLOOKUP($B30,rf1_data!$B:$B,rf1_data!BY:BY,"NaN")="","NaN",(_xlfn.XLOOKUP($B30,rf1_data!$B:$B,rf1_data!BY:BY,"NaN")))</f>
        <v>0</v>
      </c>
      <c r="CH30" s="5">
        <f>IF(_xlfn.XLOOKUP($B30,rf1_data!$B:$B,rf1_data!BZ:BZ,"NaN")="","NaN",(_xlfn.XLOOKUP($B30,rf1_data!$B:$B,rf1_data!BZ:BZ,"NaN")))</f>
        <v>26</v>
      </c>
      <c r="CI30" s="5">
        <f>IF(_xlfn.XLOOKUP($B30,rf1_data!$B:$B,rf1_data!CA:CA,"NaN")="","NaN",(_xlfn.XLOOKUP($B30,rf1_data!$B:$B,rf1_data!CA:CA,"NaN")))</f>
        <v>32</v>
      </c>
      <c r="CJ30" s="5">
        <f>IF(_xlfn.XLOOKUP($B30,rf1_data!$B:$B,rf1_data!CB:CB,"NaN")="","NaN",(_xlfn.XLOOKUP($B30,rf1_data!$B:$B,rf1_data!CB:CB,"NaN")))</f>
        <v>9</v>
      </c>
      <c r="CK30" s="5">
        <f>IF(_xlfn.XLOOKUP($B30,rf1_data!$B:$B,rf1_data!CC:CC,"NaN")="","NaN",(_xlfn.XLOOKUP($B30,rf1_data!$B:$B,rf1_data!CC:CC,"NaN")))</f>
        <v>0.9</v>
      </c>
      <c r="CL30" s="5">
        <f>IF(_xlfn.XLOOKUP($B30,rf1_data!$B:$B,rf1_data!CD:CD,"NaN")=0,"NaN",(_xlfn.XLOOKUP($B30,rf1_data!$B:$B,rf1_data!CD:CD,"NaN")))</f>
        <v>35</v>
      </c>
      <c r="CM30" s="5">
        <f>IF(_xlfn.XLOOKUP($B30,rf1_data!$B:$B,rf1_data!CE:CE,"NaN")="","NaN",(_xlfn.XLOOKUP($B30,rf1_data!$B:$B,rf1_data!CE:CE,"NaN")))</f>
        <v>34</v>
      </c>
      <c r="CN30" s="5">
        <f>IF(_xlfn.XLOOKUP($B30,rf1_data!$B:$B,rf1_data!CF:CF,"NaN")="","NaN",(_xlfn.XLOOKUP($B30,rf1_data!$B:$B,rf1_data!CF:CF,"NaN")))</f>
        <v>52</v>
      </c>
      <c r="CO30" s="5">
        <f>IF(_xlfn.XLOOKUP($B30,rf1_data!$B:$B,rf1_data!CG:CG,"NaN")="","NaN",(_xlfn.XLOOKUP($B30,rf1_data!$B:$B,rf1_data!CG:CG,"NaN")))</f>
        <v>29</v>
      </c>
      <c r="CP30" s="5">
        <f>IF(_xlfn.XLOOKUP($B30,rf1_data!$B:$B,rf1_data!CH:CH,"NaN")=0,"NaN",(_xlfn.XLOOKUP($B30,rf1_data!$B:$B,rf1_data!CH:CH,"NaN")))</f>
        <v>31</v>
      </c>
      <c r="CQ30" s="5">
        <f>IF(_xlfn.XLOOKUP($B30,rf1_data!$B:$B,rf1_data!CI:CI,"NaN")="","NaN",(_xlfn.XLOOKUP($B30,rf1_data!$B:$B,rf1_data!CI:CI,"NaN")))</f>
        <v>48</v>
      </c>
      <c r="CR30" s="5">
        <f>IF(_xlfn.XLOOKUP($B30,rf1_data!$B:$B,rf1_data!CJ:CJ,"NaN")="","NaN",(_xlfn.XLOOKUP($B30,rf1_data!$B:$B,rf1_data!CJ:CJ,"NaN")))</f>
        <v>55</v>
      </c>
      <c r="CS30" s="5">
        <f>IF(_xlfn.XLOOKUP($B30,rf1_data!$B:$B,rf1_data!CK:CK,"NaN")="","NaN",(_xlfn.XLOOKUP($B30,rf1_data!$B:$B,rf1_data!CK:CK,"NaN")))</f>
        <v>47</v>
      </c>
      <c r="CT30" s="5">
        <f>IF(_xlfn.XLOOKUP($B30,rf1_data!$B:$B,rf1_data!CL:CL,"NaN")="","NaN",(_xlfn.XLOOKUP($B30,rf1_data!$B:$B,rf1_data!CL:CL,"NaN")))</f>
        <v>60</v>
      </c>
      <c r="CU30" s="5">
        <f>IF(_xlfn.XLOOKUP($B30,rf1_data!$B:$B,rf1_data!CM:CM,"NaN")="","NaN",(_xlfn.XLOOKUP($B30,rf1_data!$B:$B,rf1_data!CM:CM,"NaN")))</f>
        <v>38</v>
      </c>
      <c r="CV30" s="5">
        <f>IF(_xlfn.XLOOKUP($B30,rf1_data!$B:$B,rf1_data!CN:CN,"NaN")="","NaN",(_xlfn.XLOOKUP($B30,rf1_data!$B:$B,rf1_data!CN:CN,"NaN")))</f>
        <v>60</v>
      </c>
      <c r="CW30" s="5" t="str">
        <f>IF(_xlfn.XLOOKUP($B30,rf1_data!$B:$B,rf1_data!CO:CO,"NaN")="","NaN",(_xlfn.XLOOKUP($B30,rf1_data!$B:$B,rf1_data!CO:CO,"NaN")))</f>
        <v>NaN</v>
      </c>
      <c r="CX30" s="5" t="str">
        <f>IF(_xlfn.XLOOKUP($B30,rf1_data!$B:$B,rf1_data!CP:CP,"NaN")="","NaN",(_xlfn.XLOOKUP($B30,rf1_data!$B:$B,rf1_data!CP:CP,"NaN")))</f>
        <v>NaN</v>
      </c>
      <c r="CY30" s="5">
        <f>IF(_xlfn.XLOOKUP($B30,rf1_data!$B:$B,rf1_data!CQ:CQ,"NaN")="","NaN",(_xlfn.XLOOKUP($B30,rf1_data!$B:$B,rf1_data!CQ:CQ,"NaN")))</f>
        <v>6</v>
      </c>
      <c r="CZ30" s="5">
        <f>IF(_xlfn.XLOOKUP($B30,rf1_data!$B:$B,rf1_data!CR:CR,"NaN")="","NaN",(_xlfn.XLOOKUP($B30,rf1_data!$B:$B,rf1_data!CR:CR,"NaN")))</f>
        <v>1</v>
      </c>
      <c r="DA30" s="5">
        <f>IF(_xlfn.XLOOKUP($B30,rf1_data!$B:$B,rf1_data!CS:CS,"NaN")="","NaN",(_xlfn.XLOOKUP($B30,rf1_data!$B:$B,rf1_data!CS:CS,"NaN")))</f>
        <v>1</v>
      </c>
      <c r="DB30" s="4">
        <f>IF(_xlfn.XLOOKUP($B30,island_data!$B:$B,island_data!H:H,"NaN")="","NaN",_xlfn.XLOOKUP($B30,island_data!$B:$B,island_data!H:H,"NaN"))</f>
        <v>1</v>
      </c>
      <c r="DC30" s="4">
        <f>IF(_xlfn.XLOOKUP($B30,island_data!$B:$B,island_data!I:I,"NaN")="","NaN",_xlfn.XLOOKUP($B30,island_data!$B:$B,island_data!I:I,"NaN"))</f>
        <v>4</v>
      </c>
      <c r="DD30" s="4">
        <f>IF(_xlfn.XLOOKUP($B30,island_data!$B:$B,island_data!J:J,"NaN")="","NaN",_xlfn.XLOOKUP($B30,island_data!$B:$B,island_data!J:J,"NaN"))</f>
        <v>0</v>
      </c>
      <c r="DE30" s="4" t="str">
        <f>IF(_xlfn.XLOOKUP($B30,island_data!$B:$B,island_data!K:K,"NaN")="","NaN",_xlfn.XLOOKUP($B30,island_data!$B:$B,island_data!K:K,"NaN"))</f>
        <v>NaN</v>
      </c>
      <c r="DF30" s="4">
        <f>IF(_xlfn.XLOOKUP($B30,island_data!$B:$B,island_data!L:L,"NaN")="","NaN",_xlfn.XLOOKUP($B30,island_data!$B:$B,island_data!L:L,"NaN"))</f>
        <v>23</v>
      </c>
      <c r="DG30" s="4">
        <f>IF(_xlfn.XLOOKUP($B30,island_data!$B:$B,island_data!M:M,"NaN")="","NaN",_xlfn.XLOOKUP($B30,island_data!$B:$B,island_data!M:M,"NaN"))</f>
        <v>3</v>
      </c>
      <c r="DH30" s="4">
        <f>IF(_xlfn.XLOOKUP($B30,island_data!$B:$B,island_data!N:N,"NaN")="","NaN",_xlfn.XLOOKUP($B30,island_data!$B:$B,island_data!N:N,"NaN"))</f>
        <v>10</v>
      </c>
      <c r="DI30" s="4" t="str">
        <f>IF(_xlfn.XLOOKUP($B30,island_data!$B:$B,island_data!O:O,"NaN")=999,"NaN",_xlfn.XLOOKUP($B30,island_data!$B:$B,island_data!O:O,"NaN"))</f>
        <v>NaN</v>
      </c>
      <c r="DJ30" s="4">
        <f>IF(_xlfn.XLOOKUP($B30,island_data!$B:$B,island_data!P:P,"NaN")="","NaN",_xlfn.XLOOKUP($B30,island_data!$B:$B,island_data!P:P,"NaN"))</f>
        <v>8</v>
      </c>
      <c r="DK30" s="4">
        <f>IF(_xlfn.XLOOKUP($B30,island_data!$B:$B,island_data!Q:Q,"NaN")="","NaN",_xlfn.XLOOKUP($B30,island_data!$B:$B,island_data!Q:Q,"NaN"))</f>
        <v>8</v>
      </c>
      <c r="DL30" s="4" t="str">
        <f>IF(_xlfn.XLOOKUP($B30,island_data!$B:$B,island_data!R:R,"NaN")=999,"NaN",_xlfn.XLOOKUP($B30,island_data!$B:$B,island_data!R:R,"NaN"))</f>
        <v>NaN</v>
      </c>
      <c r="DM30" s="4">
        <f>IF(_xlfn.XLOOKUP($B30,island_data!$B:$B,island_data!S:S,"NaN")="","NaN",_xlfn.XLOOKUP($B30,island_data!$B:$B,island_data!S:S,"NaN"))</f>
        <v>9</v>
      </c>
      <c r="DN30" s="4">
        <f>IF(_xlfn.XLOOKUP($B30,island_data!$B:$B,island_data!T:T,"NaN")="","NaN",_xlfn.XLOOKUP($B30,island_data!$B:$B,island_data!T:T,"NaN"))</f>
        <v>4.0833333333333304</v>
      </c>
      <c r="DO30" s="4">
        <f>IF(_xlfn.XLOOKUP($B30,island_data!$B:$B,island_data!U:U,"NaN")="","NaN",_xlfn.XLOOKUP($B30,island_data!$B:$B,island_data!U:U,"NaN"))</f>
        <v>6</v>
      </c>
      <c r="DP30" s="4">
        <f>IF(_xlfn.XLOOKUP($B30,island_data!$B:$B,island_data!V:V,"NaN")="","NaN",_xlfn.XLOOKUP($B30,island_data!$B:$B,island_data!V:V,"NaN"))</f>
        <v>4</v>
      </c>
      <c r="DQ30" s="4">
        <f>IF(_xlfn.XLOOKUP($B30,island_data!$B:$B,island_data!W:W,"NaN")="","NaN",_xlfn.XLOOKUP($B30,island_data!$B:$B,island_data!W:W,"NaN"))</f>
        <v>7</v>
      </c>
      <c r="DR30" s="4">
        <f>IF(_xlfn.XLOOKUP($B30,island_data!$B:$B,island_data!X:X,"NaN")="","NaN",_xlfn.XLOOKUP($B30,island_data!$B:$B,island_data!X:X,"NaN"))</f>
        <v>6</v>
      </c>
      <c r="DS30" s="4" t="str">
        <f>IF(_xlfn.XLOOKUP($B30,island_data!$B:$B,island_data!Y:Y,"NaN")="","NaN",_xlfn.XLOOKUP($B30,island_data!$B:$B,island_data!Y:Y,"NaN"))</f>
        <v>NaN</v>
      </c>
      <c r="DT30" s="4" t="str">
        <f>IF(_xlfn.XLOOKUP($B30,island_data!$B:$B,island_data!Z:Z,"NaN")="","NaN",_xlfn.XLOOKUP($B30,island_data!$B:$B,island_data!Z:Z,"NaN"))</f>
        <v>NaN</v>
      </c>
      <c r="DU30" s="4" t="str">
        <f>IF(_xlfn.XLOOKUP($B30,island_data!$B:$B,island_data!AA:AA,"NaN")="","NaN",_xlfn.XLOOKUP($B30,island_data!$B:$B,island_data!AA:AA,"NaN"))</f>
        <v>NaN</v>
      </c>
      <c r="DV30" s="4">
        <f>IF(_xlfn.XLOOKUP($B30,island_data!$B:$B,island_data!AB:AB,"NaN")="","NaN",_xlfn.XLOOKUP($B30,island_data!$B:$B,island_data!AB:AB,"NaN"))</f>
        <v>1</v>
      </c>
      <c r="DW30" s="4">
        <f>IF(_xlfn.XLOOKUP($B30,island_data!$B:$B,island_data!AC:AC,"NaN")="","NaN",_xlfn.XLOOKUP($B30,island_data!$B:$B,island_data!AC:AC,"NaN"))</f>
        <v>11793</v>
      </c>
      <c r="DX30" s="4">
        <f>IF(_xlfn.XLOOKUP($B30,island_data!$B:$B,island_data!AD:AD,"NaN")="","NaN",_xlfn.XLOOKUP($B30,island_data!$B:$B,island_data!AD:AD,"NaN"))</f>
        <v>7</v>
      </c>
      <c r="DY30" s="4">
        <f>IF(_xlfn.XLOOKUP($B30,island_data!$B:$B,island_data!AE:AE,"NaN")="","NaN",_xlfn.XLOOKUP($B30,island_data!$B:$B,island_data!AE:AE,"NaN"))</f>
        <v>1</v>
      </c>
      <c r="DZ30" s="4" t="str">
        <f>IF(_xlfn.XLOOKUP($B30,island_data!$B:$B,island_data!AF:AF,"NaN")="","NaN",_xlfn.XLOOKUP($B30,island_data!$B:$B,island_data!AF:AF,"NaN"))</f>
        <v>NaN</v>
      </c>
      <c r="EA30" s="4" t="str">
        <f>IF(_xlfn.XLOOKUP($B30,island_data!$B:$B,island_data!AG:AG,"NaN")="","NaN",_xlfn.XLOOKUP($B30,island_data!$B:$B,island_data!AG:AG,"NaN"))</f>
        <v>NaN</v>
      </c>
      <c r="EB30" s="4" t="str">
        <f>IF(_xlfn.XLOOKUP($B30,island_data!$B:$B,island_data!AH:AH,"NaN")="","NaN",_xlfn.XLOOKUP($B30,island_data!$B:$B,island_data!AH:AH,"NaN"))</f>
        <v>NaN</v>
      </c>
      <c r="EC30" s="4" t="str">
        <f>IF(_xlfn.XLOOKUP($B30,island_data!$B:$B,island_data!AI:AI,"NaN")="","NaN",_xlfn.XLOOKUP($B30,island_data!$B:$B,island_data!AI:AI,"NaN"))</f>
        <v>NaN</v>
      </c>
      <c r="ED30" s="4" t="str">
        <f>IF(_xlfn.XLOOKUP($B30,island_data!$B:$B,island_data!AJ:AJ,"NaN")="","NaN",_xlfn.XLOOKUP($B30,island_data!$B:$B,island_data!AJ:AJ,"NaN"))</f>
        <v>NaN</v>
      </c>
      <c r="EE30" s="4" t="str">
        <f>IF(_xlfn.XLOOKUP($B30,island_data!$B:$B,island_data!AK:AK,"NaN")="","NaN",_xlfn.XLOOKUP($B30,island_data!$B:$B,island_data!AK:AK,"NaN"))</f>
        <v>NaN</v>
      </c>
      <c r="EF30" s="4" t="str">
        <f>IF(_xlfn.XLOOKUP($B30,island_data!$B:$B,island_data!AL:AL,"NaN")="","NaN",_xlfn.XLOOKUP($B30,island_data!$B:$B,island_data!AL:AL,"NaN"))</f>
        <v>NaN</v>
      </c>
      <c r="EG30" s="4" t="str">
        <f>IF(_xlfn.XLOOKUP($B30,island_data!$B:$B,island_data!AM:AM,"NaN")="","NaN",_xlfn.XLOOKUP($B30,island_data!$B:$B,island_data!AM:AM,"NaN"))</f>
        <v>NaN</v>
      </c>
      <c r="EH30" s="4">
        <f>IF(_xlfn.XLOOKUP($B30,island_data!$B:$B,island_data!AN:AN,"NaN")="","NaN",_xlfn.XLOOKUP($B30,island_data!$B:$B,island_data!AN:AN,"NaN"))</f>
        <v>5</v>
      </c>
      <c r="EI30" s="4" t="str">
        <f>IF(_xlfn.XLOOKUP($B30,island_data!$B:$B,island_data!AO:AO,"NaN")="","NaN",_xlfn.XLOOKUP($B30,island_data!$B:$B,island_data!AO:AO,"NaN"))</f>
        <v>NaN</v>
      </c>
      <c r="EJ30" s="8">
        <f>IF(_xlfn.XLOOKUP($A30,TabCAT!$A:$A,TabCAT!AU:AU,"NaN")="","NaN",(_xlfn.XLOOKUP($A30,TabCAT!$A:$A,TabCAT!AU:AU,"NaN")))</f>
        <v>185</v>
      </c>
      <c r="EK30" s="8" t="b">
        <f>IF(_xlfn.XLOOKUP($A30,TabCAT!$A:$A,TabCAT!AV:AV,"NaN")="","NaN",(_xlfn.XLOOKUP($A30,TabCAT!$A:$A,TabCAT!AV:AV,"NaN")))</f>
        <v>1</v>
      </c>
      <c r="EL30" s="8">
        <f>IF(_xlfn.XLOOKUP($A30,TabCAT!$A:$A,TabCAT!AW:AW,"NaN")="","NaN",(_xlfn.XLOOKUP($A30,TabCAT!$A:$A,TabCAT!AW:AW,"NaN")))</f>
        <v>5</v>
      </c>
      <c r="EM30" s="8">
        <f>IF(_xlfn.XLOOKUP($A30,TabCAT!$A:$A,TabCAT!AX:AX,"NaN")="","NaN",(_xlfn.XLOOKUP($A30,TabCAT!$A:$A,TabCAT!AX:AX,"NaN")))</f>
        <v>0</v>
      </c>
      <c r="EN30" s="8">
        <f>IF(_xlfn.XLOOKUP($A30,TabCAT!$A:$A,TabCAT!AY:AY,"NaN")="","NaN",(_xlfn.XLOOKUP($A30,TabCAT!$A:$A,TabCAT!AY:AY,"NaN")))</f>
        <v>8.26</v>
      </c>
      <c r="EO30" s="8">
        <f>IF(_xlfn.XLOOKUP($A30,TabCAT!$A:$A,TabCAT!AZ:AZ,"NaN")="","NaN",(_xlfn.XLOOKUP($A30,TabCAT!$A:$A,TabCAT!AZ:AZ,"NaN")))</f>
        <v>32</v>
      </c>
      <c r="EP30" s="8">
        <f>IF(_xlfn.XLOOKUP($A30,TabCAT!$A:$A,TabCAT!BA:BA,"NaN")="","NaN",(_xlfn.XLOOKUP($A30,TabCAT!$A:$A,TabCAT!BA:BA,"NaN")))</f>
        <v>0.81842949999999903</v>
      </c>
      <c r="EQ30" s="8">
        <f>IF(_xlfn.XLOOKUP($A30,TabCAT!$A:$A,TabCAT!BB:BB,"NaN")="","NaN",(_xlfn.XLOOKUP($A30,TabCAT!$A:$A,TabCAT!BB:BB,"NaN")))</f>
        <v>0.14427463808568999</v>
      </c>
      <c r="ER30" s="8">
        <f>IF(_xlfn.XLOOKUP($A30,TabCAT!$A:$A,TabCAT!BC:BC,"NaN")="","NaN",(_xlfn.XLOOKUP($A30,TabCAT!$A:$A,TabCAT!BC:BC,"NaN")))</f>
        <v>16</v>
      </c>
      <c r="ES30" s="8">
        <f>IF(_xlfn.XLOOKUP($A30,TabCAT!$A:$A,TabCAT!BD:BD,"NaN")="","NaN",(_xlfn.XLOOKUP($A30,TabCAT!$A:$A,TabCAT!BD:BD,"NaN")))</f>
        <v>0.78517099999999995</v>
      </c>
      <c r="ET30" s="8">
        <f>IF(_xlfn.XLOOKUP($A30,TabCAT!$A:$A,TabCAT!BE:BE,"NaN")="","NaN",(_xlfn.XLOOKUP($A30,TabCAT!$A:$A,TabCAT!BE:BE,"NaN")))</f>
        <v>16</v>
      </c>
      <c r="EU30" s="8">
        <f>IF(_xlfn.XLOOKUP($A30,TabCAT!$A:$A,TabCAT!BF:BF,"NaN")="","NaN",(_xlfn.XLOOKUP($A30,TabCAT!$A:$A,TabCAT!BF:BF,"NaN")))</f>
        <v>0.87256</v>
      </c>
      <c r="EV30" s="8">
        <f>IF(_xlfn.XLOOKUP($A30,TabCAT!$A:$A,TabCAT!BG:BG,"NaN")="","NaN",(_xlfn.XLOOKUP($A30,TabCAT!$A:$A,TabCAT!BG:BG,"NaN")))</f>
        <v>-0.358491</v>
      </c>
      <c r="EW30" s="8" t="str">
        <f>IF(_xlfn.XLOOKUP($A30,TabCAT!$A:$A,TabCAT!BH:BH,"NaN")="","NaN",(_xlfn.XLOOKUP($A30,TabCAT!$A:$A,TabCAT!BH:BH,"NaN")))</f>
        <v>3.0.0</v>
      </c>
      <c r="EX30" s="8" t="str">
        <f>IF(_xlfn.XLOOKUP($A30,TabCAT!$A:$A,TabCAT!BI:BI,"NaN")="","NaN",(_xlfn.XLOOKUP($A30,TabCAT!$A:$A,TabCAT!BI:BI,"NaN")))</f>
        <v>English</v>
      </c>
      <c r="EY30" s="8">
        <f>IF(_xlfn.XLOOKUP($A30,TabCAT!$A:$A,TabCAT!BJ:BJ,"NaN")="","NaN",(_xlfn.XLOOKUP($A30,TabCAT!$A:$A,TabCAT!BJ:BJ,"NaN")))</f>
        <v>283</v>
      </c>
      <c r="EZ30" s="8">
        <f>IF(_xlfn.XLOOKUP($A30,TabCAT!$A:$A,TabCAT!BK:BK,"NaN")="","NaN",(_xlfn.XLOOKUP($A30,TabCAT!$A:$A,TabCAT!BK:BK,"NaN")))</f>
        <v>1</v>
      </c>
      <c r="FA30" s="8">
        <f>IF(_xlfn.XLOOKUP($A30,TabCAT!$A:$A,TabCAT!BL:BL,"NaN")="","NaN",(_xlfn.XLOOKUP($A30,TabCAT!$A:$A,TabCAT!BL:BL,"NaN")))</f>
        <v>6</v>
      </c>
      <c r="FB30" s="8">
        <f>IF(_xlfn.XLOOKUP($A30,TabCAT!$A:$A,TabCAT!BM:BM,"NaN")="","NaN",(_xlfn.XLOOKUP($A30,TabCAT!$A:$A,TabCAT!BM:BM,"NaN")))</f>
        <v>1</v>
      </c>
      <c r="FC30" s="8">
        <f>IF(_xlfn.XLOOKUP($A30,TabCAT!$A:$A,TabCAT!BN:BN,"NaN")="","NaN",(_xlfn.XLOOKUP($A30,TabCAT!$A:$A,TabCAT!BN:BN,"NaN")))</f>
        <v>6</v>
      </c>
      <c r="FD30" s="8">
        <f>IF(_xlfn.XLOOKUP($A30,TabCAT!$A:$A,TabCAT!BO:BO,"NaN")="","NaN",(_xlfn.XLOOKUP($A30,TabCAT!$A:$A,TabCAT!BO:BO,"NaN")))</f>
        <v>7</v>
      </c>
      <c r="FE30" s="8">
        <f>IF(_xlfn.XLOOKUP($A30,TabCAT!$A:$A,TabCAT!BP:BP,"NaN")="","NaN",(_xlfn.XLOOKUP($A30,TabCAT!$A:$A,TabCAT!BP:BP,"NaN")))</f>
        <v>0.77777777777777701</v>
      </c>
      <c r="FF30" s="8">
        <f>IF(_xlfn.XLOOKUP($A30,TabCAT!$A:$A,TabCAT!BQ:BQ,"NaN")="","NaN",(_xlfn.XLOOKUP($A30,TabCAT!$A:$A,TabCAT!BQ:BQ,"NaN")))</f>
        <v>6.5</v>
      </c>
      <c r="FG30" s="8">
        <f>IF(_xlfn.XLOOKUP($A30,TabCAT!$A:$A,TabCAT!BR:BR,"NaN")="","NaN",(_xlfn.XLOOKUP($A30,TabCAT!$A:$A,TabCAT!BR:BR,"NaN")))</f>
        <v>10</v>
      </c>
      <c r="FH30" s="8">
        <f>IF(_xlfn.XLOOKUP($A30,TabCAT!$A:$A,TabCAT!BS:BS,"NaN")="","NaN",(_xlfn.XLOOKUP($A30,TabCAT!$A:$A,TabCAT!BS:BS,"NaN")))</f>
        <v>0.83333333333333304</v>
      </c>
      <c r="FI30" s="8">
        <f>IF(_xlfn.XLOOKUP($A30,TabCAT!$A:$A,TabCAT!BT:BT,"NaN")="","NaN",(_xlfn.XLOOKUP($A30,TabCAT!$A:$A,TabCAT!BT:BT,"NaN")))</f>
        <v>7.5</v>
      </c>
      <c r="FJ30" s="8">
        <f>IF(_xlfn.XLOOKUP($A30,TabCAT!$A:$A,TabCAT!BU:BU,"NaN")="","NaN",(_xlfn.XLOOKUP($A30,TabCAT!$A:$A,TabCAT!BU:BU,"NaN")))</f>
        <v>10</v>
      </c>
      <c r="FK30" s="8">
        <f>IF(_xlfn.XLOOKUP($A30,TabCAT!$A:$A,TabCAT!BV:BV,"NaN")="","NaN",(_xlfn.XLOOKUP($A30,TabCAT!$A:$A,TabCAT!BV:BV,"NaN")))</f>
        <v>0.66666666666666596</v>
      </c>
      <c r="FL30" s="8">
        <f>IF(_xlfn.XLOOKUP($A30,TabCAT!$A:$A,TabCAT!BW:BW,"NaN")="","NaN",(_xlfn.XLOOKUP($A30,TabCAT!$A:$A,TabCAT!BW:BW,"NaN")))</f>
        <v>9.5</v>
      </c>
      <c r="FM30" s="8">
        <f>IF(_xlfn.XLOOKUP($A30,TabCAT!$A:$A,TabCAT!BX:BX,"NaN")="","NaN",(_xlfn.XLOOKUP($A30,TabCAT!$A:$A,TabCAT!BX:BX,"NaN")))</f>
        <v>33</v>
      </c>
      <c r="FN30" s="8">
        <f>IF(_xlfn.XLOOKUP($A30,TabCAT!$A:$A,TabCAT!BY:BY,"NaN")="","NaN",(_xlfn.XLOOKUP($A30,TabCAT!$A:$A,TabCAT!BY:BY,"NaN")))</f>
        <v>0.78571428571428503</v>
      </c>
      <c r="FO30" s="8">
        <f>IF(_xlfn.XLOOKUP($A30,TabCAT!$A:$A,TabCAT!BZ:BZ,"NaN")="","NaN",(_xlfn.XLOOKUP($A30,TabCAT!$A:$A,TabCAT!BZ:BZ,"NaN")))</f>
        <v>29.5</v>
      </c>
      <c r="FP30" s="8" t="str">
        <f>IF(_xlfn.XLOOKUP($A30,TabCAT!$A:$A,TabCAT!CA:CA,"NaN")="","NaN",(_xlfn.XLOOKUP($A30,TabCAT!$A:$A,TabCAT!CA:CA,"NaN")))</f>
        <v>3.0.0</v>
      </c>
      <c r="FQ30" s="8" t="str">
        <f>IF(_xlfn.XLOOKUP($A30,TabCAT!$A:$A,TabCAT!CB:CB,"NaN")="","NaN",(_xlfn.XLOOKUP($A30,TabCAT!$A:$A,TabCAT!CB:CB,"NaN")))</f>
        <v>English</v>
      </c>
      <c r="FR30" s="8">
        <f>IF(_xlfn.XLOOKUP($A30,TabCAT!$A:$A,TabCAT!CC:CC,"NaN")="","NaN",(_xlfn.XLOOKUP($A30,TabCAT!$A:$A,TabCAT!CC:CC,"NaN")))</f>
        <v>248</v>
      </c>
      <c r="FS30" s="8" t="b">
        <f>IF(_xlfn.XLOOKUP($A30,TabCAT!$A:$A,TabCAT!CD:CD,"NaN")="","NaN",(_xlfn.XLOOKUP($A30,TabCAT!$A:$A,TabCAT!CD:CD,"NaN")))</f>
        <v>1</v>
      </c>
      <c r="FT30" s="8">
        <f>IF(_xlfn.XLOOKUP($A30,TabCAT!$A:$A,TabCAT!CE:CE,"NaN")="","NaN",(_xlfn.XLOOKUP($A30,TabCAT!$A:$A,TabCAT!CE:CE,"NaN")))</f>
        <v>8</v>
      </c>
      <c r="FU30" s="8">
        <f>IF(_xlfn.XLOOKUP($A30,TabCAT!$A:$A,TabCAT!CF:CF,"NaN")="","NaN",(_xlfn.XLOOKUP($A30,TabCAT!$A:$A,TabCAT!CF:CF,"NaN")))</f>
        <v>0</v>
      </c>
      <c r="FV30" s="8">
        <f>IF(_xlfn.XLOOKUP($A30,TabCAT!$A:$A,TabCAT!CG:CG,"NaN")="","NaN",(_xlfn.XLOOKUP($A30,TabCAT!$A:$A,TabCAT!CG:CG,"NaN")))</f>
        <v>8.31</v>
      </c>
      <c r="FW30" s="8">
        <f>IF(_xlfn.XLOOKUP($A30,TabCAT!$A:$A,TabCAT!CH:CH,"NaN")="","NaN",(_xlfn.XLOOKUP($A30,TabCAT!$A:$A,TabCAT!CH:CH,"NaN")))</f>
        <v>16</v>
      </c>
      <c r="FX30" s="8">
        <f>IF(_xlfn.XLOOKUP($A30,TabCAT!$A:$A,TabCAT!CI:CI,"NaN")="","NaN",(_xlfn.XLOOKUP($A30,TabCAT!$A:$A,TabCAT!CI:CI,"NaN")))</f>
        <v>0.86764299999999905</v>
      </c>
      <c r="FY30" s="8">
        <f>IF(_xlfn.XLOOKUP($A30,TabCAT!$A:$A,TabCAT!CJ:CJ,"NaN")="","NaN",(_xlfn.XLOOKUP($A30,TabCAT!$A:$A,TabCAT!CJ:CJ,"NaN")))</f>
        <v>16</v>
      </c>
      <c r="FZ30" s="8">
        <f>IF(_xlfn.XLOOKUP($A30,TabCAT!$A:$A,TabCAT!CK:CK,"NaN")="","NaN",(_xlfn.XLOOKUP($A30,TabCAT!$A:$A,TabCAT!CK:CK,"NaN")))</f>
        <v>0.77310349999999906</v>
      </c>
      <c r="GA30" s="8">
        <f>IF(_xlfn.XLOOKUP($A30,TabCAT!$A:$A,TabCAT!CL:CL,"NaN")="","NaN",(_xlfn.XLOOKUP($A30,TabCAT!$A:$A,TabCAT!CL:CL,"NaN")))</f>
        <v>32</v>
      </c>
      <c r="GB30" s="8">
        <f>IF(_xlfn.XLOOKUP($A30,TabCAT!$A:$A,TabCAT!CM:CM,"NaN")="","NaN",(_xlfn.XLOOKUP($A30,TabCAT!$A:$A,TabCAT!CM:CM,"NaN")))</f>
        <v>0.75637799999999999</v>
      </c>
      <c r="GC30" s="8">
        <f>IF(_xlfn.XLOOKUP($A30,TabCAT!$A:$A,TabCAT!CN:CN,"NaN")="","NaN",(_xlfn.XLOOKUP($A30,TabCAT!$A:$A,TabCAT!CN:CN,"NaN")))</f>
        <v>19</v>
      </c>
      <c r="GD30" s="8">
        <f>IF(_xlfn.XLOOKUP($A30,TabCAT!$A:$A,TabCAT!CO:CO,"NaN")="","NaN",(_xlfn.XLOOKUP($A30,TabCAT!$A:$A,TabCAT!CO:CO,"NaN")))</f>
        <v>0.78566599999999998</v>
      </c>
      <c r="GE30" s="8">
        <f>IF(_xlfn.XLOOKUP($A30,TabCAT!$A:$A,TabCAT!CP:CP,"NaN")="","NaN",(_xlfn.XLOOKUP($A30,TabCAT!$A:$A,TabCAT!CP:CP,"NaN")))</f>
        <v>0.214062195449019</v>
      </c>
      <c r="GF30" s="8">
        <f>IF(_xlfn.XLOOKUP($A30,TabCAT!$A:$A,TabCAT!CQ:CQ,"NaN")="","NaN",(_xlfn.XLOOKUP($A30,TabCAT!$A:$A,TabCAT!CQ:CQ,"NaN")))</f>
        <v>55</v>
      </c>
      <c r="GG30" s="8">
        <f>IF(_xlfn.XLOOKUP($A30,TabCAT!$A:$A,TabCAT!CR:CR,"NaN")="","NaN",(_xlfn.XLOOKUP($A30,TabCAT!$A:$A,TabCAT!CR:CR,"NaN")))</f>
        <v>0.81383499999999998</v>
      </c>
      <c r="GH30" s="8">
        <f>IF(_xlfn.XLOOKUP($A30,TabCAT!$A:$A,TabCAT!CS:CS,"NaN")="","NaN",(_xlfn.XLOOKUP($A30,TabCAT!$A:$A,TabCAT!CS:CS,"NaN")))</f>
        <v>0.69565200000000005</v>
      </c>
    </row>
    <row r="31" spans="1:190" x14ac:dyDescent="0.2">
      <c r="A31">
        <v>10647</v>
      </c>
      <c r="B31">
        <f>_xlfn.XLOOKUP(bippity_poppity_boo!A31,rf1_data!A:A,rf1_data!B:B)</f>
        <v>30298</v>
      </c>
      <c r="C31" s="2">
        <f>(_xlfn.XLOOKUP($A31,trust!$A:$A,trust!B:B,"NaN"))</f>
        <v>2.25</v>
      </c>
      <c r="D31" s="2">
        <f>(_xlfn.XLOOKUP($A31,trust!$A:$A,trust!C:C,"NaN"))</f>
        <v>2.5</v>
      </c>
      <c r="E31" s="2">
        <f>(_xlfn.XLOOKUP($A31,trust!$A:$A,trust!D:D,"NaN"))</f>
        <v>2.4444439999999998</v>
      </c>
      <c r="F31" s="2">
        <f>(_xlfn.XLOOKUP($A31,trust!$A:$A,trust!E:E,"NaN"))</f>
        <v>2.5</v>
      </c>
      <c r="G31" s="2">
        <f>(_xlfn.XLOOKUP($A31,trust!$A:$A,trust!F:F,"NaN"))</f>
        <v>3.4</v>
      </c>
      <c r="H31" s="2">
        <f>(_xlfn.XLOOKUP($A31,trust!$A:$A,trust!G:G,"NaN"))</f>
        <v>2.8</v>
      </c>
      <c r="I31" s="3">
        <f>IF(_xlfn.XLOOKUP($B31,island_data!$B:$B,island_data!C:C,"NaN")="","NaN",_xlfn.XLOOKUP($B31,island_data!$B:$B,island_data!C:C,"NaN"))</f>
        <v>45001</v>
      </c>
      <c r="J31" s="3">
        <f>IF(_xlfn.XLOOKUP($B31,island_data!$B:$B,island_data!D:D,"NaN")="","NaN",_xlfn.XLOOKUP($B31,island_data!$B:$B,island_data!D:D,"NaN"))</f>
        <v>36114</v>
      </c>
      <c r="K31" s="4">
        <f>IF(_xlfn.XLOOKUP($B31,island_data!$B:$B,island_data!E:E,"NaN")="","NaN",_xlfn.XLOOKUP($B31,island_data!$B:$B,island_data!E:E,"NaN"))</f>
        <v>24.33</v>
      </c>
      <c r="L31" s="5">
        <f>IF(_xlfn.XLOOKUP($B31,rf1_data!$B:$B,rf1_data!D:D,"NaN")="","NaN",(_xlfn.XLOOKUP($B31,rf1_data!$B:$B,rf1_data!D:D,"NaN")))</f>
        <v>24.59</v>
      </c>
      <c r="M31" s="5" t="str">
        <f>IF(_xlfn.XLOOKUP($B31,rf1_data!$B:$B,rf1_data!E:E,"NaN")="","NaN",(_xlfn.XLOOKUP($B31,rf1_data!$B:$B,rf1_data!E:E,"NaN")))</f>
        <v>White</v>
      </c>
      <c r="N31" s="5" t="str">
        <f>IF(_xlfn.XLOOKUP($B31,rf1_data!$B:$B,rf1_data!F:F,"NaN")="","NaN",(_xlfn.XLOOKUP($B31,rf1_data!$B:$B,rf1_data!F:F,"NaN")))</f>
        <v>Not Hispanic or Latino</v>
      </c>
      <c r="O31" s="5" t="str">
        <f>IF(_xlfn.XLOOKUP($B31,rf1_data!$B:$B,rf1_data!G:G,"NaN")="","NaN",(_xlfn.XLOOKUP($B31,rf1_data!$B:$B,rf1_data!G:G,"NaN")))</f>
        <v>Female</v>
      </c>
      <c r="P31" s="5">
        <f>IF(_xlfn.XLOOKUP($B31,rf1_data!$B:$B,rf1_data!H:H,"NaN")="","NaN",(_xlfn.XLOOKUP($B31,rf1_data!$B:$B,rf1_data!H:H,"NaN")))</f>
        <v>4.22</v>
      </c>
      <c r="Q31" s="5">
        <f>IF(_xlfn.XLOOKUP($B31,rf1_data!$B:$B,rf1_data!I:I,"NaN")="","NaN",(_xlfn.XLOOKUP($B31,rf1_data!$B:$B,rf1_data!I:I,"NaN")))</f>
        <v>4.5</v>
      </c>
      <c r="R31" s="5">
        <f>IF(_xlfn.XLOOKUP($B31,rf1_data!$B:$B,rf1_data!J:J,"NaN")="","NaN",(_xlfn.XLOOKUP($B31,rf1_data!$B:$B,rf1_data!J:J,"NaN")))</f>
        <v>1</v>
      </c>
      <c r="S31" s="5">
        <f>IF(_xlfn.XLOOKUP($B31,rf1_data!$B:$B,rf1_data!K:K,"NaN")="","NaN",(_xlfn.XLOOKUP($B31,rf1_data!$B:$B,rf1_data!K:K,"NaN")))</f>
        <v>0</v>
      </c>
      <c r="T31" s="5">
        <f>IF(_xlfn.XLOOKUP($B31,rf1_data!$B:$B,rf1_data!L:L,"NaN")="","NaN",(_xlfn.XLOOKUP($B31,rf1_data!$B:$B,rf1_data!L:L,"NaN")))</f>
        <v>0</v>
      </c>
      <c r="U31" s="5">
        <f>IF(_xlfn.XLOOKUP($B31,rf1_data!$B:$B,rf1_data!M:M,"NaN")="","NaN",(_xlfn.XLOOKUP($B31,rf1_data!$B:$B,rf1_data!M:M,"NaN")))</f>
        <v>6.17</v>
      </c>
      <c r="V31" s="5">
        <f>IF(_xlfn.XLOOKUP($B31,rf1_data!$B:$B,rf1_data!N:N,"NaN")="","NaN",(_xlfn.XLOOKUP($B31,rf1_data!$B:$B,rf1_data!N:N,"NaN")))</f>
        <v>4.83</v>
      </c>
      <c r="W31" s="5">
        <f>IF(_xlfn.XLOOKUP($B31,rf1_data!$B:$B,rf1_data!O:O,"NaN")="","NaN",(_xlfn.XLOOKUP($B31,rf1_data!$B:$B,rf1_data!O:O,"NaN")))</f>
        <v>6.25</v>
      </c>
      <c r="X31" s="5">
        <f>IF(_xlfn.XLOOKUP($B31,rf1_data!$B:$B,rf1_data!P:P,"NaN")="","NaN",(_xlfn.XLOOKUP($B31,rf1_data!$B:$B,rf1_data!P:P,"NaN")))</f>
        <v>4.83</v>
      </c>
      <c r="Y31" s="5">
        <f>IF(_xlfn.XLOOKUP($B31,rf1_data!$B:$B,rf1_data!Q:Q,"NaN")="","NaN",(_xlfn.XLOOKUP($B31,rf1_data!$B:$B,rf1_data!Q:Q,"NaN")))</f>
        <v>5.63</v>
      </c>
      <c r="Z31" s="5">
        <f>IF(_xlfn.XLOOKUP($B31,rf1_data!$B:$B,rf1_data!R:R,"NaN")="","NaN",(_xlfn.XLOOKUP($B31,rf1_data!$B:$B,rf1_data!R:R,"NaN")))</f>
        <v>0</v>
      </c>
      <c r="AA31" s="5">
        <f>IF(_xlfn.XLOOKUP($B31,rf1_data!$B:$B,rf1_data!S:S,"NaN")="","NaN",(_xlfn.XLOOKUP($B31,rf1_data!$B:$B,rf1_data!S:S,"NaN")))</f>
        <v>0</v>
      </c>
      <c r="AB31" s="5">
        <f>IF(_xlfn.XLOOKUP($B31,rf1_data!$B:$B,rf1_data!T:T,"NaN")="","NaN",(_xlfn.XLOOKUP($B31,rf1_data!$B:$B,rf1_data!T:T,"NaN")))</f>
        <v>0</v>
      </c>
      <c r="AC31" s="5">
        <f>IF(_xlfn.XLOOKUP($B31,rf1_data!$B:$B,rf1_data!U:U,"NaN")="","NaN",(_xlfn.XLOOKUP($B31,rf1_data!$B:$B,rf1_data!U:U,"NaN")))</f>
        <v>0</v>
      </c>
      <c r="AD31" s="5">
        <f>IF(_xlfn.XLOOKUP($B31,rf1_data!$B:$B,rf1_data!V:V,"NaN")="","NaN",(_xlfn.XLOOKUP($B31,rf1_data!$B:$B,rf1_data!V:V,"NaN")))</f>
        <v>0</v>
      </c>
      <c r="AE31" s="5">
        <f>IF(_xlfn.XLOOKUP($B31,rf1_data!$B:$B,rf1_data!W:W,"NaN")="","NaN",(_xlfn.XLOOKUP($B31,rf1_data!$B:$B,rf1_data!W:W,"NaN")))</f>
        <v>0</v>
      </c>
      <c r="AF31" s="5">
        <f>IF(_xlfn.XLOOKUP($B31,rf1_data!$B:$B,rf1_data!X:X,"NaN")="","NaN",(_xlfn.XLOOKUP($B31,rf1_data!$B:$B,rf1_data!X:X,"NaN")))</f>
        <v>0</v>
      </c>
      <c r="AG31" s="5">
        <f>IF(_xlfn.XLOOKUP($B31,rf1_data!$B:$B,rf1_data!Y:Y,"NaN")="","NaN",(_xlfn.XLOOKUP($B31,rf1_data!$B:$B,rf1_data!Y:Y,"NaN")))</f>
        <v>1</v>
      </c>
      <c r="AH31" s="5">
        <f>IF(_xlfn.XLOOKUP($B31,rf1_data!$B:$B,rf1_data!Z:Z,"NaN")="","NaN",(_xlfn.XLOOKUP($B31,rf1_data!$B:$B,rf1_data!Z:Z,"NaN")))</f>
        <v>2</v>
      </c>
      <c r="AI31" s="5">
        <f>IF(_xlfn.XLOOKUP($B31,rf1_data!$B:$B,rf1_data!AA:AA,"NaN")="","NaN",(_xlfn.XLOOKUP($B31,rf1_data!$B:$B,rf1_data!AA:AA,"NaN")))</f>
        <v>0</v>
      </c>
      <c r="AJ31" s="5">
        <f>IF(_xlfn.XLOOKUP($B31,rf1_data!$B:$B,rf1_data!AB:AB,"NaN")="","NaN",(_xlfn.XLOOKUP($B31,rf1_data!$B:$B,rf1_data!AB:AB,"NaN")))</f>
        <v>3</v>
      </c>
      <c r="AK31" s="5">
        <f>IF(_xlfn.XLOOKUP($B31,rf1_data!$B:$B,rf1_data!AC:AC,"NaN")="","NaN",(_xlfn.XLOOKUP($B31,rf1_data!$B:$B,rf1_data!AC:AC,"NaN")))</f>
        <v>28</v>
      </c>
      <c r="AL31" s="5">
        <f>IF(_xlfn.XLOOKUP($B31,rf1_data!$B:$B,rf1_data!AD:AD,"NaN")="","NaN",(_xlfn.XLOOKUP($B31,rf1_data!$B:$B,rf1_data!AD:AD,"NaN")))</f>
        <v>15</v>
      </c>
      <c r="AM31" s="5">
        <f>IF(_xlfn.XLOOKUP($B31,rf1_data!$B:$B,rf1_data!AE:AE,"NaN")="","NaN",(_xlfn.XLOOKUP($B31,rf1_data!$B:$B,rf1_data!AE:AE,"NaN")))</f>
        <v>0</v>
      </c>
      <c r="AN31" s="5">
        <f>IF(_xlfn.XLOOKUP($B31,rf1_data!$B:$B,rf1_data!AF:AF,"NaN")="","NaN",(_xlfn.XLOOKUP($B31,rf1_data!$B:$B,rf1_data!AF:AF,"NaN")))</f>
        <v>0</v>
      </c>
      <c r="AO31" s="5">
        <f>IF(_xlfn.XLOOKUP($B31,rf1_data!$B:$B,rf1_data!AG:AG,"NaN")="","NaN",(_xlfn.XLOOKUP($B31,rf1_data!$B:$B,rf1_data!AG:AG,"NaN")))</f>
        <v>5.67</v>
      </c>
      <c r="AP31" s="5">
        <f>IF(_xlfn.XLOOKUP($B31,rf1_data!$B:$B,rf1_data!AH:AH,"NaN")="","NaN",(_xlfn.XLOOKUP($B31,rf1_data!$B:$B,rf1_data!AH:AH,"NaN")))</f>
        <v>5.25</v>
      </c>
      <c r="AQ31" s="5">
        <f>IF(_xlfn.XLOOKUP($B31,rf1_data!$B:$B,rf1_data!AI:AI,"NaN")="","NaN",(_xlfn.XLOOKUP($B31,rf1_data!$B:$B,rf1_data!AI:AI,"NaN")))</f>
        <v>5</v>
      </c>
      <c r="AR31" s="5">
        <f>IF(_xlfn.XLOOKUP($B31,rf1_data!$B:$B,rf1_data!AJ:AJ,"NaN")="","NaN",(_xlfn.XLOOKUP($B31,rf1_data!$B:$B,rf1_data!AJ:AJ,"NaN")))</f>
        <v>6.75</v>
      </c>
      <c r="AS31" s="5">
        <f>IF(_xlfn.XLOOKUP($B31,rf1_data!$B:$B,rf1_data!AK:AK,"NaN")="","NaN",(_xlfn.XLOOKUP($B31,rf1_data!$B:$B,rf1_data!AK:AK,"NaN")))</f>
        <v>3.3</v>
      </c>
      <c r="AT31" s="5">
        <f>IF(_xlfn.XLOOKUP($B31,rf1_data!$B:$B,rf1_data!AL:AL,"NaN")="","NaN",(_xlfn.XLOOKUP($B31,rf1_data!$B:$B,rf1_data!AL:AL,"NaN")))</f>
        <v>6</v>
      </c>
      <c r="AU31" s="5">
        <f>IF(_xlfn.XLOOKUP($B31,rf1_data!$B:$B,rf1_data!AM:AM,"NaN")="","NaN",(_xlfn.XLOOKUP($B31,rf1_data!$B:$B,rf1_data!AM:AM,"NaN")))</f>
        <v>2.92</v>
      </c>
      <c r="AV31" s="5">
        <f>IF(_xlfn.XLOOKUP($B31,rf1_data!$B:$B,rf1_data!AN:AN,"NaN")="","NaN",(_xlfn.XLOOKUP($B31,rf1_data!$B:$B,rf1_data!AN:AN,"NaN")))</f>
        <v>6</v>
      </c>
      <c r="AW31" s="5">
        <f>IF(_xlfn.XLOOKUP($B31,rf1_data!$B:$B,rf1_data!AO:AO,"NaN")="","NaN",(_xlfn.XLOOKUP($B31,rf1_data!$B:$B,rf1_data!AO:AO,"NaN")))</f>
        <v>3</v>
      </c>
      <c r="AX31" s="5">
        <f>IF(_xlfn.XLOOKUP($B31,rf1_data!$B:$B,rf1_data!AP:AP,"NaN")="","NaN",(_xlfn.XLOOKUP($B31,rf1_data!$B:$B,rf1_data!AP:AP,"NaN")))</f>
        <v>9999</v>
      </c>
      <c r="AY31" s="5" t="str">
        <f>IF(_xlfn.XLOOKUP($B31,rf1_data!$B:$B,rf1_data!AQ:AQ,"NaN")="","NaN",(_xlfn.XLOOKUP($B31,rf1_data!$B:$B,rf1_data!AQ:AQ,"NaN")))</f>
        <v>NaN</v>
      </c>
      <c r="AZ31" s="5" t="str">
        <f>IF(_xlfn.XLOOKUP($B31,rf1_data!$B:$B,rf1_data!AR:AR,"NaN")="","NaN",(_xlfn.XLOOKUP($B31,rf1_data!$B:$B,rf1_data!AR:AR,"NaN")))</f>
        <v>NaN</v>
      </c>
      <c r="BA31" s="5" t="str">
        <f>IF(_xlfn.XLOOKUP($B31,rf1_data!$B:$B,rf1_data!AS:AS,"NaN")="","NaN",(_xlfn.XLOOKUP($B31,rf1_data!$B:$B,rf1_data!AS:AS,"NaN")))</f>
        <v>NaN</v>
      </c>
      <c r="BB31" s="5" t="str">
        <f>IF(_xlfn.XLOOKUP($B31,rf1_data!$B:$B,rf1_data!AT:AT,"NaN")="","NaN",(_xlfn.XLOOKUP($B31,rf1_data!$B:$B,rf1_data!AT:AT,"NaN")))</f>
        <v>NaN</v>
      </c>
      <c r="BC31" s="5" t="str">
        <f>IF(_xlfn.XLOOKUP($B31,rf1_data!$B:$B,rf1_data!AU:AU,"NaN")="","NaN",(_xlfn.XLOOKUP($B31,rf1_data!$B:$B,rf1_data!AU:AU,"NaN")))</f>
        <v>NaN</v>
      </c>
      <c r="BD31" s="5" t="str">
        <f>IF(_xlfn.XLOOKUP($B31,rf1_data!$B:$B,rf1_data!AV:AV,"NaN")="","NaN",(_xlfn.XLOOKUP($B31,rf1_data!$B:$B,rf1_data!AV:AV,"NaN")))</f>
        <v>NaN</v>
      </c>
      <c r="BE31" s="5" t="str">
        <f>IF(_xlfn.XLOOKUP($B31,rf1_data!$B:$B,rf1_data!AW:AW,"NaN")="","NaN",(_xlfn.XLOOKUP($B31,rf1_data!$B:$B,rf1_data!AW:AW,"NaN")))</f>
        <v>NaN</v>
      </c>
      <c r="BF31" s="5" t="str">
        <f>IF(_xlfn.XLOOKUP($B31,rf1_data!$B:$B,rf1_data!AX:AX,"NaN")="","NaN",(_xlfn.XLOOKUP($B31,rf1_data!$B:$B,rf1_data!AX:AX,"NaN")))</f>
        <v>NaN</v>
      </c>
      <c r="BG31" s="5" t="str">
        <f>IF(_xlfn.XLOOKUP($B31,rf1_data!$B:$B,rf1_data!AY:AY,"NaN")="","NaN",(_xlfn.XLOOKUP($B31,rf1_data!$B:$B,rf1_data!AY:AY,"NaN")))</f>
        <v>NaN</v>
      </c>
      <c r="BH31" s="5" t="str">
        <f>IF(_xlfn.XLOOKUP($B31,rf1_data!$B:$B,rf1_data!AZ:AZ,"NaN")="","NaN",(_xlfn.XLOOKUP($B31,rf1_data!$B:$B,rf1_data!AZ:AZ,"NaN")))</f>
        <v>NaN</v>
      </c>
      <c r="BI31" s="5">
        <f>IF(_xlfn.XLOOKUP($B31,rf1_data!$B:$B,rf1_data!BA:BA,"NaN")="","NaN",(_xlfn.XLOOKUP($B31,rf1_data!$B:$B,rf1_data!BA:BA,"NaN")))</f>
        <v>20</v>
      </c>
      <c r="BJ31" s="5" t="str">
        <f>IF(_xlfn.XLOOKUP($B31,rf1_data!$B:$B,rf1_data!BB:BB,"NaN")="","NaN",(_xlfn.XLOOKUP($B31,rf1_data!$B:$B,rf1_data!BB:BB,"NaN")))</f>
        <v>NaN</v>
      </c>
      <c r="BK31" s="5" t="str">
        <f>IF(_xlfn.XLOOKUP($B31,rf1_data!$B:$B,rf1_data!BC:BC,"NaN")="","NaN",(_xlfn.XLOOKUP($B31,rf1_data!$B:$B,rf1_data!BC:BC,"NaN")))</f>
        <v>NaN</v>
      </c>
      <c r="BL31" s="5" t="str">
        <f>IF(_xlfn.XLOOKUP($B31,rf1_data!$B:$B,rf1_data!BD:BD,"NaN")="","NaN",(_xlfn.XLOOKUP($B31,rf1_data!$B:$B,rf1_data!BD:BD,"NaN")))</f>
        <v>NaN</v>
      </c>
      <c r="BM31" s="5" t="str">
        <f>IF(_xlfn.XLOOKUP($B31,rf1_data!$B:$B,rf1_data!BE:BE,"NaN")="","NaN",(_xlfn.XLOOKUP($B31,rf1_data!$B:$B,rf1_data!BE:BE,"NaN")))</f>
        <v>NaN</v>
      </c>
      <c r="BN31" s="5" t="str">
        <f>IF(_xlfn.XLOOKUP($B31,rf1_data!$B:$B,rf1_data!BF:BF,"NaN")="","NaN",(_xlfn.XLOOKUP($B31,rf1_data!$B:$B,rf1_data!BF:BF,"NaN")))</f>
        <v>NaN</v>
      </c>
      <c r="BO31" s="5" t="str">
        <f>IF(_xlfn.XLOOKUP($B31,rf1_data!$B:$B,rf1_data!BG:BG,"NaN")="","NaN",(_xlfn.XLOOKUP($B31,rf1_data!$B:$B,rf1_data!BG:BG,"NaN")))</f>
        <v>NaN</v>
      </c>
      <c r="BP31" s="5" t="str">
        <f>IF(_xlfn.XLOOKUP($B31,rf1_data!$B:$B,rf1_data!BH:BH,"NaN")="","NaN",(_xlfn.XLOOKUP($B31,rf1_data!$B:$B,rf1_data!BH:BH,"NaN")))</f>
        <v>NaN</v>
      </c>
      <c r="BQ31" s="5" t="str">
        <f>IF(_xlfn.XLOOKUP($B31,rf1_data!$B:$B,rf1_data!BI:BI,"NaN")="","NaN",(_xlfn.XLOOKUP($B31,rf1_data!$B:$B,rf1_data!BI:BI,"NaN")))</f>
        <v>NaN</v>
      </c>
      <c r="BR31" s="5">
        <f>IF(_xlfn.XLOOKUP($B31,rf1_data!$B:$B,rf1_data!BJ:BJ,"NaN")="","NaN",(_xlfn.XLOOKUP($B31,rf1_data!$B:$B,rf1_data!BJ:BJ,"NaN")))</f>
        <v>8991</v>
      </c>
      <c r="BS31" s="5" t="str">
        <f>IF(_xlfn.XLOOKUP($B31,rf1_data!$B:$B,rf1_data!BK:BK,"NaN")="","NaN",(_xlfn.XLOOKUP($B31,rf1_data!$B:$B,rf1_data!BK:BK,"NaN")))</f>
        <v>NaN</v>
      </c>
      <c r="BT31" s="5" t="str">
        <f>IF(_xlfn.XLOOKUP($B31,rf1_data!$B:$B,rf1_data!BL:BL,"NaN")="","NaN",(_xlfn.XLOOKUP($B31,rf1_data!$B:$B,rf1_data!BL:BL,"NaN")))</f>
        <v>NaN</v>
      </c>
      <c r="BU31" s="5" t="str">
        <f>IF(_xlfn.XLOOKUP($B31,rf1_data!$B:$B,rf1_data!BM:BM,"NaN")="","NaN",(_xlfn.XLOOKUP($B31,rf1_data!$B:$B,rf1_data!BM:BM,"NaN")))</f>
        <v>NaN</v>
      </c>
      <c r="BV31" s="5" t="str">
        <f>IF(_xlfn.XLOOKUP($B31,rf1_data!$B:$B,rf1_data!BN:BN,"NaN")="","NaN",(_xlfn.XLOOKUP($B31,rf1_data!$B:$B,rf1_data!BN:BN,"NaN")))</f>
        <v>NaN</v>
      </c>
      <c r="BW31" s="5">
        <f>IF(_xlfn.XLOOKUP($B31,rf1_data!$B:$B,rf1_data!BO:BO,"NaN")="","NaN",(_xlfn.XLOOKUP($B31,rf1_data!$B:$B,rf1_data!BO:BO,"NaN")))</f>
        <v>4</v>
      </c>
      <c r="BX31" s="5">
        <f>IF(_xlfn.XLOOKUP($B31,rf1_data!$B:$B,rf1_data!BP:BP,"NaN")="","NaN",(_xlfn.XLOOKUP($B31,rf1_data!$B:$B,rf1_data!BP:BP,"NaN")))</f>
        <v>3.8</v>
      </c>
      <c r="BY31" s="5">
        <f>IF(_xlfn.XLOOKUP($B31,rf1_data!$B:$B,rf1_data!BQ:BQ,"NaN")="","NaN",(_xlfn.XLOOKUP($B31,rf1_data!$B:$B,rf1_data!BQ:BQ,"NaN")))</f>
        <v>4.2</v>
      </c>
      <c r="BZ31" s="5">
        <f>IF(_xlfn.XLOOKUP($B31,rf1_data!$B:$B,rf1_data!BR:BR,"NaN")="","NaN",(_xlfn.XLOOKUP($B31,rf1_data!$B:$B,rf1_data!BR:BR,"NaN")))</f>
        <v>4</v>
      </c>
      <c r="CA31" s="5">
        <f>IF(_xlfn.XLOOKUP($B31,rf1_data!$B:$B,rf1_data!BS:BS,"NaN")="","NaN",(_xlfn.XLOOKUP($B31,rf1_data!$B:$B,rf1_data!BS:BS,"NaN")))</f>
        <v>6</v>
      </c>
      <c r="CB31" s="5">
        <f>IF(_xlfn.XLOOKUP($B31,rf1_data!$B:$B,rf1_data!BT:BT,"NaN")="","NaN",(_xlfn.XLOOKUP($B31,rf1_data!$B:$B,rf1_data!BT:BT,"NaN")))</f>
        <v>5.1666666666666599</v>
      </c>
      <c r="CC31" s="5">
        <f>IF(_xlfn.XLOOKUP($B31,rf1_data!$B:$B,rf1_data!BU:BU,"NaN")="","NaN",(_xlfn.XLOOKUP($B31,rf1_data!$B:$B,rf1_data!BU:BU,"NaN")))</f>
        <v>6</v>
      </c>
      <c r="CD31" s="5">
        <f>IF(_xlfn.XLOOKUP($B31,rf1_data!$B:$B,rf1_data!BV:BV,"NaN")="","NaN",(_xlfn.XLOOKUP($B31,rf1_data!$B:$B,rf1_data!BV:BV,"NaN")))</f>
        <v>5.1666666666666599</v>
      </c>
      <c r="CE31" s="5">
        <f>IF(_xlfn.XLOOKUP($B31,rf1_data!$B:$B,rf1_data!BW:BW,"NaN")="","NaN",(_xlfn.XLOOKUP($B31,rf1_data!$B:$B,rf1_data!BW:BW,"NaN")))</f>
        <v>0.95</v>
      </c>
      <c r="CF31" s="5">
        <f>IF(_xlfn.XLOOKUP($B31,rf1_data!$B:$B,rf1_data!BX:BX,"NaN")="","NaN",(_xlfn.XLOOKUP($B31,rf1_data!$B:$B,rf1_data!BX:BX,"NaN")))</f>
        <v>0</v>
      </c>
      <c r="CG31" s="5">
        <f>IF(_xlfn.XLOOKUP($B31,rf1_data!$B:$B,rf1_data!BY:BY,"NaN")="","NaN",(_xlfn.XLOOKUP($B31,rf1_data!$B:$B,rf1_data!BY:BY,"NaN")))</f>
        <v>0</v>
      </c>
      <c r="CH31" s="5">
        <f>IF(_xlfn.XLOOKUP($B31,rf1_data!$B:$B,rf1_data!BZ:BZ,"NaN")="","NaN",(_xlfn.XLOOKUP($B31,rf1_data!$B:$B,rf1_data!BZ:BZ,"NaN")))</f>
        <v>30</v>
      </c>
      <c r="CI31" s="5">
        <f>IF(_xlfn.XLOOKUP($B31,rf1_data!$B:$B,rf1_data!CA:CA,"NaN")="","NaN",(_xlfn.XLOOKUP($B31,rf1_data!$B:$B,rf1_data!CA:CA,"NaN")))</f>
        <v>25</v>
      </c>
      <c r="CJ31" s="5">
        <f>IF(_xlfn.XLOOKUP($B31,rf1_data!$B:$B,rf1_data!CB:CB,"NaN")="","NaN",(_xlfn.XLOOKUP($B31,rf1_data!$B:$B,rf1_data!CB:CB,"NaN")))</f>
        <v>12</v>
      </c>
      <c r="CK31" s="5">
        <f>IF(_xlfn.XLOOKUP($B31,rf1_data!$B:$B,rf1_data!CC:CC,"NaN")="","NaN",(_xlfn.XLOOKUP($B31,rf1_data!$B:$B,rf1_data!CC:CC,"NaN")))</f>
        <v>1</v>
      </c>
      <c r="CL31" s="5">
        <f>IF(_xlfn.XLOOKUP($B31,rf1_data!$B:$B,rf1_data!CD:CD,"NaN")=0,"NaN",(_xlfn.XLOOKUP($B31,rf1_data!$B:$B,rf1_data!CD:CD,"NaN")))</f>
        <v>42</v>
      </c>
      <c r="CM31" s="5">
        <f>IF(_xlfn.XLOOKUP($B31,rf1_data!$B:$B,rf1_data!CE:CE,"NaN")="","NaN",(_xlfn.XLOOKUP($B31,rf1_data!$B:$B,rf1_data!CE:CE,"NaN")))</f>
        <v>33</v>
      </c>
      <c r="CN31" s="5">
        <f>IF(_xlfn.XLOOKUP($B31,rf1_data!$B:$B,rf1_data!CF:CF,"NaN")="","NaN",(_xlfn.XLOOKUP($B31,rf1_data!$B:$B,rf1_data!CF:CF,"NaN")))</f>
        <v>47</v>
      </c>
      <c r="CO31" s="5">
        <f>IF(_xlfn.XLOOKUP($B31,rf1_data!$B:$B,rf1_data!CG:CG,"NaN")="","NaN",(_xlfn.XLOOKUP($B31,rf1_data!$B:$B,rf1_data!CG:CG,"NaN")))</f>
        <v>24</v>
      </c>
      <c r="CP31" s="5">
        <f>IF(_xlfn.XLOOKUP($B31,rf1_data!$B:$B,rf1_data!CH:CH,"NaN")=0,"NaN",(_xlfn.XLOOKUP($B31,rf1_data!$B:$B,rf1_data!CH:CH,"NaN")))</f>
        <v>37</v>
      </c>
      <c r="CQ31" s="5">
        <f>IF(_xlfn.XLOOKUP($B31,rf1_data!$B:$B,rf1_data!CI:CI,"NaN")="","NaN",(_xlfn.XLOOKUP($B31,rf1_data!$B:$B,rf1_data!CI:CI,"NaN")))</f>
        <v>47</v>
      </c>
      <c r="CR31" s="5">
        <f>IF(_xlfn.XLOOKUP($B31,rf1_data!$B:$B,rf1_data!CJ:CJ,"NaN")="","NaN",(_xlfn.XLOOKUP($B31,rf1_data!$B:$B,rf1_data!CJ:CJ,"NaN")))</f>
        <v>48</v>
      </c>
      <c r="CS31" s="5">
        <f>IF(_xlfn.XLOOKUP($B31,rf1_data!$B:$B,rf1_data!CK:CK,"NaN")="","NaN",(_xlfn.XLOOKUP($B31,rf1_data!$B:$B,rf1_data!CK:CK,"NaN")))</f>
        <v>48</v>
      </c>
      <c r="CT31" s="5">
        <f>IF(_xlfn.XLOOKUP($B31,rf1_data!$B:$B,rf1_data!CL:CL,"NaN")="","NaN",(_xlfn.XLOOKUP($B31,rf1_data!$B:$B,rf1_data!CL:CL,"NaN")))</f>
        <v>47</v>
      </c>
      <c r="CU31" s="5">
        <f>IF(_xlfn.XLOOKUP($B31,rf1_data!$B:$B,rf1_data!CM:CM,"NaN")="","NaN",(_xlfn.XLOOKUP($B31,rf1_data!$B:$B,rf1_data!CM:CM,"NaN")))</f>
        <v>48</v>
      </c>
      <c r="CV31" s="5">
        <f>IF(_xlfn.XLOOKUP($B31,rf1_data!$B:$B,rf1_data!CN:CN,"NaN")="","NaN",(_xlfn.XLOOKUP($B31,rf1_data!$B:$B,rf1_data!CN:CN,"NaN")))</f>
        <v>60</v>
      </c>
      <c r="CW31" s="5" t="str">
        <f>IF(_xlfn.XLOOKUP($B31,rf1_data!$B:$B,rf1_data!CO:CO,"NaN")="","NaN",(_xlfn.XLOOKUP($B31,rf1_data!$B:$B,rf1_data!CO:CO,"NaN")))</f>
        <v>NaN</v>
      </c>
      <c r="CX31" s="5" t="str">
        <f>IF(_xlfn.XLOOKUP($B31,rf1_data!$B:$B,rf1_data!CP:CP,"NaN")="","NaN",(_xlfn.XLOOKUP($B31,rf1_data!$B:$B,rf1_data!CP:CP,"NaN")))</f>
        <v>NaN</v>
      </c>
      <c r="CY31" s="5">
        <f>IF(_xlfn.XLOOKUP($B31,rf1_data!$B:$B,rf1_data!CQ:CQ,"NaN")="","NaN",(_xlfn.XLOOKUP($B31,rf1_data!$B:$B,rf1_data!CQ:CQ,"NaN")))</f>
        <v>5</v>
      </c>
      <c r="CZ31" s="5">
        <f>IF(_xlfn.XLOOKUP($B31,rf1_data!$B:$B,rf1_data!CR:CR,"NaN")="","NaN",(_xlfn.XLOOKUP($B31,rf1_data!$B:$B,rf1_data!CR:CR,"NaN")))</f>
        <v>1</v>
      </c>
      <c r="DA31" s="5">
        <f>IF(_xlfn.XLOOKUP($B31,rf1_data!$B:$B,rf1_data!CS:CS,"NaN")="","NaN",(_xlfn.XLOOKUP($B31,rf1_data!$B:$B,rf1_data!CS:CS,"NaN")))</f>
        <v>2</v>
      </c>
      <c r="DB31" s="4">
        <f>IF(_xlfn.XLOOKUP($B31,island_data!$B:$B,island_data!H:H,"NaN")="","NaN",_xlfn.XLOOKUP($B31,island_data!$B:$B,island_data!H:H,"NaN"))</f>
        <v>5</v>
      </c>
      <c r="DC31" s="4">
        <f>IF(_xlfn.XLOOKUP($B31,island_data!$B:$B,island_data!I:I,"NaN")="","NaN",_xlfn.XLOOKUP($B31,island_data!$B:$B,island_data!I:I,"NaN"))</f>
        <v>0</v>
      </c>
      <c r="DD31" s="4">
        <f>IF(_xlfn.XLOOKUP($B31,island_data!$B:$B,island_data!J:J,"NaN")="","NaN",_xlfn.XLOOKUP($B31,island_data!$B:$B,island_data!J:J,"NaN"))</f>
        <v>0</v>
      </c>
      <c r="DE31" s="4" t="str">
        <f>IF(_xlfn.XLOOKUP($B31,island_data!$B:$B,island_data!K:K,"NaN")="","NaN",_xlfn.XLOOKUP($B31,island_data!$B:$B,island_data!K:K,"NaN"))</f>
        <v>NaN</v>
      </c>
      <c r="DF31" s="4">
        <f>IF(_xlfn.XLOOKUP($B31,island_data!$B:$B,island_data!L:L,"NaN")="","NaN",_xlfn.XLOOKUP($B31,island_data!$B:$B,island_data!L:L,"NaN"))</f>
        <v>0</v>
      </c>
      <c r="DG31" s="4">
        <f>IF(_xlfn.XLOOKUP($B31,island_data!$B:$B,island_data!M:M,"NaN")="","NaN",_xlfn.XLOOKUP($B31,island_data!$B:$B,island_data!M:M,"NaN"))</f>
        <v>2.3333333333333002</v>
      </c>
      <c r="DH31" s="4">
        <f>IF(_xlfn.XLOOKUP($B31,island_data!$B:$B,island_data!N:N,"NaN")="","NaN",_xlfn.XLOOKUP($B31,island_data!$B:$B,island_data!N:N,"NaN"))</f>
        <v>3</v>
      </c>
      <c r="DI31" s="4" t="str">
        <f>IF(_xlfn.XLOOKUP($B31,island_data!$B:$B,island_data!O:O,"NaN")=999,"NaN",_xlfn.XLOOKUP($B31,island_data!$B:$B,island_data!O:O,"NaN"))</f>
        <v>NaN</v>
      </c>
      <c r="DJ31" s="4">
        <f>IF(_xlfn.XLOOKUP($B31,island_data!$B:$B,island_data!P:P,"NaN")="","NaN",_xlfn.XLOOKUP($B31,island_data!$B:$B,island_data!P:P,"NaN"))</f>
        <v>6</v>
      </c>
      <c r="DK31" s="4">
        <f>IF(_xlfn.XLOOKUP($B31,island_data!$B:$B,island_data!Q:Q,"NaN")="","NaN",_xlfn.XLOOKUP($B31,island_data!$B:$B,island_data!Q:Q,"NaN"))</f>
        <v>1</v>
      </c>
      <c r="DL31" s="4" t="str">
        <f>IF(_xlfn.XLOOKUP($B31,island_data!$B:$B,island_data!R:R,"NaN")=999,"NaN",_xlfn.XLOOKUP($B31,island_data!$B:$B,island_data!R:R,"NaN"))</f>
        <v>NaN</v>
      </c>
      <c r="DM31" s="4">
        <f>IF(_xlfn.XLOOKUP($B31,island_data!$B:$B,island_data!S:S,"NaN")="","NaN",_xlfn.XLOOKUP($B31,island_data!$B:$B,island_data!S:S,"NaN"))</f>
        <v>10</v>
      </c>
      <c r="DN31" s="4">
        <f>IF(_xlfn.XLOOKUP($B31,island_data!$B:$B,island_data!T:T,"NaN")="","NaN",_xlfn.XLOOKUP($B31,island_data!$B:$B,island_data!T:T,"NaN"))</f>
        <v>4.5833333333333002</v>
      </c>
      <c r="DO31" s="4">
        <f>IF(_xlfn.XLOOKUP($B31,island_data!$B:$B,island_data!U:U,"NaN")="","NaN",_xlfn.XLOOKUP($B31,island_data!$B:$B,island_data!U:U,"NaN"))</f>
        <v>5</v>
      </c>
      <c r="DP31" s="4">
        <f>IF(_xlfn.XLOOKUP($B31,island_data!$B:$B,island_data!V:V,"NaN")="","NaN",_xlfn.XLOOKUP($B31,island_data!$B:$B,island_data!V:V,"NaN"))</f>
        <v>1</v>
      </c>
      <c r="DQ31" s="4">
        <f>IF(_xlfn.XLOOKUP($B31,island_data!$B:$B,island_data!W:W,"NaN")="","NaN",_xlfn.XLOOKUP($B31,island_data!$B:$B,island_data!W:W,"NaN"))</f>
        <v>6</v>
      </c>
      <c r="DR31" s="4">
        <f>IF(_xlfn.XLOOKUP($B31,island_data!$B:$B,island_data!X:X,"NaN")="","NaN",_xlfn.XLOOKUP($B31,island_data!$B:$B,island_data!X:X,"NaN"))</f>
        <v>5</v>
      </c>
      <c r="DS31" s="4" t="str">
        <f>IF(_xlfn.XLOOKUP($B31,island_data!$B:$B,island_data!Y:Y,"NaN")="","NaN",_xlfn.XLOOKUP($B31,island_data!$B:$B,island_data!Y:Y,"NaN"))</f>
        <v>NaN</v>
      </c>
      <c r="DT31" s="4" t="str">
        <f>IF(_xlfn.XLOOKUP($B31,island_data!$B:$B,island_data!Z:Z,"NaN")="","NaN",_xlfn.XLOOKUP($B31,island_data!$B:$B,island_data!Z:Z,"NaN"))</f>
        <v>NaN</v>
      </c>
      <c r="DU31" s="4" t="str">
        <f>IF(_xlfn.XLOOKUP($B31,island_data!$B:$B,island_data!AA:AA,"NaN")="","NaN",_xlfn.XLOOKUP($B31,island_data!$B:$B,island_data!AA:AA,"NaN"))</f>
        <v>NaN</v>
      </c>
      <c r="DV31" s="4" t="str">
        <f>IF(_xlfn.XLOOKUP($B31,island_data!$B:$B,island_data!AB:AB,"NaN")="","NaN",_xlfn.XLOOKUP($B31,island_data!$B:$B,island_data!AB:AB,"NaN"))</f>
        <v>NaN</v>
      </c>
      <c r="DW31" s="4">
        <f>IF(_xlfn.XLOOKUP($B31,island_data!$B:$B,island_data!AC:AC,"NaN")="","NaN",_xlfn.XLOOKUP($B31,island_data!$B:$B,island_data!AC:AC,"NaN"))</f>
        <v>66212</v>
      </c>
      <c r="DX31" s="4">
        <f>IF(_xlfn.XLOOKUP($B31,island_data!$B:$B,island_data!AD:AD,"NaN")="","NaN",_xlfn.XLOOKUP($B31,island_data!$B:$B,island_data!AD:AD,"NaN"))</f>
        <v>6</v>
      </c>
      <c r="DY31" s="4">
        <f>IF(_xlfn.XLOOKUP($B31,island_data!$B:$B,island_data!AE:AE,"NaN")="","NaN",_xlfn.XLOOKUP($B31,island_data!$B:$B,island_data!AE:AE,"NaN"))</f>
        <v>0</v>
      </c>
      <c r="DZ31" s="4" t="str">
        <f>IF(_xlfn.XLOOKUP($B31,island_data!$B:$B,island_data!AF:AF,"NaN")="","NaN",_xlfn.XLOOKUP($B31,island_data!$B:$B,island_data!AF:AF,"NaN"))</f>
        <v>NaN</v>
      </c>
      <c r="EA31" s="4" t="str">
        <f>IF(_xlfn.XLOOKUP($B31,island_data!$B:$B,island_data!AG:AG,"NaN")="","NaN",_xlfn.XLOOKUP($B31,island_data!$B:$B,island_data!AG:AG,"NaN"))</f>
        <v>NaN</v>
      </c>
      <c r="EB31" s="4" t="str">
        <f>IF(_xlfn.XLOOKUP($B31,island_data!$B:$B,island_data!AH:AH,"NaN")="","NaN",_xlfn.XLOOKUP($B31,island_data!$B:$B,island_data!AH:AH,"NaN"))</f>
        <v>NaN</v>
      </c>
      <c r="EC31" s="4" t="str">
        <f>IF(_xlfn.XLOOKUP($B31,island_data!$B:$B,island_data!AI:AI,"NaN")="","NaN",_xlfn.XLOOKUP($B31,island_data!$B:$B,island_data!AI:AI,"NaN"))</f>
        <v>NaN</v>
      </c>
      <c r="ED31" s="4" t="str">
        <f>IF(_xlfn.XLOOKUP($B31,island_data!$B:$B,island_data!AJ:AJ,"NaN")="","NaN",_xlfn.XLOOKUP($B31,island_data!$B:$B,island_data!AJ:AJ,"NaN"))</f>
        <v>NaN</v>
      </c>
      <c r="EE31" s="4" t="str">
        <f>IF(_xlfn.XLOOKUP($B31,island_data!$B:$B,island_data!AK:AK,"NaN")="","NaN",_xlfn.XLOOKUP($B31,island_data!$B:$B,island_data!AK:AK,"NaN"))</f>
        <v>NaN</v>
      </c>
      <c r="EF31" s="4" t="str">
        <f>IF(_xlfn.XLOOKUP($B31,island_data!$B:$B,island_data!AL:AL,"NaN")="","NaN",_xlfn.XLOOKUP($B31,island_data!$B:$B,island_data!AL:AL,"NaN"))</f>
        <v>NaN</v>
      </c>
      <c r="EG31" s="4" t="str">
        <f>IF(_xlfn.XLOOKUP($B31,island_data!$B:$B,island_data!AM:AM,"NaN")="","NaN",_xlfn.XLOOKUP($B31,island_data!$B:$B,island_data!AM:AM,"NaN"))</f>
        <v>NaN</v>
      </c>
      <c r="EH31" s="4" t="str">
        <f>IF(_xlfn.XLOOKUP($B31,island_data!$B:$B,island_data!AN:AN,"NaN")="","NaN",_xlfn.XLOOKUP($B31,island_data!$B:$B,island_data!AN:AN,"NaN"))</f>
        <v>NaN</v>
      </c>
      <c r="EI31" s="4" t="str">
        <f>IF(_xlfn.XLOOKUP($B31,island_data!$B:$B,island_data!AO:AO,"NaN")="","NaN",_xlfn.XLOOKUP($B31,island_data!$B:$B,island_data!AO:AO,"NaN"))</f>
        <v>NaN</v>
      </c>
      <c r="EJ31" s="8">
        <f>IF(_xlfn.XLOOKUP($A31,TabCAT!$A:$A,TabCAT!AU:AU,"NaN")="","NaN",(_xlfn.XLOOKUP($A31,TabCAT!$A:$A,TabCAT!AU:AU,"NaN")))</f>
        <v>145</v>
      </c>
      <c r="EK31" s="8" t="b">
        <f>IF(_xlfn.XLOOKUP($A31,TabCAT!$A:$A,TabCAT!AV:AV,"NaN")="","NaN",(_xlfn.XLOOKUP($A31,TabCAT!$A:$A,TabCAT!AV:AV,"NaN")))</f>
        <v>1</v>
      </c>
      <c r="EL31" s="8">
        <f>IF(_xlfn.XLOOKUP($A31,TabCAT!$A:$A,TabCAT!AW:AW,"NaN")="","NaN",(_xlfn.XLOOKUP($A31,TabCAT!$A:$A,TabCAT!AW:AW,"NaN")))</f>
        <v>6</v>
      </c>
      <c r="EM31" s="8">
        <f>IF(_xlfn.XLOOKUP($A31,TabCAT!$A:$A,TabCAT!AX:AX,"NaN")="","NaN",(_xlfn.XLOOKUP($A31,TabCAT!$A:$A,TabCAT!AX:AX,"NaN")))</f>
        <v>0</v>
      </c>
      <c r="EN31" s="8">
        <f>IF(_xlfn.XLOOKUP($A31,TabCAT!$A:$A,TabCAT!AY:AY,"NaN")="","NaN",(_xlfn.XLOOKUP($A31,TabCAT!$A:$A,TabCAT!AY:AY,"NaN")))</f>
        <v>9.44</v>
      </c>
      <c r="EO31" s="8">
        <f>IF(_xlfn.XLOOKUP($A31,TabCAT!$A:$A,TabCAT!AZ:AZ,"NaN")="","NaN",(_xlfn.XLOOKUP($A31,TabCAT!$A:$A,TabCAT!AZ:AZ,"NaN")))</f>
        <v>31</v>
      </c>
      <c r="EP31" s="8">
        <f>IF(_xlfn.XLOOKUP($A31,TabCAT!$A:$A,TabCAT!BA:BA,"NaN")="","NaN",(_xlfn.XLOOKUP($A31,TabCAT!$A:$A,TabCAT!BA:BA,"NaN")))</f>
        <v>0.58534600000000003</v>
      </c>
      <c r="EQ31" s="8">
        <f>IF(_xlfn.XLOOKUP($A31,TabCAT!$A:$A,TabCAT!BB:BB,"NaN")="","NaN",(_xlfn.XLOOKUP($A31,TabCAT!$A:$A,TabCAT!BB:BB,"NaN")))</f>
        <v>8.5369044877036504E-2</v>
      </c>
      <c r="ER31" s="8">
        <f>IF(_xlfn.XLOOKUP($A31,TabCAT!$A:$A,TabCAT!BC:BC,"NaN")="","NaN",(_xlfn.XLOOKUP($A31,TabCAT!$A:$A,TabCAT!BC:BC,"NaN")))</f>
        <v>16</v>
      </c>
      <c r="ES31" s="8">
        <f>IF(_xlfn.XLOOKUP($A31,TabCAT!$A:$A,TabCAT!BD:BD,"NaN")="","NaN",(_xlfn.XLOOKUP($A31,TabCAT!$A:$A,TabCAT!BD:BD,"NaN")))</f>
        <v>0.52801900000000002</v>
      </c>
      <c r="ET31" s="8">
        <f>IF(_xlfn.XLOOKUP($A31,TabCAT!$A:$A,TabCAT!BE:BE,"NaN")="","NaN",(_xlfn.XLOOKUP($A31,TabCAT!$A:$A,TabCAT!BE:BE,"NaN")))</f>
        <v>15</v>
      </c>
      <c r="EU31" s="8">
        <f>IF(_xlfn.XLOOKUP($A31,TabCAT!$A:$A,TabCAT!BF:BF,"NaN")="","NaN",(_xlfn.XLOOKUP($A31,TabCAT!$A:$A,TabCAT!BF:BF,"NaN")))</f>
        <v>0.61024400000000001</v>
      </c>
      <c r="EV31" s="8">
        <f>IF(_xlfn.XLOOKUP($A31,TabCAT!$A:$A,TabCAT!BG:BG,"NaN")="","NaN",(_xlfn.XLOOKUP($A31,TabCAT!$A:$A,TabCAT!BG:BG,"NaN")))</f>
        <v>1.8679250000000001</v>
      </c>
      <c r="EW31" s="8" t="str">
        <f>IF(_xlfn.XLOOKUP($A31,TabCAT!$A:$A,TabCAT!BH:BH,"NaN")="","NaN",(_xlfn.XLOOKUP($A31,TabCAT!$A:$A,TabCAT!BH:BH,"NaN")))</f>
        <v>3.0.0</v>
      </c>
      <c r="EX31" s="8" t="str">
        <f>IF(_xlfn.XLOOKUP($A31,TabCAT!$A:$A,TabCAT!BI:BI,"NaN")="","NaN",(_xlfn.XLOOKUP($A31,TabCAT!$A:$A,TabCAT!BI:BI,"NaN")))</f>
        <v>English</v>
      </c>
      <c r="EY31" s="8">
        <f>IF(_xlfn.XLOOKUP($A31,TabCAT!$A:$A,TabCAT!BJ:BJ,"NaN")="","NaN",(_xlfn.XLOOKUP($A31,TabCAT!$A:$A,TabCAT!BJ:BJ,"NaN")))</f>
        <v>232</v>
      </c>
      <c r="EZ31" s="8">
        <f>IF(_xlfn.XLOOKUP($A31,TabCAT!$A:$A,TabCAT!BK:BK,"NaN")="","NaN",(_xlfn.XLOOKUP($A31,TabCAT!$A:$A,TabCAT!BK:BK,"NaN")))</f>
        <v>1</v>
      </c>
      <c r="FA31" s="8">
        <f>IF(_xlfn.XLOOKUP($A31,TabCAT!$A:$A,TabCAT!BL:BL,"NaN")="","NaN",(_xlfn.XLOOKUP($A31,TabCAT!$A:$A,TabCAT!BL:BL,"NaN")))</f>
        <v>6</v>
      </c>
      <c r="FB31" s="8">
        <f>IF(_xlfn.XLOOKUP($A31,TabCAT!$A:$A,TabCAT!BM:BM,"NaN")="","NaN",(_xlfn.XLOOKUP($A31,TabCAT!$A:$A,TabCAT!BM:BM,"NaN")))</f>
        <v>1</v>
      </c>
      <c r="FC31" s="8">
        <f>IF(_xlfn.XLOOKUP($A31,TabCAT!$A:$A,TabCAT!BN:BN,"NaN")="","NaN",(_xlfn.XLOOKUP($A31,TabCAT!$A:$A,TabCAT!BN:BN,"NaN")))</f>
        <v>6</v>
      </c>
      <c r="FD31" s="8">
        <f>IF(_xlfn.XLOOKUP($A31,TabCAT!$A:$A,TabCAT!BO:BO,"NaN")="","NaN",(_xlfn.XLOOKUP($A31,TabCAT!$A:$A,TabCAT!BO:BO,"NaN")))</f>
        <v>9</v>
      </c>
      <c r="FE31" s="8">
        <f>IF(_xlfn.XLOOKUP($A31,TabCAT!$A:$A,TabCAT!BP:BP,"NaN")="","NaN",(_xlfn.XLOOKUP($A31,TabCAT!$A:$A,TabCAT!BP:BP,"NaN")))</f>
        <v>1</v>
      </c>
      <c r="FF31" s="8">
        <f>IF(_xlfn.XLOOKUP($A31,TabCAT!$A:$A,TabCAT!BQ:BQ,"NaN")="","NaN",(_xlfn.XLOOKUP($A31,TabCAT!$A:$A,TabCAT!BQ:BQ,"NaN")))</f>
        <v>9</v>
      </c>
      <c r="FG31" s="8">
        <f>IF(_xlfn.XLOOKUP($A31,TabCAT!$A:$A,TabCAT!BR:BR,"NaN")="","NaN",(_xlfn.XLOOKUP($A31,TabCAT!$A:$A,TabCAT!BR:BR,"NaN")))</f>
        <v>12</v>
      </c>
      <c r="FH31" s="8">
        <f>IF(_xlfn.XLOOKUP($A31,TabCAT!$A:$A,TabCAT!BS:BS,"NaN")="","NaN",(_xlfn.XLOOKUP($A31,TabCAT!$A:$A,TabCAT!BS:BS,"NaN")))</f>
        <v>1</v>
      </c>
      <c r="FI31" s="8">
        <f>IF(_xlfn.XLOOKUP($A31,TabCAT!$A:$A,TabCAT!BT:BT,"NaN")="","NaN",(_xlfn.XLOOKUP($A31,TabCAT!$A:$A,TabCAT!BT:BT,"NaN")))</f>
        <v>12</v>
      </c>
      <c r="FJ31" s="8">
        <f>IF(_xlfn.XLOOKUP($A31,TabCAT!$A:$A,TabCAT!BU:BU,"NaN")="","NaN",(_xlfn.XLOOKUP($A31,TabCAT!$A:$A,TabCAT!BU:BU,"NaN")))</f>
        <v>11</v>
      </c>
      <c r="FK31" s="8">
        <f>IF(_xlfn.XLOOKUP($A31,TabCAT!$A:$A,TabCAT!BV:BV,"NaN")="","NaN",(_xlfn.XLOOKUP($A31,TabCAT!$A:$A,TabCAT!BV:BV,"NaN")))</f>
        <v>0.73333333333333295</v>
      </c>
      <c r="FL31" s="8">
        <f>IF(_xlfn.XLOOKUP($A31,TabCAT!$A:$A,TabCAT!BW:BW,"NaN")="","NaN",(_xlfn.XLOOKUP($A31,TabCAT!$A:$A,TabCAT!BW:BW,"NaN")))</f>
        <v>10</v>
      </c>
      <c r="FM31" s="8">
        <f>IF(_xlfn.XLOOKUP($A31,TabCAT!$A:$A,TabCAT!BX:BX,"NaN")="","NaN",(_xlfn.XLOOKUP($A31,TabCAT!$A:$A,TabCAT!BX:BX,"NaN")))</f>
        <v>38</v>
      </c>
      <c r="FN31" s="8">
        <f>IF(_xlfn.XLOOKUP($A31,TabCAT!$A:$A,TabCAT!BY:BY,"NaN")="","NaN",(_xlfn.XLOOKUP($A31,TabCAT!$A:$A,TabCAT!BY:BY,"NaN")))</f>
        <v>0.90476190476190399</v>
      </c>
      <c r="FO31" s="8">
        <f>IF(_xlfn.XLOOKUP($A31,TabCAT!$A:$A,TabCAT!BZ:BZ,"NaN")="","NaN",(_xlfn.XLOOKUP($A31,TabCAT!$A:$A,TabCAT!BZ:BZ,"NaN")))</f>
        <v>37</v>
      </c>
      <c r="FP31" s="8" t="str">
        <f>IF(_xlfn.XLOOKUP($A31,TabCAT!$A:$A,TabCAT!CA:CA,"NaN")="","NaN",(_xlfn.XLOOKUP($A31,TabCAT!$A:$A,TabCAT!CA:CA,"NaN")))</f>
        <v>3.0.0</v>
      </c>
      <c r="FQ31" s="8" t="str">
        <f>IF(_xlfn.XLOOKUP($A31,TabCAT!$A:$A,TabCAT!CB:CB,"NaN")="","NaN",(_xlfn.XLOOKUP($A31,TabCAT!$A:$A,TabCAT!CB:CB,"NaN")))</f>
        <v>English</v>
      </c>
      <c r="FR31" s="8">
        <f>IF(_xlfn.XLOOKUP($A31,TabCAT!$A:$A,TabCAT!CC:CC,"NaN")="","NaN",(_xlfn.XLOOKUP($A31,TabCAT!$A:$A,TabCAT!CC:CC,"NaN")))</f>
        <v>195</v>
      </c>
      <c r="FS31" s="8" t="b">
        <f>IF(_xlfn.XLOOKUP($A31,TabCAT!$A:$A,TabCAT!CD:CD,"NaN")="","NaN",(_xlfn.XLOOKUP($A31,TabCAT!$A:$A,TabCAT!CD:CD,"NaN")))</f>
        <v>1</v>
      </c>
      <c r="FT31" s="8">
        <f>IF(_xlfn.XLOOKUP($A31,TabCAT!$A:$A,TabCAT!CE:CE,"NaN")="","NaN",(_xlfn.XLOOKUP($A31,TabCAT!$A:$A,TabCAT!CE:CE,"NaN")))</f>
        <v>8</v>
      </c>
      <c r="FU31" s="8">
        <f>IF(_xlfn.XLOOKUP($A31,TabCAT!$A:$A,TabCAT!CF:CF,"NaN")="","NaN",(_xlfn.XLOOKUP($A31,TabCAT!$A:$A,TabCAT!CF:CF,"NaN")))</f>
        <v>0</v>
      </c>
      <c r="FV31" s="8">
        <f>IF(_xlfn.XLOOKUP($A31,TabCAT!$A:$A,TabCAT!CG:CG,"NaN")="","NaN",(_xlfn.XLOOKUP($A31,TabCAT!$A:$A,TabCAT!CG:CG,"NaN")))</f>
        <v>9.35</v>
      </c>
      <c r="FW31" s="8">
        <f>IF(_xlfn.XLOOKUP($A31,TabCAT!$A:$A,TabCAT!CH:CH,"NaN")="","NaN",(_xlfn.XLOOKUP($A31,TabCAT!$A:$A,TabCAT!CH:CH,"NaN")))</f>
        <v>16</v>
      </c>
      <c r="FX31" s="8">
        <f>IF(_xlfn.XLOOKUP($A31,TabCAT!$A:$A,TabCAT!CI:CI,"NaN")="","NaN",(_xlfn.XLOOKUP($A31,TabCAT!$A:$A,TabCAT!CI:CI,"NaN")))</f>
        <v>0.46552199999999999</v>
      </c>
      <c r="FY31" s="8">
        <f>IF(_xlfn.XLOOKUP($A31,TabCAT!$A:$A,TabCAT!CJ:CJ,"NaN")="","NaN",(_xlfn.XLOOKUP($A31,TabCAT!$A:$A,TabCAT!CJ:CJ,"NaN")))</f>
        <v>16</v>
      </c>
      <c r="FZ31" s="8">
        <f>IF(_xlfn.XLOOKUP($A31,TabCAT!$A:$A,TabCAT!CK:CK,"NaN")="","NaN",(_xlfn.XLOOKUP($A31,TabCAT!$A:$A,TabCAT!CK:CK,"NaN")))</f>
        <v>0.50381900000000002</v>
      </c>
      <c r="GA31" s="8">
        <f>IF(_xlfn.XLOOKUP($A31,TabCAT!$A:$A,TabCAT!CL:CL,"NaN")="","NaN",(_xlfn.XLOOKUP($A31,TabCAT!$A:$A,TabCAT!CL:CL,"NaN")))</f>
        <v>31</v>
      </c>
      <c r="GB31" s="8">
        <f>IF(_xlfn.XLOOKUP($A31,TabCAT!$A:$A,TabCAT!CM:CM,"NaN")="","NaN",(_xlfn.XLOOKUP($A31,TabCAT!$A:$A,TabCAT!CM:CM,"NaN")))</f>
        <v>0.53232000000000002</v>
      </c>
      <c r="GC31" s="8">
        <f>IF(_xlfn.XLOOKUP($A31,TabCAT!$A:$A,TabCAT!CN:CN,"NaN")="","NaN",(_xlfn.XLOOKUP($A31,TabCAT!$A:$A,TabCAT!CN:CN,"NaN")))</f>
        <v>18</v>
      </c>
      <c r="GD31" s="8">
        <f>IF(_xlfn.XLOOKUP($A31,TabCAT!$A:$A,TabCAT!CO:CO,"NaN")="","NaN",(_xlfn.XLOOKUP($A31,TabCAT!$A:$A,TabCAT!CO:CO,"NaN")))</f>
        <v>0.56631699999999996</v>
      </c>
      <c r="GE31" s="8">
        <f>IF(_xlfn.XLOOKUP($A31,TabCAT!$A:$A,TabCAT!CP:CP,"NaN")="","NaN",(_xlfn.XLOOKUP($A31,TabCAT!$A:$A,TabCAT!CP:CP,"NaN")))</f>
        <v>0.18735445110634799</v>
      </c>
      <c r="GF31" s="8">
        <f>IF(_xlfn.XLOOKUP($A31,TabCAT!$A:$A,TabCAT!CQ:CQ,"NaN")="","NaN",(_xlfn.XLOOKUP($A31,TabCAT!$A:$A,TabCAT!CQ:CQ,"NaN")))</f>
        <v>55</v>
      </c>
      <c r="GG31" s="8">
        <f>IF(_xlfn.XLOOKUP($A31,TabCAT!$A:$A,TabCAT!CR:CR,"NaN")="","NaN",(_xlfn.XLOOKUP($A31,TabCAT!$A:$A,TabCAT!CR:CR,"NaN")))</f>
        <v>0.497446</v>
      </c>
      <c r="GH31" s="8">
        <f>IF(_xlfn.XLOOKUP($A31,TabCAT!$A:$A,TabCAT!CS:CS,"NaN")="","NaN",(_xlfn.XLOOKUP($A31,TabCAT!$A:$A,TabCAT!CS:CS,"NaN")))</f>
        <v>2.2028989999999999</v>
      </c>
    </row>
    <row r="32" spans="1:190" x14ac:dyDescent="0.2">
      <c r="A32">
        <v>10649</v>
      </c>
      <c r="B32">
        <f>_xlfn.XLOOKUP(bippity_poppity_boo!A32,rf1_data!A:A,rf1_data!B:B)</f>
        <v>130259</v>
      </c>
      <c r="C32" s="2">
        <f>(_xlfn.XLOOKUP($A32,trust!$A:$A,trust!B:B,"NaN"))</f>
        <v>5.5714290000000002</v>
      </c>
      <c r="D32" s="2">
        <f>(_xlfn.XLOOKUP($A32,trust!$A:$A,trust!C:C,"NaN"))</f>
        <v>5.7777779999999996</v>
      </c>
      <c r="E32" s="2">
        <f>(_xlfn.XLOOKUP($A32,trust!$A:$A,trust!D:D,"NaN"))</f>
        <v>5.3846150000000002</v>
      </c>
      <c r="F32" s="2">
        <f>(_xlfn.XLOOKUP($A32,trust!$A:$A,trust!E:E,"NaN"))</f>
        <v>6.4285709999999998</v>
      </c>
      <c r="G32" s="2">
        <f>(_xlfn.XLOOKUP($A32,trust!$A:$A,trust!F:F,"NaN"))</f>
        <v>6.3333329999999997</v>
      </c>
      <c r="H32" s="2">
        <f>(_xlfn.XLOOKUP($A32,trust!$A:$A,trust!G:G,"NaN"))</f>
        <v>5.3333329999999997</v>
      </c>
      <c r="I32" s="3">
        <f>IF(_xlfn.XLOOKUP($B32,island_data!$B:$B,island_data!C:C,"NaN")="","NaN",_xlfn.XLOOKUP($B32,island_data!$B:$B,island_data!C:C,"NaN"))</f>
        <v>45006</v>
      </c>
      <c r="J32" s="3">
        <f>IF(_xlfn.XLOOKUP($B32,island_data!$B:$B,island_data!D:D,"NaN")="","NaN",_xlfn.XLOOKUP($B32,island_data!$B:$B,island_data!D:D,"NaN"))</f>
        <v>21740</v>
      </c>
      <c r="K32" s="4">
        <f>IF(_xlfn.XLOOKUP($B32,island_data!$B:$B,island_data!E:E,"NaN")="","NaN",_xlfn.XLOOKUP($B32,island_data!$B:$B,island_data!E:E,"NaN"))</f>
        <v>63.7</v>
      </c>
      <c r="L32" s="5">
        <f>IF(_xlfn.XLOOKUP($B32,rf1_data!$B:$B,rf1_data!D:D,"NaN")="","NaN",(_xlfn.XLOOKUP($B32,rf1_data!$B:$B,rf1_data!D:D,"NaN")))</f>
        <v>63.8</v>
      </c>
      <c r="M32" s="5" t="str">
        <f>IF(_xlfn.XLOOKUP($B32,rf1_data!$B:$B,rf1_data!E:E,"NaN")="","NaN",(_xlfn.XLOOKUP($B32,rf1_data!$B:$B,rf1_data!E:E,"NaN")))</f>
        <v>White</v>
      </c>
      <c r="N32" s="5" t="str">
        <f>IF(_xlfn.XLOOKUP($B32,rf1_data!$B:$B,rf1_data!F:F,"NaN")="","NaN",(_xlfn.XLOOKUP($B32,rf1_data!$B:$B,rf1_data!F:F,"NaN")))</f>
        <v>Hispanic or Latino</v>
      </c>
      <c r="O32" s="5" t="str">
        <f>IF(_xlfn.XLOOKUP($B32,rf1_data!$B:$B,rf1_data!G:G,"NaN")="","NaN",(_xlfn.XLOOKUP($B32,rf1_data!$B:$B,rf1_data!G:G,"NaN")))</f>
        <v>Female</v>
      </c>
      <c r="P32" s="5">
        <f>IF(_xlfn.XLOOKUP($B32,rf1_data!$B:$B,rf1_data!H:H,"NaN")="","NaN",(_xlfn.XLOOKUP($B32,rf1_data!$B:$B,rf1_data!H:H,"NaN")))</f>
        <v>3.33</v>
      </c>
      <c r="Q32" s="5">
        <f>IF(_xlfn.XLOOKUP($B32,rf1_data!$B:$B,rf1_data!I:I,"NaN")="","NaN",(_xlfn.XLOOKUP($B32,rf1_data!$B:$B,rf1_data!I:I,"NaN")))</f>
        <v>3.3</v>
      </c>
      <c r="R32" s="5">
        <f>IF(_xlfn.XLOOKUP($B32,rf1_data!$B:$B,rf1_data!J:J,"NaN")="","NaN",(_xlfn.XLOOKUP($B32,rf1_data!$B:$B,rf1_data!J:J,"NaN")))</f>
        <v>2</v>
      </c>
      <c r="S32" s="5">
        <f>IF(_xlfn.XLOOKUP($B32,rf1_data!$B:$B,rf1_data!K:K,"NaN")="","NaN",(_xlfn.XLOOKUP($B32,rf1_data!$B:$B,rf1_data!K:K,"NaN")))</f>
        <v>1</v>
      </c>
      <c r="T32" s="5">
        <f>IF(_xlfn.XLOOKUP($B32,rf1_data!$B:$B,rf1_data!L:L,"NaN")="","NaN",(_xlfn.XLOOKUP($B32,rf1_data!$B:$B,rf1_data!L:L,"NaN")))</f>
        <v>0</v>
      </c>
      <c r="U32" s="5" t="str">
        <f>IF(_xlfn.XLOOKUP($B32,rf1_data!$B:$B,rf1_data!M:M,"NaN")="","NaN",(_xlfn.XLOOKUP($B32,rf1_data!$B:$B,rf1_data!M:M,"NaN")))</f>
        <v>NaN</v>
      </c>
      <c r="V32" s="5" t="str">
        <f>IF(_xlfn.XLOOKUP($B32,rf1_data!$B:$B,rf1_data!N:N,"NaN")="","NaN",(_xlfn.XLOOKUP($B32,rf1_data!$B:$B,rf1_data!N:N,"NaN")))</f>
        <v>NaN</v>
      </c>
      <c r="W32" s="5" t="str">
        <f>IF(_xlfn.XLOOKUP($B32,rf1_data!$B:$B,rf1_data!O:O,"NaN")="","NaN",(_xlfn.XLOOKUP($B32,rf1_data!$B:$B,rf1_data!O:O,"NaN")))</f>
        <v>NaN</v>
      </c>
      <c r="X32" s="5" t="str">
        <f>IF(_xlfn.XLOOKUP($B32,rf1_data!$B:$B,rf1_data!P:P,"NaN")="","NaN",(_xlfn.XLOOKUP($B32,rf1_data!$B:$B,rf1_data!P:P,"NaN")))</f>
        <v>NaN</v>
      </c>
      <c r="Y32" s="5" t="str">
        <f>IF(_xlfn.XLOOKUP($B32,rf1_data!$B:$B,rf1_data!Q:Q,"NaN")="","NaN",(_xlfn.XLOOKUP($B32,rf1_data!$B:$B,rf1_data!Q:Q,"NaN")))</f>
        <v>NaN</v>
      </c>
      <c r="Z32" s="5" t="str">
        <f>IF(_xlfn.XLOOKUP($B32,rf1_data!$B:$B,rf1_data!R:R,"NaN")="","NaN",(_xlfn.XLOOKUP($B32,rf1_data!$B:$B,rf1_data!R:R,"NaN")))</f>
        <v>NaN</v>
      </c>
      <c r="AA32" s="5" t="str">
        <f>IF(_xlfn.XLOOKUP($B32,rf1_data!$B:$B,rf1_data!S:S,"NaN")="","NaN",(_xlfn.XLOOKUP($B32,rf1_data!$B:$B,rf1_data!S:S,"NaN")))</f>
        <v>NaN</v>
      </c>
      <c r="AB32" s="5" t="str">
        <f>IF(_xlfn.XLOOKUP($B32,rf1_data!$B:$B,rf1_data!T:T,"NaN")="","NaN",(_xlfn.XLOOKUP($B32,rf1_data!$B:$B,rf1_data!T:T,"NaN")))</f>
        <v>NaN</v>
      </c>
      <c r="AC32" s="5" t="str">
        <f>IF(_xlfn.XLOOKUP($B32,rf1_data!$B:$B,rf1_data!U:U,"NaN")="","NaN",(_xlfn.XLOOKUP($B32,rf1_data!$B:$B,rf1_data!U:U,"NaN")))</f>
        <v>NaN</v>
      </c>
      <c r="AD32" s="5" t="str">
        <f>IF(_xlfn.XLOOKUP($B32,rf1_data!$B:$B,rf1_data!V:V,"NaN")="","NaN",(_xlfn.XLOOKUP($B32,rf1_data!$B:$B,rf1_data!V:V,"NaN")))</f>
        <v>NaN</v>
      </c>
      <c r="AE32" s="5">
        <f>IF(_xlfn.XLOOKUP($B32,rf1_data!$B:$B,rf1_data!W:W,"NaN")="","NaN",(_xlfn.XLOOKUP($B32,rf1_data!$B:$B,rf1_data!W:W,"NaN")))</f>
        <v>0</v>
      </c>
      <c r="AF32" s="5">
        <f>IF(_xlfn.XLOOKUP($B32,rf1_data!$B:$B,rf1_data!X:X,"NaN")="","NaN",(_xlfn.XLOOKUP($B32,rf1_data!$B:$B,rf1_data!X:X,"NaN")))</f>
        <v>0</v>
      </c>
      <c r="AG32" s="5">
        <f>IF(_xlfn.XLOOKUP($B32,rf1_data!$B:$B,rf1_data!Y:Y,"NaN")="","NaN",(_xlfn.XLOOKUP($B32,rf1_data!$B:$B,rf1_data!Y:Y,"NaN")))</f>
        <v>0</v>
      </c>
      <c r="AH32" s="5">
        <f>IF(_xlfn.XLOOKUP($B32,rf1_data!$B:$B,rf1_data!Z:Z,"NaN")="","NaN",(_xlfn.XLOOKUP($B32,rf1_data!$B:$B,rf1_data!Z:Z,"NaN")))</f>
        <v>0</v>
      </c>
      <c r="AI32" s="5">
        <f>IF(_xlfn.XLOOKUP($B32,rf1_data!$B:$B,rf1_data!AA:AA,"NaN")="","NaN",(_xlfn.XLOOKUP($B32,rf1_data!$B:$B,rf1_data!AA:AA,"NaN")))</f>
        <v>0</v>
      </c>
      <c r="AJ32" s="5">
        <f>IF(_xlfn.XLOOKUP($B32,rf1_data!$B:$B,rf1_data!AB:AB,"NaN")="","NaN",(_xlfn.XLOOKUP($B32,rf1_data!$B:$B,rf1_data!AB:AB,"NaN")))</f>
        <v>0</v>
      </c>
      <c r="AK32" s="5">
        <f>IF(_xlfn.XLOOKUP($B32,rf1_data!$B:$B,rf1_data!AC:AC,"NaN")="","NaN",(_xlfn.XLOOKUP($B32,rf1_data!$B:$B,rf1_data!AC:AC,"NaN")))</f>
        <v>32</v>
      </c>
      <c r="AL32" s="5">
        <f>IF(_xlfn.XLOOKUP($B32,rf1_data!$B:$B,rf1_data!AD:AD,"NaN")="","NaN",(_xlfn.XLOOKUP($B32,rf1_data!$B:$B,rf1_data!AD:AD,"NaN")))</f>
        <v>12</v>
      </c>
      <c r="AM32" s="5">
        <f>IF(_xlfn.XLOOKUP($B32,rf1_data!$B:$B,rf1_data!AE:AE,"NaN")="","NaN",(_xlfn.XLOOKUP($B32,rf1_data!$B:$B,rf1_data!AE:AE,"NaN")))</f>
        <v>1</v>
      </c>
      <c r="AN32" s="5">
        <f>IF(_xlfn.XLOOKUP($B32,rf1_data!$B:$B,rf1_data!AF:AF,"NaN")="","NaN",(_xlfn.XLOOKUP($B32,rf1_data!$B:$B,rf1_data!AF:AF,"NaN")))</f>
        <v>0</v>
      </c>
      <c r="AO32" s="5">
        <f>IF(_xlfn.XLOOKUP($B32,rf1_data!$B:$B,rf1_data!AG:AG,"NaN")="","NaN",(_xlfn.XLOOKUP($B32,rf1_data!$B:$B,rf1_data!AG:AG,"NaN")))</f>
        <v>7</v>
      </c>
      <c r="AP32" s="5">
        <f>IF(_xlfn.XLOOKUP($B32,rf1_data!$B:$B,rf1_data!AH:AH,"NaN")="","NaN",(_xlfn.XLOOKUP($B32,rf1_data!$B:$B,rf1_data!AH:AH,"NaN")))</f>
        <v>7</v>
      </c>
      <c r="AQ32" s="5">
        <f>IF(_xlfn.XLOOKUP($B32,rf1_data!$B:$B,rf1_data!AI:AI,"NaN")="","NaN",(_xlfn.XLOOKUP($B32,rf1_data!$B:$B,rf1_data!AI:AI,"NaN")))</f>
        <v>7</v>
      </c>
      <c r="AR32" s="5">
        <f>IF(_xlfn.XLOOKUP($B32,rf1_data!$B:$B,rf1_data!AJ:AJ,"NaN")="","NaN",(_xlfn.XLOOKUP($B32,rf1_data!$B:$B,rf1_data!AJ:AJ,"NaN")))</f>
        <v>7</v>
      </c>
      <c r="AS32" s="5">
        <f>IF(_xlfn.XLOOKUP($B32,rf1_data!$B:$B,rf1_data!AK:AK,"NaN")="","NaN",(_xlfn.XLOOKUP($B32,rf1_data!$B:$B,rf1_data!AK:AK,"NaN")))</f>
        <v>3.7</v>
      </c>
      <c r="AT32" s="5">
        <f>IF(_xlfn.XLOOKUP($B32,rf1_data!$B:$B,rf1_data!AL:AL,"NaN")="","NaN",(_xlfn.XLOOKUP($B32,rf1_data!$B:$B,rf1_data!AL:AL,"NaN")))</f>
        <v>13</v>
      </c>
      <c r="AU32" s="5">
        <f>IF(_xlfn.XLOOKUP($B32,rf1_data!$B:$B,rf1_data!AM:AM,"NaN")="","NaN",(_xlfn.XLOOKUP($B32,rf1_data!$B:$B,rf1_data!AM:AM,"NaN")))</f>
        <v>3.08</v>
      </c>
      <c r="AV32" s="5">
        <f>IF(_xlfn.XLOOKUP($B32,rf1_data!$B:$B,rf1_data!AN:AN,"NaN")="","NaN",(_xlfn.XLOOKUP($B32,rf1_data!$B:$B,rf1_data!AN:AN,"NaN")))</f>
        <v>4</v>
      </c>
      <c r="AW32" s="5">
        <f>IF(_xlfn.XLOOKUP($B32,rf1_data!$B:$B,rf1_data!AO:AO,"NaN")="","NaN",(_xlfn.XLOOKUP($B32,rf1_data!$B:$B,rf1_data!AO:AO,"NaN")))</f>
        <v>3</v>
      </c>
      <c r="AX32" s="5">
        <f>IF(_xlfn.XLOOKUP($B32,rf1_data!$B:$B,rf1_data!AP:AP,"NaN")="","NaN",(_xlfn.XLOOKUP($B32,rf1_data!$B:$B,rf1_data!AP:AP,"NaN")))</f>
        <v>3.49</v>
      </c>
      <c r="AY32" s="5" t="str">
        <f>IF(_xlfn.XLOOKUP($B32,rf1_data!$B:$B,rf1_data!AQ:AQ,"NaN")="","NaN",(_xlfn.XLOOKUP($B32,rf1_data!$B:$B,rf1_data!AQ:AQ,"NaN")))</f>
        <v>NaN</v>
      </c>
      <c r="AZ32" s="5" t="str">
        <f>IF(_xlfn.XLOOKUP($B32,rf1_data!$B:$B,rf1_data!AR:AR,"NaN")="","NaN",(_xlfn.XLOOKUP($B32,rf1_data!$B:$B,rf1_data!AR:AR,"NaN")))</f>
        <v>NaN</v>
      </c>
      <c r="BA32" s="5" t="str">
        <f>IF(_xlfn.XLOOKUP($B32,rf1_data!$B:$B,rf1_data!AS:AS,"NaN")="","NaN",(_xlfn.XLOOKUP($B32,rf1_data!$B:$B,rf1_data!AS:AS,"NaN")))</f>
        <v>NaN</v>
      </c>
      <c r="BB32" s="5" t="str">
        <f>IF(_xlfn.XLOOKUP($B32,rf1_data!$B:$B,rf1_data!AT:AT,"NaN")="","NaN",(_xlfn.XLOOKUP($B32,rf1_data!$B:$B,rf1_data!AT:AT,"NaN")))</f>
        <v>NaN</v>
      </c>
      <c r="BC32" s="5" t="str">
        <f>IF(_xlfn.XLOOKUP($B32,rf1_data!$B:$B,rf1_data!AU:AU,"NaN")="","NaN",(_xlfn.XLOOKUP($B32,rf1_data!$B:$B,rf1_data!AU:AU,"NaN")))</f>
        <v>NaN</v>
      </c>
      <c r="BD32" s="5" t="str">
        <f>IF(_xlfn.XLOOKUP($B32,rf1_data!$B:$B,rf1_data!AV:AV,"NaN")="","NaN",(_xlfn.XLOOKUP($B32,rf1_data!$B:$B,rf1_data!AV:AV,"NaN")))</f>
        <v>NaN</v>
      </c>
      <c r="BE32" s="5" t="str">
        <f>IF(_xlfn.XLOOKUP($B32,rf1_data!$B:$B,rf1_data!AW:AW,"NaN")="","NaN",(_xlfn.XLOOKUP($B32,rf1_data!$B:$B,rf1_data!AW:AW,"NaN")))</f>
        <v>NaN</v>
      </c>
      <c r="BF32" s="5" t="str">
        <f>IF(_xlfn.XLOOKUP($B32,rf1_data!$B:$B,rf1_data!AX:AX,"NaN")="","NaN",(_xlfn.XLOOKUP($B32,rf1_data!$B:$B,rf1_data!AX:AX,"NaN")))</f>
        <v>NaN</v>
      </c>
      <c r="BG32" s="5" t="str">
        <f>IF(_xlfn.XLOOKUP($B32,rf1_data!$B:$B,rf1_data!AY:AY,"NaN")="","NaN",(_xlfn.XLOOKUP($B32,rf1_data!$B:$B,rf1_data!AY:AY,"NaN")))</f>
        <v>NaN</v>
      </c>
      <c r="BH32" s="5" t="str">
        <f>IF(_xlfn.XLOOKUP($B32,rf1_data!$B:$B,rf1_data!AZ:AZ,"NaN")="","NaN",(_xlfn.XLOOKUP($B32,rf1_data!$B:$B,rf1_data!AZ:AZ,"NaN")))</f>
        <v>NaN</v>
      </c>
      <c r="BI32" s="5">
        <f>IF(_xlfn.XLOOKUP($B32,rf1_data!$B:$B,rf1_data!BA:BA,"NaN")="","NaN",(_xlfn.XLOOKUP($B32,rf1_data!$B:$B,rf1_data!BA:BA,"NaN")))</f>
        <v>20</v>
      </c>
      <c r="BJ32" s="5" t="str">
        <f>IF(_xlfn.XLOOKUP($B32,rf1_data!$B:$B,rf1_data!BB:BB,"NaN")="","NaN",(_xlfn.XLOOKUP($B32,rf1_data!$B:$B,rf1_data!BB:BB,"NaN")))</f>
        <v>NaN</v>
      </c>
      <c r="BK32" s="5" t="str">
        <f>IF(_xlfn.XLOOKUP($B32,rf1_data!$B:$B,rf1_data!BC:BC,"NaN")="","NaN",(_xlfn.XLOOKUP($B32,rf1_data!$B:$B,rf1_data!BC:BC,"NaN")))</f>
        <v>NaN</v>
      </c>
      <c r="BL32" s="5" t="str">
        <f>IF(_xlfn.XLOOKUP($B32,rf1_data!$B:$B,rf1_data!BD:BD,"NaN")="","NaN",(_xlfn.XLOOKUP($B32,rf1_data!$B:$B,rf1_data!BD:BD,"NaN")))</f>
        <v>NaN</v>
      </c>
      <c r="BM32" s="5" t="str">
        <f>IF(_xlfn.XLOOKUP($B32,rf1_data!$B:$B,rf1_data!BE:BE,"NaN")="","NaN",(_xlfn.XLOOKUP($B32,rf1_data!$B:$B,rf1_data!BE:BE,"NaN")))</f>
        <v>NaN</v>
      </c>
      <c r="BN32" s="5" t="str">
        <f>IF(_xlfn.XLOOKUP($B32,rf1_data!$B:$B,rf1_data!BF:BF,"NaN")="","NaN",(_xlfn.XLOOKUP($B32,rf1_data!$B:$B,rf1_data!BF:BF,"NaN")))</f>
        <v>NaN</v>
      </c>
      <c r="BO32" s="5" t="str">
        <f>IF(_xlfn.XLOOKUP($B32,rf1_data!$B:$B,rf1_data!BG:BG,"NaN")="","NaN",(_xlfn.XLOOKUP($B32,rf1_data!$B:$B,rf1_data!BG:BG,"NaN")))</f>
        <v>NaN</v>
      </c>
      <c r="BP32" s="5" t="str">
        <f>IF(_xlfn.XLOOKUP($B32,rf1_data!$B:$B,rf1_data!BH:BH,"NaN")="","NaN",(_xlfn.XLOOKUP($B32,rf1_data!$B:$B,rf1_data!BH:BH,"NaN")))</f>
        <v>NaN</v>
      </c>
      <c r="BQ32" s="5" t="str">
        <f>IF(_xlfn.XLOOKUP($B32,rf1_data!$B:$B,rf1_data!BI:BI,"NaN")="","NaN",(_xlfn.XLOOKUP($B32,rf1_data!$B:$B,rf1_data!BI:BI,"NaN")))</f>
        <v>NaN</v>
      </c>
      <c r="BR32" s="5">
        <f>IF(_xlfn.XLOOKUP($B32,rf1_data!$B:$B,rf1_data!BJ:BJ,"NaN")="","NaN",(_xlfn.XLOOKUP($B32,rf1_data!$B:$B,rf1_data!BJ:BJ,"NaN")))</f>
        <v>8991</v>
      </c>
      <c r="BS32" s="5" t="str">
        <f>IF(_xlfn.XLOOKUP($B32,rf1_data!$B:$B,rf1_data!BK:BK,"NaN")="","NaN",(_xlfn.XLOOKUP($B32,rf1_data!$B:$B,rf1_data!BK:BK,"NaN")))</f>
        <v>NaN</v>
      </c>
      <c r="BT32" s="5" t="str">
        <f>IF(_xlfn.XLOOKUP($B32,rf1_data!$B:$B,rf1_data!BL:BL,"NaN")="","NaN",(_xlfn.XLOOKUP($B32,rf1_data!$B:$B,rf1_data!BL:BL,"NaN")))</f>
        <v>NaN</v>
      </c>
      <c r="BU32" s="5" t="str">
        <f>IF(_xlfn.XLOOKUP($B32,rf1_data!$B:$B,rf1_data!BM:BM,"NaN")="","NaN",(_xlfn.XLOOKUP($B32,rf1_data!$B:$B,rf1_data!BM:BM,"NaN")))</f>
        <v>NaN</v>
      </c>
      <c r="BV32" s="5" t="str">
        <f>IF(_xlfn.XLOOKUP($B32,rf1_data!$B:$B,rf1_data!BN:BN,"NaN")="","NaN",(_xlfn.XLOOKUP($B32,rf1_data!$B:$B,rf1_data!BN:BN,"NaN")))</f>
        <v>NaN</v>
      </c>
      <c r="BW32" s="5">
        <f>IF(_xlfn.XLOOKUP($B32,rf1_data!$B:$B,rf1_data!BO:BO,"NaN")="","NaN",(_xlfn.XLOOKUP($B32,rf1_data!$B:$B,rf1_data!BO:BO,"NaN")))</f>
        <v>3.5</v>
      </c>
      <c r="BX32" s="5">
        <f>IF(_xlfn.XLOOKUP($B32,rf1_data!$B:$B,rf1_data!BP:BP,"NaN")="","NaN",(_xlfn.XLOOKUP($B32,rf1_data!$B:$B,rf1_data!BP:BP,"NaN")))</f>
        <v>3.9</v>
      </c>
      <c r="BY32" s="5">
        <f>IF(_xlfn.XLOOKUP($B32,rf1_data!$B:$B,rf1_data!BQ:BQ,"NaN")="","NaN",(_xlfn.XLOOKUP($B32,rf1_data!$B:$B,rf1_data!BQ:BQ,"NaN")))</f>
        <v>3.4</v>
      </c>
      <c r="BZ32" s="5">
        <f>IF(_xlfn.XLOOKUP($B32,rf1_data!$B:$B,rf1_data!BR:BR,"NaN")="","NaN",(_xlfn.XLOOKUP($B32,rf1_data!$B:$B,rf1_data!BR:BR,"NaN")))</f>
        <v>3.6</v>
      </c>
      <c r="CA32" s="5">
        <f>IF(_xlfn.XLOOKUP($B32,rf1_data!$B:$B,rf1_data!BS:BS,"NaN")="","NaN",(_xlfn.XLOOKUP($B32,rf1_data!$B:$B,rf1_data!BS:BS,"NaN")))</f>
        <v>6</v>
      </c>
      <c r="CB32" s="5">
        <f>IF(_xlfn.XLOOKUP($B32,rf1_data!$B:$B,rf1_data!BT:BT,"NaN")="","NaN",(_xlfn.XLOOKUP($B32,rf1_data!$B:$B,rf1_data!BT:BT,"NaN")))</f>
        <v>5.1666666666666599</v>
      </c>
      <c r="CC32" s="5">
        <f>IF(_xlfn.XLOOKUP($B32,rf1_data!$B:$B,rf1_data!BU:BU,"NaN")="","NaN",(_xlfn.XLOOKUP($B32,rf1_data!$B:$B,rf1_data!BU:BU,"NaN")))</f>
        <v>6</v>
      </c>
      <c r="CD32" s="5">
        <f>IF(_xlfn.XLOOKUP($B32,rf1_data!$B:$B,rf1_data!BV:BV,"NaN")="","NaN",(_xlfn.XLOOKUP($B32,rf1_data!$B:$B,rf1_data!BV:BV,"NaN")))</f>
        <v>5.1666666666666599</v>
      </c>
      <c r="CE32" s="5">
        <f>IF(_xlfn.XLOOKUP($B32,rf1_data!$B:$B,rf1_data!BW:BW,"NaN")="","NaN",(_xlfn.XLOOKUP($B32,rf1_data!$B:$B,rf1_data!BW:BW,"NaN")))</f>
        <v>1.2</v>
      </c>
      <c r="CF32" s="5">
        <f>IF(_xlfn.XLOOKUP($B32,rf1_data!$B:$B,rf1_data!BX:BX,"NaN")="","NaN",(_xlfn.XLOOKUP($B32,rf1_data!$B:$B,rf1_data!BX:BX,"NaN")))</f>
        <v>0</v>
      </c>
      <c r="CG32" s="5">
        <f>IF(_xlfn.XLOOKUP($B32,rf1_data!$B:$B,rf1_data!BY:BY,"NaN")="","NaN",(_xlfn.XLOOKUP($B32,rf1_data!$B:$B,rf1_data!BY:BY,"NaN")))</f>
        <v>0</v>
      </c>
      <c r="CH32" s="5">
        <f>IF(_xlfn.XLOOKUP($B32,rf1_data!$B:$B,rf1_data!BZ:BZ,"NaN")="","NaN",(_xlfn.XLOOKUP($B32,rf1_data!$B:$B,rf1_data!BZ:BZ,"NaN")))</f>
        <v>18</v>
      </c>
      <c r="CI32" s="5" t="str">
        <f>IF(_xlfn.XLOOKUP($B32,rf1_data!$B:$B,rf1_data!CA:CA,"NaN")="","NaN",(_xlfn.XLOOKUP($B32,rf1_data!$B:$B,rf1_data!CA:CA,"NaN")))</f>
        <v>NaN</v>
      </c>
      <c r="CJ32" s="5">
        <f>IF(_xlfn.XLOOKUP($B32,rf1_data!$B:$B,rf1_data!CB:CB,"NaN")="","NaN",(_xlfn.XLOOKUP($B32,rf1_data!$B:$B,rf1_data!CB:CB,"NaN")))</f>
        <v>8</v>
      </c>
      <c r="CK32" s="5">
        <f>IF(_xlfn.XLOOKUP($B32,rf1_data!$B:$B,rf1_data!CC:CC,"NaN")="","NaN",(_xlfn.XLOOKUP($B32,rf1_data!$B:$B,rf1_data!CC:CC,"NaN")))</f>
        <v>1.3333333333333299</v>
      </c>
      <c r="CL32" s="5">
        <f>IF(_xlfn.XLOOKUP($B32,rf1_data!$B:$B,rf1_data!CD:CD,"NaN")=0,"NaN",(_xlfn.XLOOKUP($B32,rf1_data!$B:$B,rf1_data!CD:CD,"NaN")))</f>
        <v>26</v>
      </c>
      <c r="CM32" s="5">
        <f>IF(_xlfn.XLOOKUP($B32,rf1_data!$B:$B,rf1_data!CE:CE,"NaN")="","NaN",(_xlfn.XLOOKUP($B32,rf1_data!$B:$B,rf1_data!CE:CE,"NaN")))</f>
        <v>24</v>
      </c>
      <c r="CN32" s="5">
        <f>IF(_xlfn.XLOOKUP($B32,rf1_data!$B:$B,rf1_data!CF:CF,"NaN")="","NaN",(_xlfn.XLOOKUP($B32,rf1_data!$B:$B,rf1_data!CF:CF,"NaN")))</f>
        <v>29</v>
      </c>
      <c r="CO32" s="5">
        <f>IF(_xlfn.XLOOKUP($B32,rf1_data!$B:$B,rf1_data!CG:CG,"NaN")="","NaN",(_xlfn.XLOOKUP($B32,rf1_data!$B:$B,rf1_data!CG:CG,"NaN")))</f>
        <v>27</v>
      </c>
      <c r="CP32" s="5">
        <f>IF(_xlfn.XLOOKUP($B32,rf1_data!$B:$B,rf1_data!CH:CH,"NaN")=0,"NaN",(_xlfn.XLOOKUP($B32,rf1_data!$B:$B,rf1_data!CH:CH,"NaN")))</f>
        <v>31</v>
      </c>
      <c r="CQ32" s="5">
        <f>IF(_xlfn.XLOOKUP($B32,rf1_data!$B:$B,rf1_data!CI:CI,"NaN")="","NaN",(_xlfn.XLOOKUP($B32,rf1_data!$B:$B,rf1_data!CI:CI,"NaN")))</f>
        <v>41</v>
      </c>
      <c r="CR32" s="5">
        <f>IF(_xlfn.XLOOKUP($B32,rf1_data!$B:$B,rf1_data!CJ:CJ,"NaN")="","NaN",(_xlfn.XLOOKUP($B32,rf1_data!$B:$B,rf1_data!CJ:CJ,"NaN")))</f>
        <v>60</v>
      </c>
      <c r="CS32" s="5">
        <f>IF(_xlfn.XLOOKUP($B32,rf1_data!$B:$B,rf1_data!CK:CK,"NaN")="","NaN",(_xlfn.XLOOKUP($B32,rf1_data!$B:$B,rf1_data!CK:CK,"NaN")))</f>
        <v>48</v>
      </c>
      <c r="CT32" s="5">
        <f>IF(_xlfn.XLOOKUP($B32,rf1_data!$B:$B,rf1_data!CL:CL,"NaN")="","NaN",(_xlfn.XLOOKUP($B32,rf1_data!$B:$B,rf1_data!CL:CL,"NaN")))</f>
        <v>60</v>
      </c>
      <c r="CU32" s="5">
        <f>IF(_xlfn.XLOOKUP($B32,rf1_data!$B:$B,rf1_data!CM:CM,"NaN")="","NaN",(_xlfn.XLOOKUP($B32,rf1_data!$B:$B,rf1_data!CM:CM,"NaN")))</f>
        <v>14</v>
      </c>
      <c r="CV32" s="5">
        <f>IF(_xlfn.XLOOKUP($B32,rf1_data!$B:$B,rf1_data!CN:CN,"NaN")="","NaN",(_xlfn.XLOOKUP($B32,rf1_data!$B:$B,rf1_data!CN:CN,"NaN")))</f>
        <v>60</v>
      </c>
      <c r="CW32" s="5" t="str">
        <f>IF(_xlfn.XLOOKUP($B32,rf1_data!$B:$B,rf1_data!CO:CO,"NaN")="","NaN",(_xlfn.XLOOKUP($B32,rf1_data!$B:$B,rf1_data!CO:CO,"NaN")))</f>
        <v>NaN</v>
      </c>
      <c r="CX32" s="5" t="str">
        <f>IF(_xlfn.XLOOKUP($B32,rf1_data!$B:$B,rf1_data!CP:CP,"NaN")="","NaN",(_xlfn.XLOOKUP($B32,rf1_data!$B:$B,rf1_data!CP:CP,"NaN")))</f>
        <v>NaN</v>
      </c>
      <c r="CY32" s="5">
        <f>IF(_xlfn.XLOOKUP($B32,rf1_data!$B:$B,rf1_data!CQ:CQ,"NaN")="","NaN",(_xlfn.XLOOKUP($B32,rf1_data!$B:$B,rf1_data!CQ:CQ,"NaN")))</f>
        <v>6</v>
      </c>
      <c r="CZ32" s="5">
        <f>IF(_xlfn.XLOOKUP($B32,rf1_data!$B:$B,rf1_data!CR:CR,"NaN")="","NaN",(_xlfn.XLOOKUP($B32,rf1_data!$B:$B,rf1_data!CR:CR,"NaN")))</f>
        <v>1</v>
      </c>
      <c r="DA32" s="5">
        <f>IF(_xlfn.XLOOKUP($B32,rf1_data!$B:$B,rf1_data!CS:CS,"NaN")="","NaN",(_xlfn.XLOOKUP($B32,rf1_data!$B:$B,rf1_data!CS:CS,"NaN")))</f>
        <v>1</v>
      </c>
      <c r="DB32" s="4">
        <f>IF(_xlfn.XLOOKUP($B32,island_data!$B:$B,island_data!H:H,"NaN")="","NaN",_xlfn.XLOOKUP($B32,island_data!$B:$B,island_data!H:H,"NaN"))</f>
        <v>6</v>
      </c>
      <c r="DC32" s="4">
        <f>IF(_xlfn.XLOOKUP($B32,island_data!$B:$B,island_data!I:I,"NaN")="","NaN",_xlfn.XLOOKUP($B32,island_data!$B:$B,island_data!I:I,"NaN"))</f>
        <v>0</v>
      </c>
      <c r="DD32" s="4">
        <f>IF(_xlfn.XLOOKUP($B32,island_data!$B:$B,island_data!J:J,"NaN")="","NaN",_xlfn.XLOOKUP($B32,island_data!$B:$B,island_data!J:J,"NaN"))</f>
        <v>0</v>
      </c>
      <c r="DE32" s="4">
        <f>IF(_xlfn.XLOOKUP($B32,island_data!$B:$B,island_data!K:K,"NaN")="","NaN",_xlfn.XLOOKUP($B32,island_data!$B:$B,island_data!K:K,"NaN"))</f>
        <v>2</v>
      </c>
      <c r="DF32" s="4">
        <f>IF(_xlfn.XLOOKUP($B32,island_data!$B:$B,island_data!L:L,"NaN")="","NaN",_xlfn.XLOOKUP($B32,island_data!$B:$B,island_data!L:L,"NaN"))</f>
        <v>28</v>
      </c>
      <c r="DG32" s="4">
        <f>IF(_xlfn.XLOOKUP($B32,island_data!$B:$B,island_data!M:M,"NaN")="","NaN",_xlfn.XLOOKUP($B32,island_data!$B:$B,island_data!M:M,"NaN"))</f>
        <v>3.3888888888888999</v>
      </c>
      <c r="DH32" s="4">
        <f>IF(_xlfn.XLOOKUP($B32,island_data!$B:$B,island_data!N:N,"NaN")="","NaN",_xlfn.XLOOKUP($B32,island_data!$B:$B,island_data!N:N,"NaN"))</f>
        <v>11</v>
      </c>
      <c r="DI32" s="4" t="str">
        <f>IF(_xlfn.XLOOKUP($B32,island_data!$B:$B,island_data!O:O,"NaN")=999,"NaN",_xlfn.XLOOKUP($B32,island_data!$B:$B,island_data!O:O,"NaN"))</f>
        <v>NaN</v>
      </c>
      <c r="DJ32" s="4">
        <f>IF(_xlfn.XLOOKUP($B32,island_data!$B:$B,island_data!P:P,"NaN")="","NaN",_xlfn.XLOOKUP($B32,island_data!$B:$B,island_data!P:P,"NaN"))</f>
        <v>8</v>
      </c>
      <c r="DK32" s="4">
        <f>IF(_xlfn.XLOOKUP($B32,island_data!$B:$B,island_data!Q:Q,"NaN")="","NaN",_xlfn.XLOOKUP($B32,island_data!$B:$B,island_data!Q:Q,"NaN"))</f>
        <v>12</v>
      </c>
      <c r="DL32" s="4" t="str">
        <f>IF(_xlfn.XLOOKUP($B32,island_data!$B:$B,island_data!R:R,"NaN")=999,"NaN",_xlfn.XLOOKUP($B32,island_data!$B:$B,island_data!R:R,"NaN"))</f>
        <v>NaN</v>
      </c>
      <c r="DM32" s="4">
        <f>IF(_xlfn.XLOOKUP($B32,island_data!$B:$B,island_data!S:S,"NaN")="","NaN",_xlfn.XLOOKUP($B32,island_data!$B:$B,island_data!S:S,"NaN"))</f>
        <v>12</v>
      </c>
      <c r="DN32" s="4">
        <f>IF(_xlfn.XLOOKUP($B32,island_data!$B:$B,island_data!T:T,"NaN")="","NaN",_xlfn.XLOOKUP($B32,island_data!$B:$B,island_data!T:T,"NaN"))</f>
        <v>5</v>
      </c>
      <c r="DO32" s="4">
        <f>IF(_xlfn.XLOOKUP($B32,island_data!$B:$B,island_data!U:U,"NaN")="","NaN",_xlfn.XLOOKUP($B32,island_data!$B:$B,island_data!U:U,"NaN"))</f>
        <v>5</v>
      </c>
      <c r="DP32" s="4">
        <f>IF(_xlfn.XLOOKUP($B32,island_data!$B:$B,island_data!V:V,"NaN")="","NaN",_xlfn.XLOOKUP($B32,island_data!$B:$B,island_data!V:V,"NaN"))</f>
        <v>5</v>
      </c>
      <c r="DQ32" s="4">
        <f>IF(_xlfn.XLOOKUP($B32,island_data!$B:$B,island_data!W:W,"NaN")="","NaN",_xlfn.XLOOKUP($B32,island_data!$B:$B,island_data!W:W,"NaN"))</f>
        <v>8</v>
      </c>
      <c r="DR32" s="4">
        <f>IF(_xlfn.XLOOKUP($B32,island_data!$B:$B,island_data!X:X,"NaN")="","NaN",_xlfn.XLOOKUP($B32,island_data!$B:$B,island_data!X:X,"NaN"))</f>
        <v>5</v>
      </c>
      <c r="DS32" s="4" t="str">
        <f>IF(_xlfn.XLOOKUP($B32,island_data!$B:$B,island_data!Y:Y,"NaN")="","NaN",_xlfn.XLOOKUP($B32,island_data!$B:$B,island_data!Y:Y,"NaN"))</f>
        <v>NaN</v>
      </c>
      <c r="DT32" s="4" t="str">
        <f>IF(_xlfn.XLOOKUP($B32,island_data!$B:$B,island_data!Z:Z,"NaN")="","NaN",_xlfn.XLOOKUP($B32,island_data!$B:$B,island_data!Z:Z,"NaN"))</f>
        <v>NaN</v>
      </c>
      <c r="DU32" s="4" t="str">
        <f>IF(_xlfn.XLOOKUP($B32,island_data!$B:$B,island_data!AA:AA,"NaN")="","NaN",_xlfn.XLOOKUP($B32,island_data!$B:$B,island_data!AA:AA,"NaN"))</f>
        <v>NaN</v>
      </c>
      <c r="DV32" s="4">
        <f>IF(_xlfn.XLOOKUP($B32,island_data!$B:$B,island_data!AB:AB,"NaN")="","NaN",_xlfn.XLOOKUP($B32,island_data!$B:$B,island_data!AB:AB,"NaN"))</f>
        <v>1</v>
      </c>
      <c r="DW32" s="4">
        <f>IF(_xlfn.XLOOKUP($B32,island_data!$B:$B,island_data!AC:AC,"NaN")="","NaN",_xlfn.XLOOKUP($B32,island_data!$B:$B,island_data!AC:AC,"NaN"))</f>
        <v>8520</v>
      </c>
      <c r="DX32" s="4">
        <f>IF(_xlfn.XLOOKUP($B32,island_data!$B:$B,island_data!AD:AD,"NaN")="","NaN",_xlfn.XLOOKUP($B32,island_data!$B:$B,island_data!AD:AD,"NaN"))</f>
        <v>8</v>
      </c>
      <c r="DY32" s="4">
        <f>IF(_xlfn.XLOOKUP($B32,island_data!$B:$B,island_data!AE:AE,"NaN")="","NaN",_xlfn.XLOOKUP($B32,island_data!$B:$B,island_data!AE:AE,"NaN"))</f>
        <v>0</v>
      </c>
      <c r="DZ32" s="4" t="str">
        <f>IF(_xlfn.XLOOKUP($B32,island_data!$B:$B,island_data!AF:AF,"NaN")="","NaN",_xlfn.XLOOKUP($B32,island_data!$B:$B,island_data!AF:AF,"NaN"))</f>
        <v>NaN</v>
      </c>
      <c r="EA32" s="4" t="str">
        <f>IF(_xlfn.XLOOKUP($B32,island_data!$B:$B,island_data!AG:AG,"NaN")="","NaN",_xlfn.XLOOKUP($B32,island_data!$B:$B,island_data!AG:AG,"NaN"))</f>
        <v>NaN</v>
      </c>
      <c r="EB32" s="4" t="str">
        <f>IF(_xlfn.XLOOKUP($B32,island_data!$B:$B,island_data!AH:AH,"NaN")="","NaN",_xlfn.XLOOKUP($B32,island_data!$B:$B,island_data!AH:AH,"NaN"))</f>
        <v>NaN</v>
      </c>
      <c r="EC32" s="4" t="str">
        <f>IF(_xlfn.XLOOKUP($B32,island_data!$B:$B,island_data!AI:AI,"NaN")="","NaN",_xlfn.XLOOKUP($B32,island_data!$B:$B,island_data!AI:AI,"NaN"))</f>
        <v>NaN</v>
      </c>
      <c r="ED32" s="4" t="str">
        <f>IF(_xlfn.XLOOKUP($B32,island_data!$B:$B,island_data!AJ:AJ,"NaN")="","NaN",_xlfn.XLOOKUP($B32,island_data!$B:$B,island_data!AJ:AJ,"NaN"))</f>
        <v>NaN</v>
      </c>
      <c r="EE32" s="4" t="str">
        <f>IF(_xlfn.XLOOKUP($B32,island_data!$B:$B,island_data!AK:AK,"NaN")="","NaN",_xlfn.XLOOKUP($B32,island_data!$B:$B,island_data!AK:AK,"NaN"))</f>
        <v>NaN</v>
      </c>
      <c r="EF32" s="4" t="str">
        <f>IF(_xlfn.XLOOKUP($B32,island_data!$B:$B,island_data!AL:AL,"NaN")="","NaN",_xlfn.XLOOKUP($B32,island_data!$B:$B,island_data!AL:AL,"NaN"))</f>
        <v>NaN</v>
      </c>
      <c r="EG32" s="4" t="str">
        <f>IF(_xlfn.XLOOKUP($B32,island_data!$B:$B,island_data!AM:AM,"NaN")="","NaN",_xlfn.XLOOKUP($B32,island_data!$B:$B,island_data!AM:AM,"NaN"))</f>
        <v>NaN</v>
      </c>
      <c r="EH32" s="4">
        <f>IF(_xlfn.XLOOKUP($B32,island_data!$B:$B,island_data!AN:AN,"NaN")="","NaN",_xlfn.XLOOKUP($B32,island_data!$B:$B,island_data!AN:AN,"NaN"))</f>
        <v>0</v>
      </c>
      <c r="EI32" s="4" t="str">
        <f>IF(_xlfn.XLOOKUP($B32,island_data!$B:$B,island_data!AO:AO,"NaN")="","NaN",_xlfn.XLOOKUP($B32,island_data!$B:$B,island_data!AO:AO,"NaN"))</f>
        <v>NaN</v>
      </c>
      <c r="EJ32" s="8">
        <f>IF(_xlfn.XLOOKUP($A32,TabCAT!$A:$A,TabCAT!AU:AU,"NaN")="","NaN",(_xlfn.XLOOKUP($A32,TabCAT!$A:$A,TabCAT!AU:AU,"NaN")))</f>
        <v>163</v>
      </c>
      <c r="EK32" s="8" t="b">
        <f>IF(_xlfn.XLOOKUP($A32,TabCAT!$A:$A,TabCAT!AV:AV,"NaN")="","NaN",(_xlfn.XLOOKUP($A32,TabCAT!$A:$A,TabCAT!AV:AV,"NaN")))</f>
        <v>1</v>
      </c>
      <c r="EL32" s="8">
        <f>IF(_xlfn.XLOOKUP($A32,TabCAT!$A:$A,TabCAT!AW:AW,"NaN")="","NaN",(_xlfn.XLOOKUP($A32,TabCAT!$A:$A,TabCAT!AW:AW,"NaN")))</f>
        <v>6</v>
      </c>
      <c r="EM32" s="8">
        <f>IF(_xlfn.XLOOKUP($A32,TabCAT!$A:$A,TabCAT!AX:AX,"NaN")="","NaN",(_xlfn.XLOOKUP($A32,TabCAT!$A:$A,TabCAT!AX:AX,"NaN")))</f>
        <v>0</v>
      </c>
      <c r="EN32" s="8">
        <f>IF(_xlfn.XLOOKUP($A32,TabCAT!$A:$A,TabCAT!AY:AY,"NaN")="","NaN",(_xlfn.XLOOKUP($A32,TabCAT!$A:$A,TabCAT!AY:AY,"NaN")))</f>
        <v>7.77</v>
      </c>
      <c r="EO32" s="8">
        <f>IF(_xlfn.XLOOKUP($A32,TabCAT!$A:$A,TabCAT!AZ:AZ,"NaN")="","NaN",(_xlfn.XLOOKUP($A32,TabCAT!$A:$A,TabCAT!AZ:AZ,"NaN")))</f>
        <v>32</v>
      </c>
      <c r="EP32" s="8">
        <f>IF(_xlfn.XLOOKUP($A32,TabCAT!$A:$A,TabCAT!BA:BA,"NaN")="","NaN",(_xlfn.XLOOKUP($A32,TabCAT!$A:$A,TabCAT!BA:BA,"NaN")))</f>
        <v>0.96269850000000001</v>
      </c>
      <c r="EQ32" s="8">
        <f>IF(_xlfn.XLOOKUP($A32,TabCAT!$A:$A,TabCAT!BB:BB,"NaN")="","NaN",(_xlfn.XLOOKUP($A32,TabCAT!$A:$A,TabCAT!BB:BB,"NaN")))</f>
        <v>0.106355560476238</v>
      </c>
      <c r="ER32" s="8">
        <f>IF(_xlfn.XLOOKUP($A32,TabCAT!$A:$A,TabCAT!BC:BC,"NaN")="","NaN",(_xlfn.XLOOKUP($A32,TabCAT!$A:$A,TabCAT!BC:BC,"NaN")))</f>
        <v>16</v>
      </c>
      <c r="ES32" s="8">
        <f>IF(_xlfn.XLOOKUP($A32,TabCAT!$A:$A,TabCAT!BD:BD,"NaN")="","NaN",(_xlfn.XLOOKUP($A32,TabCAT!$A:$A,TabCAT!BD:BD,"NaN")))</f>
        <v>0.93769049999999998</v>
      </c>
      <c r="ET32" s="8">
        <f>IF(_xlfn.XLOOKUP($A32,TabCAT!$A:$A,TabCAT!BE:BE,"NaN")="","NaN",(_xlfn.XLOOKUP($A32,TabCAT!$A:$A,TabCAT!BE:BE,"NaN")))</f>
        <v>16</v>
      </c>
      <c r="EU32" s="8">
        <f>IF(_xlfn.XLOOKUP($A32,TabCAT!$A:$A,TabCAT!BF:BF,"NaN")="","NaN",(_xlfn.XLOOKUP($A32,TabCAT!$A:$A,TabCAT!BF:BF,"NaN")))</f>
        <v>0.97934299999999996</v>
      </c>
      <c r="EV32" s="8" t="str">
        <f>IF(_xlfn.XLOOKUP($A32,TabCAT!$A:$A,TabCAT!BG:BG,"NaN")="","NaN",(_xlfn.XLOOKUP($A32,TabCAT!$A:$A,TabCAT!BG:BG,"NaN")))</f>
        <v>NaN</v>
      </c>
      <c r="EW32" s="8" t="str">
        <f>IF(_xlfn.XLOOKUP($A32,TabCAT!$A:$A,TabCAT!BH:BH,"NaN")="","NaN",(_xlfn.XLOOKUP($A32,TabCAT!$A:$A,TabCAT!BH:BH,"NaN")))</f>
        <v>3.0.0</v>
      </c>
      <c r="EX32" s="8" t="str">
        <f>IF(_xlfn.XLOOKUP($A32,TabCAT!$A:$A,TabCAT!BI:BI,"NaN")="","NaN",(_xlfn.XLOOKUP($A32,TabCAT!$A:$A,TabCAT!BI:BI,"NaN")))</f>
        <v>English</v>
      </c>
      <c r="EY32" s="8">
        <f>IF(_xlfn.XLOOKUP($A32,TabCAT!$A:$A,TabCAT!BJ:BJ,"NaN")="","NaN",(_xlfn.XLOOKUP($A32,TabCAT!$A:$A,TabCAT!BJ:BJ,"NaN")))</f>
        <v>241</v>
      </c>
      <c r="EZ32" s="8">
        <f>IF(_xlfn.XLOOKUP($A32,TabCAT!$A:$A,TabCAT!BK:BK,"NaN")="","NaN",(_xlfn.XLOOKUP($A32,TabCAT!$A:$A,TabCAT!BK:BK,"NaN")))</f>
        <v>1</v>
      </c>
      <c r="FA32" s="8">
        <f>IF(_xlfn.XLOOKUP($A32,TabCAT!$A:$A,TabCAT!BL:BL,"NaN")="","NaN",(_xlfn.XLOOKUP($A32,TabCAT!$A:$A,TabCAT!BL:BL,"NaN")))</f>
        <v>6</v>
      </c>
      <c r="FB32" s="8">
        <f>IF(_xlfn.XLOOKUP($A32,TabCAT!$A:$A,TabCAT!BM:BM,"NaN")="","NaN",(_xlfn.XLOOKUP($A32,TabCAT!$A:$A,TabCAT!BM:BM,"NaN")))</f>
        <v>1</v>
      </c>
      <c r="FC32" s="8">
        <f>IF(_xlfn.XLOOKUP($A32,TabCAT!$A:$A,TabCAT!BN:BN,"NaN")="","NaN",(_xlfn.XLOOKUP($A32,TabCAT!$A:$A,TabCAT!BN:BN,"NaN")))</f>
        <v>6</v>
      </c>
      <c r="FD32" s="8">
        <f>IF(_xlfn.XLOOKUP($A32,TabCAT!$A:$A,TabCAT!BO:BO,"NaN")="","NaN",(_xlfn.XLOOKUP($A32,TabCAT!$A:$A,TabCAT!BO:BO,"NaN")))</f>
        <v>9</v>
      </c>
      <c r="FE32" s="8">
        <f>IF(_xlfn.XLOOKUP($A32,TabCAT!$A:$A,TabCAT!BP:BP,"NaN")="","NaN",(_xlfn.XLOOKUP($A32,TabCAT!$A:$A,TabCAT!BP:BP,"NaN")))</f>
        <v>1</v>
      </c>
      <c r="FF32" s="8">
        <f>IF(_xlfn.XLOOKUP($A32,TabCAT!$A:$A,TabCAT!BQ:BQ,"NaN")="","NaN",(_xlfn.XLOOKUP($A32,TabCAT!$A:$A,TabCAT!BQ:BQ,"NaN")))</f>
        <v>9</v>
      </c>
      <c r="FG32" s="8">
        <f>IF(_xlfn.XLOOKUP($A32,TabCAT!$A:$A,TabCAT!BR:BR,"NaN")="","NaN",(_xlfn.XLOOKUP($A32,TabCAT!$A:$A,TabCAT!BR:BR,"NaN")))</f>
        <v>11</v>
      </c>
      <c r="FH32" s="8">
        <f>IF(_xlfn.XLOOKUP($A32,TabCAT!$A:$A,TabCAT!BS:BS,"NaN")="","NaN",(_xlfn.XLOOKUP($A32,TabCAT!$A:$A,TabCAT!BS:BS,"NaN")))</f>
        <v>0.91666666666666596</v>
      </c>
      <c r="FI32" s="8">
        <f>IF(_xlfn.XLOOKUP($A32,TabCAT!$A:$A,TabCAT!BT:BT,"NaN")="","NaN",(_xlfn.XLOOKUP($A32,TabCAT!$A:$A,TabCAT!BT:BT,"NaN")))</f>
        <v>11</v>
      </c>
      <c r="FJ32" s="8">
        <f>IF(_xlfn.XLOOKUP($A32,TabCAT!$A:$A,TabCAT!BU:BU,"NaN")="","NaN",(_xlfn.XLOOKUP($A32,TabCAT!$A:$A,TabCAT!BU:BU,"NaN")))</f>
        <v>12</v>
      </c>
      <c r="FK32" s="8">
        <f>IF(_xlfn.XLOOKUP($A32,TabCAT!$A:$A,TabCAT!BV:BV,"NaN")="","NaN",(_xlfn.XLOOKUP($A32,TabCAT!$A:$A,TabCAT!BV:BV,"NaN")))</f>
        <v>0.8</v>
      </c>
      <c r="FL32" s="8">
        <f>IF(_xlfn.XLOOKUP($A32,TabCAT!$A:$A,TabCAT!BW:BW,"NaN")="","NaN",(_xlfn.XLOOKUP($A32,TabCAT!$A:$A,TabCAT!BW:BW,"NaN")))</f>
        <v>7.5</v>
      </c>
      <c r="FM32" s="8">
        <f>IF(_xlfn.XLOOKUP($A32,TabCAT!$A:$A,TabCAT!BX:BX,"NaN")="","NaN",(_xlfn.XLOOKUP($A32,TabCAT!$A:$A,TabCAT!BX:BX,"NaN")))</f>
        <v>38</v>
      </c>
      <c r="FN32" s="8">
        <f>IF(_xlfn.XLOOKUP($A32,TabCAT!$A:$A,TabCAT!BY:BY,"NaN")="","NaN",(_xlfn.XLOOKUP($A32,TabCAT!$A:$A,TabCAT!BY:BY,"NaN")))</f>
        <v>0.90476190476190399</v>
      </c>
      <c r="FO32" s="8">
        <f>IF(_xlfn.XLOOKUP($A32,TabCAT!$A:$A,TabCAT!BZ:BZ,"NaN")="","NaN",(_xlfn.XLOOKUP($A32,TabCAT!$A:$A,TabCAT!BZ:BZ,"NaN")))</f>
        <v>33.5</v>
      </c>
      <c r="FP32" s="8" t="str">
        <f>IF(_xlfn.XLOOKUP($A32,TabCAT!$A:$A,TabCAT!CA:CA,"NaN")="","NaN",(_xlfn.XLOOKUP($A32,TabCAT!$A:$A,TabCAT!CA:CA,"NaN")))</f>
        <v>3.0.0</v>
      </c>
      <c r="FQ32" s="8" t="str">
        <f>IF(_xlfn.XLOOKUP($A32,TabCAT!$A:$A,TabCAT!CB:CB,"NaN")="","NaN",(_xlfn.XLOOKUP($A32,TabCAT!$A:$A,TabCAT!CB:CB,"NaN")))</f>
        <v>English</v>
      </c>
      <c r="FR32" s="8">
        <f>IF(_xlfn.XLOOKUP($A32,TabCAT!$A:$A,TabCAT!CC:CC,"NaN")="","NaN",(_xlfn.XLOOKUP($A32,TabCAT!$A:$A,TabCAT!CC:CC,"NaN")))</f>
        <v>258</v>
      </c>
      <c r="FS32" s="8" t="b">
        <f>IF(_xlfn.XLOOKUP($A32,TabCAT!$A:$A,TabCAT!CD:CD,"NaN")="","NaN",(_xlfn.XLOOKUP($A32,TabCAT!$A:$A,TabCAT!CD:CD,"NaN")))</f>
        <v>1</v>
      </c>
      <c r="FT32" s="8">
        <f>IF(_xlfn.XLOOKUP($A32,TabCAT!$A:$A,TabCAT!CE:CE,"NaN")="","NaN",(_xlfn.XLOOKUP($A32,TabCAT!$A:$A,TabCAT!CE:CE,"NaN")))</f>
        <v>8</v>
      </c>
      <c r="FU32" s="8">
        <f>IF(_xlfn.XLOOKUP($A32,TabCAT!$A:$A,TabCAT!CF:CF,"NaN")="","NaN",(_xlfn.XLOOKUP($A32,TabCAT!$A:$A,TabCAT!CF:CF,"NaN")))</f>
        <v>0</v>
      </c>
      <c r="FV32" s="8">
        <f>IF(_xlfn.XLOOKUP($A32,TabCAT!$A:$A,TabCAT!CG:CG,"NaN")="","NaN",(_xlfn.XLOOKUP($A32,TabCAT!$A:$A,TabCAT!CG:CG,"NaN")))</f>
        <v>7.33</v>
      </c>
      <c r="FW32" s="8">
        <f>IF(_xlfn.XLOOKUP($A32,TabCAT!$A:$A,TabCAT!CH:CH,"NaN")="","NaN",(_xlfn.XLOOKUP($A32,TabCAT!$A:$A,TabCAT!CH:CH,"NaN")))</f>
        <v>16</v>
      </c>
      <c r="FX32" s="8">
        <f>IF(_xlfn.XLOOKUP($A32,TabCAT!$A:$A,TabCAT!CI:CI,"NaN")="","NaN",(_xlfn.XLOOKUP($A32,TabCAT!$A:$A,TabCAT!CI:CI,"NaN")))</f>
        <v>0.90041400000000005</v>
      </c>
      <c r="FY32" s="8">
        <f>IF(_xlfn.XLOOKUP($A32,TabCAT!$A:$A,TabCAT!CJ:CJ,"NaN")="","NaN",(_xlfn.XLOOKUP($A32,TabCAT!$A:$A,TabCAT!CJ:CJ,"NaN")))</f>
        <v>16</v>
      </c>
      <c r="FZ32" s="8">
        <f>IF(_xlfn.XLOOKUP($A32,TabCAT!$A:$A,TabCAT!CK:CK,"NaN")="","NaN",(_xlfn.XLOOKUP($A32,TabCAT!$A:$A,TabCAT!CK:CK,"NaN")))</f>
        <v>0.85460599999999998</v>
      </c>
      <c r="GA32" s="8">
        <f>IF(_xlfn.XLOOKUP($A32,TabCAT!$A:$A,TabCAT!CL:CL,"NaN")="","NaN",(_xlfn.XLOOKUP($A32,TabCAT!$A:$A,TabCAT!CL:CL,"NaN")))</f>
        <v>32</v>
      </c>
      <c r="GB32" s="8">
        <f>IF(_xlfn.XLOOKUP($A32,TabCAT!$A:$A,TabCAT!CM:CM,"NaN")="","NaN",(_xlfn.XLOOKUP($A32,TabCAT!$A:$A,TabCAT!CM:CM,"NaN")))</f>
        <v>1.0093144999999999</v>
      </c>
      <c r="GC32" s="8">
        <f>IF(_xlfn.XLOOKUP($A32,TabCAT!$A:$A,TabCAT!CN:CN,"NaN")="","NaN",(_xlfn.XLOOKUP($A32,TabCAT!$A:$A,TabCAT!CN:CN,"NaN")))</f>
        <v>20</v>
      </c>
      <c r="GD32" s="8">
        <f>IF(_xlfn.XLOOKUP($A32,TabCAT!$A:$A,TabCAT!CO:CO,"NaN")="","NaN",(_xlfn.XLOOKUP($A32,TabCAT!$A:$A,TabCAT!CO:CO,"NaN")))</f>
        <v>0.98381399999999997</v>
      </c>
      <c r="GE32" s="8">
        <f>IF(_xlfn.XLOOKUP($A32,TabCAT!$A:$A,TabCAT!CP:CP,"NaN")="","NaN",(_xlfn.XLOOKUP($A32,TabCAT!$A:$A,TabCAT!CP:CP,"NaN")))</f>
        <v>0.199049377938741</v>
      </c>
      <c r="GF32" s="8">
        <f>IF(_xlfn.XLOOKUP($A32,TabCAT!$A:$A,TabCAT!CQ:CQ,"NaN")="","NaN",(_xlfn.XLOOKUP($A32,TabCAT!$A:$A,TabCAT!CQ:CQ,"NaN")))</f>
        <v>54</v>
      </c>
      <c r="GG32" s="8">
        <f>IF(_xlfn.XLOOKUP($A32,TabCAT!$A:$A,TabCAT!CR:CR,"NaN")="","NaN",(_xlfn.XLOOKUP($A32,TabCAT!$A:$A,TabCAT!CR:CR,"NaN")))</f>
        <v>0.89240350000000002</v>
      </c>
      <c r="GH32" s="8" t="str">
        <f>IF(_xlfn.XLOOKUP($A32,TabCAT!$A:$A,TabCAT!CS:CS,"NaN")="","NaN",(_xlfn.XLOOKUP($A32,TabCAT!$A:$A,TabCAT!CS:CS,"NaN")))</f>
        <v>NaN</v>
      </c>
    </row>
    <row r="33" spans="1:190" x14ac:dyDescent="0.2">
      <c r="A33">
        <v>10652</v>
      </c>
      <c r="B33">
        <f>_xlfn.XLOOKUP(bippity_poppity_boo!A33,rf1_data!A:A,rf1_data!B:B)</f>
        <v>120253</v>
      </c>
      <c r="C33" s="2">
        <f>(_xlfn.XLOOKUP($A33,trust!$A:$A,trust!B:B,"NaN"))</f>
        <v>4</v>
      </c>
      <c r="D33" s="2">
        <f>(_xlfn.XLOOKUP($A33,trust!$A:$A,trust!C:C,"NaN"))</f>
        <v>4.7142860000000004</v>
      </c>
      <c r="E33" s="2">
        <f>(_xlfn.XLOOKUP($A33,trust!$A:$A,trust!D:D,"NaN"))</f>
        <v>4</v>
      </c>
      <c r="F33" s="2">
        <f>(_xlfn.XLOOKUP($A33,trust!$A:$A,trust!E:E,"NaN"))</f>
        <v>4.6153849999999998</v>
      </c>
      <c r="G33" s="2">
        <f>(_xlfn.XLOOKUP($A33,trust!$A:$A,trust!F:F,"NaN"))</f>
        <v>5.1428570000000002</v>
      </c>
      <c r="H33" s="2">
        <f>(_xlfn.XLOOKUP($A33,trust!$A:$A,trust!G:G,"NaN"))</f>
        <v>5.0769229999999999</v>
      </c>
      <c r="I33" s="3">
        <f>IF(_xlfn.XLOOKUP($B33,island_data!$B:$B,island_data!C:C,"NaN")="","NaN",_xlfn.XLOOKUP($B33,island_data!$B:$B,island_data!C:C,"NaN"))</f>
        <v>45013</v>
      </c>
      <c r="J33" s="3">
        <f>IF(_xlfn.XLOOKUP($B33,island_data!$B:$B,island_data!D:D,"NaN")="","NaN",_xlfn.XLOOKUP($B33,island_data!$B:$B,island_data!D:D,"NaN"))</f>
        <v>19490</v>
      </c>
      <c r="K33" s="4">
        <f>IF(_xlfn.XLOOKUP($B33,island_data!$B:$B,island_data!E:E,"NaN")="","NaN",_xlfn.XLOOKUP($B33,island_data!$B:$B,island_data!E:E,"NaN"))</f>
        <v>69.88</v>
      </c>
      <c r="L33" s="5">
        <f>IF(_xlfn.XLOOKUP($B33,rf1_data!$B:$B,rf1_data!D:D,"NaN")="","NaN",(_xlfn.XLOOKUP($B33,rf1_data!$B:$B,rf1_data!D:D,"NaN")))</f>
        <v>70.05</v>
      </c>
      <c r="M33" s="5" t="str">
        <f>IF(_xlfn.XLOOKUP($B33,rf1_data!$B:$B,rf1_data!E:E,"NaN")="","NaN",(_xlfn.XLOOKUP($B33,rf1_data!$B:$B,rf1_data!E:E,"NaN")))</f>
        <v>Asian</v>
      </c>
      <c r="N33" s="5" t="str">
        <f>IF(_xlfn.XLOOKUP($B33,rf1_data!$B:$B,rf1_data!F:F,"NaN")="","NaN",(_xlfn.XLOOKUP($B33,rf1_data!$B:$B,rf1_data!F:F,"NaN")))</f>
        <v>Not Hispanic or Latino</v>
      </c>
      <c r="O33" s="5" t="str">
        <f>IF(_xlfn.XLOOKUP($B33,rf1_data!$B:$B,rf1_data!G:G,"NaN")="","NaN",(_xlfn.XLOOKUP($B33,rf1_data!$B:$B,rf1_data!G:G,"NaN")))</f>
        <v>Female</v>
      </c>
      <c r="P33" s="5">
        <f>IF(_xlfn.XLOOKUP($B33,rf1_data!$B:$B,rf1_data!H:H,"NaN")="","NaN",(_xlfn.XLOOKUP($B33,rf1_data!$B:$B,rf1_data!H:H,"NaN")))</f>
        <v>4.4400000000000004</v>
      </c>
      <c r="Q33" s="5">
        <f>IF(_xlfn.XLOOKUP($B33,rf1_data!$B:$B,rf1_data!I:I,"NaN")="","NaN",(_xlfn.XLOOKUP($B33,rf1_data!$B:$B,rf1_data!I:I,"NaN")))</f>
        <v>4.1100000000000003</v>
      </c>
      <c r="R33" s="5">
        <f>IF(_xlfn.XLOOKUP($B33,rf1_data!$B:$B,rf1_data!J:J,"NaN")="","NaN",(_xlfn.XLOOKUP($B33,rf1_data!$B:$B,rf1_data!J:J,"NaN")))</f>
        <v>1</v>
      </c>
      <c r="S33" s="5">
        <f>IF(_xlfn.XLOOKUP($B33,rf1_data!$B:$B,rf1_data!K:K,"NaN")="","NaN",(_xlfn.XLOOKUP($B33,rf1_data!$B:$B,rf1_data!K:K,"NaN")))</f>
        <v>0</v>
      </c>
      <c r="T33" s="5">
        <f>IF(_xlfn.XLOOKUP($B33,rf1_data!$B:$B,rf1_data!L:L,"NaN")="","NaN",(_xlfn.XLOOKUP($B33,rf1_data!$B:$B,rf1_data!L:L,"NaN")))</f>
        <v>0</v>
      </c>
      <c r="U33" s="5">
        <f>IF(_xlfn.XLOOKUP($B33,rf1_data!$B:$B,rf1_data!M:M,"NaN")="","NaN",(_xlfn.XLOOKUP($B33,rf1_data!$B:$B,rf1_data!M:M,"NaN")))</f>
        <v>6.83</v>
      </c>
      <c r="V33" s="5">
        <f>IF(_xlfn.XLOOKUP($B33,rf1_data!$B:$B,rf1_data!N:N,"NaN")="","NaN",(_xlfn.XLOOKUP($B33,rf1_data!$B:$B,rf1_data!N:N,"NaN")))</f>
        <v>5.5</v>
      </c>
      <c r="W33" s="5">
        <f>IF(_xlfn.XLOOKUP($B33,rf1_data!$B:$B,rf1_data!O:O,"NaN")="","NaN",(_xlfn.XLOOKUP($B33,rf1_data!$B:$B,rf1_data!O:O,"NaN")))</f>
        <v>6.38</v>
      </c>
      <c r="X33" s="5">
        <f>IF(_xlfn.XLOOKUP($B33,rf1_data!$B:$B,rf1_data!P:P,"NaN")="","NaN",(_xlfn.XLOOKUP($B33,rf1_data!$B:$B,rf1_data!P:P,"NaN")))</f>
        <v>5.33</v>
      </c>
      <c r="Y33" s="5">
        <f>IF(_xlfn.XLOOKUP($B33,rf1_data!$B:$B,rf1_data!Q:Q,"NaN")="","NaN",(_xlfn.XLOOKUP($B33,rf1_data!$B:$B,rf1_data!Q:Q,"NaN")))</f>
        <v>6.1</v>
      </c>
      <c r="Z33" s="5">
        <f>IF(_xlfn.XLOOKUP($B33,rf1_data!$B:$B,rf1_data!R:R,"NaN")="","NaN",(_xlfn.XLOOKUP($B33,rf1_data!$B:$B,rf1_data!R:R,"NaN")))</f>
        <v>1</v>
      </c>
      <c r="AA33" s="5">
        <f>IF(_xlfn.XLOOKUP($B33,rf1_data!$B:$B,rf1_data!S:S,"NaN")="","NaN",(_xlfn.XLOOKUP($B33,rf1_data!$B:$B,rf1_data!S:S,"NaN")))</f>
        <v>1</v>
      </c>
      <c r="AB33" s="5">
        <f>IF(_xlfn.XLOOKUP($B33,rf1_data!$B:$B,rf1_data!T:T,"NaN")="","NaN",(_xlfn.XLOOKUP($B33,rf1_data!$B:$B,rf1_data!T:T,"NaN")))</f>
        <v>0</v>
      </c>
      <c r="AC33" s="5">
        <f>IF(_xlfn.XLOOKUP($B33,rf1_data!$B:$B,rf1_data!U:U,"NaN")="","NaN",(_xlfn.XLOOKUP($B33,rf1_data!$B:$B,rf1_data!U:U,"NaN")))</f>
        <v>0</v>
      </c>
      <c r="AD33" s="5">
        <f>IF(_xlfn.XLOOKUP($B33,rf1_data!$B:$B,rf1_data!V:V,"NaN")="","NaN",(_xlfn.XLOOKUP($B33,rf1_data!$B:$B,rf1_data!V:V,"NaN")))</f>
        <v>0</v>
      </c>
      <c r="AE33" s="5">
        <f>IF(_xlfn.XLOOKUP($B33,rf1_data!$B:$B,rf1_data!W:W,"NaN")="","NaN",(_xlfn.XLOOKUP($B33,rf1_data!$B:$B,rf1_data!W:W,"NaN")))</f>
        <v>2</v>
      </c>
      <c r="AF33" s="5">
        <f>IF(_xlfn.XLOOKUP($B33,rf1_data!$B:$B,rf1_data!X:X,"NaN")="","NaN",(_xlfn.XLOOKUP($B33,rf1_data!$B:$B,rf1_data!X:X,"NaN")))</f>
        <v>3</v>
      </c>
      <c r="AG33" s="5">
        <f>IF(_xlfn.XLOOKUP($B33,rf1_data!$B:$B,rf1_data!Y:Y,"NaN")="","NaN",(_xlfn.XLOOKUP($B33,rf1_data!$B:$B,rf1_data!Y:Y,"NaN")))</f>
        <v>6</v>
      </c>
      <c r="AH33" s="5">
        <f>IF(_xlfn.XLOOKUP($B33,rf1_data!$B:$B,rf1_data!Z:Z,"NaN")="","NaN",(_xlfn.XLOOKUP($B33,rf1_data!$B:$B,rf1_data!Z:Z,"NaN")))</f>
        <v>1</v>
      </c>
      <c r="AI33" s="5">
        <f>IF(_xlfn.XLOOKUP($B33,rf1_data!$B:$B,rf1_data!AA:AA,"NaN")="","NaN",(_xlfn.XLOOKUP($B33,rf1_data!$B:$B,rf1_data!AA:AA,"NaN")))</f>
        <v>3</v>
      </c>
      <c r="AJ33" s="5">
        <f>IF(_xlfn.XLOOKUP($B33,rf1_data!$B:$B,rf1_data!AB:AB,"NaN")="","NaN",(_xlfn.XLOOKUP($B33,rf1_data!$B:$B,rf1_data!AB:AB,"NaN")))</f>
        <v>15</v>
      </c>
      <c r="AK33" s="5">
        <f>IF(_xlfn.XLOOKUP($B33,rf1_data!$B:$B,rf1_data!AC:AC,"NaN")="","NaN",(_xlfn.XLOOKUP($B33,rf1_data!$B:$B,rf1_data!AC:AC,"NaN")))</f>
        <v>26</v>
      </c>
      <c r="AL33" s="5">
        <f>IF(_xlfn.XLOOKUP($B33,rf1_data!$B:$B,rf1_data!AD:AD,"NaN")="","NaN",(_xlfn.XLOOKUP($B33,rf1_data!$B:$B,rf1_data!AD:AD,"NaN")))</f>
        <v>10</v>
      </c>
      <c r="AM33" s="5">
        <f>IF(_xlfn.XLOOKUP($B33,rf1_data!$B:$B,rf1_data!AE:AE,"NaN")="","NaN",(_xlfn.XLOOKUP($B33,rf1_data!$B:$B,rf1_data!AE:AE,"NaN")))</f>
        <v>0</v>
      </c>
      <c r="AN33" s="5">
        <f>IF(_xlfn.XLOOKUP($B33,rf1_data!$B:$B,rf1_data!AF:AF,"NaN")="","NaN",(_xlfn.XLOOKUP($B33,rf1_data!$B:$B,rf1_data!AF:AF,"NaN")))</f>
        <v>0</v>
      </c>
      <c r="AO33" s="5">
        <f>IF(_xlfn.XLOOKUP($B33,rf1_data!$B:$B,rf1_data!AG:AG,"NaN")="","NaN",(_xlfn.XLOOKUP($B33,rf1_data!$B:$B,rf1_data!AG:AG,"NaN")))</f>
        <v>6.92</v>
      </c>
      <c r="AP33" s="5">
        <f>IF(_xlfn.XLOOKUP($B33,rf1_data!$B:$B,rf1_data!AH:AH,"NaN")="","NaN",(_xlfn.XLOOKUP($B33,rf1_data!$B:$B,rf1_data!AH:AH,"NaN")))</f>
        <v>6.75</v>
      </c>
      <c r="AQ33" s="5">
        <f>IF(_xlfn.XLOOKUP($B33,rf1_data!$B:$B,rf1_data!AI:AI,"NaN")="","NaN",(_xlfn.XLOOKUP($B33,rf1_data!$B:$B,rf1_data!AI:AI,"NaN")))</f>
        <v>7</v>
      </c>
      <c r="AR33" s="5">
        <f>IF(_xlfn.XLOOKUP($B33,rf1_data!$B:$B,rf1_data!AJ:AJ,"NaN")="","NaN",(_xlfn.XLOOKUP($B33,rf1_data!$B:$B,rf1_data!AJ:AJ,"NaN")))</f>
        <v>7</v>
      </c>
      <c r="AS33" s="5">
        <f>IF(_xlfn.XLOOKUP($B33,rf1_data!$B:$B,rf1_data!AK:AK,"NaN")="","NaN",(_xlfn.XLOOKUP($B33,rf1_data!$B:$B,rf1_data!AK:AK,"NaN")))</f>
        <v>3</v>
      </c>
      <c r="AT33" s="5">
        <f>IF(_xlfn.XLOOKUP($B33,rf1_data!$B:$B,rf1_data!AL:AL,"NaN")="","NaN",(_xlfn.XLOOKUP($B33,rf1_data!$B:$B,rf1_data!AL:AL,"NaN")))</f>
        <v>6</v>
      </c>
      <c r="AU33" s="5">
        <f>IF(_xlfn.XLOOKUP($B33,rf1_data!$B:$B,rf1_data!AM:AM,"NaN")="","NaN",(_xlfn.XLOOKUP($B33,rf1_data!$B:$B,rf1_data!AM:AM,"NaN")))</f>
        <v>3.33</v>
      </c>
      <c r="AV33" s="5">
        <f>IF(_xlfn.XLOOKUP($B33,rf1_data!$B:$B,rf1_data!AN:AN,"NaN")="","NaN",(_xlfn.XLOOKUP($B33,rf1_data!$B:$B,rf1_data!AN:AN,"NaN")))</f>
        <v>0</v>
      </c>
      <c r="AW33" s="5">
        <f>IF(_xlfn.XLOOKUP($B33,rf1_data!$B:$B,rf1_data!AO:AO,"NaN")="","NaN",(_xlfn.XLOOKUP($B33,rf1_data!$B:$B,rf1_data!AO:AO,"NaN")))</f>
        <v>2.33</v>
      </c>
      <c r="AX33" s="5">
        <f>IF(_xlfn.XLOOKUP($B33,rf1_data!$B:$B,rf1_data!AP:AP,"NaN")="","NaN",(_xlfn.XLOOKUP($B33,rf1_data!$B:$B,rf1_data!AP:AP,"NaN")))</f>
        <v>3.29</v>
      </c>
      <c r="AY33" s="5" t="str">
        <f>IF(_xlfn.XLOOKUP($B33,rf1_data!$B:$B,rf1_data!AQ:AQ,"NaN")="","NaN",(_xlfn.XLOOKUP($B33,rf1_data!$B:$B,rf1_data!AQ:AQ,"NaN")))</f>
        <v>NaN</v>
      </c>
      <c r="AZ33" s="5" t="str">
        <f>IF(_xlfn.XLOOKUP($B33,rf1_data!$B:$B,rf1_data!AR:AR,"NaN")="","NaN",(_xlfn.XLOOKUP($B33,rf1_data!$B:$B,rf1_data!AR:AR,"NaN")))</f>
        <v>NaN</v>
      </c>
      <c r="BA33" s="5" t="str">
        <f>IF(_xlfn.XLOOKUP($B33,rf1_data!$B:$B,rf1_data!AS:AS,"NaN")="","NaN",(_xlfn.XLOOKUP($B33,rf1_data!$B:$B,rf1_data!AS:AS,"NaN")))</f>
        <v>NaN</v>
      </c>
      <c r="BB33" s="5" t="str">
        <f>IF(_xlfn.XLOOKUP($B33,rf1_data!$B:$B,rf1_data!AT:AT,"NaN")="","NaN",(_xlfn.XLOOKUP($B33,rf1_data!$B:$B,rf1_data!AT:AT,"NaN")))</f>
        <v>NaN</v>
      </c>
      <c r="BC33" s="5" t="str">
        <f>IF(_xlfn.XLOOKUP($B33,rf1_data!$B:$B,rf1_data!AU:AU,"NaN")="","NaN",(_xlfn.XLOOKUP($B33,rf1_data!$B:$B,rf1_data!AU:AU,"NaN")))</f>
        <v>NaN</v>
      </c>
      <c r="BD33" s="5" t="str">
        <f>IF(_xlfn.XLOOKUP($B33,rf1_data!$B:$B,rf1_data!AV:AV,"NaN")="","NaN",(_xlfn.XLOOKUP($B33,rf1_data!$B:$B,rf1_data!AV:AV,"NaN")))</f>
        <v>NaN</v>
      </c>
      <c r="BE33" s="5" t="str">
        <f>IF(_xlfn.XLOOKUP($B33,rf1_data!$B:$B,rf1_data!AW:AW,"NaN")="","NaN",(_xlfn.XLOOKUP($B33,rf1_data!$B:$B,rf1_data!AW:AW,"NaN")))</f>
        <v>NaN</v>
      </c>
      <c r="BF33" s="5" t="str">
        <f>IF(_xlfn.XLOOKUP($B33,rf1_data!$B:$B,rf1_data!AX:AX,"NaN")="","NaN",(_xlfn.XLOOKUP($B33,rf1_data!$B:$B,rf1_data!AX:AX,"NaN")))</f>
        <v>NaN</v>
      </c>
      <c r="BG33" s="5" t="str">
        <f>IF(_xlfn.XLOOKUP($B33,rf1_data!$B:$B,rf1_data!AY:AY,"NaN")="","NaN",(_xlfn.XLOOKUP($B33,rf1_data!$B:$B,rf1_data!AY:AY,"NaN")))</f>
        <v>NaN</v>
      </c>
      <c r="BH33" s="5" t="str">
        <f>IF(_xlfn.XLOOKUP($B33,rf1_data!$B:$B,rf1_data!AZ:AZ,"NaN")="","NaN",(_xlfn.XLOOKUP($B33,rf1_data!$B:$B,rf1_data!AZ:AZ,"NaN")))</f>
        <v>NaN</v>
      </c>
      <c r="BI33" s="5">
        <f>IF(_xlfn.XLOOKUP($B33,rf1_data!$B:$B,rf1_data!BA:BA,"NaN")="","NaN",(_xlfn.XLOOKUP($B33,rf1_data!$B:$B,rf1_data!BA:BA,"NaN")))</f>
        <v>20</v>
      </c>
      <c r="BJ33" s="5" t="str">
        <f>IF(_xlfn.XLOOKUP($B33,rf1_data!$B:$B,rf1_data!BB:BB,"NaN")="","NaN",(_xlfn.XLOOKUP($B33,rf1_data!$B:$B,rf1_data!BB:BB,"NaN")))</f>
        <v>NaN</v>
      </c>
      <c r="BK33" s="5" t="str">
        <f>IF(_xlfn.XLOOKUP($B33,rf1_data!$B:$B,rf1_data!BC:BC,"NaN")="","NaN",(_xlfn.XLOOKUP($B33,rf1_data!$B:$B,rf1_data!BC:BC,"NaN")))</f>
        <v>NaN</v>
      </c>
      <c r="BL33" s="5" t="str">
        <f>IF(_xlfn.XLOOKUP($B33,rf1_data!$B:$B,rf1_data!BD:BD,"NaN")="","NaN",(_xlfn.XLOOKUP($B33,rf1_data!$B:$B,rf1_data!BD:BD,"NaN")))</f>
        <v>NaN</v>
      </c>
      <c r="BM33" s="5" t="str">
        <f>IF(_xlfn.XLOOKUP($B33,rf1_data!$B:$B,rf1_data!BE:BE,"NaN")="","NaN",(_xlfn.XLOOKUP($B33,rf1_data!$B:$B,rf1_data!BE:BE,"NaN")))</f>
        <v>NaN</v>
      </c>
      <c r="BN33" s="5" t="str">
        <f>IF(_xlfn.XLOOKUP($B33,rf1_data!$B:$B,rf1_data!BF:BF,"NaN")="","NaN",(_xlfn.XLOOKUP($B33,rf1_data!$B:$B,rf1_data!BF:BF,"NaN")))</f>
        <v>NaN</v>
      </c>
      <c r="BO33" s="5" t="str">
        <f>IF(_xlfn.XLOOKUP($B33,rf1_data!$B:$B,rf1_data!BG:BG,"NaN")="","NaN",(_xlfn.XLOOKUP($B33,rf1_data!$B:$B,rf1_data!BG:BG,"NaN")))</f>
        <v>NaN</v>
      </c>
      <c r="BP33" s="5" t="str">
        <f>IF(_xlfn.XLOOKUP($B33,rf1_data!$B:$B,rf1_data!BH:BH,"NaN")="","NaN",(_xlfn.XLOOKUP($B33,rf1_data!$B:$B,rf1_data!BH:BH,"NaN")))</f>
        <v>NaN</v>
      </c>
      <c r="BQ33" s="5" t="str">
        <f>IF(_xlfn.XLOOKUP($B33,rf1_data!$B:$B,rf1_data!BI:BI,"NaN")="","NaN",(_xlfn.XLOOKUP($B33,rf1_data!$B:$B,rf1_data!BI:BI,"NaN")))</f>
        <v>NaN</v>
      </c>
      <c r="BR33" s="5">
        <f>IF(_xlfn.XLOOKUP($B33,rf1_data!$B:$B,rf1_data!BJ:BJ,"NaN")="","NaN",(_xlfn.XLOOKUP($B33,rf1_data!$B:$B,rf1_data!BJ:BJ,"NaN")))</f>
        <v>8991</v>
      </c>
      <c r="BS33" s="5" t="str">
        <f>IF(_xlfn.XLOOKUP($B33,rf1_data!$B:$B,rf1_data!BK:BK,"NaN")="","NaN",(_xlfn.XLOOKUP($B33,rf1_data!$B:$B,rf1_data!BK:BK,"NaN")))</f>
        <v>NaN</v>
      </c>
      <c r="BT33" s="5" t="str">
        <f>IF(_xlfn.XLOOKUP($B33,rf1_data!$B:$B,rf1_data!BL:BL,"NaN")="","NaN",(_xlfn.XLOOKUP($B33,rf1_data!$B:$B,rf1_data!BL:BL,"NaN")))</f>
        <v>NaN</v>
      </c>
      <c r="BU33" s="5" t="str">
        <f>IF(_xlfn.XLOOKUP($B33,rf1_data!$B:$B,rf1_data!BM:BM,"NaN")="","NaN",(_xlfn.XLOOKUP($B33,rf1_data!$B:$B,rf1_data!BM:BM,"NaN")))</f>
        <v>NaN</v>
      </c>
      <c r="BV33" s="5" t="str">
        <f>IF(_xlfn.XLOOKUP($B33,rf1_data!$B:$B,rf1_data!BN:BN,"NaN")="","NaN",(_xlfn.XLOOKUP($B33,rf1_data!$B:$B,rf1_data!BN:BN,"NaN")))</f>
        <v>NaN</v>
      </c>
      <c r="BW33" s="5">
        <f>IF(_xlfn.XLOOKUP($B33,rf1_data!$B:$B,rf1_data!BO:BO,"NaN")="","NaN",(_xlfn.XLOOKUP($B33,rf1_data!$B:$B,rf1_data!BO:BO,"NaN")))</f>
        <v>4</v>
      </c>
      <c r="BX33" s="5">
        <f>IF(_xlfn.XLOOKUP($B33,rf1_data!$B:$B,rf1_data!BP:BP,"NaN")="","NaN",(_xlfn.XLOOKUP($B33,rf1_data!$B:$B,rf1_data!BP:BP,"NaN")))</f>
        <v>3.8</v>
      </c>
      <c r="BY33" s="5">
        <f>IF(_xlfn.XLOOKUP($B33,rf1_data!$B:$B,rf1_data!BQ:BQ,"NaN")="","NaN",(_xlfn.XLOOKUP($B33,rf1_data!$B:$B,rf1_data!BQ:BQ,"NaN")))</f>
        <v>4</v>
      </c>
      <c r="BZ33" s="5">
        <f>IF(_xlfn.XLOOKUP($B33,rf1_data!$B:$B,rf1_data!BR:BR,"NaN")="","NaN",(_xlfn.XLOOKUP($B33,rf1_data!$B:$B,rf1_data!BR:BR,"NaN")))</f>
        <v>3.93</v>
      </c>
      <c r="CA33" s="5">
        <f>IF(_xlfn.XLOOKUP($B33,rf1_data!$B:$B,rf1_data!BS:BS,"NaN")="","NaN",(_xlfn.XLOOKUP($B33,rf1_data!$B:$B,rf1_data!BS:BS,"NaN")))</f>
        <v>6</v>
      </c>
      <c r="CB33" s="5">
        <f>IF(_xlfn.XLOOKUP($B33,rf1_data!$B:$B,rf1_data!BT:BT,"NaN")="","NaN",(_xlfn.XLOOKUP($B33,rf1_data!$B:$B,rf1_data!BT:BT,"NaN")))</f>
        <v>5.1666666666666599</v>
      </c>
      <c r="CC33" s="5">
        <f>IF(_xlfn.XLOOKUP($B33,rf1_data!$B:$B,rf1_data!BU:BU,"NaN")="","NaN",(_xlfn.XLOOKUP($B33,rf1_data!$B:$B,rf1_data!BU:BU,"NaN")))</f>
        <v>4.5</v>
      </c>
      <c r="CD33" s="5">
        <f>IF(_xlfn.XLOOKUP($B33,rf1_data!$B:$B,rf1_data!BV:BV,"NaN")="","NaN",(_xlfn.XLOOKUP($B33,rf1_data!$B:$B,rf1_data!BV:BV,"NaN")))</f>
        <v>4.3333333333333304</v>
      </c>
      <c r="CE33" s="5">
        <f>IF(_xlfn.XLOOKUP($B33,rf1_data!$B:$B,rf1_data!BW:BW,"NaN")="","NaN",(_xlfn.XLOOKUP($B33,rf1_data!$B:$B,rf1_data!BW:BW,"NaN")))</f>
        <v>1</v>
      </c>
      <c r="CF33" s="5">
        <f>IF(_xlfn.XLOOKUP($B33,rf1_data!$B:$B,rf1_data!BX:BX,"NaN")="","NaN",(_xlfn.XLOOKUP($B33,rf1_data!$B:$B,rf1_data!BX:BX,"NaN")))</f>
        <v>0</v>
      </c>
      <c r="CG33" s="5">
        <f>IF(_xlfn.XLOOKUP($B33,rf1_data!$B:$B,rf1_data!BY:BY,"NaN")="","NaN",(_xlfn.XLOOKUP($B33,rf1_data!$B:$B,rf1_data!BY:BY,"NaN")))</f>
        <v>0</v>
      </c>
      <c r="CH33" s="5">
        <f>IF(_xlfn.XLOOKUP($B33,rf1_data!$B:$B,rf1_data!BZ:BZ,"NaN")="","NaN",(_xlfn.XLOOKUP($B33,rf1_data!$B:$B,rf1_data!BZ:BZ,"NaN")))</f>
        <v>20</v>
      </c>
      <c r="CI33" s="5" t="str">
        <f>IF(_xlfn.XLOOKUP($B33,rf1_data!$B:$B,rf1_data!CA:CA,"NaN")="","NaN",(_xlfn.XLOOKUP($B33,rf1_data!$B:$B,rf1_data!CA:CA,"NaN")))</f>
        <v>NaN</v>
      </c>
      <c r="CJ33" s="5">
        <f>IF(_xlfn.XLOOKUP($B33,rf1_data!$B:$B,rf1_data!CB:CB,"NaN")="","NaN",(_xlfn.XLOOKUP($B33,rf1_data!$B:$B,rf1_data!CB:CB,"NaN")))</f>
        <v>7</v>
      </c>
      <c r="CK33" s="5">
        <f>IF(_xlfn.XLOOKUP($B33,rf1_data!$B:$B,rf1_data!CC:CC,"NaN")="","NaN",(_xlfn.XLOOKUP($B33,rf1_data!$B:$B,rf1_data!CC:CC,"NaN")))</f>
        <v>0.77777777777777701</v>
      </c>
      <c r="CL33" s="5">
        <f>IF(_xlfn.XLOOKUP($B33,rf1_data!$B:$B,rf1_data!CD:CD,"NaN")=0,"NaN",(_xlfn.XLOOKUP($B33,rf1_data!$B:$B,rf1_data!CD:CD,"NaN")))</f>
        <v>24</v>
      </c>
      <c r="CM33" s="5">
        <f>IF(_xlfn.XLOOKUP($B33,rf1_data!$B:$B,rf1_data!CE:CE,"NaN")="","NaN",(_xlfn.XLOOKUP($B33,rf1_data!$B:$B,rf1_data!CE:CE,"NaN")))</f>
        <v>24</v>
      </c>
      <c r="CN33" s="5">
        <f>IF(_xlfn.XLOOKUP($B33,rf1_data!$B:$B,rf1_data!CF:CF,"NaN")="","NaN",(_xlfn.XLOOKUP($B33,rf1_data!$B:$B,rf1_data!CF:CF,"NaN")))</f>
        <v>38</v>
      </c>
      <c r="CO33" s="5">
        <f>IF(_xlfn.XLOOKUP($B33,rf1_data!$B:$B,rf1_data!CG:CG,"NaN")="","NaN",(_xlfn.XLOOKUP($B33,rf1_data!$B:$B,rf1_data!CG:CG,"NaN")))</f>
        <v>25</v>
      </c>
      <c r="CP33" s="5">
        <f>IF(_xlfn.XLOOKUP($B33,rf1_data!$B:$B,rf1_data!CH:CH,"NaN")=0,"NaN",(_xlfn.XLOOKUP($B33,rf1_data!$B:$B,rf1_data!CH:CH,"NaN")))</f>
        <v>27</v>
      </c>
      <c r="CQ33" s="5">
        <f>IF(_xlfn.XLOOKUP($B33,rf1_data!$B:$B,rf1_data!CI:CI,"NaN")="","NaN",(_xlfn.XLOOKUP($B33,rf1_data!$B:$B,rf1_data!CI:CI,"NaN")))</f>
        <v>48</v>
      </c>
      <c r="CR33" s="5">
        <f>IF(_xlfn.XLOOKUP($B33,rf1_data!$B:$B,rf1_data!CJ:CJ,"NaN")="","NaN",(_xlfn.XLOOKUP($B33,rf1_data!$B:$B,rf1_data!CJ:CJ,"NaN")))</f>
        <v>60</v>
      </c>
      <c r="CS33" s="5">
        <f>IF(_xlfn.XLOOKUP($B33,rf1_data!$B:$B,rf1_data!CK:CK,"NaN")="","NaN",(_xlfn.XLOOKUP($B33,rf1_data!$B:$B,rf1_data!CK:CK,"NaN")))</f>
        <v>48</v>
      </c>
      <c r="CT33" s="5">
        <f>IF(_xlfn.XLOOKUP($B33,rf1_data!$B:$B,rf1_data!CL:CL,"NaN")="","NaN",(_xlfn.XLOOKUP($B33,rf1_data!$B:$B,rf1_data!CL:CL,"NaN")))</f>
        <v>60</v>
      </c>
      <c r="CU33" s="5">
        <f>IF(_xlfn.XLOOKUP($B33,rf1_data!$B:$B,rf1_data!CM:CM,"NaN")="","NaN",(_xlfn.XLOOKUP($B33,rf1_data!$B:$B,rf1_data!CM:CM,"NaN")))</f>
        <v>43</v>
      </c>
      <c r="CV33" s="5">
        <f>IF(_xlfn.XLOOKUP($B33,rf1_data!$B:$B,rf1_data!CN:CN,"NaN")="","NaN",(_xlfn.XLOOKUP($B33,rf1_data!$B:$B,rf1_data!CN:CN,"NaN")))</f>
        <v>60</v>
      </c>
      <c r="CW33" s="5" t="str">
        <f>IF(_xlfn.XLOOKUP($B33,rf1_data!$B:$B,rf1_data!CO:CO,"NaN")="","NaN",(_xlfn.XLOOKUP($B33,rf1_data!$B:$B,rf1_data!CO:CO,"NaN")))</f>
        <v>NaN</v>
      </c>
      <c r="CX33" s="5" t="str">
        <f>IF(_xlfn.XLOOKUP($B33,rf1_data!$B:$B,rf1_data!CP:CP,"NaN")="","NaN",(_xlfn.XLOOKUP($B33,rf1_data!$B:$B,rf1_data!CP:CP,"NaN")))</f>
        <v>NaN</v>
      </c>
      <c r="CY33" s="5">
        <f>IF(_xlfn.XLOOKUP($B33,rf1_data!$B:$B,rf1_data!CQ:CQ,"NaN")="","NaN",(_xlfn.XLOOKUP($B33,rf1_data!$B:$B,rf1_data!CQ:CQ,"NaN")))</f>
        <v>2</v>
      </c>
      <c r="CZ33" s="5">
        <f>IF(_xlfn.XLOOKUP($B33,rf1_data!$B:$B,rf1_data!CR:CR,"NaN")="","NaN",(_xlfn.XLOOKUP($B33,rf1_data!$B:$B,rf1_data!CR:CR,"NaN")))</f>
        <v>1</v>
      </c>
      <c r="DA33" s="5">
        <f>IF(_xlfn.XLOOKUP($B33,rf1_data!$B:$B,rf1_data!CS:CS,"NaN")="","NaN",(_xlfn.XLOOKUP($B33,rf1_data!$B:$B,rf1_data!CS:CS,"NaN")))</f>
        <v>1</v>
      </c>
      <c r="DB33" s="4">
        <f>IF(_xlfn.XLOOKUP($B33,island_data!$B:$B,island_data!H:H,"NaN")="","NaN",_xlfn.XLOOKUP($B33,island_data!$B:$B,island_data!H:H,"NaN"))</f>
        <v>0</v>
      </c>
      <c r="DC33" s="4">
        <f>IF(_xlfn.XLOOKUP($B33,island_data!$B:$B,island_data!I:I,"NaN")="","NaN",_xlfn.XLOOKUP($B33,island_data!$B:$B,island_data!I:I,"NaN"))</f>
        <v>0</v>
      </c>
      <c r="DD33" s="4">
        <f>IF(_xlfn.XLOOKUP($B33,island_data!$B:$B,island_data!J:J,"NaN")="","NaN",_xlfn.XLOOKUP($B33,island_data!$B:$B,island_data!J:J,"NaN"))</f>
        <v>0</v>
      </c>
      <c r="DE33" s="4">
        <f>IF(_xlfn.XLOOKUP($B33,island_data!$B:$B,island_data!K:K,"NaN")="","NaN",_xlfn.XLOOKUP($B33,island_data!$B:$B,island_data!K:K,"NaN"))</f>
        <v>1</v>
      </c>
      <c r="DF33" s="4">
        <f>IF(_xlfn.XLOOKUP($B33,island_data!$B:$B,island_data!L:L,"NaN")="","NaN",_xlfn.XLOOKUP($B33,island_data!$B:$B,island_data!L:L,"NaN"))</f>
        <v>36</v>
      </c>
      <c r="DG33" s="4">
        <f>IF(_xlfn.XLOOKUP($B33,island_data!$B:$B,island_data!M:M,"NaN")="","NaN",_xlfn.XLOOKUP($B33,island_data!$B:$B,island_data!M:M,"NaN"))</f>
        <v>2.2222222222222001</v>
      </c>
      <c r="DH33" s="4">
        <f>IF(_xlfn.XLOOKUP($B33,island_data!$B:$B,island_data!N:N,"NaN")="","NaN",_xlfn.XLOOKUP($B33,island_data!$B:$B,island_data!N:N,"NaN"))</f>
        <v>9</v>
      </c>
      <c r="DI33" s="4" t="str">
        <f>IF(_xlfn.XLOOKUP($B33,island_data!$B:$B,island_data!O:O,"NaN")=999,"NaN",_xlfn.XLOOKUP($B33,island_data!$B:$B,island_data!O:O,"NaN"))</f>
        <v>NaN</v>
      </c>
      <c r="DJ33" s="4">
        <f>IF(_xlfn.XLOOKUP($B33,island_data!$B:$B,island_data!P:P,"NaN")="","NaN",_xlfn.XLOOKUP($B33,island_data!$B:$B,island_data!P:P,"NaN"))</f>
        <v>6</v>
      </c>
      <c r="DK33" s="4">
        <f>IF(_xlfn.XLOOKUP($B33,island_data!$B:$B,island_data!Q:Q,"NaN")="","NaN",_xlfn.XLOOKUP($B33,island_data!$B:$B,island_data!Q:Q,"NaN"))</f>
        <v>1</v>
      </c>
      <c r="DL33" s="4" t="str">
        <f>IF(_xlfn.XLOOKUP($B33,island_data!$B:$B,island_data!R:R,"NaN")=999,"NaN",_xlfn.XLOOKUP($B33,island_data!$B:$B,island_data!R:R,"NaN"))</f>
        <v>NaN</v>
      </c>
      <c r="DM33" s="4">
        <f>IF(_xlfn.XLOOKUP($B33,island_data!$B:$B,island_data!S:S,"NaN")="","NaN",_xlfn.XLOOKUP($B33,island_data!$B:$B,island_data!S:S,"NaN"))</f>
        <v>8</v>
      </c>
      <c r="DN33" s="4">
        <f>IF(_xlfn.XLOOKUP($B33,island_data!$B:$B,island_data!T:T,"NaN")="","NaN",_xlfn.XLOOKUP($B33,island_data!$B:$B,island_data!T:T,"NaN"))</f>
        <v>5</v>
      </c>
      <c r="DO33" s="4">
        <f>IF(_xlfn.XLOOKUP($B33,island_data!$B:$B,island_data!U:U,"NaN")="","NaN",_xlfn.XLOOKUP($B33,island_data!$B:$B,island_data!U:U,"NaN"))</f>
        <v>5</v>
      </c>
      <c r="DP33" s="4">
        <f>IF(_xlfn.XLOOKUP($B33,island_data!$B:$B,island_data!V:V,"NaN")="","NaN",_xlfn.XLOOKUP($B33,island_data!$B:$B,island_data!V:V,"NaN"))</f>
        <v>3</v>
      </c>
      <c r="DQ33" s="4">
        <f>IF(_xlfn.XLOOKUP($B33,island_data!$B:$B,island_data!W:W,"NaN")="","NaN",_xlfn.XLOOKUP($B33,island_data!$B:$B,island_data!W:W,"NaN"))</f>
        <v>7</v>
      </c>
      <c r="DR33" s="4">
        <f>IF(_xlfn.XLOOKUP($B33,island_data!$B:$B,island_data!X:X,"NaN")="","NaN",_xlfn.XLOOKUP($B33,island_data!$B:$B,island_data!X:X,"NaN"))</f>
        <v>5</v>
      </c>
      <c r="DS33" s="4" t="str">
        <f>IF(_xlfn.XLOOKUP($B33,island_data!$B:$B,island_data!Y:Y,"NaN")="","NaN",_xlfn.XLOOKUP($B33,island_data!$B:$B,island_data!Y:Y,"NaN"))</f>
        <v>NaN</v>
      </c>
      <c r="DT33" s="4" t="str">
        <f>IF(_xlfn.XLOOKUP($B33,island_data!$B:$B,island_data!Z:Z,"NaN")="","NaN",_xlfn.XLOOKUP($B33,island_data!$B:$B,island_data!Z:Z,"NaN"))</f>
        <v>NaN</v>
      </c>
      <c r="DU33" s="4" t="str">
        <f>IF(_xlfn.XLOOKUP($B33,island_data!$B:$B,island_data!AA:AA,"NaN")="","NaN",_xlfn.XLOOKUP($B33,island_data!$B:$B,island_data!AA:AA,"NaN"))</f>
        <v>NaN</v>
      </c>
      <c r="DV33" s="4">
        <f>IF(_xlfn.XLOOKUP($B33,island_data!$B:$B,island_data!AB:AB,"NaN")="","NaN",_xlfn.XLOOKUP($B33,island_data!$B:$B,island_data!AB:AB,"NaN"))</f>
        <v>1</v>
      </c>
      <c r="DW33" s="4">
        <f>IF(_xlfn.XLOOKUP($B33,island_data!$B:$B,island_data!AC:AC,"NaN")="","NaN",_xlfn.XLOOKUP($B33,island_data!$B:$B,island_data!AC:AC,"NaN"))</f>
        <v>19038</v>
      </c>
      <c r="DX33" s="4">
        <f>IF(_xlfn.XLOOKUP($B33,island_data!$B:$B,island_data!AD:AD,"NaN")="","NaN",_xlfn.XLOOKUP($B33,island_data!$B:$B,island_data!AD:AD,"NaN"))</f>
        <v>7</v>
      </c>
      <c r="DY33" s="4">
        <f>IF(_xlfn.XLOOKUP($B33,island_data!$B:$B,island_data!AE:AE,"NaN")="","NaN",_xlfn.XLOOKUP($B33,island_data!$B:$B,island_data!AE:AE,"NaN"))</f>
        <v>0</v>
      </c>
      <c r="DZ33" s="4" t="str">
        <f>IF(_xlfn.XLOOKUP($B33,island_data!$B:$B,island_data!AF:AF,"NaN")="","NaN",_xlfn.XLOOKUP($B33,island_data!$B:$B,island_data!AF:AF,"NaN"))</f>
        <v>NaN</v>
      </c>
      <c r="EA33" s="4" t="str">
        <f>IF(_xlfn.XLOOKUP($B33,island_data!$B:$B,island_data!AG:AG,"NaN")="","NaN",_xlfn.XLOOKUP($B33,island_data!$B:$B,island_data!AG:AG,"NaN"))</f>
        <v>NaN</v>
      </c>
      <c r="EB33" s="4" t="str">
        <f>IF(_xlfn.XLOOKUP($B33,island_data!$B:$B,island_data!AH:AH,"NaN")="","NaN",_xlfn.XLOOKUP($B33,island_data!$B:$B,island_data!AH:AH,"NaN"))</f>
        <v>NaN</v>
      </c>
      <c r="EC33" s="4" t="str">
        <f>IF(_xlfn.XLOOKUP($B33,island_data!$B:$B,island_data!AI:AI,"NaN")="","NaN",_xlfn.XLOOKUP($B33,island_data!$B:$B,island_data!AI:AI,"NaN"))</f>
        <v>NaN</v>
      </c>
      <c r="ED33" s="4" t="str">
        <f>IF(_xlfn.XLOOKUP($B33,island_data!$B:$B,island_data!AJ:AJ,"NaN")="","NaN",_xlfn.XLOOKUP($B33,island_data!$B:$B,island_data!AJ:AJ,"NaN"))</f>
        <v>NaN</v>
      </c>
      <c r="EE33" s="4" t="str">
        <f>IF(_xlfn.XLOOKUP($B33,island_data!$B:$B,island_data!AK:AK,"NaN")="","NaN",_xlfn.XLOOKUP($B33,island_data!$B:$B,island_data!AK:AK,"NaN"))</f>
        <v>NaN</v>
      </c>
      <c r="EF33" s="4" t="str">
        <f>IF(_xlfn.XLOOKUP($B33,island_data!$B:$B,island_data!AL:AL,"NaN")="","NaN",_xlfn.XLOOKUP($B33,island_data!$B:$B,island_data!AL:AL,"NaN"))</f>
        <v>NaN</v>
      </c>
      <c r="EG33" s="4" t="str">
        <f>IF(_xlfn.XLOOKUP($B33,island_data!$B:$B,island_data!AM:AM,"NaN")="","NaN",_xlfn.XLOOKUP($B33,island_data!$B:$B,island_data!AM:AM,"NaN"))</f>
        <v>NaN</v>
      </c>
      <c r="EH33" s="4">
        <f>IF(_xlfn.XLOOKUP($B33,island_data!$B:$B,island_data!AN:AN,"NaN")="","NaN",_xlfn.XLOOKUP($B33,island_data!$B:$B,island_data!AN:AN,"NaN"))</f>
        <v>0</v>
      </c>
      <c r="EI33" s="4" t="str">
        <f>IF(_xlfn.XLOOKUP($B33,island_data!$B:$B,island_data!AO:AO,"NaN")="","NaN",_xlfn.XLOOKUP($B33,island_data!$B:$B,island_data!AO:AO,"NaN"))</f>
        <v>NaN</v>
      </c>
      <c r="EJ33" s="8">
        <f>IF(_xlfn.XLOOKUP($A33,TabCAT!$A:$A,TabCAT!AU:AU,"NaN")="","NaN",(_xlfn.XLOOKUP($A33,TabCAT!$A:$A,TabCAT!AU:AU,"NaN")))</f>
        <v>157</v>
      </c>
      <c r="EK33" s="8" t="b">
        <f>IF(_xlfn.XLOOKUP($A33,TabCAT!$A:$A,TabCAT!AV:AV,"NaN")="","NaN",(_xlfn.XLOOKUP($A33,TabCAT!$A:$A,TabCAT!AV:AV,"NaN")))</f>
        <v>1</v>
      </c>
      <c r="EL33" s="8">
        <f>IF(_xlfn.XLOOKUP($A33,TabCAT!$A:$A,TabCAT!AW:AW,"NaN")="","NaN",(_xlfn.XLOOKUP($A33,TabCAT!$A:$A,TabCAT!AW:AW,"NaN")))</f>
        <v>5</v>
      </c>
      <c r="EM33" s="8">
        <f>IF(_xlfn.XLOOKUP($A33,TabCAT!$A:$A,TabCAT!AX:AX,"NaN")="","NaN",(_xlfn.XLOOKUP($A33,TabCAT!$A:$A,TabCAT!AX:AX,"NaN")))</f>
        <v>0</v>
      </c>
      <c r="EN33" s="8">
        <f>IF(_xlfn.XLOOKUP($A33,TabCAT!$A:$A,TabCAT!AY:AY,"NaN")="","NaN",(_xlfn.XLOOKUP($A33,TabCAT!$A:$A,TabCAT!AY:AY,"NaN")))</f>
        <v>9.26</v>
      </c>
      <c r="EO33" s="8">
        <f>IF(_xlfn.XLOOKUP($A33,TabCAT!$A:$A,TabCAT!AZ:AZ,"NaN")="","NaN",(_xlfn.XLOOKUP($A33,TabCAT!$A:$A,TabCAT!AZ:AZ,"NaN")))</f>
        <v>32</v>
      </c>
      <c r="EP33" s="8">
        <f>IF(_xlfn.XLOOKUP($A33,TabCAT!$A:$A,TabCAT!BA:BA,"NaN")="","NaN",(_xlfn.XLOOKUP($A33,TabCAT!$A:$A,TabCAT!BA:BA,"NaN")))</f>
        <v>0.64812800000000004</v>
      </c>
      <c r="EQ33" s="8">
        <f>IF(_xlfn.XLOOKUP($A33,TabCAT!$A:$A,TabCAT!BB:BB,"NaN")="","NaN",(_xlfn.XLOOKUP($A33,TabCAT!$A:$A,TabCAT!BB:BB,"NaN")))</f>
        <v>8.2175103640026004E-2</v>
      </c>
      <c r="ER33" s="8">
        <f>IF(_xlfn.XLOOKUP($A33,TabCAT!$A:$A,TabCAT!BC:BC,"NaN")="","NaN",(_xlfn.XLOOKUP($A33,TabCAT!$A:$A,TabCAT!BC:BC,"NaN")))</f>
        <v>16</v>
      </c>
      <c r="ES33" s="8">
        <f>IF(_xlfn.XLOOKUP($A33,TabCAT!$A:$A,TabCAT!BD:BD,"NaN")="","NaN",(_xlfn.XLOOKUP($A33,TabCAT!$A:$A,TabCAT!BD:BD,"NaN")))</f>
        <v>0.61486700000000005</v>
      </c>
      <c r="ET33" s="8">
        <f>IF(_xlfn.XLOOKUP($A33,TabCAT!$A:$A,TabCAT!BE:BE,"NaN")="","NaN",(_xlfn.XLOOKUP($A33,TabCAT!$A:$A,TabCAT!BE:BE,"NaN")))</f>
        <v>16</v>
      </c>
      <c r="EU33" s="8">
        <f>IF(_xlfn.XLOOKUP($A33,TabCAT!$A:$A,TabCAT!BF:BF,"NaN")="","NaN",(_xlfn.XLOOKUP($A33,TabCAT!$A:$A,TabCAT!BF:BF,"NaN")))</f>
        <v>0.68569749999999996</v>
      </c>
      <c r="EV33" s="8">
        <f>IF(_xlfn.XLOOKUP($A33,TabCAT!$A:$A,TabCAT!BG:BG,"NaN")="","NaN",(_xlfn.XLOOKUP($A33,TabCAT!$A:$A,TabCAT!BG:BG,"NaN")))</f>
        <v>1.528302</v>
      </c>
      <c r="EW33" s="8" t="str">
        <f>IF(_xlfn.XLOOKUP($A33,TabCAT!$A:$A,TabCAT!BH:BH,"NaN")="","NaN",(_xlfn.XLOOKUP($A33,TabCAT!$A:$A,TabCAT!BH:BH,"NaN")))</f>
        <v>3.0.0</v>
      </c>
      <c r="EX33" s="8" t="str">
        <f>IF(_xlfn.XLOOKUP($A33,TabCAT!$A:$A,TabCAT!BI:BI,"NaN")="","NaN",(_xlfn.XLOOKUP($A33,TabCAT!$A:$A,TabCAT!BI:BI,"NaN")))</f>
        <v>English</v>
      </c>
      <c r="EY33" s="8">
        <f>IF(_xlfn.XLOOKUP($A33,TabCAT!$A:$A,TabCAT!BJ:BJ,"NaN")="","NaN",(_xlfn.XLOOKUP($A33,TabCAT!$A:$A,TabCAT!BJ:BJ,"NaN")))</f>
        <v>231</v>
      </c>
      <c r="EZ33" s="8">
        <f>IF(_xlfn.XLOOKUP($A33,TabCAT!$A:$A,TabCAT!BK:BK,"NaN")="","NaN",(_xlfn.XLOOKUP($A33,TabCAT!$A:$A,TabCAT!BK:BK,"NaN")))</f>
        <v>1</v>
      </c>
      <c r="FA33" s="8">
        <f>IF(_xlfn.XLOOKUP($A33,TabCAT!$A:$A,TabCAT!BL:BL,"NaN")="","NaN",(_xlfn.XLOOKUP($A33,TabCAT!$A:$A,TabCAT!BL:BL,"NaN")))</f>
        <v>6</v>
      </c>
      <c r="FB33" s="8">
        <f>IF(_xlfn.XLOOKUP($A33,TabCAT!$A:$A,TabCAT!BM:BM,"NaN")="","NaN",(_xlfn.XLOOKUP($A33,TabCAT!$A:$A,TabCAT!BM:BM,"NaN")))</f>
        <v>1</v>
      </c>
      <c r="FC33" s="8">
        <f>IF(_xlfn.XLOOKUP($A33,TabCAT!$A:$A,TabCAT!BN:BN,"NaN")="","NaN",(_xlfn.XLOOKUP($A33,TabCAT!$A:$A,TabCAT!BN:BN,"NaN")))</f>
        <v>6</v>
      </c>
      <c r="FD33" s="8">
        <f>IF(_xlfn.XLOOKUP($A33,TabCAT!$A:$A,TabCAT!BO:BO,"NaN")="","NaN",(_xlfn.XLOOKUP($A33,TabCAT!$A:$A,TabCAT!BO:BO,"NaN")))</f>
        <v>9</v>
      </c>
      <c r="FE33" s="8">
        <f>IF(_xlfn.XLOOKUP($A33,TabCAT!$A:$A,TabCAT!BP:BP,"NaN")="","NaN",(_xlfn.XLOOKUP($A33,TabCAT!$A:$A,TabCAT!BP:BP,"NaN")))</f>
        <v>1</v>
      </c>
      <c r="FF33" s="8">
        <f>IF(_xlfn.XLOOKUP($A33,TabCAT!$A:$A,TabCAT!BQ:BQ,"NaN")="","NaN",(_xlfn.XLOOKUP($A33,TabCAT!$A:$A,TabCAT!BQ:BQ,"NaN")))</f>
        <v>8</v>
      </c>
      <c r="FG33" s="8">
        <f>IF(_xlfn.XLOOKUP($A33,TabCAT!$A:$A,TabCAT!BR:BR,"NaN")="","NaN",(_xlfn.XLOOKUP($A33,TabCAT!$A:$A,TabCAT!BR:BR,"NaN")))</f>
        <v>9</v>
      </c>
      <c r="FH33" s="8">
        <f>IF(_xlfn.XLOOKUP($A33,TabCAT!$A:$A,TabCAT!BS:BS,"NaN")="","NaN",(_xlfn.XLOOKUP($A33,TabCAT!$A:$A,TabCAT!BS:BS,"NaN")))</f>
        <v>0.75</v>
      </c>
      <c r="FI33" s="8">
        <f>IF(_xlfn.XLOOKUP($A33,TabCAT!$A:$A,TabCAT!BT:BT,"NaN")="","NaN",(_xlfn.XLOOKUP($A33,TabCAT!$A:$A,TabCAT!BT:BT,"NaN")))</f>
        <v>9</v>
      </c>
      <c r="FJ33" s="8">
        <f>IF(_xlfn.XLOOKUP($A33,TabCAT!$A:$A,TabCAT!BU:BU,"NaN")="","NaN",(_xlfn.XLOOKUP($A33,TabCAT!$A:$A,TabCAT!BU:BU,"NaN")))</f>
        <v>11</v>
      </c>
      <c r="FK33" s="8">
        <f>IF(_xlfn.XLOOKUP($A33,TabCAT!$A:$A,TabCAT!BV:BV,"NaN")="","NaN",(_xlfn.XLOOKUP($A33,TabCAT!$A:$A,TabCAT!BV:BV,"NaN")))</f>
        <v>0.73333333333333295</v>
      </c>
      <c r="FL33" s="8">
        <f>IF(_xlfn.XLOOKUP($A33,TabCAT!$A:$A,TabCAT!BW:BW,"NaN")="","NaN",(_xlfn.XLOOKUP($A33,TabCAT!$A:$A,TabCAT!BW:BW,"NaN")))</f>
        <v>6.5</v>
      </c>
      <c r="FM33" s="8">
        <f>IF(_xlfn.XLOOKUP($A33,TabCAT!$A:$A,TabCAT!BX:BX,"NaN")="","NaN",(_xlfn.XLOOKUP($A33,TabCAT!$A:$A,TabCAT!BX:BX,"NaN")))</f>
        <v>35</v>
      </c>
      <c r="FN33" s="8">
        <f>IF(_xlfn.XLOOKUP($A33,TabCAT!$A:$A,TabCAT!BY:BY,"NaN")="","NaN",(_xlfn.XLOOKUP($A33,TabCAT!$A:$A,TabCAT!BY:BY,"NaN")))</f>
        <v>0.83333333333333304</v>
      </c>
      <c r="FO33" s="8">
        <f>IF(_xlfn.XLOOKUP($A33,TabCAT!$A:$A,TabCAT!BZ:BZ,"NaN")="","NaN",(_xlfn.XLOOKUP($A33,TabCAT!$A:$A,TabCAT!BZ:BZ,"NaN")))</f>
        <v>29.5</v>
      </c>
      <c r="FP33" s="8" t="str">
        <f>IF(_xlfn.XLOOKUP($A33,TabCAT!$A:$A,TabCAT!CA:CA,"NaN")="","NaN",(_xlfn.XLOOKUP($A33,TabCAT!$A:$A,TabCAT!CA:CA,"NaN")))</f>
        <v>3.0.0</v>
      </c>
      <c r="FQ33" s="8" t="str">
        <f>IF(_xlfn.XLOOKUP($A33,TabCAT!$A:$A,TabCAT!CB:CB,"NaN")="","NaN",(_xlfn.XLOOKUP($A33,TabCAT!$A:$A,TabCAT!CB:CB,"NaN")))</f>
        <v>English</v>
      </c>
      <c r="FR33" s="8">
        <f>IF(_xlfn.XLOOKUP($A33,TabCAT!$A:$A,TabCAT!CC:CC,"NaN")="","NaN",(_xlfn.XLOOKUP($A33,TabCAT!$A:$A,TabCAT!CC:CC,"NaN")))</f>
        <v>240</v>
      </c>
      <c r="FS33" s="8" t="b">
        <f>IF(_xlfn.XLOOKUP($A33,TabCAT!$A:$A,TabCAT!CD:CD,"NaN")="","NaN",(_xlfn.XLOOKUP($A33,TabCAT!$A:$A,TabCAT!CD:CD,"NaN")))</f>
        <v>1</v>
      </c>
      <c r="FT33" s="8">
        <f>IF(_xlfn.XLOOKUP($A33,TabCAT!$A:$A,TabCAT!CE:CE,"NaN")="","NaN",(_xlfn.XLOOKUP($A33,TabCAT!$A:$A,TabCAT!CE:CE,"NaN")))</f>
        <v>7</v>
      </c>
      <c r="FU33" s="8">
        <f>IF(_xlfn.XLOOKUP($A33,TabCAT!$A:$A,TabCAT!CF:CF,"NaN")="","NaN",(_xlfn.XLOOKUP($A33,TabCAT!$A:$A,TabCAT!CF:CF,"NaN")))</f>
        <v>0</v>
      </c>
      <c r="FV33" s="8">
        <f>IF(_xlfn.XLOOKUP($A33,TabCAT!$A:$A,TabCAT!CG:CG,"NaN")="","NaN",(_xlfn.XLOOKUP($A33,TabCAT!$A:$A,TabCAT!CG:CG,"NaN")))</f>
        <v>9.2200000000000006</v>
      </c>
      <c r="FW33" s="8">
        <f>IF(_xlfn.XLOOKUP($A33,TabCAT!$A:$A,TabCAT!CH:CH,"NaN")="","NaN",(_xlfn.XLOOKUP($A33,TabCAT!$A:$A,TabCAT!CH:CH,"NaN")))</f>
        <v>15</v>
      </c>
      <c r="FX33" s="8">
        <f>IF(_xlfn.XLOOKUP($A33,TabCAT!$A:$A,TabCAT!CI:CI,"NaN")="","NaN",(_xlfn.XLOOKUP($A33,TabCAT!$A:$A,TabCAT!CI:CI,"NaN")))</f>
        <v>0.61224800000000001</v>
      </c>
      <c r="FY33" s="8">
        <f>IF(_xlfn.XLOOKUP($A33,TabCAT!$A:$A,TabCAT!CJ:CJ,"NaN")="","NaN",(_xlfn.XLOOKUP($A33,TabCAT!$A:$A,TabCAT!CJ:CJ,"NaN")))</f>
        <v>16</v>
      </c>
      <c r="FZ33" s="8">
        <f>IF(_xlfn.XLOOKUP($A33,TabCAT!$A:$A,TabCAT!CK:CK,"NaN")="","NaN",(_xlfn.XLOOKUP($A33,TabCAT!$A:$A,TabCAT!CK:CK,"NaN")))</f>
        <v>0.66239499999999996</v>
      </c>
      <c r="GA33" s="8">
        <f>IF(_xlfn.XLOOKUP($A33,TabCAT!$A:$A,TabCAT!CL:CL,"NaN")="","NaN",(_xlfn.XLOOKUP($A33,TabCAT!$A:$A,TabCAT!CL:CL,"NaN")))</f>
        <v>30</v>
      </c>
      <c r="GB33" s="8">
        <f>IF(_xlfn.XLOOKUP($A33,TabCAT!$A:$A,TabCAT!CM:CM,"NaN")="","NaN",(_xlfn.XLOOKUP($A33,TabCAT!$A:$A,TabCAT!CM:CM,"NaN")))</f>
        <v>0.52852250000000001</v>
      </c>
      <c r="GC33" s="8">
        <f>IF(_xlfn.XLOOKUP($A33,TabCAT!$A:$A,TabCAT!CN:CN,"NaN")="","NaN",(_xlfn.XLOOKUP($A33,TabCAT!$A:$A,TabCAT!CN:CN,"NaN")))</f>
        <v>18</v>
      </c>
      <c r="GD33" s="8">
        <f>IF(_xlfn.XLOOKUP($A33,TabCAT!$A:$A,TabCAT!CO:CO,"NaN")="","NaN",(_xlfn.XLOOKUP($A33,TabCAT!$A:$A,TabCAT!CO:CO,"NaN")))</f>
        <v>0.59579249999999995</v>
      </c>
      <c r="GE33" s="8">
        <f>IF(_xlfn.XLOOKUP($A33,TabCAT!$A:$A,TabCAT!CP:CP,"NaN")="","NaN",(_xlfn.XLOOKUP($A33,TabCAT!$A:$A,TabCAT!CP:CP,"NaN")))</f>
        <v>0.18691381120050199</v>
      </c>
      <c r="GF33" s="8">
        <f>IF(_xlfn.XLOOKUP($A33,TabCAT!$A:$A,TabCAT!CQ:CQ,"NaN")="","NaN",(_xlfn.XLOOKUP($A33,TabCAT!$A:$A,TabCAT!CQ:CQ,"NaN")))</f>
        <v>52</v>
      </c>
      <c r="GG33" s="8">
        <f>IF(_xlfn.XLOOKUP($A33,TabCAT!$A:$A,TabCAT!CR:CR,"NaN")="","NaN",(_xlfn.XLOOKUP($A33,TabCAT!$A:$A,TabCAT!CR:CR,"NaN")))</f>
        <v>0.64153550000000004</v>
      </c>
      <c r="GH33" s="8">
        <f>IF(_xlfn.XLOOKUP($A33,TabCAT!$A:$A,TabCAT!CS:CS,"NaN")="","NaN",(_xlfn.XLOOKUP($A33,TabCAT!$A:$A,TabCAT!CS:CS,"NaN")))</f>
        <v>2.0144929999999999</v>
      </c>
    </row>
    <row r="34" spans="1:190" x14ac:dyDescent="0.2">
      <c r="A34">
        <v>10656</v>
      </c>
      <c r="B34">
        <f>_xlfn.XLOOKUP(bippity_poppity_boo!A34,rf1_data!A:A,rf1_data!B:B)</f>
        <v>181801</v>
      </c>
      <c r="C34" s="2">
        <f>(_xlfn.XLOOKUP($A34,trust!$A:$A,trust!B:B,"NaN"))</f>
        <v>2.5</v>
      </c>
      <c r="D34" s="2">
        <f>(_xlfn.XLOOKUP($A34,trust!$A:$A,trust!C:C,"NaN"))</f>
        <v>2.5714290000000002</v>
      </c>
      <c r="E34" s="2">
        <f>(_xlfn.XLOOKUP($A34,trust!$A:$A,trust!D:D,"NaN"))</f>
        <v>3.0909089999999999</v>
      </c>
      <c r="F34" s="2">
        <f>(_xlfn.XLOOKUP($A34,trust!$A:$A,trust!E:E,"NaN"))</f>
        <v>2.9090910000000001</v>
      </c>
      <c r="G34" s="2">
        <f>(_xlfn.XLOOKUP($A34,trust!$A:$A,trust!F:F,"NaN"))</f>
        <v>3.0909089999999999</v>
      </c>
      <c r="H34" s="2">
        <f>(_xlfn.XLOOKUP($A34,trust!$A:$A,trust!G:G,"NaN"))</f>
        <v>2.9230770000000001</v>
      </c>
      <c r="I34" s="3">
        <f>IF(_xlfn.XLOOKUP($B34,island_data!$B:$B,island_data!C:C,"NaN")="","NaN",_xlfn.XLOOKUP($B34,island_data!$B:$B,island_data!C:C,"NaN"))</f>
        <v>45013</v>
      </c>
      <c r="J34" s="3">
        <f>IF(_xlfn.XLOOKUP($B34,island_data!$B:$B,island_data!D:D,"NaN")="","NaN",_xlfn.XLOOKUP($B34,island_data!$B:$B,island_data!D:D,"NaN"))</f>
        <v>37204</v>
      </c>
      <c r="K34" s="4">
        <f>IF(_xlfn.XLOOKUP($B34,island_data!$B:$B,island_data!E:E,"NaN")="","NaN",_xlfn.XLOOKUP($B34,island_data!$B:$B,island_data!E:E,"NaN"))</f>
        <v>21.38</v>
      </c>
      <c r="L34" s="5">
        <f>IF(_xlfn.XLOOKUP($B34,rf1_data!$B:$B,rf1_data!D:D,"NaN")="","NaN",(_xlfn.XLOOKUP($B34,rf1_data!$B:$B,rf1_data!D:D,"NaN")))</f>
        <v>21.43</v>
      </c>
      <c r="M34" s="5" t="str">
        <f>IF(_xlfn.XLOOKUP($B34,rf1_data!$B:$B,rf1_data!E:E,"NaN")="","NaN",(_xlfn.XLOOKUP($B34,rf1_data!$B:$B,rf1_data!E:E,"NaN")))</f>
        <v>Black or African American</v>
      </c>
      <c r="N34" s="5" t="str">
        <f>IF(_xlfn.XLOOKUP($B34,rf1_data!$B:$B,rf1_data!F:F,"NaN")="","NaN",(_xlfn.XLOOKUP($B34,rf1_data!$B:$B,rf1_data!F:F,"NaN")))</f>
        <v>Not Hispanic or Latino</v>
      </c>
      <c r="O34" s="5" t="str">
        <f>IF(_xlfn.XLOOKUP($B34,rf1_data!$B:$B,rf1_data!G:G,"NaN")="","NaN",(_xlfn.XLOOKUP($B34,rf1_data!$B:$B,rf1_data!G:G,"NaN")))</f>
        <v>Male</v>
      </c>
      <c r="P34" s="5">
        <f>IF(_xlfn.XLOOKUP($B34,rf1_data!$B:$B,rf1_data!H:H,"NaN")="","NaN",(_xlfn.XLOOKUP($B34,rf1_data!$B:$B,rf1_data!H:H,"NaN")))</f>
        <v>5</v>
      </c>
      <c r="Q34" s="5">
        <f>IF(_xlfn.XLOOKUP($B34,rf1_data!$B:$B,rf1_data!I:I,"NaN")="","NaN",(_xlfn.XLOOKUP($B34,rf1_data!$B:$B,rf1_data!I:I,"NaN")))</f>
        <v>4.2</v>
      </c>
      <c r="R34" s="5">
        <f>IF(_xlfn.XLOOKUP($B34,rf1_data!$B:$B,rf1_data!J:J,"NaN")="","NaN",(_xlfn.XLOOKUP($B34,rf1_data!$B:$B,rf1_data!J:J,"NaN")))</f>
        <v>3</v>
      </c>
      <c r="S34" s="5">
        <f>IF(_xlfn.XLOOKUP($B34,rf1_data!$B:$B,rf1_data!K:K,"NaN")="","NaN",(_xlfn.XLOOKUP($B34,rf1_data!$B:$B,rf1_data!K:K,"NaN")))</f>
        <v>4</v>
      </c>
      <c r="T34" s="5">
        <f>IF(_xlfn.XLOOKUP($B34,rf1_data!$B:$B,rf1_data!L:L,"NaN")="","NaN",(_xlfn.XLOOKUP($B34,rf1_data!$B:$B,rf1_data!L:L,"NaN")))</f>
        <v>0</v>
      </c>
      <c r="U34" s="5">
        <f>IF(_xlfn.XLOOKUP($B34,rf1_data!$B:$B,rf1_data!M:M,"NaN")="","NaN",(_xlfn.XLOOKUP($B34,rf1_data!$B:$B,rf1_data!M:M,"NaN")))</f>
        <v>6.67</v>
      </c>
      <c r="V34" s="5">
        <f>IF(_xlfn.XLOOKUP($B34,rf1_data!$B:$B,rf1_data!N:N,"NaN")="","NaN",(_xlfn.XLOOKUP($B34,rf1_data!$B:$B,rf1_data!N:N,"NaN")))</f>
        <v>5.33</v>
      </c>
      <c r="W34" s="5">
        <f>IF(_xlfn.XLOOKUP($B34,rf1_data!$B:$B,rf1_data!O:O,"NaN")="","NaN",(_xlfn.XLOOKUP($B34,rf1_data!$B:$B,rf1_data!O:O,"NaN")))</f>
        <v>4.38</v>
      </c>
      <c r="X34" s="5">
        <f>IF(_xlfn.XLOOKUP($B34,rf1_data!$B:$B,rf1_data!P:P,"NaN")="","NaN",(_xlfn.XLOOKUP($B34,rf1_data!$B:$B,rf1_data!P:P,"NaN")))</f>
        <v>3.17</v>
      </c>
      <c r="Y34" s="5">
        <f>IF(_xlfn.XLOOKUP($B34,rf1_data!$B:$B,rf1_data!Q:Q,"NaN")="","NaN",(_xlfn.XLOOKUP($B34,rf1_data!$B:$B,rf1_data!Q:Q,"NaN")))</f>
        <v>4.53</v>
      </c>
      <c r="Z34" s="5">
        <f>IF(_xlfn.XLOOKUP($B34,rf1_data!$B:$B,rf1_data!R:R,"NaN")="","NaN",(_xlfn.XLOOKUP($B34,rf1_data!$B:$B,rf1_data!R:R,"NaN")))</f>
        <v>24</v>
      </c>
      <c r="AA34" s="5">
        <f>IF(_xlfn.XLOOKUP($B34,rf1_data!$B:$B,rf1_data!S:S,"NaN")="","NaN",(_xlfn.XLOOKUP($B34,rf1_data!$B:$B,rf1_data!S:S,"NaN")))</f>
        <v>3</v>
      </c>
      <c r="AB34" s="5">
        <f>IF(_xlfn.XLOOKUP($B34,rf1_data!$B:$B,rf1_data!T:T,"NaN")="","NaN",(_xlfn.XLOOKUP($B34,rf1_data!$B:$B,rf1_data!T:T,"NaN")))</f>
        <v>14</v>
      </c>
      <c r="AC34" s="5">
        <f>IF(_xlfn.XLOOKUP($B34,rf1_data!$B:$B,rf1_data!U:U,"NaN")="","NaN",(_xlfn.XLOOKUP($B34,rf1_data!$B:$B,rf1_data!U:U,"NaN")))</f>
        <v>3</v>
      </c>
      <c r="AD34" s="5">
        <f>IF(_xlfn.XLOOKUP($B34,rf1_data!$B:$B,rf1_data!V:V,"NaN")="","NaN",(_xlfn.XLOOKUP($B34,rf1_data!$B:$B,rf1_data!V:V,"NaN")))</f>
        <v>4</v>
      </c>
      <c r="AE34" s="5">
        <f>IF(_xlfn.XLOOKUP($B34,rf1_data!$B:$B,rf1_data!W:W,"NaN")="","NaN",(_xlfn.XLOOKUP($B34,rf1_data!$B:$B,rf1_data!W:W,"NaN")))</f>
        <v>5</v>
      </c>
      <c r="AF34" s="5">
        <f>IF(_xlfn.XLOOKUP($B34,rf1_data!$B:$B,rf1_data!X:X,"NaN")="","NaN",(_xlfn.XLOOKUP($B34,rf1_data!$B:$B,rf1_data!X:X,"NaN")))</f>
        <v>6</v>
      </c>
      <c r="AG34" s="5">
        <f>IF(_xlfn.XLOOKUP($B34,rf1_data!$B:$B,rf1_data!Y:Y,"NaN")="","NaN",(_xlfn.XLOOKUP($B34,rf1_data!$B:$B,rf1_data!Y:Y,"NaN")))</f>
        <v>0</v>
      </c>
      <c r="AH34" s="5">
        <f>IF(_xlfn.XLOOKUP($B34,rf1_data!$B:$B,rf1_data!Z:Z,"NaN")="","NaN",(_xlfn.XLOOKUP($B34,rf1_data!$B:$B,rf1_data!Z:Z,"NaN")))</f>
        <v>8</v>
      </c>
      <c r="AI34" s="5">
        <f>IF(_xlfn.XLOOKUP($B34,rf1_data!$B:$B,rf1_data!AA:AA,"NaN")="","NaN",(_xlfn.XLOOKUP($B34,rf1_data!$B:$B,rf1_data!AA:AA,"NaN")))</f>
        <v>4</v>
      </c>
      <c r="AJ34" s="5">
        <f>IF(_xlfn.XLOOKUP($B34,rf1_data!$B:$B,rf1_data!AB:AB,"NaN")="","NaN",(_xlfn.XLOOKUP($B34,rf1_data!$B:$B,rf1_data!AB:AB,"NaN")))</f>
        <v>23</v>
      </c>
      <c r="AK34" s="5">
        <f>IF(_xlfn.XLOOKUP($B34,rf1_data!$B:$B,rf1_data!AC:AC,"NaN")="","NaN",(_xlfn.XLOOKUP($B34,rf1_data!$B:$B,rf1_data!AC:AC,"NaN")))</f>
        <v>39</v>
      </c>
      <c r="AL34" s="5">
        <f>IF(_xlfn.XLOOKUP($B34,rf1_data!$B:$B,rf1_data!AD:AD,"NaN")="","NaN",(_xlfn.XLOOKUP($B34,rf1_data!$B:$B,rf1_data!AD:AD,"NaN")))</f>
        <v>12</v>
      </c>
      <c r="AM34" s="5">
        <f>IF(_xlfn.XLOOKUP($B34,rf1_data!$B:$B,rf1_data!AE:AE,"NaN")="","NaN",(_xlfn.XLOOKUP($B34,rf1_data!$B:$B,rf1_data!AE:AE,"NaN")))</f>
        <v>0</v>
      </c>
      <c r="AN34" s="5">
        <f>IF(_xlfn.XLOOKUP($B34,rf1_data!$B:$B,rf1_data!AF:AF,"NaN")="","NaN",(_xlfn.XLOOKUP($B34,rf1_data!$B:$B,rf1_data!AF:AF,"NaN")))</f>
        <v>0</v>
      </c>
      <c r="AO34" s="5">
        <f>IF(_xlfn.XLOOKUP($B34,rf1_data!$B:$B,rf1_data!AG:AG,"NaN")="","NaN",(_xlfn.XLOOKUP($B34,rf1_data!$B:$B,rf1_data!AG:AG,"NaN")))</f>
        <v>6.83</v>
      </c>
      <c r="AP34" s="5">
        <f>IF(_xlfn.XLOOKUP($B34,rf1_data!$B:$B,rf1_data!AH:AH,"NaN")="","NaN",(_xlfn.XLOOKUP($B34,rf1_data!$B:$B,rf1_data!AH:AH,"NaN")))</f>
        <v>7</v>
      </c>
      <c r="AQ34" s="5">
        <f>IF(_xlfn.XLOOKUP($B34,rf1_data!$B:$B,rf1_data!AI:AI,"NaN")="","NaN",(_xlfn.XLOOKUP($B34,rf1_data!$B:$B,rf1_data!AI:AI,"NaN")))</f>
        <v>7</v>
      </c>
      <c r="AR34" s="5">
        <f>IF(_xlfn.XLOOKUP($B34,rf1_data!$B:$B,rf1_data!AJ:AJ,"NaN")="","NaN",(_xlfn.XLOOKUP($B34,rf1_data!$B:$B,rf1_data!AJ:AJ,"NaN")))</f>
        <v>6.5</v>
      </c>
      <c r="AS34" s="5">
        <f>IF(_xlfn.XLOOKUP($B34,rf1_data!$B:$B,rf1_data!AK:AK,"NaN")="","NaN",(_xlfn.XLOOKUP($B34,rf1_data!$B:$B,rf1_data!AK:AK,"NaN")))</f>
        <v>2.8</v>
      </c>
      <c r="AT34" s="5">
        <f>IF(_xlfn.XLOOKUP($B34,rf1_data!$B:$B,rf1_data!AL:AL,"NaN")="","NaN",(_xlfn.XLOOKUP($B34,rf1_data!$B:$B,rf1_data!AL:AL,"NaN")))</f>
        <v>10</v>
      </c>
      <c r="AU34" s="5">
        <f>IF(_xlfn.XLOOKUP($B34,rf1_data!$B:$B,rf1_data!AM:AM,"NaN")="","NaN",(_xlfn.XLOOKUP($B34,rf1_data!$B:$B,rf1_data!AM:AM,"NaN")))</f>
        <v>4.58</v>
      </c>
      <c r="AV34" s="5">
        <f>IF(_xlfn.XLOOKUP($B34,rf1_data!$B:$B,rf1_data!AN:AN,"NaN")="","NaN",(_xlfn.XLOOKUP($B34,rf1_data!$B:$B,rf1_data!AN:AN,"NaN")))</f>
        <v>12</v>
      </c>
      <c r="AW34" s="5">
        <f>IF(_xlfn.XLOOKUP($B34,rf1_data!$B:$B,rf1_data!AO:AO,"NaN")="","NaN",(_xlfn.XLOOKUP($B34,rf1_data!$B:$B,rf1_data!AO:AO,"NaN")))</f>
        <v>2.67</v>
      </c>
      <c r="AX34" s="5">
        <f>IF(_xlfn.XLOOKUP($B34,rf1_data!$B:$B,rf1_data!AP:AP,"NaN")="","NaN",(_xlfn.XLOOKUP($B34,rf1_data!$B:$B,rf1_data!AP:AP,"NaN")))</f>
        <v>4.74</v>
      </c>
      <c r="AY34" s="5">
        <f>IF(_xlfn.XLOOKUP($B34,rf1_data!$B:$B,rf1_data!AQ:AQ,"NaN")="","NaN",(_xlfn.XLOOKUP($B34,rf1_data!$B:$B,rf1_data!AQ:AQ,"NaN")))</f>
        <v>0.1</v>
      </c>
      <c r="AZ34" s="5" t="str">
        <f>IF(_xlfn.XLOOKUP($B34,rf1_data!$B:$B,rf1_data!AR:AR,"NaN")="","NaN",(_xlfn.XLOOKUP($B34,rf1_data!$B:$B,rf1_data!AR:AR,"NaN")))</f>
        <v>NaN</v>
      </c>
      <c r="BA34" s="5" t="str">
        <f>IF(_xlfn.XLOOKUP($B34,rf1_data!$B:$B,rf1_data!AS:AS,"NaN")="","NaN",(_xlfn.XLOOKUP($B34,rf1_data!$B:$B,rf1_data!AS:AS,"NaN")))</f>
        <v>NaN</v>
      </c>
      <c r="BB34" s="5" t="str">
        <f>IF(_xlfn.XLOOKUP($B34,rf1_data!$B:$B,rf1_data!AT:AT,"NaN")="","NaN",(_xlfn.XLOOKUP($B34,rf1_data!$B:$B,rf1_data!AT:AT,"NaN")))</f>
        <v>NaN</v>
      </c>
      <c r="BC34" s="5" t="str">
        <f>IF(_xlfn.XLOOKUP($B34,rf1_data!$B:$B,rf1_data!AU:AU,"NaN")="","NaN",(_xlfn.XLOOKUP($B34,rf1_data!$B:$B,rf1_data!AU:AU,"NaN")))</f>
        <v>NaN</v>
      </c>
      <c r="BD34" s="5" t="str">
        <f>IF(_xlfn.XLOOKUP($B34,rf1_data!$B:$B,rf1_data!AV:AV,"NaN")="","NaN",(_xlfn.XLOOKUP($B34,rf1_data!$B:$B,rf1_data!AV:AV,"NaN")))</f>
        <v>NaN</v>
      </c>
      <c r="BE34" s="5" t="str">
        <f>IF(_xlfn.XLOOKUP($B34,rf1_data!$B:$B,rf1_data!AW:AW,"NaN")="","NaN",(_xlfn.XLOOKUP($B34,rf1_data!$B:$B,rf1_data!AW:AW,"NaN")))</f>
        <v>NaN</v>
      </c>
      <c r="BF34" s="5" t="str">
        <f>IF(_xlfn.XLOOKUP($B34,rf1_data!$B:$B,rf1_data!AX:AX,"NaN")="","NaN",(_xlfn.XLOOKUP($B34,rf1_data!$B:$B,rf1_data!AX:AX,"NaN")))</f>
        <v>NaN</v>
      </c>
      <c r="BG34" s="5" t="str">
        <f>IF(_xlfn.XLOOKUP($B34,rf1_data!$B:$B,rf1_data!AY:AY,"NaN")="","NaN",(_xlfn.XLOOKUP($B34,rf1_data!$B:$B,rf1_data!AY:AY,"NaN")))</f>
        <v>NaN</v>
      </c>
      <c r="BH34" s="5" t="str">
        <f>IF(_xlfn.XLOOKUP($B34,rf1_data!$B:$B,rf1_data!AZ:AZ,"NaN")="","NaN",(_xlfn.XLOOKUP($B34,rf1_data!$B:$B,rf1_data!AZ:AZ,"NaN")))</f>
        <v>NaN</v>
      </c>
      <c r="BI34" s="5">
        <f>IF(_xlfn.XLOOKUP($B34,rf1_data!$B:$B,rf1_data!BA:BA,"NaN")="","NaN",(_xlfn.XLOOKUP($B34,rf1_data!$B:$B,rf1_data!BA:BA,"NaN")))</f>
        <v>20</v>
      </c>
      <c r="BJ34" s="5" t="str">
        <f>IF(_xlfn.XLOOKUP($B34,rf1_data!$B:$B,rf1_data!BB:BB,"NaN")="","NaN",(_xlfn.XLOOKUP($B34,rf1_data!$B:$B,rf1_data!BB:BB,"NaN")))</f>
        <v>NaN</v>
      </c>
      <c r="BK34" s="5" t="str">
        <f>IF(_xlfn.XLOOKUP($B34,rf1_data!$B:$B,rf1_data!BC:BC,"NaN")="","NaN",(_xlfn.XLOOKUP($B34,rf1_data!$B:$B,rf1_data!BC:BC,"NaN")))</f>
        <v>NaN</v>
      </c>
      <c r="BL34" s="5" t="str">
        <f>IF(_xlfn.XLOOKUP($B34,rf1_data!$B:$B,rf1_data!BD:BD,"NaN")="","NaN",(_xlfn.XLOOKUP($B34,rf1_data!$B:$B,rf1_data!BD:BD,"NaN")))</f>
        <v>NaN</v>
      </c>
      <c r="BM34" s="5" t="str">
        <f>IF(_xlfn.XLOOKUP($B34,rf1_data!$B:$B,rf1_data!BE:BE,"NaN")="","NaN",(_xlfn.XLOOKUP($B34,rf1_data!$B:$B,rf1_data!BE:BE,"NaN")))</f>
        <v>NaN</v>
      </c>
      <c r="BN34" s="5" t="str">
        <f>IF(_xlfn.XLOOKUP($B34,rf1_data!$B:$B,rf1_data!BF:BF,"NaN")="","NaN",(_xlfn.XLOOKUP($B34,rf1_data!$B:$B,rf1_data!BF:BF,"NaN")))</f>
        <v>NaN</v>
      </c>
      <c r="BO34" s="5" t="str">
        <f>IF(_xlfn.XLOOKUP($B34,rf1_data!$B:$B,rf1_data!BG:BG,"NaN")="","NaN",(_xlfn.XLOOKUP($B34,rf1_data!$B:$B,rf1_data!BG:BG,"NaN")))</f>
        <v>NaN</v>
      </c>
      <c r="BP34" s="5" t="str">
        <f>IF(_xlfn.XLOOKUP($B34,rf1_data!$B:$B,rf1_data!BH:BH,"NaN")="","NaN",(_xlfn.XLOOKUP($B34,rf1_data!$B:$B,rf1_data!BH:BH,"NaN")))</f>
        <v>NaN</v>
      </c>
      <c r="BQ34" s="5" t="str">
        <f>IF(_xlfn.XLOOKUP($B34,rf1_data!$B:$B,rf1_data!BI:BI,"NaN")="","NaN",(_xlfn.XLOOKUP($B34,rf1_data!$B:$B,rf1_data!BI:BI,"NaN")))</f>
        <v>NaN</v>
      </c>
      <c r="BR34" s="5">
        <f>IF(_xlfn.XLOOKUP($B34,rf1_data!$B:$B,rf1_data!BJ:BJ,"NaN")="","NaN",(_xlfn.XLOOKUP($B34,rf1_data!$B:$B,rf1_data!BJ:BJ,"NaN")))</f>
        <v>8991</v>
      </c>
      <c r="BS34" s="5" t="str">
        <f>IF(_xlfn.XLOOKUP($B34,rf1_data!$B:$B,rf1_data!BK:BK,"NaN")="","NaN",(_xlfn.XLOOKUP($B34,rf1_data!$B:$B,rf1_data!BK:BK,"NaN")))</f>
        <v>NaN</v>
      </c>
      <c r="BT34" s="5" t="str">
        <f>IF(_xlfn.XLOOKUP($B34,rf1_data!$B:$B,rf1_data!BL:BL,"NaN")="","NaN",(_xlfn.XLOOKUP($B34,rf1_data!$B:$B,rf1_data!BL:BL,"NaN")))</f>
        <v>NaN</v>
      </c>
      <c r="BU34" s="5" t="str">
        <f>IF(_xlfn.XLOOKUP($B34,rf1_data!$B:$B,rf1_data!BM:BM,"NaN")="","NaN",(_xlfn.XLOOKUP($B34,rf1_data!$B:$B,rf1_data!BM:BM,"NaN")))</f>
        <v>NaN</v>
      </c>
      <c r="BV34" s="5" t="str">
        <f>IF(_xlfn.XLOOKUP($B34,rf1_data!$B:$B,rf1_data!BN:BN,"NaN")="","NaN",(_xlfn.XLOOKUP($B34,rf1_data!$B:$B,rf1_data!BN:BN,"NaN")))</f>
        <v>NaN</v>
      </c>
      <c r="BW34" s="5">
        <f>IF(_xlfn.XLOOKUP($B34,rf1_data!$B:$B,rf1_data!BO:BO,"NaN")="","NaN",(_xlfn.XLOOKUP($B34,rf1_data!$B:$B,rf1_data!BO:BO,"NaN")))</f>
        <v>3.5</v>
      </c>
      <c r="BX34" s="5">
        <f>IF(_xlfn.XLOOKUP($B34,rf1_data!$B:$B,rf1_data!BP:BP,"NaN")="","NaN",(_xlfn.XLOOKUP($B34,rf1_data!$B:$B,rf1_data!BP:BP,"NaN")))</f>
        <v>2.6</v>
      </c>
      <c r="BY34" s="5">
        <f>IF(_xlfn.XLOOKUP($B34,rf1_data!$B:$B,rf1_data!BQ:BQ,"NaN")="","NaN",(_xlfn.XLOOKUP($B34,rf1_data!$B:$B,rf1_data!BQ:BQ,"NaN")))</f>
        <v>2.8</v>
      </c>
      <c r="BZ34" s="5">
        <f>IF(_xlfn.XLOOKUP($B34,rf1_data!$B:$B,rf1_data!BR:BR,"NaN")="","NaN",(_xlfn.XLOOKUP($B34,rf1_data!$B:$B,rf1_data!BR:BR,"NaN")))</f>
        <v>2.97</v>
      </c>
      <c r="CA34" s="5">
        <f>IF(_xlfn.XLOOKUP($B34,rf1_data!$B:$B,rf1_data!BS:BS,"NaN")="","NaN",(_xlfn.XLOOKUP($B34,rf1_data!$B:$B,rf1_data!BS:BS,"NaN")))</f>
        <v>5.8333333333333304</v>
      </c>
      <c r="CB34" s="5">
        <f>IF(_xlfn.XLOOKUP($B34,rf1_data!$B:$B,rf1_data!BT:BT,"NaN")="","NaN",(_xlfn.XLOOKUP($B34,rf1_data!$B:$B,rf1_data!BT:BT,"NaN")))</f>
        <v>6</v>
      </c>
      <c r="CC34" s="5">
        <f>IF(_xlfn.XLOOKUP($B34,rf1_data!$B:$B,rf1_data!BU:BU,"NaN")="","NaN",(_xlfn.XLOOKUP($B34,rf1_data!$B:$B,rf1_data!BU:BU,"NaN")))</f>
        <v>6</v>
      </c>
      <c r="CD34" s="5">
        <f>IF(_xlfn.XLOOKUP($B34,rf1_data!$B:$B,rf1_data!BV:BV,"NaN")="","NaN",(_xlfn.XLOOKUP($B34,rf1_data!$B:$B,rf1_data!BV:BV,"NaN")))</f>
        <v>2.6666666666666599</v>
      </c>
      <c r="CE34" s="5">
        <f>IF(_xlfn.XLOOKUP($B34,rf1_data!$B:$B,rf1_data!BW:BW,"NaN")="","NaN",(_xlfn.XLOOKUP($B34,rf1_data!$B:$B,rf1_data!BW:BW,"NaN")))</f>
        <v>1.75</v>
      </c>
      <c r="CF34" s="5">
        <f>IF(_xlfn.XLOOKUP($B34,rf1_data!$B:$B,rf1_data!BX:BX,"NaN")="","NaN",(_xlfn.XLOOKUP($B34,rf1_data!$B:$B,rf1_data!BX:BX,"NaN")))</f>
        <v>0</v>
      </c>
      <c r="CG34" s="5">
        <f>IF(_xlfn.XLOOKUP($B34,rf1_data!$B:$B,rf1_data!BY:BY,"NaN")="","NaN",(_xlfn.XLOOKUP($B34,rf1_data!$B:$B,rf1_data!BY:BY,"NaN")))</f>
        <v>0</v>
      </c>
      <c r="CH34" s="5">
        <f>IF(_xlfn.XLOOKUP($B34,rf1_data!$B:$B,rf1_data!BZ:BZ,"NaN")="","NaN",(_xlfn.XLOOKUP($B34,rf1_data!$B:$B,rf1_data!BZ:BZ,"NaN")))</f>
        <v>12</v>
      </c>
      <c r="CI34" s="5">
        <f>IF(_xlfn.XLOOKUP($B34,rf1_data!$B:$B,rf1_data!CA:CA,"NaN")="","NaN",(_xlfn.XLOOKUP($B34,rf1_data!$B:$B,rf1_data!CA:CA,"NaN")))</f>
        <v>20</v>
      </c>
      <c r="CJ34" s="5" t="str">
        <f>IF(_xlfn.XLOOKUP($B34,rf1_data!$B:$B,rf1_data!CB:CB,"NaN")="","NaN",(_xlfn.XLOOKUP($B34,rf1_data!$B:$B,rf1_data!CB:CB,"NaN")))</f>
        <v>NaN</v>
      </c>
      <c r="CK34" s="5">
        <f>IF(_xlfn.XLOOKUP($B34,rf1_data!$B:$B,rf1_data!CC:CC,"NaN")="","NaN",(_xlfn.XLOOKUP($B34,rf1_data!$B:$B,rf1_data!CC:CC,"NaN")))</f>
        <v>0</v>
      </c>
      <c r="CL34" s="5">
        <f>IF(_xlfn.XLOOKUP($B34,rf1_data!$B:$B,rf1_data!CD:CD,"NaN")=0,"NaN",(_xlfn.XLOOKUP($B34,rf1_data!$B:$B,rf1_data!CD:CD,"NaN")))</f>
        <v>12</v>
      </c>
      <c r="CM34" s="5">
        <f>IF(_xlfn.XLOOKUP($B34,rf1_data!$B:$B,rf1_data!CE:CE,"NaN")="","NaN",(_xlfn.XLOOKUP($B34,rf1_data!$B:$B,rf1_data!CE:CE,"NaN")))</f>
        <v>35</v>
      </c>
      <c r="CN34" s="5">
        <f>IF(_xlfn.XLOOKUP($B34,rf1_data!$B:$B,rf1_data!CF:CF,"NaN")="","NaN",(_xlfn.XLOOKUP($B34,rf1_data!$B:$B,rf1_data!CF:CF,"NaN")))</f>
        <v>41</v>
      </c>
      <c r="CO34" s="5">
        <f>IF(_xlfn.XLOOKUP($B34,rf1_data!$B:$B,rf1_data!CG:CG,"NaN")="","NaN",(_xlfn.XLOOKUP($B34,rf1_data!$B:$B,rf1_data!CG:CG,"NaN")))</f>
        <v>21</v>
      </c>
      <c r="CP34" s="5">
        <f>IF(_xlfn.XLOOKUP($B34,rf1_data!$B:$B,rf1_data!CH:CH,"NaN")=0,"NaN",(_xlfn.XLOOKUP($B34,rf1_data!$B:$B,rf1_data!CH:CH,"NaN")))</f>
        <v>32</v>
      </c>
      <c r="CQ34" s="5">
        <f>IF(_xlfn.XLOOKUP($B34,rf1_data!$B:$B,rf1_data!CI:CI,"NaN")="","NaN",(_xlfn.XLOOKUP($B34,rf1_data!$B:$B,rf1_data!CI:CI,"NaN")))</f>
        <v>45</v>
      </c>
      <c r="CR34" s="5">
        <f>IF(_xlfn.XLOOKUP($B34,rf1_data!$B:$B,rf1_data!CJ:CJ,"NaN")="","NaN",(_xlfn.XLOOKUP($B34,rf1_data!$B:$B,rf1_data!CJ:CJ,"NaN")))</f>
        <v>60</v>
      </c>
      <c r="CS34" s="5">
        <f>IF(_xlfn.XLOOKUP($B34,rf1_data!$B:$B,rf1_data!CK:CK,"NaN")="","NaN",(_xlfn.XLOOKUP($B34,rf1_data!$B:$B,rf1_data!CK:CK,"NaN")))</f>
        <v>48</v>
      </c>
      <c r="CT34" s="5">
        <f>IF(_xlfn.XLOOKUP($B34,rf1_data!$B:$B,rf1_data!CL:CL,"NaN")="","NaN",(_xlfn.XLOOKUP($B34,rf1_data!$B:$B,rf1_data!CL:CL,"NaN")))</f>
        <v>60</v>
      </c>
      <c r="CU34" s="5">
        <f>IF(_xlfn.XLOOKUP($B34,rf1_data!$B:$B,rf1_data!CM:CM,"NaN")="","NaN",(_xlfn.XLOOKUP($B34,rf1_data!$B:$B,rf1_data!CM:CM,"NaN")))</f>
        <v>44</v>
      </c>
      <c r="CV34" s="5">
        <f>IF(_xlfn.XLOOKUP($B34,rf1_data!$B:$B,rf1_data!CN:CN,"NaN")="","NaN",(_xlfn.XLOOKUP($B34,rf1_data!$B:$B,rf1_data!CN:CN,"NaN")))</f>
        <v>60</v>
      </c>
      <c r="CW34" s="5" t="str">
        <f>IF(_xlfn.XLOOKUP($B34,rf1_data!$B:$B,rf1_data!CO:CO,"NaN")="","NaN",(_xlfn.XLOOKUP($B34,rf1_data!$B:$B,rf1_data!CO:CO,"NaN")))</f>
        <v>NaN</v>
      </c>
      <c r="CX34" s="5" t="str">
        <f>IF(_xlfn.XLOOKUP($B34,rf1_data!$B:$B,rf1_data!CP:CP,"NaN")="","NaN",(_xlfn.XLOOKUP($B34,rf1_data!$B:$B,rf1_data!CP:CP,"NaN")))</f>
        <v>NaN</v>
      </c>
      <c r="CY34" s="5">
        <f>IF(_xlfn.XLOOKUP($B34,rf1_data!$B:$B,rf1_data!CQ:CQ,"NaN")="","NaN",(_xlfn.XLOOKUP($B34,rf1_data!$B:$B,rf1_data!CQ:CQ,"NaN")))</f>
        <v>7</v>
      </c>
      <c r="CZ34" s="5">
        <f>IF(_xlfn.XLOOKUP($B34,rf1_data!$B:$B,rf1_data!CR:CR,"NaN")="","NaN",(_xlfn.XLOOKUP($B34,rf1_data!$B:$B,rf1_data!CR:CR,"NaN")))</f>
        <v>2</v>
      </c>
      <c r="DA34" s="5">
        <f>IF(_xlfn.XLOOKUP($B34,rf1_data!$B:$B,rf1_data!CS:CS,"NaN")="","NaN",(_xlfn.XLOOKUP($B34,rf1_data!$B:$B,rf1_data!CS:CS,"NaN")))</f>
        <v>5</v>
      </c>
      <c r="DB34" s="4">
        <f>IF(_xlfn.XLOOKUP($B34,island_data!$B:$B,island_data!H:H,"NaN")="","NaN",_xlfn.XLOOKUP($B34,island_data!$B:$B,island_data!H:H,"NaN"))</f>
        <v>0</v>
      </c>
      <c r="DC34" s="4">
        <f>IF(_xlfn.XLOOKUP($B34,island_data!$B:$B,island_data!I:I,"NaN")="","NaN",_xlfn.XLOOKUP($B34,island_data!$B:$B,island_data!I:I,"NaN"))</f>
        <v>0</v>
      </c>
      <c r="DD34" s="4">
        <f>IF(_xlfn.XLOOKUP($B34,island_data!$B:$B,island_data!J:J,"NaN")="","NaN",_xlfn.XLOOKUP($B34,island_data!$B:$B,island_data!J:J,"NaN"))</f>
        <v>2</v>
      </c>
      <c r="DE34" s="4">
        <f>IF(_xlfn.XLOOKUP($B34,island_data!$B:$B,island_data!K:K,"NaN")="","NaN",_xlfn.XLOOKUP($B34,island_data!$B:$B,island_data!K:K,"NaN"))</f>
        <v>8</v>
      </c>
      <c r="DF34" s="4">
        <f>IF(_xlfn.XLOOKUP($B34,island_data!$B:$B,island_data!L:L,"NaN")="","NaN",_xlfn.XLOOKUP($B34,island_data!$B:$B,island_data!L:L,"NaN"))</f>
        <v>0</v>
      </c>
      <c r="DG34" s="4">
        <f>IF(_xlfn.XLOOKUP($B34,island_data!$B:$B,island_data!M:M,"NaN")="","NaN",_xlfn.XLOOKUP($B34,island_data!$B:$B,island_data!M:M,"NaN"))</f>
        <v>1.8333333333333299</v>
      </c>
      <c r="DH34" s="4">
        <f>IF(_xlfn.XLOOKUP($B34,island_data!$B:$B,island_data!N:N,"NaN")="","NaN",_xlfn.XLOOKUP($B34,island_data!$B:$B,island_data!N:N,"NaN"))</f>
        <v>6</v>
      </c>
      <c r="DI34" s="4" t="str">
        <f>IF(_xlfn.XLOOKUP($B34,island_data!$B:$B,island_data!O:O,"NaN")=999,"NaN",_xlfn.XLOOKUP($B34,island_data!$B:$B,island_data!O:O,"NaN"))</f>
        <v>NaN</v>
      </c>
      <c r="DJ34" s="4">
        <f>IF(_xlfn.XLOOKUP($B34,island_data!$B:$B,island_data!P:P,"NaN")="","NaN",_xlfn.XLOOKUP($B34,island_data!$B:$B,island_data!P:P,"NaN"))</f>
        <v>4</v>
      </c>
      <c r="DK34" s="4">
        <f>IF(_xlfn.XLOOKUP($B34,island_data!$B:$B,island_data!Q:Q,"NaN")="","NaN",_xlfn.XLOOKUP($B34,island_data!$B:$B,island_data!Q:Q,"NaN"))</f>
        <v>0</v>
      </c>
      <c r="DL34" s="4" t="str">
        <f>IF(_xlfn.XLOOKUP($B34,island_data!$B:$B,island_data!R:R,"NaN")=999,"NaN",_xlfn.XLOOKUP($B34,island_data!$B:$B,island_data!R:R,"NaN"))</f>
        <v>NaN</v>
      </c>
      <c r="DM34" s="4">
        <f>IF(_xlfn.XLOOKUP($B34,island_data!$B:$B,island_data!S:S,"NaN")="","NaN",_xlfn.XLOOKUP($B34,island_data!$B:$B,island_data!S:S,"NaN"))</f>
        <v>6</v>
      </c>
      <c r="DN34" s="4">
        <f>IF(_xlfn.XLOOKUP($B34,island_data!$B:$B,island_data!T:T,"NaN")="","NaN",_xlfn.XLOOKUP($B34,island_data!$B:$B,island_data!T:T,"NaN"))</f>
        <v>3.4166666666666599</v>
      </c>
      <c r="DO34" s="4">
        <f>IF(_xlfn.XLOOKUP($B34,island_data!$B:$B,island_data!U:U,"NaN")="","NaN",_xlfn.XLOOKUP($B34,island_data!$B:$B,island_data!U:U,"NaN"))</f>
        <v>1</v>
      </c>
      <c r="DP34" s="4">
        <f>IF(_xlfn.XLOOKUP($B34,island_data!$B:$B,island_data!V:V,"NaN")="","NaN",_xlfn.XLOOKUP($B34,island_data!$B:$B,island_data!V:V,"NaN"))</f>
        <v>1</v>
      </c>
      <c r="DQ34" s="4">
        <f>IF(_xlfn.XLOOKUP($B34,island_data!$B:$B,island_data!W:W,"NaN")="","NaN",_xlfn.XLOOKUP($B34,island_data!$B:$B,island_data!W:W,"NaN"))</f>
        <v>5</v>
      </c>
      <c r="DR34" s="4">
        <f>IF(_xlfn.XLOOKUP($B34,island_data!$B:$B,island_data!X:X,"NaN")="","NaN",_xlfn.XLOOKUP($B34,island_data!$B:$B,island_data!X:X,"NaN"))</f>
        <v>1</v>
      </c>
      <c r="DS34" s="4" t="str">
        <f>IF(_xlfn.XLOOKUP($B34,island_data!$B:$B,island_data!Y:Y,"NaN")="","NaN",_xlfn.XLOOKUP($B34,island_data!$B:$B,island_data!Y:Y,"NaN"))</f>
        <v>NaN</v>
      </c>
      <c r="DT34" s="4" t="str">
        <f>IF(_xlfn.XLOOKUP($B34,island_data!$B:$B,island_data!Z:Z,"NaN")="","NaN",_xlfn.XLOOKUP($B34,island_data!$B:$B,island_data!Z:Z,"NaN"))</f>
        <v>NaN</v>
      </c>
      <c r="DU34" s="4" t="str">
        <f>IF(_xlfn.XLOOKUP($B34,island_data!$B:$B,island_data!AA:AA,"NaN")="","NaN",_xlfn.XLOOKUP($B34,island_data!$B:$B,island_data!AA:AA,"NaN"))</f>
        <v>NaN</v>
      </c>
      <c r="DV34" s="4">
        <f>IF(_xlfn.XLOOKUP($B34,island_data!$B:$B,island_data!AB:AB,"NaN")="","NaN",_xlfn.XLOOKUP($B34,island_data!$B:$B,island_data!AB:AB,"NaN"))</f>
        <v>1</v>
      </c>
      <c r="DW34" s="4" t="str">
        <f>IF(_xlfn.XLOOKUP($B34,island_data!$B:$B,island_data!AC:AC,"NaN")="","NaN",_xlfn.XLOOKUP($B34,island_data!$B:$B,island_data!AC:AC,"NaN"))</f>
        <v>NaN</v>
      </c>
      <c r="DX34" s="4">
        <f>IF(_xlfn.XLOOKUP($B34,island_data!$B:$B,island_data!AD:AD,"NaN")="","NaN",_xlfn.XLOOKUP($B34,island_data!$B:$B,island_data!AD:AD,"NaN"))</f>
        <v>5</v>
      </c>
      <c r="DY34" s="4">
        <f>IF(_xlfn.XLOOKUP($B34,island_data!$B:$B,island_data!AE:AE,"NaN")="","NaN",_xlfn.XLOOKUP($B34,island_data!$B:$B,island_data!AE:AE,"NaN"))</f>
        <v>1</v>
      </c>
      <c r="DZ34" s="4" t="str">
        <f>IF(_xlfn.XLOOKUP($B34,island_data!$B:$B,island_data!AF:AF,"NaN")="","NaN",_xlfn.XLOOKUP($B34,island_data!$B:$B,island_data!AF:AF,"NaN"))</f>
        <v>NaN</v>
      </c>
      <c r="EA34" s="4" t="str">
        <f>IF(_xlfn.XLOOKUP($B34,island_data!$B:$B,island_data!AG:AG,"NaN")="","NaN",_xlfn.XLOOKUP($B34,island_data!$B:$B,island_data!AG:AG,"NaN"))</f>
        <v>NaN</v>
      </c>
      <c r="EB34" s="4" t="str">
        <f>IF(_xlfn.XLOOKUP($B34,island_data!$B:$B,island_data!AH:AH,"NaN")="","NaN",_xlfn.XLOOKUP($B34,island_data!$B:$B,island_data!AH:AH,"NaN"))</f>
        <v>NaN</v>
      </c>
      <c r="EC34" s="4" t="str">
        <f>IF(_xlfn.XLOOKUP($B34,island_data!$B:$B,island_data!AI:AI,"NaN")="","NaN",_xlfn.XLOOKUP($B34,island_data!$B:$B,island_data!AI:AI,"NaN"))</f>
        <v>NaN</v>
      </c>
      <c r="ED34" s="4" t="str">
        <f>IF(_xlfn.XLOOKUP($B34,island_data!$B:$B,island_data!AJ:AJ,"NaN")="","NaN",_xlfn.XLOOKUP($B34,island_data!$B:$B,island_data!AJ:AJ,"NaN"))</f>
        <v>NaN</v>
      </c>
      <c r="EE34" s="4" t="str">
        <f>IF(_xlfn.XLOOKUP($B34,island_data!$B:$B,island_data!AK:AK,"NaN")="","NaN",_xlfn.XLOOKUP($B34,island_data!$B:$B,island_data!AK:AK,"NaN"))</f>
        <v>NaN</v>
      </c>
      <c r="EF34" s="4" t="str">
        <f>IF(_xlfn.XLOOKUP($B34,island_data!$B:$B,island_data!AL:AL,"NaN")="","NaN",_xlfn.XLOOKUP($B34,island_data!$B:$B,island_data!AL:AL,"NaN"))</f>
        <v>NaN</v>
      </c>
      <c r="EG34" s="4" t="str">
        <f>IF(_xlfn.XLOOKUP($B34,island_data!$B:$B,island_data!AM:AM,"NaN")="","NaN",_xlfn.XLOOKUP($B34,island_data!$B:$B,island_data!AM:AM,"NaN"))</f>
        <v>NaN</v>
      </c>
      <c r="EH34" s="4" t="str">
        <f>IF(_xlfn.XLOOKUP($B34,island_data!$B:$B,island_data!AN:AN,"NaN")="","NaN",_xlfn.XLOOKUP($B34,island_data!$B:$B,island_data!AN:AN,"NaN"))</f>
        <v>NaN</v>
      </c>
      <c r="EI34" s="4" t="str">
        <f>IF(_xlfn.XLOOKUP($B34,island_data!$B:$B,island_data!AO:AO,"NaN")="","NaN",_xlfn.XLOOKUP($B34,island_data!$B:$B,island_data!AO:AO,"NaN"))</f>
        <v>NaN</v>
      </c>
      <c r="EJ34" s="8">
        <f>IF(_xlfn.XLOOKUP($A34,TabCAT!$A:$A,TabCAT!AU:AU,"NaN")="","NaN",(_xlfn.XLOOKUP($A34,TabCAT!$A:$A,TabCAT!AU:AU,"NaN")))</f>
        <v>162</v>
      </c>
      <c r="EK34" s="8" t="b">
        <f>IF(_xlfn.XLOOKUP($A34,TabCAT!$A:$A,TabCAT!AV:AV,"NaN")="","NaN",(_xlfn.XLOOKUP($A34,TabCAT!$A:$A,TabCAT!AV:AV,"NaN")))</f>
        <v>1</v>
      </c>
      <c r="EL34" s="8">
        <f>IF(_xlfn.XLOOKUP($A34,TabCAT!$A:$A,TabCAT!AW:AW,"NaN")="","NaN",(_xlfn.XLOOKUP($A34,TabCAT!$A:$A,TabCAT!AW:AW,"NaN")))</f>
        <v>6</v>
      </c>
      <c r="EM34" s="8">
        <f>IF(_xlfn.XLOOKUP($A34,TabCAT!$A:$A,TabCAT!AX:AX,"NaN")="","NaN",(_xlfn.XLOOKUP($A34,TabCAT!$A:$A,TabCAT!AX:AX,"NaN")))</f>
        <v>0</v>
      </c>
      <c r="EN34" s="8">
        <f>IF(_xlfn.XLOOKUP($A34,TabCAT!$A:$A,TabCAT!AY:AY,"NaN")="","NaN",(_xlfn.XLOOKUP($A34,TabCAT!$A:$A,TabCAT!AY:AY,"NaN")))</f>
        <v>8.4</v>
      </c>
      <c r="EO34" s="8">
        <f>IF(_xlfn.XLOOKUP($A34,TabCAT!$A:$A,TabCAT!AZ:AZ,"NaN")="","NaN",(_xlfn.XLOOKUP($A34,TabCAT!$A:$A,TabCAT!AZ:AZ,"NaN")))</f>
        <v>29</v>
      </c>
      <c r="EP34" s="8">
        <f>IF(_xlfn.XLOOKUP($A34,TabCAT!$A:$A,TabCAT!BA:BA,"NaN")="","NaN",(_xlfn.XLOOKUP($A34,TabCAT!$A:$A,TabCAT!BA:BA,"NaN")))</f>
        <v>0.70737499999999998</v>
      </c>
      <c r="EQ34" s="8">
        <f>IF(_xlfn.XLOOKUP($A34,TabCAT!$A:$A,TabCAT!BB:BB,"NaN")="","NaN",(_xlfn.XLOOKUP($A34,TabCAT!$A:$A,TabCAT!BB:BB,"NaN")))</f>
        <v>0.27951608909512599</v>
      </c>
      <c r="ER34" s="8">
        <f>IF(_xlfn.XLOOKUP($A34,TabCAT!$A:$A,TabCAT!BC:BC,"NaN")="","NaN",(_xlfn.XLOOKUP($A34,TabCAT!$A:$A,TabCAT!BC:BC,"NaN")))</f>
        <v>14</v>
      </c>
      <c r="ES34" s="8">
        <f>IF(_xlfn.XLOOKUP($A34,TabCAT!$A:$A,TabCAT!BD:BD,"NaN")="","NaN",(_xlfn.XLOOKUP($A34,TabCAT!$A:$A,TabCAT!BD:BD,"NaN")))</f>
        <v>0.64453050000000001</v>
      </c>
      <c r="ET34" s="8">
        <f>IF(_xlfn.XLOOKUP($A34,TabCAT!$A:$A,TabCAT!BE:BE,"NaN")="","NaN",(_xlfn.XLOOKUP($A34,TabCAT!$A:$A,TabCAT!BE:BE,"NaN")))</f>
        <v>15</v>
      </c>
      <c r="EU34" s="8">
        <f>IF(_xlfn.XLOOKUP($A34,TabCAT!$A:$A,TabCAT!BF:BF,"NaN")="","NaN",(_xlfn.XLOOKUP($A34,TabCAT!$A:$A,TabCAT!BF:BF,"NaN")))</f>
        <v>0.78176400000000001</v>
      </c>
      <c r="EV34" s="8">
        <f>IF(_xlfn.XLOOKUP($A34,TabCAT!$A:$A,TabCAT!BG:BG,"NaN")="","NaN",(_xlfn.XLOOKUP($A34,TabCAT!$A:$A,TabCAT!BG:BG,"NaN")))</f>
        <v>-9.4339999999999993E-2</v>
      </c>
      <c r="EW34" s="8" t="str">
        <f>IF(_xlfn.XLOOKUP($A34,TabCAT!$A:$A,TabCAT!BH:BH,"NaN")="","NaN",(_xlfn.XLOOKUP($A34,TabCAT!$A:$A,TabCAT!BH:BH,"NaN")))</f>
        <v>3.0.0</v>
      </c>
      <c r="EX34" s="8" t="str">
        <f>IF(_xlfn.XLOOKUP($A34,TabCAT!$A:$A,TabCAT!BI:BI,"NaN")="","NaN",(_xlfn.XLOOKUP($A34,TabCAT!$A:$A,TabCAT!BI:BI,"NaN")))</f>
        <v>English</v>
      </c>
      <c r="EY34" s="8">
        <f>IF(_xlfn.XLOOKUP($A34,TabCAT!$A:$A,TabCAT!BJ:BJ,"NaN")="","NaN",(_xlfn.XLOOKUP($A34,TabCAT!$A:$A,TabCAT!BJ:BJ,"NaN")))</f>
        <v>279</v>
      </c>
      <c r="EZ34" s="8">
        <f>IF(_xlfn.XLOOKUP($A34,TabCAT!$A:$A,TabCAT!BK:BK,"NaN")="","NaN",(_xlfn.XLOOKUP($A34,TabCAT!$A:$A,TabCAT!BK:BK,"NaN")))</f>
        <v>1</v>
      </c>
      <c r="FA34" s="8">
        <f>IF(_xlfn.XLOOKUP($A34,TabCAT!$A:$A,TabCAT!BL:BL,"NaN")="","NaN",(_xlfn.XLOOKUP($A34,TabCAT!$A:$A,TabCAT!BL:BL,"NaN")))</f>
        <v>6</v>
      </c>
      <c r="FB34" s="8">
        <f>IF(_xlfn.XLOOKUP($A34,TabCAT!$A:$A,TabCAT!BM:BM,"NaN")="","NaN",(_xlfn.XLOOKUP($A34,TabCAT!$A:$A,TabCAT!BM:BM,"NaN")))</f>
        <v>1</v>
      </c>
      <c r="FC34" s="8">
        <f>IF(_xlfn.XLOOKUP($A34,TabCAT!$A:$A,TabCAT!BN:BN,"NaN")="","NaN",(_xlfn.XLOOKUP($A34,TabCAT!$A:$A,TabCAT!BN:BN,"NaN")))</f>
        <v>6</v>
      </c>
      <c r="FD34" s="8">
        <f>IF(_xlfn.XLOOKUP($A34,TabCAT!$A:$A,TabCAT!BO:BO,"NaN")="","NaN",(_xlfn.XLOOKUP($A34,TabCAT!$A:$A,TabCAT!BO:BO,"NaN")))</f>
        <v>9</v>
      </c>
      <c r="FE34" s="8">
        <f>IF(_xlfn.XLOOKUP($A34,TabCAT!$A:$A,TabCAT!BP:BP,"NaN")="","NaN",(_xlfn.XLOOKUP($A34,TabCAT!$A:$A,TabCAT!BP:BP,"NaN")))</f>
        <v>1</v>
      </c>
      <c r="FF34" s="8">
        <f>IF(_xlfn.XLOOKUP($A34,TabCAT!$A:$A,TabCAT!BQ:BQ,"NaN")="","NaN",(_xlfn.XLOOKUP($A34,TabCAT!$A:$A,TabCAT!BQ:BQ,"NaN")))</f>
        <v>9</v>
      </c>
      <c r="FG34" s="8">
        <f>IF(_xlfn.XLOOKUP($A34,TabCAT!$A:$A,TabCAT!BR:BR,"NaN")="","NaN",(_xlfn.XLOOKUP($A34,TabCAT!$A:$A,TabCAT!BR:BR,"NaN")))</f>
        <v>10</v>
      </c>
      <c r="FH34" s="8">
        <f>IF(_xlfn.XLOOKUP($A34,TabCAT!$A:$A,TabCAT!BS:BS,"NaN")="","NaN",(_xlfn.XLOOKUP($A34,TabCAT!$A:$A,TabCAT!BS:BS,"NaN")))</f>
        <v>0.83333333333333304</v>
      </c>
      <c r="FI34" s="8">
        <f>IF(_xlfn.XLOOKUP($A34,TabCAT!$A:$A,TabCAT!BT:BT,"NaN")="","NaN",(_xlfn.XLOOKUP($A34,TabCAT!$A:$A,TabCAT!BT:BT,"NaN")))</f>
        <v>8.5</v>
      </c>
      <c r="FJ34" s="8">
        <f>IF(_xlfn.XLOOKUP($A34,TabCAT!$A:$A,TabCAT!BU:BU,"NaN")="","NaN",(_xlfn.XLOOKUP($A34,TabCAT!$A:$A,TabCAT!BU:BU,"NaN")))</f>
        <v>10</v>
      </c>
      <c r="FK34" s="8">
        <f>IF(_xlfn.XLOOKUP($A34,TabCAT!$A:$A,TabCAT!BV:BV,"NaN")="","NaN",(_xlfn.XLOOKUP($A34,TabCAT!$A:$A,TabCAT!BV:BV,"NaN")))</f>
        <v>0.66666666666666596</v>
      </c>
      <c r="FL34" s="8">
        <f>IF(_xlfn.XLOOKUP($A34,TabCAT!$A:$A,TabCAT!BW:BW,"NaN")="","NaN",(_xlfn.XLOOKUP($A34,TabCAT!$A:$A,TabCAT!BW:BW,"NaN")))</f>
        <v>5.5</v>
      </c>
      <c r="FM34" s="8">
        <f>IF(_xlfn.XLOOKUP($A34,TabCAT!$A:$A,TabCAT!BX:BX,"NaN")="","NaN",(_xlfn.XLOOKUP($A34,TabCAT!$A:$A,TabCAT!BX:BX,"NaN")))</f>
        <v>35</v>
      </c>
      <c r="FN34" s="8">
        <f>IF(_xlfn.XLOOKUP($A34,TabCAT!$A:$A,TabCAT!BY:BY,"NaN")="","NaN",(_xlfn.XLOOKUP($A34,TabCAT!$A:$A,TabCAT!BY:BY,"NaN")))</f>
        <v>0.83333333333333304</v>
      </c>
      <c r="FO34" s="8">
        <f>IF(_xlfn.XLOOKUP($A34,TabCAT!$A:$A,TabCAT!BZ:BZ,"NaN")="","NaN",(_xlfn.XLOOKUP($A34,TabCAT!$A:$A,TabCAT!BZ:BZ,"NaN")))</f>
        <v>29</v>
      </c>
      <c r="FP34" s="8" t="str">
        <f>IF(_xlfn.XLOOKUP($A34,TabCAT!$A:$A,TabCAT!CA:CA,"NaN")="","NaN",(_xlfn.XLOOKUP($A34,TabCAT!$A:$A,TabCAT!CA:CA,"NaN")))</f>
        <v>3.0.0</v>
      </c>
      <c r="FQ34" s="8" t="str">
        <f>IF(_xlfn.XLOOKUP($A34,TabCAT!$A:$A,TabCAT!CB:CB,"NaN")="","NaN",(_xlfn.XLOOKUP($A34,TabCAT!$A:$A,TabCAT!CB:CB,"NaN")))</f>
        <v>English</v>
      </c>
      <c r="FR34" s="8">
        <f>IF(_xlfn.XLOOKUP($A34,TabCAT!$A:$A,TabCAT!CC:CC,"NaN")="","NaN",(_xlfn.XLOOKUP($A34,TabCAT!$A:$A,TabCAT!CC:CC,"NaN")))</f>
        <v>237</v>
      </c>
      <c r="FS34" s="8" t="b">
        <f>IF(_xlfn.XLOOKUP($A34,TabCAT!$A:$A,TabCAT!CD:CD,"NaN")="","NaN",(_xlfn.XLOOKUP($A34,TabCAT!$A:$A,TabCAT!CD:CD,"NaN")))</f>
        <v>1</v>
      </c>
      <c r="FT34" s="8">
        <f>IF(_xlfn.XLOOKUP($A34,TabCAT!$A:$A,TabCAT!CE:CE,"NaN")="","NaN",(_xlfn.XLOOKUP($A34,TabCAT!$A:$A,TabCAT!CE:CE,"NaN")))</f>
        <v>8</v>
      </c>
      <c r="FU34" s="8">
        <f>IF(_xlfn.XLOOKUP($A34,TabCAT!$A:$A,TabCAT!CF:CF,"NaN")="","NaN",(_xlfn.XLOOKUP($A34,TabCAT!$A:$A,TabCAT!CF:CF,"NaN")))</f>
        <v>0</v>
      </c>
      <c r="FV34" s="8">
        <f>IF(_xlfn.XLOOKUP($A34,TabCAT!$A:$A,TabCAT!CG:CG,"NaN")="","NaN",(_xlfn.XLOOKUP($A34,TabCAT!$A:$A,TabCAT!CG:CG,"NaN")))</f>
        <v>8.7899999999999991</v>
      </c>
      <c r="FW34" s="8">
        <f>IF(_xlfn.XLOOKUP($A34,TabCAT!$A:$A,TabCAT!CH:CH,"NaN")="","NaN",(_xlfn.XLOOKUP($A34,TabCAT!$A:$A,TabCAT!CH:CH,"NaN")))</f>
        <v>15</v>
      </c>
      <c r="FX34" s="8">
        <f>IF(_xlfn.XLOOKUP($A34,TabCAT!$A:$A,TabCAT!CI:CI,"NaN")="","NaN",(_xlfn.XLOOKUP($A34,TabCAT!$A:$A,TabCAT!CI:CI,"NaN")))</f>
        <v>0.61134900000000003</v>
      </c>
      <c r="FY34" s="8">
        <f>IF(_xlfn.XLOOKUP($A34,TabCAT!$A:$A,TabCAT!CJ:CJ,"NaN")="","NaN",(_xlfn.XLOOKUP($A34,TabCAT!$A:$A,TabCAT!CJ:CJ,"NaN")))</f>
        <v>16</v>
      </c>
      <c r="FZ34" s="8">
        <f>IF(_xlfn.XLOOKUP($A34,TabCAT!$A:$A,TabCAT!CK:CK,"NaN")="","NaN",(_xlfn.XLOOKUP($A34,TabCAT!$A:$A,TabCAT!CK:CK,"NaN")))</f>
        <v>0.52594149999999995</v>
      </c>
      <c r="GA34" s="8">
        <f>IF(_xlfn.XLOOKUP($A34,TabCAT!$A:$A,TabCAT!CL:CL,"NaN")="","NaN",(_xlfn.XLOOKUP($A34,TabCAT!$A:$A,TabCAT!CL:CL,"NaN")))</f>
        <v>32</v>
      </c>
      <c r="GB34" s="8">
        <f>IF(_xlfn.XLOOKUP($A34,TabCAT!$A:$A,TabCAT!CM:CM,"NaN")="","NaN",(_xlfn.XLOOKUP($A34,TabCAT!$A:$A,TabCAT!CM:CM,"NaN")))</f>
        <v>0.65595800000000004</v>
      </c>
      <c r="GC34" s="8">
        <f>IF(_xlfn.XLOOKUP($A34,TabCAT!$A:$A,TabCAT!CN:CN,"NaN")="","NaN",(_xlfn.XLOOKUP($A34,TabCAT!$A:$A,TabCAT!CN:CN,"NaN")))</f>
        <v>24</v>
      </c>
      <c r="GD34" s="8">
        <f>IF(_xlfn.XLOOKUP($A34,TabCAT!$A:$A,TabCAT!CO:CO,"NaN")="","NaN",(_xlfn.XLOOKUP($A34,TabCAT!$A:$A,TabCAT!CO:CO,"NaN")))</f>
        <v>0.66843849999999905</v>
      </c>
      <c r="GE34" s="8">
        <f>IF(_xlfn.XLOOKUP($A34,TabCAT!$A:$A,TabCAT!CP:CP,"NaN")="","NaN",(_xlfn.XLOOKUP($A34,TabCAT!$A:$A,TabCAT!CP:CP,"NaN")))</f>
        <v>0.328286349373824</v>
      </c>
      <c r="GF34" s="8">
        <f>IF(_xlfn.XLOOKUP($A34,TabCAT!$A:$A,TabCAT!CQ:CQ,"NaN")="","NaN",(_xlfn.XLOOKUP($A34,TabCAT!$A:$A,TabCAT!CQ:CQ,"NaN")))</f>
        <v>49</v>
      </c>
      <c r="GG34" s="8">
        <f>IF(_xlfn.XLOOKUP($A34,TabCAT!$A:$A,TabCAT!CR:CR,"NaN")="","NaN",(_xlfn.XLOOKUP($A34,TabCAT!$A:$A,TabCAT!CR:CR,"NaN")))</f>
        <v>0.57136100000000001</v>
      </c>
      <c r="GH34" s="8">
        <f>IF(_xlfn.XLOOKUP($A34,TabCAT!$A:$A,TabCAT!CS:CS,"NaN")="","NaN",(_xlfn.XLOOKUP($A34,TabCAT!$A:$A,TabCAT!CS:CS,"NaN")))</f>
        <v>1.3913040000000001</v>
      </c>
    </row>
    <row r="35" spans="1:190" x14ac:dyDescent="0.2">
      <c r="A35">
        <v>10657</v>
      </c>
      <c r="B35">
        <f>_xlfn.XLOOKUP(bippity_poppity_boo!A35,rf1_data!A:A,rf1_data!B:B)</f>
        <v>22364</v>
      </c>
      <c r="C35" s="2" t="str">
        <f>(_xlfn.XLOOKUP($A35,trust!$A:$A,trust!B:B,"NaN"))</f>
        <v>NaN</v>
      </c>
      <c r="D35" s="2" t="str">
        <f>(_xlfn.XLOOKUP($A35,trust!$A:$A,trust!C:C,"NaN"))</f>
        <v>NaN</v>
      </c>
      <c r="E35" s="2" t="str">
        <f>(_xlfn.XLOOKUP($A35,trust!$A:$A,trust!D:D,"NaN"))</f>
        <v>NaN</v>
      </c>
      <c r="F35" s="2" t="str">
        <f>(_xlfn.XLOOKUP($A35,trust!$A:$A,trust!E:E,"NaN"))</f>
        <v>NaN</v>
      </c>
      <c r="G35" s="2" t="str">
        <f>(_xlfn.XLOOKUP($A35,trust!$A:$A,trust!F:F,"NaN"))</f>
        <v>NaN</v>
      </c>
      <c r="H35" s="2" t="str">
        <f>(_xlfn.XLOOKUP($A35,trust!$A:$A,trust!G:G,"NaN"))</f>
        <v>NaN</v>
      </c>
      <c r="I35" s="3">
        <f>IF(_xlfn.XLOOKUP($B35,island_data!$B:$B,island_data!C:C,"NaN")="","NaN",_xlfn.XLOOKUP($B35,island_data!$B:$B,island_data!C:C,"NaN"))</f>
        <v>45013</v>
      </c>
      <c r="J35" s="3">
        <f>IF(_xlfn.XLOOKUP($B35,island_data!$B:$B,island_data!D:D,"NaN")="","NaN",_xlfn.XLOOKUP($B35,island_data!$B:$B,island_data!D:D,"NaN"))</f>
        <v>23497</v>
      </c>
      <c r="K35" s="4">
        <f>IF(_xlfn.XLOOKUP($B35,island_data!$B:$B,island_data!E:E,"NaN")="","NaN",_xlfn.XLOOKUP($B35,island_data!$B:$B,island_data!E:E,"NaN"))</f>
        <v>58.91</v>
      </c>
      <c r="L35" s="5">
        <f>IF(_xlfn.XLOOKUP($B35,rf1_data!$B:$B,rf1_data!D:D,"NaN")="","NaN",(_xlfn.XLOOKUP($B35,rf1_data!$B:$B,rf1_data!D:D,"NaN")))</f>
        <v>58.98</v>
      </c>
      <c r="M35" s="5" t="str">
        <f>IF(_xlfn.XLOOKUP($B35,rf1_data!$B:$B,rf1_data!E:E,"NaN")="","NaN",(_xlfn.XLOOKUP($B35,rf1_data!$B:$B,rf1_data!E:E,"NaN")))</f>
        <v>White</v>
      </c>
      <c r="N35" s="5" t="str">
        <f>IF(_xlfn.XLOOKUP($B35,rf1_data!$B:$B,rf1_data!F:F,"NaN")="","NaN",(_xlfn.XLOOKUP($B35,rf1_data!$B:$B,rf1_data!F:F,"NaN")))</f>
        <v>Not Hispanic or Latino</v>
      </c>
      <c r="O35" s="5" t="str">
        <f>IF(_xlfn.XLOOKUP($B35,rf1_data!$B:$B,rf1_data!G:G,"NaN")="","NaN",(_xlfn.XLOOKUP($B35,rf1_data!$B:$B,rf1_data!G:G,"NaN")))</f>
        <v>Male</v>
      </c>
      <c r="P35" s="5">
        <f>IF(_xlfn.XLOOKUP($B35,rf1_data!$B:$B,rf1_data!H:H,"NaN")="","NaN",(_xlfn.XLOOKUP($B35,rf1_data!$B:$B,rf1_data!H:H,"NaN")))</f>
        <v>4.33</v>
      </c>
      <c r="Q35" s="5">
        <f>IF(_xlfn.XLOOKUP($B35,rf1_data!$B:$B,rf1_data!I:I,"NaN")="","NaN",(_xlfn.XLOOKUP($B35,rf1_data!$B:$B,rf1_data!I:I,"NaN")))</f>
        <v>3.8</v>
      </c>
      <c r="R35" s="5">
        <f>IF(_xlfn.XLOOKUP($B35,rf1_data!$B:$B,rf1_data!J:J,"NaN")="","NaN",(_xlfn.XLOOKUP($B35,rf1_data!$B:$B,rf1_data!J:J,"NaN")))</f>
        <v>7</v>
      </c>
      <c r="S35" s="5">
        <f>IF(_xlfn.XLOOKUP($B35,rf1_data!$B:$B,rf1_data!K:K,"NaN")="","NaN",(_xlfn.XLOOKUP($B35,rf1_data!$B:$B,rf1_data!K:K,"NaN")))</f>
        <v>1</v>
      </c>
      <c r="T35" s="5">
        <f>IF(_xlfn.XLOOKUP($B35,rf1_data!$B:$B,rf1_data!L:L,"NaN")="","NaN",(_xlfn.XLOOKUP($B35,rf1_data!$B:$B,rf1_data!L:L,"NaN")))</f>
        <v>0</v>
      </c>
      <c r="U35" s="5">
        <f>IF(_xlfn.XLOOKUP($B35,rf1_data!$B:$B,rf1_data!M:M,"NaN")="","NaN",(_xlfn.XLOOKUP($B35,rf1_data!$B:$B,rf1_data!M:M,"NaN")))</f>
        <v>5.33</v>
      </c>
      <c r="V35" s="5">
        <f>IF(_xlfn.XLOOKUP($B35,rf1_data!$B:$B,rf1_data!N:N,"NaN")="","NaN",(_xlfn.XLOOKUP($B35,rf1_data!$B:$B,rf1_data!N:N,"NaN")))</f>
        <v>5.83</v>
      </c>
      <c r="W35" s="5">
        <f>IF(_xlfn.XLOOKUP($B35,rf1_data!$B:$B,rf1_data!O:O,"NaN")="","NaN",(_xlfn.XLOOKUP($B35,rf1_data!$B:$B,rf1_data!O:O,"NaN")))</f>
        <v>5.5</v>
      </c>
      <c r="X35" s="5">
        <f>IF(_xlfn.XLOOKUP($B35,rf1_data!$B:$B,rf1_data!P:P,"NaN")="","NaN",(_xlfn.XLOOKUP($B35,rf1_data!$B:$B,rf1_data!P:P,"NaN")))</f>
        <v>5.5</v>
      </c>
      <c r="Y35" s="5">
        <f>IF(_xlfn.XLOOKUP($B35,rf1_data!$B:$B,rf1_data!Q:Q,"NaN")="","NaN",(_xlfn.XLOOKUP($B35,rf1_data!$B:$B,rf1_data!Q:Q,"NaN")))</f>
        <v>5.47</v>
      </c>
      <c r="Z35" s="5">
        <f>IF(_xlfn.XLOOKUP($B35,rf1_data!$B:$B,rf1_data!R:R,"NaN")="","NaN",(_xlfn.XLOOKUP($B35,rf1_data!$B:$B,rf1_data!R:R,"NaN")))</f>
        <v>9</v>
      </c>
      <c r="AA35" s="5">
        <f>IF(_xlfn.XLOOKUP($B35,rf1_data!$B:$B,rf1_data!S:S,"NaN")="","NaN",(_xlfn.XLOOKUP($B35,rf1_data!$B:$B,rf1_data!S:S,"NaN")))</f>
        <v>2</v>
      </c>
      <c r="AB35" s="5">
        <f>IF(_xlfn.XLOOKUP($B35,rf1_data!$B:$B,rf1_data!T:T,"NaN")="","NaN",(_xlfn.XLOOKUP($B35,rf1_data!$B:$B,rf1_data!T:T,"NaN")))</f>
        <v>2</v>
      </c>
      <c r="AC35" s="5">
        <f>IF(_xlfn.XLOOKUP($B35,rf1_data!$B:$B,rf1_data!U:U,"NaN")="","NaN",(_xlfn.XLOOKUP($B35,rf1_data!$B:$B,rf1_data!U:U,"NaN")))</f>
        <v>1</v>
      </c>
      <c r="AD35" s="5">
        <f>IF(_xlfn.XLOOKUP($B35,rf1_data!$B:$B,rf1_data!V:V,"NaN")="","NaN",(_xlfn.XLOOKUP($B35,rf1_data!$B:$B,rf1_data!V:V,"NaN")))</f>
        <v>4</v>
      </c>
      <c r="AE35" s="5">
        <f>IF(_xlfn.XLOOKUP($B35,rf1_data!$B:$B,rf1_data!W:W,"NaN")="","NaN",(_xlfn.XLOOKUP($B35,rf1_data!$B:$B,rf1_data!W:W,"NaN")))</f>
        <v>5</v>
      </c>
      <c r="AF35" s="5">
        <f>IF(_xlfn.XLOOKUP($B35,rf1_data!$B:$B,rf1_data!X:X,"NaN")="","NaN",(_xlfn.XLOOKUP($B35,rf1_data!$B:$B,rf1_data!X:X,"NaN")))</f>
        <v>3</v>
      </c>
      <c r="AG35" s="5">
        <f>IF(_xlfn.XLOOKUP($B35,rf1_data!$B:$B,rf1_data!Y:Y,"NaN")="","NaN",(_xlfn.XLOOKUP($B35,rf1_data!$B:$B,rf1_data!Y:Y,"NaN")))</f>
        <v>8</v>
      </c>
      <c r="AH35" s="5">
        <f>IF(_xlfn.XLOOKUP($B35,rf1_data!$B:$B,rf1_data!Z:Z,"NaN")="","NaN",(_xlfn.XLOOKUP($B35,rf1_data!$B:$B,rf1_data!Z:Z,"NaN")))</f>
        <v>7</v>
      </c>
      <c r="AI35" s="5">
        <f>IF(_xlfn.XLOOKUP($B35,rf1_data!$B:$B,rf1_data!AA:AA,"NaN")="","NaN",(_xlfn.XLOOKUP($B35,rf1_data!$B:$B,rf1_data!AA:AA,"NaN")))</f>
        <v>1</v>
      </c>
      <c r="AJ35" s="5">
        <f>IF(_xlfn.XLOOKUP($B35,rf1_data!$B:$B,rf1_data!AB:AB,"NaN")="","NaN",(_xlfn.XLOOKUP($B35,rf1_data!$B:$B,rf1_data!AB:AB,"NaN")))</f>
        <v>24</v>
      </c>
      <c r="AK35" s="5">
        <f>IF(_xlfn.XLOOKUP($B35,rf1_data!$B:$B,rf1_data!AC:AC,"NaN")="","NaN",(_xlfn.XLOOKUP($B35,rf1_data!$B:$B,rf1_data!AC:AC,"NaN")))</f>
        <v>36</v>
      </c>
      <c r="AL35" s="5">
        <f>IF(_xlfn.XLOOKUP($B35,rf1_data!$B:$B,rf1_data!AD:AD,"NaN")="","NaN",(_xlfn.XLOOKUP($B35,rf1_data!$B:$B,rf1_data!AD:AD,"NaN")))</f>
        <v>10</v>
      </c>
      <c r="AM35" s="5">
        <f>IF(_xlfn.XLOOKUP($B35,rf1_data!$B:$B,rf1_data!AE:AE,"NaN")="","NaN",(_xlfn.XLOOKUP($B35,rf1_data!$B:$B,rf1_data!AE:AE,"NaN")))</f>
        <v>0</v>
      </c>
      <c r="AN35" s="5">
        <f>IF(_xlfn.XLOOKUP($B35,rf1_data!$B:$B,rf1_data!AF:AF,"NaN")="","NaN",(_xlfn.XLOOKUP($B35,rf1_data!$B:$B,rf1_data!AF:AF,"NaN")))</f>
        <v>0</v>
      </c>
      <c r="AO35" s="5">
        <f>IF(_xlfn.XLOOKUP($B35,rf1_data!$B:$B,rf1_data!AG:AG,"NaN")="","NaN",(_xlfn.XLOOKUP($B35,rf1_data!$B:$B,rf1_data!AG:AG,"NaN")))</f>
        <v>5.33</v>
      </c>
      <c r="AP35" s="5">
        <f>IF(_xlfn.XLOOKUP($B35,rf1_data!$B:$B,rf1_data!AH:AH,"NaN")="","NaN",(_xlfn.XLOOKUP($B35,rf1_data!$B:$B,rf1_data!AH:AH,"NaN")))</f>
        <v>4.75</v>
      </c>
      <c r="AQ35" s="5">
        <f>IF(_xlfn.XLOOKUP($B35,rf1_data!$B:$B,rf1_data!AI:AI,"NaN")="","NaN",(_xlfn.XLOOKUP($B35,rf1_data!$B:$B,rf1_data!AI:AI,"NaN")))</f>
        <v>5</v>
      </c>
      <c r="AR35" s="5">
        <f>IF(_xlfn.XLOOKUP($B35,rf1_data!$B:$B,rf1_data!AJ:AJ,"NaN")="","NaN",(_xlfn.XLOOKUP($B35,rf1_data!$B:$B,rf1_data!AJ:AJ,"NaN")))</f>
        <v>6.25</v>
      </c>
      <c r="AS35" s="5">
        <f>IF(_xlfn.XLOOKUP($B35,rf1_data!$B:$B,rf1_data!AK:AK,"NaN")="","NaN",(_xlfn.XLOOKUP($B35,rf1_data!$B:$B,rf1_data!AK:AK,"NaN")))</f>
        <v>2.2999999999999998</v>
      </c>
      <c r="AT35" s="5">
        <f>IF(_xlfn.XLOOKUP($B35,rf1_data!$B:$B,rf1_data!AL:AL,"NaN")="","NaN",(_xlfn.XLOOKUP($B35,rf1_data!$B:$B,rf1_data!AL:AL,"NaN")))</f>
        <v>13</v>
      </c>
      <c r="AU35" s="5">
        <f>IF(_xlfn.XLOOKUP($B35,rf1_data!$B:$B,rf1_data!AM:AM,"NaN")="","NaN",(_xlfn.XLOOKUP($B35,rf1_data!$B:$B,rf1_data!AM:AM,"NaN")))</f>
        <v>2.5</v>
      </c>
      <c r="AV35" s="5">
        <f>IF(_xlfn.XLOOKUP($B35,rf1_data!$B:$B,rf1_data!AN:AN,"NaN")="","NaN",(_xlfn.XLOOKUP($B35,rf1_data!$B:$B,rf1_data!AN:AN,"NaN")))</f>
        <v>10</v>
      </c>
      <c r="AW35" s="5">
        <f>IF(_xlfn.XLOOKUP($B35,rf1_data!$B:$B,rf1_data!AO:AO,"NaN")="","NaN",(_xlfn.XLOOKUP($B35,rf1_data!$B:$B,rf1_data!AO:AO,"NaN")))</f>
        <v>2.5</v>
      </c>
      <c r="AX35" s="5">
        <f>IF(_xlfn.XLOOKUP($B35,rf1_data!$B:$B,rf1_data!AP:AP,"NaN")="","NaN",(_xlfn.XLOOKUP($B35,rf1_data!$B:$B,rf1_data!AP:AP,"NaN")))</f>
        <v>3.03</v>
      </c>
      <c r="AY35" s="5">
        <f>IF(_xlfn.XLOOKUP($B35,rf1_data!$B:$B,rf1_data!AQ:AQ,"NaN")="","NaN",(_xlfn.XLOOKUP($B35,rf1_data!$B:$B,rf1_data!AQ:AQ,"NaN")))</f>
        <v>50.1</v>
      </c>
      <c r="AZ35" s="5" t="str">
        <f>IF(_xlfn.XLOOKUP($B35,rf1_data!$B:$B,rf1_data!AR:AR,"NaN")="","NaN",(_xlfn.XLOOKUP($B35,rf1_data!$B:$B,rf1_data!AR:AR,"NaN")))</f>
        <v>NaN</v>
      </c>
      <c r="BA35" s="5" t="str">
        <f>IF(_xlfn.XLOOKUP($B35,rf1_data!$B:$B,rf1_data!AS:AS,"NaN")="","NaN",(_xlfn.XLOOKUP($B35,rf1_data!$B:$B,rf1_data!AS:AS,"NaN")))</f>
        <v>NaN</v>
      </c>
      <c r="BB35" s="5" t="str">
        <f>IF(_xlfn.XLOOKUP($B35,rf1_data!$B:$B,rf1_data!AT:AT,"NaN")="","NaN",(_xlfn.XLOOKUP($B35,rf1_data!$B:$B,rf1_data!AT:AT,"NaN")))</f>
        <v>NaN</v>
      </c>
      <c r="BC35" s="5" t="str">
        <f>IF(_xlfn.XLOOKUP($B35,rf1_data!$B:$B,rf1_data!AU:AU,"NaN")="","NaN",(_xlfn.XLOOKUP($B35,rf1_data!$B:$B,rf1_data!AU:AU,"NaN")))</f>
        <v>NaN</v>
      </c>
      <c r="BD35" s="5" t="str">
        <f>IF(_xlfn.XLOOKUP($B35,rf1_data!$B:$B,rf1_data!AV:AV,"NaN")="","NaN",(_xlfn.XLOOKUP($B35,rf1_data!$B:$B,rf1_data!AV:AV,"NaN")))</f>
        <v>NaN</v>
      </c>
      <c r="BE35" s="5" t="str">
        <f>IF(_xlfn.XLOOKUP($B35,rf1_data!$B:$B,rf1_data!AW:AW,"NaN")="","NaN",(_xlfn.XLOOKUP($B35,rf1_data!$B:$B,rf1_data!AW:AW,"NaN")))</f>
        <v>NaN</v>
      </c>
      <c r="BF35" s="5" t="str">
        <f>IF(_xlfn.XLOOKUP($B35,rf1_data!$B:$B,rf1_data!AX:AX,"NaN")="","NaN",(_xlfn.XLOOKUP($B35,rf1_data!$B:$B,rf1_data!AX:AX,"NaN")))</f>
        <v>NaN</v>
      </c>
      <c r="BG35" s="5" t="str">
        <f>IF(_xlfn.XLOOKUP($B35,rf1_data!$B:$B,rf1_data!AY:AY,"NaN")="","NaN",(_xlfn.XLOOKUP($B35,rf1_data!$B:$B,rf1_data!AY:AY,"NaN")))</f>
        <v>NaN</v>
      </c>
      <c r="BH35" s="5" t="str">
        <f>IF(_xlfn.XLOOKUP($B35,rf1_data!$B:$B,rf1_data!AZ:AZ,"NaN")="","NaN",(_xlfn.XLOOKUP($B35,rf1_data!$B:$B,rf1_data!AZ:AZ,"NaN")))</f>
        <v>NaN</v>
      </c>
      <c r="BI35" s="5">
        <f>IF(_xlfn.XLOOKUP($B35,rf1_data!$B:$B,rf1_data!BA:BA,"NaN")="","NaN",(_xlfn.XLOOKUP($B35,rf1_data!$B:$B,rf1_data!BA:BA,"NaN")))</f>
        <v>20</v>
      </c>
      <c r="BJ35" s="5" t="str">
        <f>IF(_xlfn.XLOOKUP($B35,rf1_data!$B:$B,rf1_data!BB:BB,"NaN")="","NaN",(_xlfn.XLOOKUP($B35,rf1_data!$B:$B,rf1_data!BB:BB,"NaN")))</f>
        <v>NaN</v>
      </c>
      <c r="BK35" s="5" t="str">
        <f>IF(_xlfn.XLOOKUP($B35,rf1_data!$B:$B,rf1_data!BC:BC,"NaN")="","NaN",(_xlfn.XLOOKUP($B35,rf1_data!$B:$B,rf1_data!BC:BC,"NaN")))</f>
        <v>NaN</v>
      </c>
      <c r="BL35" s="5" t="str">
        <f>IF(_xlfn.XLOOKUP($B35,rf1_data!$B:$B,rf1_data!BD:BD,"NaN")="","NaN",(_xlfn.XLOOKUP($B35,rf1_data!$B:$B,rf1_data!BD:BD,"NaN")))</f>
        <v>NaN</v>
      </c>
      <c r="BM35" s="5" t="str">
        <f>IF(_xlfn.XLOOKUP($B35,rf1_data!$B:$B,rf1_data!BE:BE,"NaN")="","NaN",(_xlfn.XLOOKUP($B35,rf1_data!$B:$B,rf1_data!BE:BE,"NaN")))</f>
        <v>NaN</v>
      </c>
      <c r="BN35" s="5" t="str">
        <f>IF(_xlfn.XLOOKUP($B35,rf1_data!$B:$B,rf1_data!BF:BF,"NaN")="","NaN",(_xlfn.XLOOKUP($B35,rf1_data!$B:$B,rf1_data!BF:BF,"NaN")))</f>
        <v>NaN</v>
      </c>
      <c r="BO35" s="5" t="str">
        <f>IF(_xlfn.XLOOKUP($B35,rf1_data!$B:$B,rf1_data!BG:BG,"NaN")="","NaN",(_xlfn.XLOOKUP($B35,rf1_data!$B:$B,rf1_data!BG:BG,"NaN")))</f>
        <v>NaN</v>
      </c>
      <c r="BP35" s="5" t="str">
        <f>IF(_xlfn.XLOOKUP($B35,rf1_data!$B:$B,rf1_data!BH:BH,"NaN")="","NaN",(_xlfn.XLOOKUP($B35,rf1_data!$B:$B,rf1_data!BH:BH,"NaN")))</f>
        <v>NaN</v>
      </c>
      <c r="BQ35" s="5" t="str">
        <f>IF(_xlfn.XLOOKUP($B35,rf1_data!$B:$B,rf1_data!BI:BI,"NaN")="","NaN",(_xlfn.XLOOKUP($B35,rf1_data!$B:$B,rf1_data!BI:BI,"NaN")))</f>
        <v>NaN</v>
      </c>
      <c r="BR35" s="5">
        <f>IF(_xlfn.XLOOKUP($B35,rf1_data!$B:$B,rf1_data!BJ:BJ,"NaN")="","NaN",(_xlfn.XLOOKUP($B35,rf1_data!$B:$B,rf1_data!BJ:BJ,"NaN")))</f>
        <v>8991</v>
      </c>
      <c r="BS35" s="5" t="str">
        <f>IF(_xlfn.XLOOKUP($B35,rf1_data!$B:$B,rf1_data!BK:BK,"NaN")="","NaN",(_xlfn.XLOOKUP($B35,rf1_data!$B:$B,rf1_data!BK:BK,"NaN")))</f>
        <v>NaN</v>
      </c>
      <c r="BT35" s="5" t="str">
        <f>IF(_xlfn.XLOOKUP($B35,rf1_data!$B:$B,rf1_data!BL:BL,"NaN")="","NaN",(_xlfn.XLOOKUP($B35,rf1_data!$B:$B,rf1_data!BL:BL,"NaN")))</f>
        <v>NaN</v>
      </c>
      <c r="BU35" s="5" t="str">
        <f>IF(_xlfn.XLOOKUP($B35,rf1_data!$B:$B,rf1_data!BM:BM,"NaN")="","NaN",(_xlfn.XLOOKUP($B35,rf1_data!$B:$B,rf1_data!BM:BM,"NaN")))</f>
        <v>NaN</v>
      </c>
      <c r="BV35" s="5" t="str">
        <f>IF(_xlfn.XLOOKUP($B35,rf1_data!$B:$B,rf1_data!BN:BN,"NaN")="","NaN",(_xlfn.XLOOKUP($B35,rf1_data!$B:$B,rf1_data!BN:BN,"NaN")))</f>
        <v>NaN</v>
      </c>
      <c r="BW35" s="5">
        <f>IF(_xlfn.XLOOKUP($B35,rf1_data!$B:$B,rf1_data!BO:BO,"NaN")="","NaN",(_xlfn.XLOOKUP($B35,rf1_data!$B:$B,rf1_data!BO:BO,"NaN")))</f>
        <v>3.7</v>
      </c>
      <c r="BX35" s="5">
        <f>IF(_xlfn.XLOOKUP($B35,rf1_data!$B:$B,rf1_data!BP:BP,"NaN")="","NaN",(_xlfn.XLOOKUP($B35,rf1_data!$B:$B,rf1_data!BP:BP,"NaN")))</f>
        <v>3.5</v>
      </c>
      <c r="BY35" s="5">
        <f>IF(_xlfn.XLOOKUP($B35,rf1_data!$B:$B,rf1_data!BQ:BQ,"NaN")="","NaN",(_xlfn.XLOOKUP($B35,rf1_data!$B:$B,rf1_data!BQ:BQ,"NaN")))</f>
        <v>3.6</v>
      </c>
      <c r="BZ35" s="5">
        <f>IF(_xlfn.XLOOKUP($B35,rf1_data!$B:$B,rf1_data!BR:BR,"NaN")="","NaN",(_xlfn.XLOOKUP($B35,rf1_data!$B:$B,rf1_data!BR:BR,"NaN")))</f>
        <v>3.6</v>
      </c>
      <c r="CA35" s="5">
        <f>IF(_xlfn.XLOOKUP($B35,rf1_data!$B:$B,rf1_data!BS:BS,"NaN")="","NaN",(_xlfn.XLOOKUP($B35,rf1_data!$B:$B,rf1_data!BS:BS,"NaN")))</f>
        <v>6</v>
      </c>
      <c r="CB35" s="5">
        <f>IF(_xlfn.XLOOKUP($B35,rf1_data!$B:$B,rf1_data!BT:BT,"NaN")="","NaN",(_xlfn.XLOOKUP($B35,rf1_data!$B:$B,rf1_data!BT:BT,"NaN")))</f>
        <v>2.6666666666666599</v>
      </c>
      <c r="CC35" s="5">
        <f>IF(_xlfn.XLOOKUP($B35,rf1_data!$B:$B,rf1_data!BU:BU,"NaN")="","NaN",(_xlfn.XLOOKUP($B35,rf1_data!$B:$B,rf1_data!BU:BU,"NaN")))</f>
        <v>6</v>
      </c>
      <c r="CD35" s="5">
        <f>IF(_xlfn.XLOOKUP($B35,rf1_data!$B:$B,rf1_data!BV:BV,"NaN")="","NaN",(_xlfn.XLOOKUP($B35,rf1_data!$B:$B,rf1_data!BV:BV,"NaN")))</f>
        <v>6</v>
      </c>
      <c r="CE35" s="5">
        <f>IF(_xlfn.XLOOKUP($B35,rf1_data!$B:$B,rf1_data!BW:BW,"NaN")="","NaN",(_xlfn.XLOOKUP($B35,rf1_data!$B:$B,rf1_data!BW:BW,"NaN")))</f>
        <v>1.1000000000000001</v>
      </c>
      <c r="CF35" s="5">
        <f>IF(_xlfn.XLOOKUP($B35,rf1_data!$B:$B,rf1_data!BX:BX,"NaN")="","NaN",(_xlfn.XLOOKUP($B35,rf1_data!$B:$B,rf1_data!BX:BX,"NaN")))</f>
        <v>0</v>
      </c>
      <c r="CG35" s="5">
        <f>IF(_xlfn.XLOOKUP($B35,rf1_data!$B:$B,rf1_data!BY:BY,"NaN")="","NaN",(_xlfn.XLOOKUP($B35,rf1_data!$B:$B,rf1_data!BY:BY,"NaN")))</f>
        <v>0</v>
      </c>
      <c r="CH35" s="5">
        <f>IF(_xlfn.XLOOKUP($B35,rf1_data!$B:$B,rf1_data!BZ:BZ,"NaN")="","NaN",(_xlfn.XLOOKUP($B35,rf1_data!$B:$B,rf1_data!BZ:BZ,"NaN")))</f>
        <v>19</v>
      </c>
      <c r="CI35" s="5">
        <f>IF(_xlfn.XLOOKUP($B35,rf1_data!$B:$B,rf1_data!CA:CA,"NaN")="","NaN",(_xlfn.XLOOKUP($B35,rf1_data!$B:$B,rf1_data!CA:CA,"NaN")))</f>
        <v>27</v>
      </c>
      <c r="CJ35" s="5">
        <f>IF(_xlfn.XLOOKUP($B35,rf1_data!$B:$B,rf1_data!CB:CB,"NaN")="","NaN",(_xlfn.XLOOKUP($B35,rf1_data!$B:$B,rf1_data!CB:CB,"NaN")))</f>
        <v>7</v>
      </c>
      <c r="CK35" s="5">
        <f>IF(_xlfn.XLOOKUP($B35,rf1_data!$B:$B,rf1_data!CC:CC,"NaN")="","NaN",(_xlfn.XLOOKUP($B35,rf1_data!$B:$B,rf1_data!CC:CC,"NaN")))</f>
        <v>0.7</v>
      </c>
      <c r="CL35" s="5">
        <f>IF(_xlfn.XLOOKUP($B35,rf1_data!$B:$B,rf1_data!CD:CD,"NaN")=0,"NaN",(_xlfn.XLOOKUP($B35,rf1_data!$B:$B,rf1_data!CD:CD,"NaN")))</f>
        <v>26</v>
      </c>
      <c r="CM35" s="5">
        <f>IF(_xlfn.XLOOKUP($B35,rf1_data!$B:$B,rf1_data!CE:CE,"NaN")="","NaN",(_xlfn.XLOOKUP($B35,rf1_data!$B:$B,rf1_data!CE:CE,"NaN")))</f>
        <v>37</v>
      </c>
      <c r="CN35" s="5">
        <f>IF(_xlfn.XLOOKUP($B35,rf1_data!$B:$B,rf1_data!CF:CF,"NaN")="","NaN",(_xlfn.XLOOKUP($B35,rf1_data!$B:$B,rf1_data!CF:CF,"NaN")))</f>
        <v>31</v>
      </c>
      <c r="CO35" s="5">
        <f>IF(_xlfn.XLOOKUP($B35,rf1_data!$B:$B,rf1_data!CG:CG,"NaN")="","NaN",(_xlfn.XLOOKUP($B35,rf1_data!$B:$B,rf1_data!CG:CG,"NaN")))</f>
        <v>26</v>
      </c>
      <c r="CP35" s="5">
        <f>IF(_xlfn.XLOOKUP($B35,rf1_data!$B:$B,rf1_data!CH:CH,"NaN")=0,"NaN",(_xlfn.XLOOKUP($B35,rf1_data!$B:$B,rf1_data!CH:CH,"NaN")))</f>
        <v>32</v>
      </c>
      <c r="CQ35" s="5">
        <f>IF(_xlfn.XLOOKUP($B35,rf1_data!$B:$B,rf1_data!CI:CI,"NaN")="","NaN",(_xlfn.XLOOKUP($B35,rf1_data!$B:$B,rf1_data!CI:CI,"NaN")))</f>
        <v>45</v>
      </c>
      <c r="CR35" s="5">
        <f>IF(_xlfn.XLOOKUP($B35,rf1_data!$B:$B,rf1_data!CJ:CJ,"NaN")="","NaN",(_xlfn.XLOOKUP($B35,rf1_data!$B:$B,rf1_data!CJ:CJ,"NaN")))</f>
        <v>60</v>
      </c>
      <c r="CS35" s="5">
        <f>IF(_xlfn.XLOOKUP($B35,rf1_data!$B:$B,rf1_data!CK:CK,"NaN")="","NaN",(_xlfn.XLOOKUP($B35,rf1_data!$B:$B,rf1_data!CK:CK,"NaN")))</f>
        <v>36</v>
      </c>
      <c r="CT35" s="5">
        <f>IF(_xlfn.XLOOKUP($B35,rf1_data!$B:$B,rf1_data!CL:CL,"NaN")="","NaN",(_xlfn.XLOOKUP($B35,rf1_data!$B:$B,rf1_data!CL:CL,"NaN")))</f>
        <v>60</v>
      </c>
      <c r="CU35" s="5">
        <f>IF(_xlfn.XLOOKUP($B35,rf1_data!$B:$B,rf1_data!CM:CM,"NaN")="","NaN",(_xlfn.XLOOKUP($B35,rf1_data!$B:$B,rf1_data!CM:CM,"NaN")))</f>
        <v>30</v>
      </c>
      <c r="CV35" s="5">
        <f>IF(_xlfn.XLOOKUP($B35,rf1_data!$B:$B,rf1_data!CN:CN,"NaN")="","NaN",(_xlfn.XLOOKUP($B35,rf1_data!$B:$B,rf1_data!CN:CN,"NaN")))</f>
        <v>60</v>
      </c>
      <c r="CW35" s="5" t="str">
        <f>IF(_xlfn.XLOOKUP($B35,rf1_data!$B:$B,rf1_data!CO:CO,"NaN")="","NaN",(_xlfn.XLOOKUP($B35,rf1_data!$B:$B,rf1_data!CO:CO,"NaN")))</f>
        <v>NaN</v>
      </c>
      <c r="CX35" s="5" t="str">
        <f>IF(_xlfn.XLOOKUP($B35,rf1_data!$B:$B,rf1_data!CP:CP,"NaN")="","NaN",(_xlfn.XLOOKUP($B35,rf1_data!$B:$B,rf1_data!CP:CP,"NaN")))</f>
        <v>NaN</v>
      </c>
      <c r="CY35" s="5">
        <f>IF(_xlfn.XLOOKUP($B35,rf1_data!$B:$B,rf1_data!CQ:CQ,"NaN")="","NaN",(_xlfn.XLOOKUP($B35,rf1_data!$B:$B,rf1_data!CQ:CQ,"NaN")))</f>
        <v>4</v>
      </c>
      <c r="CZ35" s="5">
        <f>IF(_xlfn.XLOOKUP($B35,rf1_data!$B:$B,rf1_data!CR:CR,"NaN")="","NaN",(_xlfn.XLOOKUP($B35,rf1_data!$B:$B,rf1_data!CR:CR,"NaN")))</f>
        <v>1</v>
      </c>
      <c r="DA35" s="5">
        <f>IF(_xlfn.XLOOKUP($B35,rf1_data!$B:$B,rf1_data!CS:CS,"NaN")="","NaN",(_xlfn.XLOOKUP($B35,rf1_data!$B:$B,rf1_data!CS:CS,"NaN")))</f>
        <v>1</v>
      </c>
      <c r="DB35" s="4">
        <f>IF(_xlfn.XLOOKUP($B35,island_data!$B:$B,island_data!H:H,"NaN")="","NaN",_xlfn.XLOOKUP($B35,island_data!$B:$B,island_data!H:H,"NaN"))</f>
        <v>4</v>
      </c>
      <c r="DC35" s="4">
        <f>IF(_xlfn.XLOOKUP($B35,island_data!$B:$B,island_data!I:I,"NaN")="","NaN",_xlfn.XLOOKUP($B35,island_data!$B:$B,island_data!I:I,"NaN"))</f>
        <v>2</v>
      </c>
      <c r="DD35" s="4">
        <f>IF(_xlfn.XLOOKUP($B35,island_data!$B:$B,island_data!J:J,"NaN")="","NaN",_xlfn.XLOOKUP($B35,island_data!$B:$B,island_data!J:J,"NaN"))</f>
        <v>1</v>
      </c>
      <c r="DE35" s="4">
        <f>IF(_xlfn.XLOOKUP($B35,island_data!$B:$B,island_data!K:K,"NaN")="","NaN",_xlfn.XLOOKUP($B35,island_data!$B:$B,island_data!K:K,"NaN"))</f>
        <v>4</v>
      </c>
      <c r="DF35" s="4">
        <f>IF(_xlfn.XLOOKUP($B35,island_data!$B:$B,island_data!L:L,"NaN")="","NaN",_xlfn.XLOOKUP($B35,island_data!$B:$B,island_data!L:L,"NaN"))</f>
        <v>28</v>
      </c>
      <c r="DG35" s="4">
        <f>IF(_xlfn.XLOOKUP($B35,island_data!$B:$B,island_data!M:M,"NaN")="","NaN",_xlfn.XLOOKUP($B35,island_data!$B:$B,island_data!M:M,"NaN"))</f>
        <v>1.3888888888888999</v>
      </c>
      <c r="DH35" s="4">
        <f>IF(_xlfn.XLOOKUP($B35,island_data!$B:$B,island_data!N:N,"NaN")="","NaN",_xlfn.XLOOKUP($B35,island_data!$B:$B,island_data!N:N,"NaN"))</f>
        <v>4</v>
      </c>
      <c r="DI35" s="4" t="str">
        <f>IF(_xlfn.XLOOKUP($B35,island_data!$B:$B,island_data!O:O,"NaN")=999,"NaN",_xlfn.XLOOKUP($B35,island_data!$B:$B,island_data!O:O,"NaN"))</f>
        <v>NaN</v>
      </c>
      <c r="DJ35" s="4">
        <f>IF(_xlfn.XLOOKUP($B35,island_data!$B:$B,island_data!P:P,"NaN")="","NaN",_xlfn.XLOOKUP($B35,island_data!$B:$B,island_data!P:P,"NaN"))</f>
        <v>4</v>
      </c>
      <c r="DK35" s="4">
        <f>IF(_xlfn.XLOOKUP($B35,island_data!$B:$B,island_data!Q:Q,"NaN")="","NaN",_xlfn.XLOOKUP($B35,island_data!$B:$B,island_data!Q:Q,"NaN"))</f>
        <v>2</v>
      </c>
      <c r="DL35" s="4" t="str">
        <f>IF(_xlfn.XLOOKUP($B35,island_data!$B:$B,island_data!R:R,"NaN")=999,"NaN",_xlfn.XLOOKUP($B35,island_data!$B:$B,island_data!R:R,"NaN"))</f>
        <v>NaN</v>
      </c>
      <c r="DM35" s="4">
        <f>IF(_xlfn.XLOOKUP($B35,island_data!$B:$B,island_data!S:S,"NaN")="","NaN",_xlfn.XLOOKUP($B35,island_data!$B:$B,island_data!S:S,"NaN"))</f>
        <v>5</v>
      </c>
      <c r="DN35" s="4">
        <f>IF(_xlfn.XLOOKUP($B35,island_data!$B:$B,island_data!T:T,"NaN")="","NaN",_xlfn.XLOOKUP($B35,island_data!$B:$B,island_data!T:T,"NaN"))</f>
        <v>3.75</v>
      </c>
      <c r="DO35" s="4">
        <f>IF(_xlfn.XLOOKUP($B35,island_data!$B:$B,island_data!U:U,"NaN")="","NaN",_xlfn.XLOOKUP($B35,island_data!$B:$B,island_data!U:U,"NaN"))</f>
        <v>4</v>
      </c>
      <c r="DP35" s="4">
        <f>IF(_xlfn.XLOOKUP($B35,island_data!$B:$B,island_data!V:V,"NaN")="","NaN",_xlfn.XLOOKUP($B35,island_data!$B:$B,island_data!V:V,"NaN"))</f>
        <v>3</v>
      </c>
      <c r="DQ35" s="4">
        <f>IF(_xlfn.XLOOKUP($B35,island_data!$B:$B,island_data!W:W,"NaN")="","NaN",_xlfn.XLOOKUP($B35,island_data!$B:$B,island_data!W:W,"NaN"))</f>
        <v>6</v>
      </c>
      <c r="DR35" s="4">
        <f>IF(_xlfn.XLOOKUP($B35,island_data!$B:$B,island_data!X:X,"NaN")="","NaN",_xlfn.XLOOKUP($B35,island_data!$B:$B,island_data!X:X,"NaN"))</f>
        <v>4</v>
      </c>
      <c r="DS35" s="4" t="str">
        <f>IF(_xlfn.XLOOKUP($B35,island_data!$B:$B,island_data!Y:Y,"NaN")="","NaN",_xlfn.XLOOKUP($B35,island_data!$B:$B,island_data!Y:Y,"NaN"))</f>
        <v>NaN</v>
      </c>
      <c r="DT35" s="4" t="str">
        <f>IF(_xlfn.XLOOKUP($B35,island_data!$B:$B,island_data!Z:Z,"NaN")="","NaN",_xlfn.XLOOKUP($B35,island_data!$B:$B,island_data!Z:Z,"NaN"))</f>
        <v>NaN</v>
      </c>
      <c r="DU35" s="4" t="str">
        <f>IF(_xlfn.XLOOKUP($B35,island_data!$B:$B,island_data!AA:AA,"NaN")="","NaN",_xlfn.XLOOKUP($B35,island_data!$B:$B,island_data!AA:AA,"NaN"))</f>
        <v>NaN</v>
      </c>
      <c r="DV35" s="4" t="str">
        <f>IF(_xlfn.XLOOKUP($B35,island_data!$B:$B,island_data!AB:AB,"NaN")="","NaN",_xlfn.XLOOKUP($B35,island_data!$B:$B,island_data!AB:AB,"NaN"))</f>
        <v>NaN</v>
      </c>
      <c r="DW35" s="4">
        <f>IF(_xlfn.XLOOKUP($B35,island_data!$B:$B,island_data!AC:AC,"NaN")="","NaN",_xlfn.XLOOKUP($B35,island_data!$B:$B,island_data!AC:AC,"NaN"))</f>
        <v>8110</v>
      </c>
      <c r="DX35" s="4">
        <f>IF(_xlfn.XLOOKUP($B35,island_data!$B:$B,island_data!AD:AD,"NaN")="","NaN",_xlfn.XLOOKUP($B35,island_data!$B:$B,island_data!AD:AD,"NaN"))</f>
        <v>6</v>
      </c>
      <c r="DY35" s="4">
        <f>IF(_xlfn.XLOOKUP($B35,island_data!$B:$B,island_data!AE:AE,"NaN")="","NaN",_xlfn.XLOOKUP($B35,island_data!$B:$B,island_data!AE:AE,"NaN"))</f>
        <v>0</v>
      </c>
      <c r="DZ35" s="4" t="str">
        <f>IF(_xlfn.XLOOKUP($B35,island_data!$B:$B,island_data!AF:AF,"NaN")="","NaN",_xlfn.XLOOKUP($B35,island_data!$B:$B,island_data!AF:AF,"NaN"))</f>
        <v>NaN</v>
      </c>
      <c r="EA35" s="4" t="str">
        <f>IF(_xlfn.XLOOKUP($B35,island_data!$B:$B,island_data!AG:AG,"NaN")="","NaN",_xlfn.XLOOKUP($B35,island_data!$B:$B,island_data!AG:AG,"NaN"))</f>
        <v>NaN</v>
      </c>
      <c r="EB35" s="4" t="str">
        <f>IF(_xlfn.XLOOKUP($B35,island_data!$B:$B,island_data!AH:AH,"NaN")="","NaN",_xlfn.XLOOKUP($B35,island_data!$B:$B,island_data!AH:AH,"NaN"))</f>
        <v>NaN</v>
      </c>
      <c r="EC35" s="4" t="str">
        <f>IF(_xlfn.XLOOKUP($B35,island_data!$B:$B,island_data!AI:AI,"NaN")="","NaN",_xlfn.XLOOKUP($B35,island_data!$B:$B,island_data!AI:AI,"NaN"))</f>
        <v>NaN</v>
      </c>
      <c r="ED35" s="4" t="str">
        <f>IF(_xlfn.XLOOKUP($B35,island_data!$B:$B,island_data!AJ:AJ,"NaN")="","NaN",_xlfn.XLOOKUP($B35,island_data!$B:$B,island_data!AJ:AJ,"NaN"))</f>
        <v>NaN</v>
      </c>
      <c r="EE35" s="4" t="str">
        <f>IF(_xlfn.XLOOKUP($B35,island_data!$B:$B,island_data!AK:AK,"NaN")="","NaN",_xlfn.XLOOKUP($B35,island_data!$B:$B,island_data!AK:AK,"NaN"))</f>
        <v>NaN</v>
      </c>
      <c r="EF35" s="4" t="str">
        <f>IF(_xlfn.XLOOKUP($B35,island_data!$B:$B,island_data!AL:AL,"NaN")="","NaN",_xlfn.XLOOKUP($B35,island_data!$B:$B,island_data!AL:AL,"NaN"))</f>
        <v>NaN</v>
      </c>
      <c r="EG35" s="4" t="str">
        <f>IF(_xlfn.XLOOKUP($B35,island_data!$B:$B,island_data!AM:AM,"NaN")="","NaN",_xlfn.XLOOKUP($B35,island_data!$B:$B,island_data!AM:AM,"NaN"))</f>
        <v>NaN</v>
      </c>
      <c r="EH35" s="4">
        <f>IF(_xlfn.XLOOKUP($B35,island_data!$B:$B,island_data!AN:AN,"NaN")="","NaN",_xlfn.XLOOKUP($B35,island_data!$B:$B,island_data!AN:AN,"NaN"))</f>
        <v>0</v>
      </c>
      <c r="EI35" s="4" t="str">
        <f>IF(_xlfn.XLOOKUP($B35,island_data!$B:$B,island_data!AO:AO,"NaN")="","NaN",_xlfn.XLOOKUP($B35,island_data!$B:$B,island_data!AO:AO,"NaN"))</f>
        <v>NaN</v>
      </c>
      <c r="EJ35" s="8">
        <f>IF(_xlfn.XLOOKUP($A35,TabCAT!$A:$A,TabCAT!AU:AU,"NaN")="","NaN",(_xlfn.XLOOKUP($A35,TabCAT!$A:$A,TabCAT!AU:AU,"NaN")))</f>
        <v>143</v>
      </c>
      <c r="EK35" s="8" t="b">
        <f>IF(_xlfn.XLOOKUP($A35,TabCAT!$A:$A,TabCAT!AV:AV,"NaN")="","NaN",(_xlfn.XLOOKUP($A35,TabCAT!$A:$A,TabCAT!AV:AV,"NaN")))</f>
        <v>1</v>
      </c>
      <c r="EL35" s="8">
        <f>IF(_xlfn.XLOOKUP($A35,TabCAT!$A:$A,TabCAT!AW:AW,"NaN")="","NaN",(_xlfn.XLOOKUP($A35,TabCAT!$A:$A,TabCAT!AW:AW,"NaN")))</f>
        <v>6</v>
      </c>
      <c r="EM35" s="8">
        <f>IF(_xlfn.XLOOKUP($A35,TabCAT!$A:$A,TabCAT!AX:AX,"NaN")="","NaN",(_xlfn.XLOOKUP($A35,TabCAT!$A:$A,TabCAT!AX:AX,"NaN")))</f>
        <v>0</v>
      </c>
      <c r="EN35" s="8">
        <f>IF(_xlfn.XLOOKUP($A35,TabCAT!$A:$A,TabCAT!AY:AY,"NaN")="","NaN",(_xlfn.XLOOKUP($A35,TabCAT!$A:$A,TabCAT!AY:AY,"NaN")))</f>
        <v>8.07</v>
      </c>
      <c r="EO35" s="8">
        <f>IF(_xlfn.XLOOKUP($A35,TabCAT!$A:$A,TabCAT!AZ:AZ,"NaN")="","NaN",(_xlfn.XLOOKUP($A35,TabCAT!$A:$A,TabCAT!AZ:AZ,"NaN")))</f>
        <v>32</v>
      </c>
      <c r="EP35" s="8">
        <f>IF(_xlfn.XLOOKUP($A35,TabCAT!$A:$A,TabCAT!BA:BA,"NaN")="","NaN",(_xlfn.XLOOKUP($A35,TabCAT!$A:$A,TabCAT!BA:BA,"NaN")))</f>
        <v>0.82917599999999902</v>
      </c>
      <c r="EQ35" s="8">
        <f>IF(_xlfn.XLOOKUP($A35,TabCAT!$A:$A,TabCAT!BB:BB,"NaN")="","NaN",(_xlfn.XLOOKUP($A35,TabCAT!$A:$A,TabCAT!BB:BB,"NaN")))</f>
        <v>8.7923749835167597E-2</v>
      </c>
      <c r="ER35" s="8">
        <f>IF(_xlfn.XLOOKUP($A35,TabCAT!$A:$A,TabCAT!BC:BC,"NaN")="","NaN",(_xlfn.XLOOKUP($A35,TabCAT!$A:$A,TabCAT!BC:BC,"NaN")))</f>
        <v>16</v>
      </c>
      <c r="ES35" s="8">
        <f>IF(_xlfn.XLOOKUP($A35,TabCAT!$A:$A,TabCAT!BD:BD,"NaN")="","NaN",(_xlfn.XLOOKUP($A35,TabCAT!$A:$A,TabCAT!BD:BD,"NaN")))</f>
        <v>0.75840549999999995</v>
      </c>
      <c r="ET35" s="8">
        <f>IF(_xlfn.XLOOKUP($A35,TabCAT!$A:$A,TabCAT!BE:BE,"NaN")="","NaN",(_xlfn.XLOOKUP($A35,TabCAT!$A:$A,TabCAT!BE:BE,"NaN")))</f>
        <v>16</v>
      </c>
      <c r="EU35" s="8">
        <f>IF(_xlfn.XLOOKUP($A35,TabCAT!$A:$A,TabCAT!BF:BF,"NaN")="","NaN",(_xlfn.XLOOKUP($A35,TabCAT!$A:$A,TabCAT!BF:BF,"NaN")))</f>
        <v>0.91241349999999999</v>
      </c>
      <c r="EV35" s="8" t="str">
        <f>IF(_xlfn.XLOOKUP($A35,TabCAT!$A:$A,TabCAT!BG:BG,"NaN")="","NaN",(_xlfn.XLOOKUP($A35,TabCAT!$A:$A,TabCAT!BG:BG,"NaN")))</f>
        <v>NaN</v>
      </c>
      <c r="EW35" s="8" t="str">
        <f>IF(_xlfn.XLOOKUP($A35,TabCAT!$A:$A,TabCAT!BH:BH,"NaN")="","NaN",(_xlfn.XLOOKUP($A35,TabCAT!$A:$A,TabCAT!BH:BH,"NaN")))</f>
        <v>3.0.0</v>
      </c>
      <c r="EX35" s="8" t="str">
        <f>IF(_xlfn.XLOOKUP($A35,TabCAT!$A:$A,TabCAT!BI:BI,"NaN")="","NaN",(_xlfn.XLOOKUP($A35,TabCAT!$A:$A,TabCAT!BI:BI,"NaN")))</f>
        <v>English</v>
      </c>
      <c r="EY35" s="8">
        <f>IF(_xlfn.XLOOKUP($A35,TabCAT!$A:$A,TabCAT!BJ:BJ,"NaN")="","NaN",(_xlfn.XLOOKUP($A35,TabCAT!$A:$A,TabCAT!BJ:BJ,"NaN")))</f>
        <v>314</v>
      </c>
      <c r="EZ35" s="8">
        <f>IF(_xlfn.XLOOKUP($A35,TabCAT!$A:$A,TabCAT!BK:BK,"NaN")="","NaN",(_xlfn.XLOOKUP($A35,TabCAT!$A:$A,TabCAT!BK:BK,"NaN")))</f>
        <v>1</v>
      </c>
      <c r="FA35" s="8">
        <f>IF(_xlfn.XLOOKUP($A35,TabCAT!$A:$A,TabCAT!BL:BL,"NaN")="","NaN",(_xlfn.XLOOKUP($A35,TabCAT!$A:$A,TabCAT!BL:BL,"NaN")))</f>
        <v>6</v>
      </c>
      <c r="FB35" s="8">
        <f>IF(_xlfn.XLOOKUP($A35,TabCAT!$A:$A,TabCAT!BM:BM,"NaN")="","NaN",(_xlfn.XLOOKUP($A35,TabCAT!$A:$A,TabCAT!BM:BM,"NaN")))</f>
        <v>1</v>
      </c>
      <c r="FC35" s="8">
        <f>IF(_xlfn.XLOOKUP($A35,TabCAT!$A:$A,TabCAT!BN:BN,"NaN")="","NaN",(_xlfn.XLOOKUP($A35,TabCAT!$A:$A,TabCAT!BN:BN,"NaN")))</f>
        <v>6</v>
      </c>
      <c r="FD35" s="8">
        <f>IF(_xlfn.XLOOKUP($A35,TabCAT!$A:$A,TabCAT!BO:BO,"NaN")="","NaN",(_xlfn.XLOOKUP($A35,TabCAT!$A:$A,TabCAT!BO:BO,"NaN")))</f>
        <v>9</v>
      </c>
      <c r="FE35" s="8">
        <f>IF(_xlfn.XLOOKUP($A35,TabCAT!$A:$A,TabCAT!BP:BP,"NaN")="","NaN",(_xlfn.XLOOKUP($A35,TabCAT!$A:$A,TabCAT!BP:BP,"NaN")))</f>
        <v>1</v>
      </c>
      <c r="FF35" s="8">
        <f>IF(_xlfn.XLOOKUP($A35,TabCAT!$A:$A,TabCAT!BQ:BQ,"NaN")="","NaN",(_xlfn.XLOOKUP($A35,TabCAT!$A:$A,TabCAT!BQ:BQ,"NaN")))</f>
        <v>8</v>
      </c>
      <c r="FG35" s="8">
        <f>IF(_xlfn.XLOOKUP($A35,TabCAT!$A:$A,TabCAT!BR:BR,"NaN")="","NaN",(_xlfn.XLOOKUP($A35,TabCAT!$A:$A,TabCAT!BR:BR,"NaN")))</f>
        <v>11</v>
      </c>
      <c r="FH35" s="8">
        <f>IF(_xlfn.XLOOKUP($A35,TabCAT!$A:$A,TabCAT!BS:BS,"NaN")="","NaN",(_xlfn.XLOOKUP($A35,TabCAT!$A:$A,TabCAT!BS:BS,"NaN")))</f>
        <v>0.91666666666666596</v>
      </c>
      <c r="FI35" s="8">
        <f>IF(_xlfn.XLOOKUP($A35,TabCAT!$A:$A,TabCAT!BT:BT,"NaN")="","NaN",(_xlfn.XLOOKUP($A35,TabCAT!$A:$A,TabCAT!BT:BT,"NaN")))</f>
        <v>8.5</v>
      </c>
      <c r="FJ35" s="8">
        <f>IF(_xlfn.XLOOKUP($A35,TabCAT!$A:$A,TabCAT!BU:BU,"NaN")="","NaN",(_xlfn.XLOOKUP($A35,TabCAT!$A:$A,TabCAT!BU:BU,"NaN")))</f>
        <v>13</v>
      </c>
      <c r="FK35" s="8">
        <f>IF(_xlfn.XLOOKUP($A35,TabCAT!$A:$A,TabCAT!BV:BV,"NaN")="","NaN",(_xlfn.XLOOKUP($A35,TabCAT!$A:$A,TabCAT!BV:BV,"NaN")))</f>
        <v>0.86666666666666603</v>
      </c>
      <c r="FL35" s="8">
        <f>IF(_xlfn.XLOOKUP($A35,TabCAT!$A:$A,TabCAT!BW:BW,"NaN")="","NaN",(_xlfn.XLOOKUP($A35,TabCAT!$A:$A,TabCAT!BW:BW,"NaN")))</f>
        <v>9.5</v>
      </c>
      <c r="FM35" s="8">
        <f>IF(_xlfn.XLOOKUP($A35,TabCAT!$A:$A,TabCAT!BX:BX,"NaN")="","NaN",(_xlfn.XLOOKUP($A35,TabCAT!$A:$A,TabCAT!BX:BX,"NaN")))</f>
        <v>39</v>
      </c>
      <c r="FN35" s="8">
        <f>IF(_xlfn.XLOOKUP($A35,TabCAT!$A:$A,TabCAT!BY:BY,"NaN")="","NaN",(_xlfn.XLOOKUP($A35,TabCAT!$A:$A,TabCAT!BY:BY,"NaN")))</f>
        <v>0.92857142857142805</v>
      </c>
      <c r="FO35" s="8">
        <f>IF(_xlfn.XLOOKUP($A35,TabCAT!$A:$A,TabCAT!BZ:BZ,"NaN")="","NaN",(_xlfn.XLOOKUP($A35,TabCAT!$A:$A,TabCAT!BZ:BZ,"NaN")))</f>
        <v>32</v>
      </c>
      <c r="FP35" s="8" t="str">
        <f>IF(_xlfn.XLOOKUP($A35,TabCAT!$A:$A,TabCAT!CA:CA,"NaN")="","NaN",(_xlfn.XLOOKUP($A35,TabCAT!$A:$A,TabCAT!CA:CA,"NaN")))</f>
        <v>3.0.0</v>
      </c>
      <c r="FQ35" s="8" t="str">
        <f>IF(_xlfn.XLOOKUP($A35,TabCAT!$A:$A,TabCAT!CB:CB,"NaN")="","NaN",(_xlfn.XLOOKUP($A35,TabCAT!$A:$A,TabCAT!CB:CB,"NaN")))</f>
        <v>English</v>
      </c>
      <c r="FR35" s="8">
        <f>IF(_xlfn.XLOOKUP($A35,TabCAT!$A:$A,TabCAT!CC:CC,"NaN")="","NaN",(_xlfn.XLOOKUP($A35,TabCAT!$A:$A,TabCAT!CC:CC,"NaN")))</f>
        <v>318</v>
      </c>
      <c r="FS35" s="8" t="b">
        <f>IF(_xlfn.XLOOKUP($A35,TabCAT!$A:$A,TabCAT!CD:CD,"NaN")="","NaN",(_xlfn.XLOOKUP($A35,TabCAT!$A:$A,TabCAT!CD:CD,"NaN")))</f>
        <v>1</v>
      </c>
      <c r="FT35" s="8">
        <f>IF(_xlfn.XLOOKUP($A35,TabCAT!$A:$A,TabCAT!CE:CE,"NaN")="","NaN",(_xlfn.XLOOKUP($A35,TabCAT!$A:$A,TabCAT!CE:CE,"NaN")))</f>
        <v>5</v>
      </c>
      <c r="FU35" s="8">
        <f>IF(_xlfn.XLOOKUP($A35,TabCAT!$A:$A,TabCAT!CF:CF,"NaN")="","NaN",(_xlfn.XLOOKUP($A35,TabCAT!$A:$A,TabCAT!CF:CF,"NaN")))</f>
        <v>8</v>
      </c>
      <c r="FV35" s="8">
        <f>IF(_xlfn.XLOOKUP($A35,TabCAT!$A:$A,TabCAT!CG:CG,"NaN")="","NaN",(_xlfn.XLOOKUP($A35,TabCAT!$A:$A,TabCAT!CG:CG,"NaN")))</f>
        <v>5.92</v>
      </c>
      <c r="FW35" s="8">
        <f>IF(_xlfn.XLOOKUP($A35,TabCAT!$A:$A,TabCAT!CH:CH,"NaN")="","NaN",(_xlfn.XLOOKUP($A35,TabCAT!$A:$A,TabCAT!CH:CH,"NaN")))</f>
        <v>16</v>
      </c>
      <c r="FX35" s="8">
        <f>IF(_xlfn.XLOOKUP($A35,TabCAT!$A:$A,TabCAT!CI:CI,"NaN")="","NaN",(_xlfn.XLOOKUP($A35,TabCAT!$A:$A,TabCAT!CI:CI,"NaN")))</f>
        <v>1.0632204999999999</v>
      </c>
      <c r="FY35" s="8">
        <f>IF(_xlfn.XLOOKUP($A35,TabCAT!$A:$A,TabCAT!CJ:CJ,"NaN")="","NaN",(_xlfn.XLOOKUP($A35,TabCAT!$A:$A,TabCAT!CJ:CJ,"NaN")))</f>
        <v>16</v>
      </c>
      <c r="FZ35" s="8">
        <f>IF(_xlfn.XLOOKUP($A35,TabCAT!$A:$A,TabCAT!CK:CK,"NaN")="","NaN",(_xlfn.XLOOKUP($A35,TabCAT!$A:$A,TabCAT!CK:CK,"NaN")))</f>
        <v>0.92144349999999997</v>
      </c>
      <c r="GA35" s="8">
        <f>IF(_xlfn.XLOOKUP($A35,TabCAT!$A:$A,TabCAT!CL:CL,"NaN")="","NaN",(_xlfn.XLOOKUP($A35,TabCAT!$A:$A,TabCAT!CL:CL,"NaN")))</f>
        <v>29</v>
      </c>
      <c r="GB35" s="8">
        <f>IF(_xlfn.XLOOKUP($A35,TabCAT!$A:$A,TabCAT!CM:CM,"NaN")="","NaN",(_xlfn.XLOOKUP($A35,TabCAT!$A:$A,TabCAT!CM:CM,"NaN")))</f>
        <v>1.329529</v>
      </c>
      <c r="GC35" s="8">
        <f>IF(_xlfn.XLOOKUP($A35,TabCAT!$A:$A,TabCAT!CN:CN,"NaN")="","NaN",(_xlfn.XLOOKUP($A35,TabCAT!$A:$A,TabCAT!CN:CN,"NaN")))</f>
        <v>22</v>
      </c>
      <c r="GD35" s="8">
        <f>IF(_xlfn.XLOOKUP($A35,TabCAT!$A:$A,TabCAT!CO:CO,"NaN")="","NaN",(_xlfn.XLOOKUP($A35,TabCAT!$A:$A,TabCAT!CO:CO,"NaN")))</f>
        <v>1.354511</v>
      </c>
      <c r="GE35" s="8">
        <f>IF(_xlfn.XLOOKUP($A35,TabCAT!$A:$A,TabCAT!CP:CP,"NaN")="","NaN",(_xlfn.XLOOKUP($A35,TabCAT!$A:$A,TabCAT!CP:CP,"NaN")))</f>
        <v>0.23079493523295</v>
      </c>
      <c r="GF35" s="8">
        <f>IF(_xlfn.XLOOKUP($A35,TabCAT!$A:$A,TabCAT!CQ:CQ,"NaN")="","NaN",(_xlfn.XLOOKUP($A35,TabCAT!$A:$A,TabCAT!CQ:CQ,"NaN")))</f>
        <v>54</v>
      </c>
      <c r="GG35" s="8">
        <f>IF(_xlfn.XLOOKUP($A35,TabCAT!$A:$A,TabCAT!CR:CR,"NaN")="","NaN",(_xlfn.XLOOKUP($A35,TabCAT!$A:$A,TabCAT!CR:CR,"NaN")))</f>
        <v>1.0756825000000001</v>
      </c>
      <c r="GH35" s="8" t="str">
        <f>IF(_xlfn.XLOOKUP($A35,TabCAT!$A:$A,TabCAT!CS:CS,"NaN")="","NaN",(_xlfn.XLOOKUP($A35,TabCAT!$A:$A,TabCAT!CS:CS,"NaN")))</f>
        <v>NaN</v>
      </c>
    </row>
    <row r="36" spans="1:190" x14ac:dyDescent="0.2">
      <c r="A36">
        <v>10659</v>
      </c>
      <c r="B36">
        <f>_xlfn.XLOOKUP(bippity_poppity_boo!A36,rf1_data!A:A,rf1_data!B:B)</f>
        <v>181861</v>
      </c>
      <c r="C36" s="2">
        <f>(_xlfn.XLOOKUP($A36,trust!$A:$A,trust!B:B,"NaN"))</f>
        <v>5.8571429999999998</v>
      </c>
      <c r="D36" s="2">
        <f>(_xlfn.XLOOKUP($A36,trust!$A:$A,trust!C:C,"NaN"))</f>
        <v>5.8333329999999997</v>
      </c>
      <c r="E36" s="2">
        <f>(_xlfn.XLOOKUP($A36,trust!$A:$A,trust!D:D,"NaN"))</f>
        <v>6.1538459999999997</v>
      </c>
      <c r="F36" s="2">
        <f>(_xlfn.XLOOKUP($A36,trust!$A:$A,trust!E:E,"NaN"))</f>
        <v>5.538462</v>
      </c>
      <c r="G36" s="2">
        <f>(_xlfn.XLOOKUP($A36,trust!$A:$A,trust!F:F,"NaN"))</f>
        <v>5</v>
      </c>
      <c r="H36" s="2">
        <f>(_xlfn.XLOOKUP($A36,trust!$A:$A,trust!G:G,"NaN"))</f>
        <v>5.1666670000000003</v>
      </c>
      <c r="I36" s="3">
        <f>IF(_xlfn.XLOOKUP($B36,island_data!$B:$B,island_data!C:C,"NaN")="","NaN",_xlfn.XLOOKUP($B36,island_data!$B:$B,island_data!C:C,"NaN"))</f>
        <v>45014</v>
      </c>
      <c r="J36" s="3">
        <f>IF(_xlfn.XLOOKUP($B36,island_data!$B:$B,island_data!D:D,"NaN")="","NaN",_xlfn.XLOOKUP($B36,island_data!$B:$B,island_data!D:D,"NaN"))</f>
        <v>22331</v>
      </c>
      <c r="K36" s="4">
        <f>IF(_xlfn.XLOOKUP($B36,island_data!$B:$B,island_data!E:E,"NaN")="","NaN",_xlfn.XLOOKUP($B36,island_data!$B:$B,island_data!E:E,"NaN"))</f>
        <v>62.1</v>
      </c>
      <c r="L36" s="5">
        <f>IF(_xlfn.XLOOKUP($B36,rf1_data!$B:$B,rf1_data!D:D,"NaN")="","NaN",(_xlfn.XLOOKUP($B36,rf1_data!$B:$B,rf1_data!D:D,"NaN")))</f>
        <v>62.39</v>
      </c>
      <c r="M36" s="5" t="str">
        <f>IF(_xlfn.XLOOKUP($B36,rf1_data!$B:$B,rf1_data!E:E,"NaN")="","NaN",(_xlfn.XLOOKUP($B36,rf1_data!$B:$B,rf1_data!E:E,"NaN")))</f>
        <v>Black or African American</v>
      </c>
      <c r="N36" s="5" t="str">
        <f>IF(_xlfn.XLOOKUP($B36,rf1_data!$B:$B,rf1_data!F:F,"NaN")="","NaN",(_xlfn.XLOOKUP($B36,rf1_data!$B:$B,rf1_data!F:F,"NaN")))</f>
        <v>Not Hispanic or Latino</v>
      </c>
      <c r="O36" s="5" t="str">
        <f>IF(_xlfn.XLOOKUP($B36,rf1_data!$B:$B,rf1_data!G:G,"NaN")="","NaN",(_xlfn.XLOOKUP($B36,rf1_data!$B:$B,rf1_data!G:G,"NaN")))</f>
        <v>Female</v>
      </c>
      <c r="P36" s="5">
        <f>IF(_xlfn.XLOOKUP($B36,rf1_data!$B:$B,rf1_data!H:H,"NaN")="","NaN",(_xlfn.XLOOKUP($B36,rf1_data!$B:$B,rf1_data!H:H,"NaN")))</f>
        <v>4.22</v>
      </c>
      <c r="Q36" s="5">
        <f>IF(_xlfn.XLOOKUP($B36,rf1_data!$B:$B,rf1_data!I:I,"NaN")="","NaN",(_xlfn.XLOOKUP($B36,rf1_data!$B:$B,rf1_data!I:I,"NaN")))</f>
        <v>3.3</v>
      </c>
      <c r="R36" s="5">
        <f>IF(_xlfn.XLOOKUP($B36,rf1_data!$B:$B,rf1_data!J:J,"NaN")="","NaN",(_xlfn.XLOOKUP($B36,rf1_data!$B:$B,rf1_data!J:J,"NaN")))</f>
        <v>0</v>
      </c>
      <c r="S36" s="5">
        <f>IF(_xlfn.XLOOKUP($B36,rf1_data!$B:$B,rf1_data!K:K,"NaN")="","NaN",(_xlfn.XLOOKUP($B36,rf1_data!$B:$B,rf1_data!K:K,"NaN")))</f>
        <v>0</v>
      </c>
      <c r="T36" s="5">
        <f>IF(_xlfn.XLOOKUP($B36,rf1_data!$B:$B,rf1_data!L:L,"NaN")="","NaN",(_xlfn.XLOOKUP($B36,rf1_data!$B:$B,rf1_data!L:L,"NaN")))</f>
        <v>0</v>
      </c>
      <c r="U36" s="5">
        <f>IF(_xlfn.XLOOKUP($B36,rf1_data!$B:$B,rf1_data!M:M,"NaN")="","NaN",(_xlfn.XLOOKUP($B36,rf1_data!$B:$B,rf1_data!M:M,"NaN")))</f>
        <v>6.5</v>
      </c>
      <c r="V36" s="5">
        <f>IF(_xlfn.XLOOKUP($B36,rf1_data!$B:$B,rf1_data!N:N,"NaN")="","NaN",(_xlfn.XLOOKUP($B36,rf1_data!$B:$B,rf1_data!N:N,"NaN")))</f>
        <v>5.33</v>
      </c>
      <c r="W36" s="5">
        <f>IF(_xlfn.XLOOKUP($B36,rf1_data!$B:$B,rf1_data!O:O,"NaN")="","NaN",(_xlfn.XLOOKUP($B36,rf1_data!$B:$B,rf1_data!O:O,"NaN")))</f>
        <v>6.25</v>
      </c>
      <c r="X36" s="5">
        <f>IF(_xlfn.XLOOKUP($B36,rf1_data!$B:$B,rf1_data!P:P,"NaN")="","NaN",(_xlfn.XLOOKUP($B36,rf1_data!$B:$B,rf1_data!P:P,"NaN")))</f>
        <v>5.83</v>
      </c>
      <c r="Y36" s="5">
        <f>IF(_xlfn.XLOOKUP($B36,rf1_data!$B:$B,rf1_data!Q:Q,"NaN")="","NaN",(_xlfn.XLOOKUP($B36,rf1_data!$B:$B,rf1_data!Q:Q,"NaN")))</f>
        <v>6</v>
      </c>
      <c r="Z36" s="5">
        <f>IF(_xlfn.XLOOKUP($B36,rf1_data!$B:$B,rf1_data!R:R,"NaN")="","NaN",(_xlfn.XLOOKUP($B36,rf1_data!$B:$B,rf1_data!R:R,"NaN")))</f>
        <v>11</v>
      </c>
      <c r="AA36" s="5">
        <f>IF(_xlfn.XLOOKUP($B36,rf1_data!$B:$B,rf1_data!S:S,"NaN")="","NaN",(_xlfn.XLOOKUP($B36,rf1_data!$B:$B,rf1_data!S:S,"NaN")))</f>
        <v>0</v>
      </c>
      <c r="AB36" s="5">
        <f>IF(_xlfn.XLOOKUP($B36,rf1_data!$B:$B,rf1_data!T:T,"NaN")="","NaN",(_xlfn.XLOOKUP($B36,rf1_data!$B:$B,rf1_data!T:T,"NaN")))</f>
        <v>4</v>
      </c>
      <c r="AC36" s="5">
        <f>IF(_xlfn.XLOOKUP($B36,rf1_data!$B:$B,rf1_data!U:U,"NaN")="","NaN",(_xlfn.XLOOKUP($B36,rf1_data!$B:$B,rf1_data!U:U,"NaN")))</f>
        <v>1</v>
      </c>
      <c r="AD36" s="5">
        <f>IF(_xlfn.XLOOKUP($B36,rf1_data!$B:$B,rf1_data!V:V,"NaN")="","NaN",(_xlfn.XLOOKUP($B36,rf1_data!$B:$B,rf1_data!V:V,"NaN")))</f>
        <v>6</v>
      </c>
      <c r="AE36" s="5">
        <f>IF(_xlfn.XLOOKUP($B36,rf1_data!$B:$B,rf1_data!W:W,"NaN")="","NaN",(_xlfn.XLOOKUP($B36,rf1_data!$B:$B,rf1_data!W:W,"NaN")))</f>
        <v>3</v>
      </c>
      <c r="AF36" s="5">
        <f>IF(_xlfn.XLOOKUP($B36,rf1_data!$B:$B,rf1_data!X:X,"NaN")="","NaN",(_xlfn.XLOOKUP($B36,rf1_data!$B:$B,rf1_data!X:X,"NaN")))</f>
        <v>2</v>
      </c>
      <c r="AG36" s="5">
        <f>IF(_xlfn.XLOOKUP($B36,rf1_data!$B:$B,rf1_data!Y:Y,"NaN")="","NaN",(_xlfn.XLOOKUP($B36,rf1_data!$B:$B,rf1_data!Y:Y,"NaN")))</f>
        <v>4</v>
      </c>
      <c r="AH36" s="5">
        <f>IF(_xlfn.XLOOKUP($B36,rf1_data!$B:$B,rf1_data!Z:Z,"NaN")="","NaN",(_xlfn.XLOOKUP($B36,rf1_data!$B:$B,rf1_data!Z:Z,"NaN")))</f>
        <v>1</v>
      </c>
      <c r="AI36" s="5">
        <f>IF(_xlfn.XLOOKUP($B36,rf1_data!$B:$B,rf1_data!AA:AA,"NaN")="","NaN",(_xlfn.XLOOKUP($B36,rf1_data!$B:$B,rf1_data!AA:AA,"NaN")))</f>
        <v>2</v>
      </c>
      <c r="AJ36" s="5">
        <f>IF(_xlfn.XLOOKUP($B36,rf1_data!$B:$B,rf1_data!AB:AB,"NaN")="","NaN",(_xlfn.XLOOKUP($B36,rf1_data!$B:$B,rf1_data!AB:AB,"NaN")))</f>
        <v>12</v>
      </c>
      <c r="AK36" s="5">
        <f>IF(_xlfn.XLOOKUP($B36,rf1_data!$B:$B,rf1_data!AC:AC,"NaN")="","NaN",(_xlfn.XLOOKUP($B36,rf1_data!$B:$B,rf1_data!AC:AC,"NaN")))</f>
        <v>34</v>
      </c>
      <c r="AL36" s="5">
        <f>IF(_xlfn.XLOOKUP($B36,rf1_data!$B:$B,rf1_data!AD:AD,"NaN")="","NaN",(_xlfn.XLOOKUP($B36,rf1_data!$B:$B,rf1_data!AD:AD,"NaN")))</f>
        <v>9</v>
      </c>
      <c r="AM36" s="5">
        <f>IF(_xlfn.XLOOKUP($B36,rf1_data!$B:$B,rf1_data!AE:AE,"NaN")="","NaN",(_xlfn.XLOOKUP($B36,rf1_data!$B:$B,rf1_data!AE:AE,"NaN")))</f>
        <v>1</v>
      </c>
      <c r="AN36" s="5">
        <f>IF(_xlfn.XLOOKUP($B36,rf1_data!$B:$B,rf1_data!AF:AF,"NaN")="","NaN",(_xlfn.XLOOKUP($B36,rf1_data!$B:$B,rf1_data!AF:AF,"NaN")))</f>
        <v>0</v>
      </c>
      <c r="AO36" s="5">
        <f>IF(_xlfn.XLOOKUP($B36,rf1_data!$B:$B,rf1_data!AG:AG,"NaN")="","NaN",(_xlfn.XLOOKUP($B36,rf1_data!$B:$B,rf1_data!AG:AG,"NaN")))</f>
        <v>6.33</v>
      </c>
      <c r="AP36" s="5">
        <f>IF(_xlfn.XLOOKUP($B36,rf1_data!$B:$B,rf1_data!AH:AH,"NaN")="","NaN",(_xlfn.XLOOKUP($B36,rf1_data!$B:$B,rf1_data!AH:AH,"NaN")))</f>
        <v>6</v>
      </c>
      <c r="AQ36" s="5">
        <f>IF(_xlfn.XLOOKUP($B36,rf1_data!$B:$B,rf1_data!AI:AI,"NaN")="","NaN",(_xlfn.XLOOKUP($B36,rf1_data!$B:$B,rf1_data!AI:AI,"NaN")))</f>
        <v>6.25</v>
      </c>
      <c r="AR36" s="5">
        <f>IF(_xlfn.XLOOKUP($B36,rf1_data!$B:$B,rf1_data!AJ:AJ,"NaN")="","NaN",(_xlfn.XLOOKUP($B36,rf1_data!$B:$B,rf1_data!AJ:AJ,"NaN")))</f>
        <v>6.75</v>
      </c>
      <c r="AS36" s="5">
        <f>IF(_xlfn.XLOOKUP($B36,rf1_data!$B:$B,rf1_data!AK:AK,"NaN")="","NaN",(_xlfn.XLOOKUP($B36,rf1_data!$B:$B,rf1_data!AK:AK,"NaN")))</f>
        <v>3.8</v>
      </c>
      <c r="AT36" s="5">
        <f>IF(_xlfn.XLOOKUP($B36,rf1_data!$B:$B,rf1_data!AL:AL,"NaN")="","NaN",(_xlfn.XLOOKUP($B36,rf1_data!$B:$B,rf1_data!AL:AL,"NaN")))</f>
        <v>15</v>
      </c>
      <c r="AU36" s="5">
        <f>IF(_xlfn.XLOOKUP($B36,rf1_data!$B:$B,rf1_data!AM:AM,"NaN")="","NaN",(_xlfn.XLOOKUP($B36,rf1_data!$B:$B,rf1_data!AM:AM,"NaN")))</f>
        <v>2</v>
      </c>
      <c r="AV36" s="5">
        <f>IF(_xlfn.XLOOKUP($B36,rf1_data!$B:$B,rf1_data!AN:AN,"NaN")="","NaN",(_xlfn.XLOOKUP($B36,rf1_data!$B:$B,rf1_data!AN:AN,"NaN")))</f>
        <v>0</v>
      </c>
      <c r="AW36" s="5">
        <f>IF(_xlfn.XLOOKUP($B36,rf1_data!$B:$B,rf1_data!AO:AO,"NaN")="","NaN",(_xlfn.XLOOKUP($B36,rf1_data!$B:$B,rf1_data!AO:AO,"NaN")))</f>
        <v>3</v>
      </c>
      <c r="AX36" s="5">
        <f>IF(_xlfn.XLOOKUP($B36,rf1_data!$B:$B,rf1_data!AP:AP,"NaN")="","NaN",(_xlfn.XLOOKUP($B36,rf1_data!$B:$B,rf1_data!AP:AP,"NaN")))</f>
        <v>9999</v>
      </c>
      <c r="AY36" s="5" t="str">
        <f>IF(_xlfn.XLOOKUP($B36,rf1_data!$B:$B,rf1_data!AQ:AQ,"NaN")="","NaN",(_xlfn.XLOOKUP($B36,rf1_data!$B:$B,rf1_data!AQ:AQ,"NaN")))</f>
        <v>NaN</v>
      </c>
      <c r="AZ36" s="5" t="str">
        <f>IF(_xlfn.XLOOKUP($B36,rf1_data!$B:$B,rf1_data!AR:AR,"NaN")="","NaN",(_xlfn.XLOOKUP($B36,rf1_data!$B:$B,rf1_data!AR:AR,"NaN")))</f>
        <v>NaN</v>
      </c>
      <c r="BA36" s="5" t="str">
        <f>IF(_xlfn.XLOOKUP($B36,rf1_data!$B:$B,rf1_data!AS:AS,"NaN")="","NaN",(_xlfn.XLOOKUP($B36,rf1_data!$B:$B,rf1_data!AS:AS,"NaN")))</f>
        <v>NaN</v>
      </c>
      <c r="BB36" s="5" t="str">
        <f>IF(_xlfn.XLOOKUP($B36,rf1_data!$B:$B,rf1_data!AT:AT,"NaN")="","NaN",(_xlfn.XLOOKUP($B36,rf1_data!$B:$B,rf1_data!AT:AT,"NaN")))</f>
        <v>NaN</v>
      </c>
      <c r="BC36" s="5" t="str">
        <f>IF(_xlfn.XLOOKUP($B36,rf1_data!$B:$B,rf1_data!AU:AU,"NaN")="","NaN",(_xlfn.XLOOKUP($B36,rf1_data!$B:$B,rf1_data!AU:AU,"NaN")))</f>
        <v>NaN</v>
      </c>
      <c r="BD36" s="5" t="str">
        <f>IF(_xlfn.XLOOKUP($B36,rf1_data!$B:$B,rf1_data!AV:AV,"NaN")="","NaN",(_xlfn.XLOOKUP($B36,rf1_data!$B:$B,rf1_data!AV:AV,"NaN")))</f>
        <v>NaN</v>
      </c>
      <c r="BE36" s="5" t="str">
        <f>IF(_xlfn.XLOOKUP($B36,rf1_data!$B:$B,rf1_data!AW:AW,"NaN")="","NaN",(_xlfn.XLOOKUP($B36,rf1_data!$B:$B,rf1_data!AW:AW,"NaN")))</f>
        <v>NaN</v>
      </c>
      <c r="BF36" s="5" t="str">
        <f>IF(_xlfn.XLOOKUP($B36,rf1_data!$B:$B,rf1_data!AX:AX,"NaN")="","NaN",(_xlfn.XLOOKUP($B36,rf1_data!$B:$B,rf1_data!AX:AX,"NaN")))</f>
        <v>NaN</v>
      </c>
      <c r="BG36" s="5" t="str">
        <f>IF(_xlfn.XLOOKUP($B36,rf1_data!$B:$B,rf1_data!AY:AY,"NaN")="","NaN",(_xlfn.XLOOKUP($B36,rf1_data!$B:$B,rf1_data!AY:AY,"NaN")))</f>
        <v>NaN</v>
      </c>
      <c r="BH36" s="5" t="str">
        <f>IF(_xlfn.XLOOKUP($B36,rf1_data!$B:$B,rf1_data!AZ:AZ,"NaN")="","NaN",(_xlfn.XLOOKUP($B36,rf1_data!$B:$B,rf1_data!AZ:AZ,"NaN")))</f>
        <v>NaN</v>
      </c>
      <c r="BI36" s="5">
        <f>IF(_xlfn.XLOOKUP($B36,rf1_data!$B:$B,rf1_data!BA:BA,"NaN")="","NaN",(_xlfn.XLOOKUP($B36,rf1_data!$B:$B,rf1_data!BA:BA,"NaN")))</f>
        <v>20</v>
      </c>
      <c r="BJ36" s="5" t="str">
        <f>IF(_xlfn.XLOOKUP($B36,rf1_data!$B:$B,rf1_data!BB:BB,"NaN")="","NaN",(_xlfn.XLOOKUP($B36,rf1_data!$B:$B,rf1_data!BB:BB,"NaN")))</f>
        <v>NaN</v>
      </c>
      <c r="BK36" s="5" t="str">
        <f>IF(_xlfn.XLOOKUP($B36,rf1_data!$B:$B,rf1_data!BC:BC,"NaN")="","NaN",(_xlfn.XLOOKUP($B36,rf1_data!$B:$B,rf1_data!BC:BC,"NaN")))</f>
        <v>NaN</v>
      </c>
      <c r="BL36" s="5" t="str">
        <f>IF(_xlfn.XLOOKUP($B36,rf1_data!$B:$B,rf1_data!BD:BD,"NaN")="","NaN",(_xlfn.XLOOKUP($B36,rf1_data!$B:$B,rf1_data!BD:BD,"NaN")))</f>
        <v>NaN</v>
      </c>
      <c r="BM36" s="5" t="str">
        <f>IF(_xlfn.XLOOKUP($B36,rf1_data!$B:$B,rf1_data!BE:BE,"NaN")="","NaN",(_xlfn.XLOOKUP($B36,rf1_data!$B:$B,rf1_data!BE:BE,"NaN")))</f>
        <v>NaN</v>
      </c>
      <c r="BN36" s="5" t="str">
        <f>IF(_xlfn.XLOOKUP($B36,rf1_data!$B:$B,rf1_data!BF:BF,"NaN")="","NaN",(_xlfn.XLOOKUP($B36,rf1_data!$B:$B,rf1_data!BF:BF,"NaN")))</f>
        <v>NaN</v>
      </c>
      <c r="BO36" s="5" t="str">
        <f>IF(_xlfn.XLOOKUP($B36,rf1_data!$B:$B,rf1_data!BG:BG,"NaN")="","NaN",(_xlfn.XLOOKUP($B36,rf1_data!$B:$B,rf1_data!BG:BG,"NaN")))</f>
        <v>NaN</v>
      </c>
      <c r="BP36" s="5" t="str">
        <f>IF(_xlfn.XLOOKUP($B36,rf1_data!$B:$B,rf1_data!BH:BH,"NaN")="","NaN",(_xlfn.XLOOKUP($B36,rf1_data!$B:$B,rf1_data!BH:BH,"NaN")))</f>
        <v>NaN</v>
      </c>
      <c r="BQ36" s="5" t="str">
        <f>IF(_xlfn.XLOOKUP($B36,rf1_data!$B:$B,rf1_data!BI:BI,"NaN")="","NaN",(_xlfn.XLOOKUP($B36,rf1_data!$B:$B,rf1_data!BI:BI,"NaN")))</f>
        <v>NaN</v>
      </c>
      <c r="BR36" s="5">
        <f>IF(_xlfn.XLOOKUP($B36,rf1_data!$B:$B,rf1_data!BJ:BJ,"NaN")="","NaN",(_xlfn.XLOOKUP($B36,rf1_data!$B:$B,rf1_data!BJ:BJ,"NaN")))</f>
        <v>8991</v>
      </c>
      <c r="BS36" s="5" t="str">
        <f>IF(_xlfn.XLOOKUP($B36,rf1_data!$B:$B,rf1_data!BK:BK,"NaN")="","NaN",(_xlfn.XLOOKUP($B36,rf1_data!$B:$B,rf1_data!BK:BK,"NaN")))</f>
        <v>NaN</v>
      </c>
      <c r="BT36" s="5" t="str">
        <f>IF(_xlfn.XLOOKUP($B36,rf1_data!$B:$B,rf1_data!BL:BL,"NaN")="","NaN",(_xlfn.XLOOKUP($B36,rf1_data!$B:$B,rf1_data!BL:BL,"NaN")))</f>
        <v>NaN</v>
      </c>
      <c r="BU36" s="5" t="str">
        <f>IF(_xlfn.XLOOKUP($B36,rf1_data!$B:$B,rf1_data!BM:BM,"NaN")="","NaN",(_xlfn.XLOOKUP($B36,rf1_data!$B:$B,rf1_data!BM:BM,"NaN")))</f>
        <v>NaN</v>
      </c>
      <c r="BV36" s="5" t="str">
        <f>IF(_xlfn.XLOOKUP($B36,rf1_data!$B:$B,rf1_data!BN:BN,"NaN")="","NaN",(_xlfn.XLOOKUP($B36,rf1_data!$B:$B,rf1_data!BN:BN,"NaN")))</f>
        <v>NaN</v>
      </c>
      <c r="BW36" s="5">
        <f>IF(_xlfn.XLOOKUP($B36,rf1_data!$B:$B,rf1_data!BO:BO,"NaN")="","NaN",(_xlfn.XLOOKUP($B36,rf1_data!$B:$B,rf1_data!BO:BO,"NaN")))</f>
        <v>3.6</v>
      </c>
      <c r="BX36" s="5">
        <f>IF(_xlfn.XLOOKUP($B36,rf1_data!$B:$B,rf1_data!BP:BP,"NaN")="","NaN",(_xlfn.XLOOKUP($B36,rf1_data!$B:$B,rf1_data!BP:BP,"NaN")))</f>
        <v>3.7</v>
      </c>
      <c r="BY36" s="5">
        <f>IF(_xlfn.XLOOKUP($B36,rf1_data!$B:$B,rf1_data!BQ:BQ,"NaN")="","NaN",(_xlfn.XLOOKUP($B36,rf1_data!$B:$B,rf1_data!BQ:BQ,"NaN")))</f>
        <v>3.3</v>
      </c>
      <c r="BZ36" s="5">
        <f>IF(_xlfn.XLOOKUP($B36,rf1_data!$B:$B,rf1_data!BR:BR,"NaN")="","NaN",(_xlfn.XLOOKUP($B36,rf1_data!$B:$B,rf1_data!BR:BR,"NaN")))</f>
        <v>3.53</v>
      </c>
      <c r="CA36" s="5">
        <f>IF(_xlfn.XLOOKUP($B36,rf1_data!$B:$B,rf1_data!BS:BS,"NaN")="","NaN",(_xlfn.XLOOKUP($B36,rf1_data!$B:$B,rf1_data!BS:BS,"NaN")))</f>
        <v>6</v>
      </c>
      <c r="CB36" s="5">
        <f>IF(_xlfn.XLOOKUP($B36,rf1_data!$B:$B,rf1_data!BT:BT,"NaN")="","NaN",(_xlfn.XLOOKUP($B36,rf1_data!$B:$B,rf1_data!BT:BT,"NaN")))</f>
        <v>5.1666666666666599</v>
      </c>
      <c r="CC36" s="5">
        <f>IF(_xlfn.XLOOKUP($B36,rf1_data!$B:$B,rf1_data!BU:BU,"NaN")="","NaN",(_xlfn.XLOOKUP($B36,rf1_data!$B:$B,rf1_data!BU:BU,"NaN")))</f>
        <v>3.6666666666666599</v>
      </c>
      <c r="CD36" s="5">
        <f>IF(_xlfn.XLOOKUP($B36,rf1_data!$B:$B,rf1_data!BV:BV,"NaN")="","NaN",(_xlfn.XLOOKUP($B36,rf1_data!$B:$B,rf1_data!BV:BV,"NaN")))</f>
        <v>5.1666666666666599</v>
      </c>
      <c r="CE36" s="5">
        <f>IF(_xlfn.XLOOKUP($B36,rf1_data!$B:$B,rf1_data!BW:BW,"NaN")="","NaN",(_xlfn.XLOOKUP($B36,rf1_data!$B:$B,rf1_data!BW:BW,"NaN")))</f>
        <v>0.35</v>
      </c>
      <c r="CF36" s="5">
        <f>IF(_xlfn.XLOOKUP($B36,rf1_data!$B:$B,rf1_data!BX:BX,"NaN")="","NaN",(_xlfn.XLOOKUP($B36,rf1_data!$B:$B,rf1_data!BX:BX,"NaN")))</f>
        <v>0</v>
      </c>
      <c r="CG36" s="5">
        <f>IF(_xlfn.XLOOKUP($B36,rf1_data!$B:$B,rf1_data!BY:BY,"NaN")="","NaN",(_xlfn.XLOOKUP($B36,rf1_data!$B:$B,rf1_data!BY:BY,"NaN")))</f>
        <v>0</v>
      </c>
      <c r="CH36" s="5">
        <f>IF(_xlfn.XLOOKUP($B36,rf1_data!$B:$B,rf1_data!BZ:BZ,"NaN")="","NaN",(_xlfn.XLOOKUP($B36,rf1_data!$B:$B,rf1_data!BZ:BZ,"NaN")))</f>
        <v>19</v>
      </c>
      <c r="CI36" s="5">
        <f>IF(_xlfn.XLOOKUP($B36,rf1_data!$B:$B,rf1_data!CA:CA,"NaN")="","NaN",(_xlfn.XLOOKUP($B36,rf1_data!$B:$B,rf1_data!CA:CA,"NaN")))</f>
        <v>20</v>
      </c>
      <c r="CJ36" s="5">
        <f>IF(_xlfn.XLOOKUP($B36,rf1_data!$B:$B,rf1_data!CB:CB,"NaN")="","NaN",(_xlfn.XLOOKUP($B36,rf1_data!$B:$B,rf1_data!CB:CB,"NaN")))</f>
        <v>9</v>
      </c>
      <c r="CK36" s="5">
        <f>IF(_xlfn.XLOOKUP($B36,rf1_data!$B:$B,rf1_data!CC:CC,"NaN")="","NaN",(_xlfn.XLOOKUP($B36,rf1_data!$B:$B,rf1_data!CC:CC,"NaN")))</f>
        <v>1.28571428571428</v>
      </c>
      <c r="CL36" s="5">
        <f>IF(_xlfn.XLOOKUP($B36,rf1_data!$B:$B,rf1_data!CD:CD,"NaN")=0,"NaN",(_xlfn.XLOOKUP($B36,rf1_data!$B:$B,rf1_data!CD:CD,"NaN")))</f>
        <v>25</v>
      </c>
      <c r="CM36" s="5">
        <f>IF(_xlfn.XLOOKUP($B36,rf1_data!$B:$B,rf1_data!CE:CE,"NaN")="","NaN",(_xlfn.XLOOKUP($B36,rf1_data!$B:$B,rf1_data!CE:CE,"NaN")))</f>
        <v>22</v>
      </c>
      <c r="CN36" s="5">
        <f>IF(_xlfn.XLOOKUP($B36,rf1_data!$B:$B,rf1_data!CF:CF,"NaN")="","NaN",(_xlfn.XLOOKUP($B36,rf1_data!$B:$B,rf1_data!CF:CF,"NaN")))</f>
        <v>31</v>
      </c>
      <c r="CO36" s="5">
        <f>IF(_xlfn.XLOOKUP($B36,rf1_data!$B:$B,rf1_data!CG:CG,"NaN")="","NaN",(_xlfn.XLOOKUP($B36,rf1_data!$B:$B,rf1_data!CG:CG,"NaN")))</f>
        <v>23</v>
      </c>
      <c r="CP36" s="5">
        <f>IF(_xlfn.XLOOKUP($B36,rf1_data!$B:$B,rf1_data!CH:CH,"NaN")=0,"NaN",(_xlfn.XLOOKUP($B36,rf1_data!$B:$B,rf1_data!CH:CH,"NaN")))</f>
        <v>31</v>
      </c>
      <c r="CQ36" s="5">
        <f>IF(_xlfn.XLOOKUP($B36,rf1_data!$B:$B,rf1_data!CI:CI,"NaN")="","NaN",(_xlfn.XLOOKUP($B36,rf1_data!$B:$B,rf1_data!CI:CI,"NaN")))</f>
        <v>37</v>
      </c>
      <c r="CR36" s="5">
        <f>IF(_xlfn.XLOOKUP($B36,rf1_data!$B:$B,rf1_data!CJ:CJ,"NaN")="","NaN",(_xlfn.XLOOKUP($B36,rf1_data!$B:$B,rf1_data!CJ:CJ,"NaN")))</f>
        <v>60</v>
      </c>
      <c r="CS36" s="5">
        <f>IF(_xlfn.XLOOKUP($B36,rf1_data!$B:$B,rf1_data!CK:CK,"NaN")="","NaN",(_xlfn.XLOOKUP($B36,rf1_data!$B:$B,rf1_data!CK:CK,"NaN")))</f>
        <v>29</v>
      </c>
      <c r="CT36" s="5">
        <f>IF(_xlfn.XLOOKUP($B36,rf1_data!$B:$B,rf1_data!CL:CL,"NaN")="","NaN",(_xlfn.XLOOKUP($B36,rf1_data!$B:$B,rf1_data!CL:CL,"NaN")))</f>
        <v>60</v>
      </c>
      <c r="CU36" s="5">
        <f>IF(_xlfn.XLOOKUP($B36,rf1_data!$B:$B,rf1_data!CM:CM,"NaN")="","NaN",(_xlfn.XLOOKUP($B36,rf1_data!$B:$B,rf1_data!CM:CM,"NaN")))</f>
        <v>26</v>
      </c>
      <c r="CV36" s="5">
        <f>IF(_xlfn.XLOOKUP($B36,rf1_data!$B:$B,rf1_data!CN:CN,"NaN")="","NaN",(_xlfn.XLOOKUP($B36,rf1_data!$B:$B,rf1_data!CN:CN,"NaN")))</f>
        <v>60</v>
      </c>
      <c r="CW36" s="5" t="str">
        <f>IF(_xlfn.XLOOKUP($B36,rf1_data!$B:$B,rf1_data!CO:CO,"NaN")="","NaN",(_xlfn.XLOOKUP($B36,rf1_data!$B:$B,rf1_data!CO:CO,"NaN")))</f>
        <v>NaN</v>
      </c>
      <c r="CX36" s="5" t="str">
        <f>IF(_xlfn.XLOOKUP($B36,rf1_data!$B:$B,rf1_data!CP:CP,"NaN")="","NaN",(_xlfn.XLOOKUP($B36,rf1_data!$B:$B,rf1_data!CP:CP,"NaN")))</f>
        <v>NaN</v>
      </c>
      <c r="CY36" s="5">
        <f>IF(_xlfn.XLOOKUP($B36,rf1_data!$B:$B,rf1_data!CQ:CQ,"NaN")="","NaN",(_xlfn.XLOOKUP($B36,rf1_data!$B:$B,rf1_data!CQ:CQ,"NaN")))</f>
        <v>6</v>
      </c>
      <c r="CZ36" s="5">
        <f>IF(_xlfn.XLOOKUP($B36,rf1_data!$B:$B,rf1_data!CR:CR,"NaN")="","NaN",(_xlfn.XLOOKUP($B36,rf1_data!$B:$B,rf1_data!CR:CR,"NaN")))</f>
        <v>4</v>
      </c>
      <c r="DA36" s="5">
        <f>IF(_xlfn.XLOOKUP($B36,rf1_data!$B:$B,rf1_data!CS:CS,"NaN")="","NaN",(_xlfn.XLOOKUP($B36,rf1_data!$B:$B,rf1_data!CS:CS,"NaN")))</f>
        <v>1</v>
      </c>
      <c r="DB36" s="4">
        <f>IF(_xlfn.XLOOKUP($B36,island_data!$B:$B,island_data!H:H,"NaN")="","NaN",_xlfn.XLOOKUP($B36,island_data!$B:$B,island_data!H:H,"NaN"))</f>
        <v>0</v>
      </c>
      <c r="DC36" s="4">
        <f>IF(_xlfn.XLOOKUP($B36,island_data!$B:$B,island_data!I:I,"NaN")="","NaN",_xlfn.XLOOKUP($B36,island_data!$B:$B,island_data!I:I,"NaN"))</f>
        <v>0</v>
      </c>
      <c r="DD36" s="4">
        <f>IF(_xlfn.XLOOKUP($B36,island_data!$B:$B,island_data!J:J,"NaN")="","NaN",_xlfn.XLOOKUP($B36,island_data!$B:$B,island_data!J:J,"NaN"))</f>
        <v>3</v>
      </c>
      <c r="DE36" s="4">
        <f>IF(_xlfn.XLOOKUP($B36,island_data!$B:$B,island_data!K:K,"NaN")="","NaN",_xlfn.XLOOKUP($B36,island_data!$B:$B,island_data!K:K,"NaN"))</f>
        <v>13</v>
      </c>
      <c r="DF36" s="4">
        <f>IF(_xlfn.XLOOKUP($B36,island_data!$B:$B,island_data!L:L,"NaN")="","NaN",_xlfn.XLOOKUP($B36,island_data!$B:$B,island_data!L:L,"NaN"))</f>
        <v>27</v>
      </c>
      <c r="DG36" s="4">
        <f>IF(_xlfn.XLOOKUP($B36,island_data!$B:$B,island_data!M:M,"NaN")="","NaN",_xlfn.XLOOKUP($B36,island_data!$B:$B,island_data!M:M,"NaN"))</f>
        <v>2.3333333333333002</v>
      </c>
      <c r="DH36" s="4">
        <f>IF(_xlfn.XLOOKUP($B36,island_data!$B:$B,island_data!N:N,"NaN")="","NaN",_xlfn.XLOOKUP($B36,island_data!$B:$B,island_data!N:N,"NaN"))</f>
        <v>11</v>
      </c>
      <c r="DI36" s="4" t="str">
        <f>IF(_xlfn.XLOOKUP($B36,island_data!$B:$B,island_data!O:O,"NaN")=999,"NaN",_xlfn.XLOOKUP($B36,island_data!$B:$B,island_data!O:O,"NaN"))</f>
        <v>NaN</v>
      </c>
      <c r="DJ36" s="4">
        <f>IF(_xlfn.XLOOKUP($B36,island_data!$B:$B,island_data!P:P,"NaN")="","NaN",_xlfn.XLOOKUP($B36,island_data!$B:$B,island_data!P:P,"NaN"))</f>
        <v>6</v>
      </c>
      <c r="DK36" s="4">
        <f>IF(_xlfn.XLOOKUP($B36,island_data!$B:$B,island_data!Q:Q,"NaN")="","NaN",_xlfn.XLOOKUP($B36,island_data!$B:$B,island_data!Q:Q,"NaN"))</f>
        <v>3</v>
      </c>
      <c r="DL36" s="4" t="str">
        <f>IF(_xlfn.XLOOKUP($B36,island_data!$B:$B,island_data!R:R,"NaN")=999,"NaN",_xlfn.XLOOKUP($B36,island_data!$B:$B,island_data!R:R,"NaN"))</f>
        <v>NaN</v>
      </c>
      <c r="DM36" s="4">
        <f>IF(_xlfn.XLOOKUP($B36,island_data!$B:$B,island_data!S:S,"NaN")="","NaN",_xlfn.XLOOKUP($B36,island_data!$B:$B,island_data!S:S,"NaN"))</f>
        <v>8</v>
      </c>
      <c r="DN36" s="4">
        <f>IF(_xlfn.XLOOKUP($B36,island_data!$B:$B,island_data!T:T,"NaN")="","NaN",_xlfn.XLOOKUP($B36,island_data!$B:$B,island_data!T:T,"NaN"))</f>
        <v>3.8333333333333299</v>
      </c>
      <c r="DO36" s="4">
        <f>IF(_xlfn.XLOOKUP($B36,island_data!$B:$B,island_data!U:U,"NaN")="","NaN",_xlfn.XLOOKUP($B36,island_data!$B:$B,island_data!U:U,"NaN"))</f>
        <v>5</v>
      </c>
      <c r="DP36" s="4">
        <f>IF(_xlfn.XLOOKUP($B36,island_data!$B:$B,island_data!V:V,"NaN")="","NaN",_xlfn.XLOOKUP($B36,island_data!$B:$B,island_data!V:V,"NaN"))</f>
        <v>0</v>
      </c>
      <c r="DQ36" s="4">
        <f>IF(_xlfn.XLOOKUP($B36,island_data!$B:$B,island_data!W:W,"NaN")="","NaN",_xlfn.XLOOKUP($B36,island_data!$B:$B,island_data!W:W,"NaN"))</f>
        <v>5</v>
      </c>
      <c r="DR36" s="4">
        <f>IF(_xlfn.XLOOKUP($B36,island_data!$B:$B,island_data!X:X,"NaN")="","NaN",_xlfn.XLOOKUP($B36,island_data!$B:$B,island_data!X:X,"NaN"))</f>
        <v>5</v>
      </c>
      <c r="DS36" s="4" t="str">
        <f>IF(_xlfn.XLOOKUP($B36,island_data!$B:$B,island_data!Y:Y,"NaN")="","NaN",_xlfn.XLOOKUP($B36,island_data!$B:$B,island_data!Y:Y,"NaN"))</f>
        <v>NaN</v>
      </c>
      <c r="DT36" s="4" t="str">
        <f>IF(_xlfn.XLOOKUP($B36,island_data!$B:$B,island_data!Z:Z,"NaN")="","NaN",_xlfn.XLOOKUP($B36,island_data!$B:$B,island_data!Z:Z,"NaN"))</f>
        <v>NaN</v>
      </c>
      <c r="DU36" s="4" t="str">
        <f>IF(_xlfn.XLOOKUP($B36,island_data!$B:$B,island_data!AA:AA,"NaN")="","NaN",_xlfn.XLOOKUP($B36,island_data!$B:$B,island_data!AA:AA,"NaN"))</f>
        <v>NaN</v>
      </c>
      <c r="DV36" s="4">
        <f>IF(_xlfn.XLOOKUP($B36,island_data!$B:$B,island_data!AB:AB,"NaN")="","NaN",_xlfn.XLOOKUP($B36,island_data!$B:$B,island_data!AB:AB,"NaN"))</f>
        <v>1</v>
      </c>
      <c r="DW36" s="4">
        <f>IF(_xlfn.XLOOKUP($B36,island_data!$B:$B,island_data!AC:AC,"NaN")="","NaN",_xlfn.XLOOKUP($B36,island_data!$B:$B,island_data!AC:AC,"NaN"))</f>
        <v>19144</v>
      </c>
      <c r="DX36" s="4">
        <f>IF(_xlfn.XLOOKUP($B36,island_data!$B:$B,island_data!AD:AD,"NaN")="","NaN",_xlfn.XLOOKUP($B36,island_data!$B:$B,island_data!AD:AD,"NaN"))</f>
        <v>5</v>
      </c>
      <c r="DY36" s="4">
        <f>IF(_xlfn.XLOOKUP($B36,island_data!$B:$B,island_data!AE:AE,"NaN")="","NaN",_xlfn.XLOOKUP($B36,island_data!$B:$B,island_data!AE:AE,"NaN"))</f>
        <v>0</v>
      </c>
      <c r="DZ36" s="4" t="str">
        <f>IF(_xlfn.XLOOKUP($B36,island_data!$B:$B,island_data!AF:AF,"NaN")="","NaN",_xlfn.XLOOKUP($B36,island_data!$B:$B,island_data!AF:AF,"NaN"))</f>
        <v>NaN</v>
      </c>
      <c r="EA36" s="4" t="str">
        <f>IF(_xlfn.XLOOKUP($B36,island_data!$B:$B,island_data!AG:AG,"NaN")="","NaN",_xlfn.XLOOKUP($B36,island_data!$B:$B,island_data!AG:AG,"NaN"))</f>
        <v>NaN</v>
      </c>
      <c r="EB36" s="4" t="str">
        <f>IF(_xlfn.XLOOKUP($B36,island_data!$B:$B,island_data!AH:AH,"NaN")="","NaN",_xlfn.XLOOKUP($B36,island_data!$B:$B,island_data!AH:AH,"NaN"))</f>
        <v>NaN</v>
      </c>
      <c r="EC36" s="4" t="str">
        <f>IF(_xlfn.XLOOKUP($B36,island_data!$B:$B,island_data!AI:AI,"NaN")="","NaN",_xlfn.XLOOKUP($B36,island_data!$B:$B,island_data!AI:AI,"NaN"))</f>
        <v>NaN</v>
      </c>
      <c r="ED36" s="4" t="str">
        <f>IF(_xlfn.XLOOKUP($B36,island_data!$B:$B,island_data!AJ:AJ,"NaN")="","NaN",_xlfn.XLOOKUP($B36,island_data!$B:$B,island_data!AJ:AJ,"NaN"))</f>
        <v>NaN</v>
      </c>
      <c r="EE36" s="4" t="str">
        <f>IF(_xlfn.XLOOKUP($B36,island_data!$B:$B,island_data!AK:AK,"NaN")="","NaN",_xlfn.XLOOKUP($B36,island_data!$B:$B,island_data!AK:AK,"NaN"))</f>
        <v>NaN</v>
      </c>
      <c r="EF36" s="4" t="str">
        <f>IF(_xlfn.XLOOKUP($B36,island_data!$B:$B,island_data!AL:AL,"NaN")="","NaN",_xlfn.XLOOKUP($B36,island_data!$B:$B,island_data!AL:AL,"NaN"))</f>
        <v>NaN</v>
      </c>
      <c r="EG36" s="4" t="str">
        <f>IF(_xlfn.XLOOKUP($B36,island_data!$B:$B,island_data!AM:AM,"NaN")="","NaN",_xlfn.XLOOKUP($B36,island_data!$B:$B,island_data!AM:AM,"NaN"))</f>
        <v>NaN</v>
      </c>
      <c r="EH36" s="4">
        <f>IF(_xlfn.XLOOKUP($B36,island_data!$B:$B,island_data!AN:AN,"NaN")="","NaN",_xlfn.XLOOKUP($B36,island_data!$B:$B,island_data!AN:AN,"NaN"))</f>
        <v>0</v>
      </c>
      <c r="EI36" s="4" t="str">
        <f>IF(_xlfn.XLOOKUP($B36,island_data!$B:$B,island_data!AO:AO,"NaN")="","NaN",_xlfn.XLOOKUP($B36,island_data!$B:$B,island_data!AO:AO,"NaN"))</f>
        <v>NaN</v>
      </c>
      <c r="EJ36" s="8">
        <f>IF(_xlfn.XLOOKUP($A36,TabCAT!$A:$A,TabCAT!AU:AU,"NaN")="","NaN",(_xlfn.XLOOKUP($A36,TabCAT!$A:$A,TabCAT!AU:AU,"NaN")))</f>
        <v>210</v>
      </c>
      <c r="EK36" s="8" t="b">
        <f>IF(_xlfn.XLOOKUP($A36,TabCAT!$A:$A,TabCAT!AV:AV,"NaN")="","NaN",(_xlfn.XLOOKUP($A36,TabCAT!$A:$A,TabCAT!AV:AV,"NaN")))</f>
        <v>1</v>
      </c>
      <c r="EL36" s="8">
        <f>IF(_xlfn.XLOOKUP($A36,TabCAT!$A:$A,TabCAT!AW:AW,"NaN")="","NaN",(_xlfn.XLOOKUP($A36,TabCAT!$A:$A,TabCAT!AW:AW,"NaN")))</f>
        <v>5</v>
      </c>
      <c r="EM36" s="8">
        <f>IF(_xlfn.XLOOKUP($A36,TabCAT!$A:$A,TabCAT!AX:AX,"NaN")="","NaN",(_xlfn.XLOOKUP($A36,TabCAT!$A:$A,TabCAT!AX:AX,"NaN")))</f>
        <v>0</v>
      </c>
      <c r="EN36" s="8">
        <f>IF(_xlfn.XLOOKUP($A36,TabCAT!$A:$A,TabCAT!AY:AY,"NaN")="","NaN",(_xlfn.XLOOKUP($A36,TabCAT!$A:$A,TabCAT!AY:AY,"NaN")))</f>
        <v>6.58</v>
      </c>
      <c r="EO36" s="8">
        <f>IF(_xlfn.XLOOKUP($A36,TabCAT!$A:$A,TabCAT!AZ:AZ,"NaN")="","NaN",(_xlfn.XLOOKUP($A36,TabCAT!$A:$A,TabCAT!AZ:AZ,"NaN")))</f>
        <v>32</v>
      </c>
      <c r="EP36" s="8">
        <f>IF(_xlfn.XLOOKUP($A36,TabCAT!$A:$A,TabCAT!BA:BA,"NaN")="","NaN",(_xlfn.XLOOKUP($A36,TabCAT!$A:$A,TabCAT!BA:BA,"NaN")))</f>
        <v>1.2652364999999901</v>
      </c>
      <c r="EQ36" s="8">
        <f>IF(_xlfn.XLOOKUP($A36,TabCAT!$A:$A,TabCAT!BB:BB,"NaN")="","NaN",(_xlfn.XLOOKUP($A36,TabCAT!$A:$A,TabCAT!BB:BB,"NaN")))</f>
        <v>0.12380923099261699</v>
      </c>
      <c r="ER36" s="8">
        <f>IF(_xlfn.XLOOKUP($A36,TabCAT!$A:$A,TabCAT!BC:BC,"NaN")="","NaN",(_xlfn.XLOOKUP($A36,TabCAT!$A:$A,TabCAT!BC:BC,"NaN")))</f>
        <v>16</v>
      </c>
      <c r="ES36" s="8">
        <f>IF(_xlfn.XLOOKUP($A36,TabCAT!$A:$A,TabCAT!BD:BD,"NaN")="","NaN",(_xlfn.XLOOKUP($A36,TabCAT!$A:$A,TabCAT!BD:BD,"NaN")))</f>
        <v>1.2473209999999999</v>
      </c>
      <c r="ET36" s="8">
        <f>IF(_xlfn.XLOOKUP($A36,TabCAT!$A:$A,TabCAT!BE:BE,"NaN")="","NaN",(_xlfn.XLOOKUP($A36,TabCAT!$A:$A,TabCAT!BE:BE,"NaN")))</f>
        <v>16</v>
      </c>
      <c r="EU36" s="8">
        <f>IF(_xlfn.XLOOKUP($A36,TabCAT!$A:$A,TabCAT!BF:BF,"NaN")="","NaN",(_xlfn.XLOOKUP($A36,TabCAT!$A:$A,TabCAT!BF:BF,"NaN")))</f>
        <v>1.303885</v>
      </c>
      <c r="EV36" s="8">
        <f>IF(_xlfn.XLOOKUP($A36,TabCAT!$A:$A,TabCAT!BG:BG,"NaN")="","NaN",(_xlfn.XLOOKUP($A36,TabCAT!$A:$A,TabCAT!BG:BG,"NaN")))</f>
        <v>-3.528302</v>
      </c>
      <c r="EW36" s="8" t="str">
        <f>IF(_xlfn.XLOOKUP($A36,TabCAT!$A:$A,TabCAT!BH:BH,"NaN")="","NaN",(_xlfn.XLOOKUP($A36,TabCAT!$A:$A,TabCAT!BH:BH,"NaN")))</f>
        <v>3.0.0</v>
      </c>
      <c r="EX36" s="8" t="str">
        <f>IF(_xlfn.XLOOKUP($A36,TabCAT!$A:$A,TabCAT!BI:BI,"NaN")="","NaN",(_xlfn.XLOOKUP($A36,TabCAT!$A:$A,TabCAT!BI:BI,"NaN")))</f>
        <v>English</v>
      </c>
      <c r="EY36" s="8">
        <f>IF(_xlfn.XLOOKUP($A36,TabCAT!$A:$A,TabCAT!BJ:BJ,"NaN")="","NaN",(_xlfn.XLOOKUP($A36,TabCAT!$A:$A,TabCAT!BJ:BJ,"NaN")))</f>
        <v>345</v>
      </c>
      <c r="EZ36" s="8">
        <f>IF(_xlfn.XLOOKUP($A36,TabCAT!$A:$A,TabCAT!BK:BK,"NaN")="","NaN",(_xlfn.XLOOKUP($A36,TabCAT!$A:$A,TabCAT!BK:BK,"NaN")))</f>
        <v>1</v>
      </c>
      <c r="FA36" s="8">
        <f>IF(_xlfn.XLOOKUP($A36,TabCAT!$A:$A,TabCAT!BL:BL,"NaN")="","NaN",(_xlfn.XLOOKUP($A36,TabCAT!$A:$A,TabCAT!BL:BL,"NaN")))</f>
        <v>5</v>
      </c>
      <c r="FB36" s="8">
        <f>IF(_xlfn.XLOOKUP($A36,TabCAT!$A:$A,TabCAT!BM:BM,"NaN")="","NaN",(_xlfn.XLOOKUP($A36,TabCAT!$A:$A,TabCAT!BM:BM,"NaN")))</f>
        <v>0.83333333333333304</v>
      </c>
      <c r="FC36" s="8">
        <f>IF(_xlfn.XLOOKUP($A36,TabCAT!$A:$A,TabCAT!BN:BN,"NaN")="","NaN",(_xlfn.XLOOKUP($A36,TabCAT!$A:$A,TabCAT!BN:BN,"NaN")))</f>
        <v>2.5</v>
      </c>
      <c r="FD36" s="8">
        <f>IF(_xlfn.XLOOKUP($A36,TabCAT!$A:$A,TabCAT!BO:BO,"NaN")="","NaN",(_xlfn.XLOOKUP($A36,TabCAT!$A:$A,TabCAT!BO:BO,"NaN")))</f>
        <v>5</v>
      </c>
      <c r="FE36" s="8">
        <f>IF(_xlfn.XLOOKUP($A36,TabCAT!$A:$A,TabCAT!BP:BP,"NaN")="","NaN",(_xlfn.XLOOKUP($A36,TabCAT!$A:$A,TabCAT!BP:BP,"NaN")))</f>
        <v>0.55555555555555503</v>
      </c>
      <c r="FF36" s="8">
        <f>IF(_xlfn.XLOOKUP($A36,TabCAT!$A:$A,TabCAT!BQ:BQ,"NaN")="","NaN",(_xlfn.XLOOKUP($A36,TabCAT!$A:$A,TabCAT!BQ:BQ,"NaN")))</f>
        <v>3</v>
      </c>
      <c r="FG36" s="8">
        <f>IF(_xlfn.XLOOKUP($A36,TabCAT!$A:$A,TabCAT!BR:BR,"NaN")="","NaN",(_xlfn.XLOOKUP($A36,TabCAT!$A:$A,TabCAT!BR:BR,"NaN")))</f>
        <v>9</v>
      </c>
      <c r="FH36" s="8">
        <f>IF(_xlfn.XLOOKUP($A36,TabCAT!$A:$A,TabCAT!BS:BS,"NaN")="","NaN",(_xlfn.XLOOKUP($A36,TabCAT!$A:$A,TabCAT!BS:BS,"NaN")))</f>
        <v>0.75</v>
      </c>
      <c r="FI36" s="8">
        <f>IF(_xlfn.XLOOKUP($A36,TabCAT!$A:$A,TabCAT!BT:BT,"NaN")="","NaN",(_xlfn.XLOOKUP($A36,TabCAT!$A:$A,TabCAT!BT:BT,"NaN")))</f>
        <v>4.5</v>
      </c>
      <c r="FJ36" s="8">
        <f>IF(_xlfn.XLOOKUP($A36,TabCAT!$A:$A,TabCAT!BU:BU,"NaN")="","NaN",(_xlfn.XLOOKUP($A36,TabCAT!$A:$A,TabCAT!BU:BU,"NaN")))</f>
        <v>7</v>
      </c>
      <c r="FK36" s="8">
        <f>IF(_xlfn.XLOOKUP($A36,TabCAT!$A:$A,TabCAT!BV:BV,"NaN")="","NaN",(_xlfn.XLOOKUP($A36,TabCAT!$A:$A,TabCAT!BV:BV,"NaN")))</f>
        <v>0.46666666666666601</v>
      </c>
      <c r="FL36" s="8">
        <f>IF(_xlfn.XLOOKUP($A36,TabCAT!$A:$A,TabCAT!BW:BW,"NaN")="","NaN",(_xlfn.XLOOKUP($A36,TabCAT!$A:$A,TabCAT!BW:BW,"NaN")))</f>
        <v>3.5</v>
      </c>
      <c r="FM36" s="8">
        <f>IF(_xlfn.XLOOKUP($A36,TabCAT!$A:$A,TabCAT!BX:BX,"NaN")="","NaN",(_xlfn.XLOOKUP($A36,TabCAT!$A:$A,TabCAT!BX:BX,"NaN")))</f>
        <v>26</v>
      </c>
      <c r="FN36" s="8">
        <f>IF(_xlfn.XLOOKUP($A36,TabCAT!$A:$A,TabCAT!BY:BY,"NaN")="","NaN",(_xlfn.XLOOKUP($A36,TabCAT!$A:$A,TabCAT!BY:BY,"NaN")))</f>
        <v>0.61904761904761896</v>
      </c>
      <c r="FO36" s="8">
        <f>IF(_xlfn.XLOOKUP($A36,TabCAT!$A:$A,TabCAT!BZ:BZ,"NaN")="","NaN",(_xlfn.XLOOKUP($A36,TabCAT!$A:$A,TabCAT!BZ:BZ,"NaN")))</f>
        <v>13.5</v>
      </c>
      <c r="FP36" s="8" t="str">
        <f>IF(_xlfn.XLOOKUP($A36,TabCAT!$A:$A,TabCAT!CA:CA,"NaN")="","NaN",(_xlfn.XLOOKUP($A36,TabCAT!$A:$A,TabCAT!CA:CA,"NaN")))</f>
        <v>3.0.0</v>
      </c>
      <c r="FQ36" s="8" t="str">
        <f>IF(_xlfn.XLOOKUP($A36,TabCAT!$A:$A,TabCAT!CB:CB,"NaN")="","NaN",(_xlfn.XLOOKUP($A36,TabCAT!$A:$A,TabCAT!CB:CB,"NaN")))</f>
        <v>English</v>
      </c>
      <c r="FR36" s="8">
        <f>IF(_xlfn.XLOOKUP($A36,TabCAT!$A:$A,TabCAT!CC:CC,"NaN")="","NaN",(_xlfn.XLOOKUP($A36,TabCAT!$A:$A,TabCAT!CC:CC,"NaN")))</f>
        <v>262</v>
      </c>
      <c r="FS36" s="8" t="b">
        <f>IF(_xlfn.XLOOKUP($A36,TabCAT!$A:$A,TabCAT!CD:CD,"NaN")="","NaN",(_xlfn.XLOOKUP($A36,TabCAT!$A:$A,TabCAT!CD:CD,"NaN")))</f>
        <v>1</v>
      </c>
      <c r="FT36" s="8">
        <f>IF(_xlfn.XLOOKUP($A36,TabCAT!$A:$A,TabCAT!CE:CE,"NaN")="","NaN",(_xlfn.XLOOKUP($A36,TabCAT!$A:$A,TabCAT!CE:CE,"NaN")))</f>
        <v>8</v>
      </c>
      <c r="FU36" s="8">
        <f>IF(_xlfn.XLOOKUP($A36,TabCAT!$A:$A,TabCAT!CF:CF,"NaN")="","NaN",(_xlfn.XLOOKUP($A36,TabCAT!$A:$A,TabCAT!CF:CF,"NaN")))</f>
        <v>0</v>
      </c>
      <c r="FV36" s="8">
        <f>IF(_xlfn.XLOOKUP($A36,TabCAT!$A:$A,TabCAT!CG:CG,"NaN")="","NaN",(_xlfn.XLOOKUP($A36,TabCAT!$A:$A,TabCAT!CG:CG,"NaN")))</f>
        <v>5.7</v>
      </c>
      <c r="FW36" s="8">
        <f>IF(_xlfn.XLOOKUP($A36,TabCAT!$A:$A,TabCAT!CH:CH,"NaN")="","NaN",(_xlfn.XLOOKUP($A36,TabCAT!$A:$A,TabCAT!CH:CH,"NaN")))</f>
        <v>16</v>
      </c>
      <c r="FX36" s="8">
        <f>IF(_xlfn.XLOOKUP($A36,TabCAT!$A:$A,TabCAT!CI:CI,"NaN")="","NaN",(_xlfn.XLOOKUP($A36,TabCAT!$A:$A,TabCAT!CI:CI,"NaN")))</f>
        <v>0.87820500000000001</v>
      </c>
      <c r="FY36" s="8">
        <f>IF(_xlfn.XLOOKUP($A36,TabCAT!$A:$A,TabCAT!CJ:CJ,"NaN")="","NaN",(_xlfn.XLOOKUP($A36,TabCAT!$A:$A,TabCAT!CJ:CJ,"NaN")))</f>
        <v>16</v>
      </c>
      <c r="FZ36" s="8">
        <f>IF(_xlfn.XLOOKUP($A36,TabCAT!$A:$A,TabCAT!CK:CK,"NaN")="","NaN",(_xlfn.XLOOKUP($A36,TabCAT!$A:$A,TabCAT!CK:CK,"NaN")))</f>
        <v>1.2628174999999999</v>
      </c>
      <c r="GA36" s="8">
        <f>IF(_xlfn.XLOOKUP($A36,TabCAT!$A:$A,TabCAT!CL:CL,"NaN")="","NaN",(_xlfn.XLOOKUP($A36,TabCAT!$A:$A,TabCAT!CL:CL,"NaN")))</f>
        <v>32</v>
      </c>
      <c r="GB36" s="8">
        <f>IF(_xlfn.XLOOKUP($A36,TabCAT!$A:$A,TabCAT!CM:CM,"NaN")="","NaN",(_xlfn.XLOOKUP($A36,TabCAT!$A:$A,TabCAT!CM:CM,"NaN")))</f>
        <v>1.6302365000000001</v>
      </c>
      <c r="GC36" s="8">
        <f>IF(_xlfn.XLOOKUP($A36,TabCAT!$A:$A,TabCAT!CN:CN,"NaN")="","NaN",(_xlfn.XLOOKUP($A36,TabCAT!$A:$A,TabCAT!CN:CN,"NaN")))</f>
        <v>20</v>
      </c>
      <c r="GD36" s="8">
        <f>IF(_xlfn.XLOOKUP($A36,TabCAT!$A:$A,TabCAT!CO:CO,"NaN")="","NaN",(_xlfn.XLOOKUP($A36,TabCAT!$A:$A,TabCAT!CO:CO,"NaN")))</f>
        <v>1.6390940000000001</v>
      </c>
      <c r="GE36" s="8">
        <f>IF(_xlfn.XLOOKUP($A36,TabCAT!$A:$A,TabCAT!CP:CP,"NaN")="","NaN",(_xlfn.XLOOKUP($A36,TabCAT!$A:$A,TabCAT!CP:CP,"NaN")))</f>
        <v>0.29657883802951901</v>
      </c>
      <c r="GF36" s="8">
        <f>IF(_xlfn.XLOOKUP($A36,TabCAT!$A:$A,TabCAT!CQ:CQ,"NaN")="","NaN",(_xlfn.XLOOKUP($A36,TabCAT!$A:$A,TabCAT!CQ:CQ,"NaN")))</f>
        <v>54</v>
      </c>
      <c r="GG36" s="8">
        <f>IF(_xlfn.XLOOKUP($A36,TabCAT!$A:$A,TabCAT!CR:CR,"NaN")="","NaN",(_xlfn.XLOOKUP($A36,TabCAT!$A:$A,TabCAT!CR:CR,"NaN")))</f>
        <v>1.1402764999999999</v>
      </c>
      <c r="GH36" s="8">
        <f>IF(_xlfn.XLOOKUP($A36,TabCAT!$A:$A,TabCAT!CS:CS,"NaN")="","NaN",(_xlfn.XLOOKUP($A36,TabCAT!$A:$A,TabCAT!CS:CS,"NaN")))</f>
        <v>-3.086957</v>
      </c>
    </row>
    <row r="37" spans="1:190" x14ac:dyDescent="0.2">
      <c r="A37">
        <v>10661</v>
      </c>
      <c r="B37">
        <f>_xlfn.XLOOKUP(bippity_poppity_boo!A37,rf1_data!A:A,rf1_data!B:B)</f>
        <v>130672</v>
      </c>
      <c r="C37" s="2" t="str">
        <f>(_xlfn.XLOOKUP($A37,trust!$A:$A,trust!B:B,"NaN"))</f>
        <v>NaN</v>
      </c>
      <c r="D37" s="2" t="str">
        <f>(_xlfn.XLOOKUP($A37,trust!$A:$A,trust!C:C,"NaN"))</f>
        <v>NaN</v>
      </c>
      <c r="E37" s="2" t="str">
        <f>(_xlfn.XLOOKUP($A37,trust!$A:$A,trust!D:D,"NaN"))</f>
        <v>NaN</v>
      </c>
      <c r="F37" s="2" t="str">
        <f>(_xlfn.XLOOKUP($A37,trust!$A:$A,trust!E:E,"NaN"))</f>
        <v>NaN</v>
      </c>
      <c r="G37" s="2" t="str">
        <f>(_xlfn.XLOOKUP($A37,trust!$A:$A,trust!F:F,"NaN"))</f>
        <v>NaN</v>
      </c>
      <c r="H37" s="2" t="str">
        <f>(_xlfn.XLOOKUP($A37,trust!$A:$A,trust!G:G,"NaN"))</f>
        <v>NaN</v>
      </c>
      <c r="I37" s="3">
        <f>IF(_xlfn.XLOOKUP($B37,island_data!$B:$B,island_data!C:C,"NaN")="","NaN",_xlfn.XLOOKUP($B37,island_data!$B:$B,island_data!C:C,"NaN"))</f>
        <v>45016</v>
      </c>
      <c r="J37" s="3">
        <f>IF(_xlfn.XLOOKUP($B37,island_data!$B:$B,island_data!D:D,"NaN")="","NaN",_xlfn.XLOOKUP($B37,island_data!$B:$B,island_data!D:D,"NaN"))</f>
        <v>26625</v>
      </c>
      <c r="K37" s="4">
        <f>IF(_xlfn.XLOOKUP($B37,island_data!$B:$B,island_data!E:E,"NaN")="","NaN",_xlfn.XLOOKUP($B37,island_data!$B:$B,island_data!E:E,"NaN"))</f>
        <v>50.35</v>
      </c>
      <c r="L37" s="5">
        <f>IF(_xlfn.XLOOKUP($B37,rf1_data!$B:$B,rf1_data!D:D,"NaN")="","NaN",(_xlfn.XLOOKUP($B37,rf1_data!$B:$B,rf1_data!D:D,"NaN")))</f>
        <v>50.64</v>
      </c>
      <c r="M37" s="5" t="str">
        <f>IF(_xlfn.XLOOKUP($B37,rf1_data!$B:$B,rf1_data!E:E,"NaN")="","NaN",(_xlfn.XLOOKUP($B37,rf1_data!$B:$B,rf1_data!E:E,"NaN")))</f>
        <v>White</v>
      </c>
      <c r="N37" s="5" t="str">
        <f>IF(_xlfn.XLOOKUP($B37,rf1_data!$B:$B,rf1_data!F:F,"NaN")="","NaN",(_xlfn.XLOOKUP($B37,rf1_data!$B:$B,rf1_data!F:F,"NaN")))</f>
        <v>Not Hispanic or Latino</v>
      </c>
      <c r="O37" s="5" t="str">
        <f>IF(_xlfn.XLOOKUP($B37,rf1_data!$B:$B,rf1_data!G:G,"NaN")="","NaN",(_xlfn.XLOOKUP($B37,rf1_data!$B:$B,rf1_data!G:G,"NaN")))</f>
        <v>Male</v>
      </c>
      <c r="P37" s="5">
        <f>IF(_xlfn.XLOOKUP($B37,rf1_data!$B:$B,rf1_data!H:H,"NaN")="","NaN",(_xlfn.XLOOKUP($B37,rf1_data!$B:$B,rf1_data!H:H,"NaN")))</f>
        <v>5</v>
      </c>
      <c r="Q37" s="5">
        <f>IF(_xlfn.XLOOKUP($B37,rf1_data!$B:$B,rf1_data!I:I,"NaN")="","NaN",(_xlfn.XLOOKUP($B37,rf1_data!$B:$B,rf1_data!I:I,"NaN")))</f>
        <v>3.3</v>
      </c>
      <c r="R37" s="5">
        <f>IF(_xlfn.XLOOKUP($B37,rf1_data!$B:$B,rf1_data!J:J,"NaN")="","NaN",(_xlfn.XLOOKUP($B37,rf1_data!$B:$B,rf1_data!J:J,"NaN")))</f>
        <v>1</v>
      </c>
      <c r="S37" s="5">
        <f>IF(_xlfn.XLOOKUP($B37,rf1_data!$B:$B,rf1_data!K:K,"NaN")="","NaN",(_xlfn.XLOOKUP($B37,rf1_data!$B:$B,rf1_data!K:K,"NaN")))</f>
        <v>0</v>
      </c>
      <c r="T37" s="5">
        <f>IF(_xlfn.XLOOKUP($B37,rf1_data!$B:$B,rf1_data!L:L,"NaN")="","NaN",(_xlfn.XLOOKUP($B37,rf1_data!$B:$B,rf1_data!L:L,"NaN")))</f>
        <v>0</v>
      </c>
      <c r="U37" s="5">
        <f>IF(_xlfn.XLOOKUP($B37,rf1_data!$B:$B,rf1_data!M:M,"NaN")="","NaN",(_xlfn.XLOOKUP($B37,rf1_data!$B:$B,rf1_data!M:M,"NaN")))</f>
        <v>6.83</v>
      </c>
      <c r="V37" s="5">
        <f>IF(_xlfn.XLOOKUP($B37,rf1_data!$B:$B,rf1_data!N:N,"NaN")="","NaN",(_xlfn.XLOOKUP($B37,rf1_data!$B:$B,rf1_data!N:N,"NaN")))</f>
        <v>5.83</v>
      </c>
      <c r="W37" s="5">
        <f>IF(_xlfn.XLOOKUP($B37,rf1_data!$B:$B,rf1_data!O:O,"NaN")="","NaN",(_xlfn.XLOOKUP($B37,rf1_data!$B:$B,rf1_data!O:O,"NaN")))</f>
        <v>6.5</v>
      </c>
      <c r="X37" s="5">
        <f>IF(_xlfn.XLOOKUP($B37,rf1_data!$B:$B,rf1_data!P:P,"NaN")="","NaN",(_xlfn.XLOOKUP($B37,rf1_data!$B:$B,rf1_data!P:P,"NaN")))</f>
        <v>6.33</v>
      </c>
      <c r="Y37" s="5">
        <f>IF(_xlfn.XLOOKUP($B37,rf1_data!$B:$B,rf1_data!Q:Q,"NaN")="","NaN",(_xlfn.XLOOKUP($B37,rf1_data!$B:$B,rf1_data!Q:Q,"NaN")))</f>
        <v>6.43</v>
      </c>
      <c r="Z37" s="5">
        <f>IF(_xlfn.XLOOKUP($B37,rf1_data!$B:$B,rf1_data!R:R,"NaN")="","NaN",(_xlfn.XLOOKUP($B37,rf1_data!$B:$B,rf1_data!R:R,"NaN")))</f>
        <v>16</v>
      </c>
      <c r="AA37" s="5">
        <f>IF(_xlfn.XLOOKUP($B37,rf1_data!$B:$B,rf1_data!S:S,"NaN")="","NaN",(_xlfn.XLOOKUP($B37,rf1_data!$B:$B,rf1_data!S:S,"NaN")))</f>
        <v>2</v>
      </c>
      <c r="AB37" s="5">
        <f>IF(_xlfn.XLOOKUP($B37,rf1_data!$B:$B,rf1_data!T:T,"NaN")="","NaN",(_xlfn.XLOOKUP($B37,rf1_data!$B:$B,rf1_data!T:T,"NaN")))</f>
        <v>8</v>
      </c>
      <c r="AC37" s="5">
        <f>IF(_xlfn.XLOOKUP($B37,rf1_data!$B:$B,rf1_data!U:U,"NaN")="","NaN",(_xlfn.XLOOKUP($B37,rf1_data!$B:$B,rf1_data!U:U,"NaN")))</f>
        <v>1</v>
      </c>
      <c r="AD37" s="5">
        <f>IF(_xlfn.XLOOKUP($B37,rf1_data!$B:$B,rf1_data!V:V,"NaN")="","NaN",(_xlfn.XLOOKUP($B37,rf1_data!$B:$B,rf1_data!V:V,"NaN")))</f>
        <v>5</v>
      </c>
      <c r="AE37" s="5">
        <f>IF(_xlfn.XLOOKUP($B37,rf1_data!$B:$B,rf1_data!W:W,"NaN")="","NaN",(_xlfn.XLOOKUP($B37,rf1_data!$B:$B,rf1_data!W:W,"NaN")))</f>
        <v>0</v>
      </c>
      <c r="AF37" s="5">
        <f>IF(_xlfn.XLOOKUP($B37,rf1_data!$B:$B,rf1_data!X:X,"NaN")="","NaN",(_xlfn.XLOOKUP($B37,rf1_data!$B:$B,rf1_data!X:X,"NaN")))</f>
        <v>3</v>
      </c>
      <c r="AG37" s="5">
        <f>IF(_xlfn.XLOOKUP($B37,rf1_data!$B:$B,rf1_data!Y:Y,"NaN")="","NaN",(_xlfn.XLOOKUP($B37,rf1_data!$B:$B,rf1_data!Y:Y,"NaN")))</f>
        <v>5</v>
      </c>
      <c r="AH37" s="5">
        <f>IF(_xlfn.XLOOKUP($B37,rf1_data!$B:$B,rf1_data!Z:Z,"NaN")="","NaN",(_xlfn.XLOOKUP($B37,rf1_data!$B:$B,rf1_data!Z:Z,"NaN")))</f>
        <v>0</v>
      </c>
      <c r="AI37" s="5">
        <f>IF(_xlfn.XLOOKUP($B37,rf1_data!$B:$B,rf1_data!AA:AA,"NaN")="","NaN",(_xlfn.XLOOKUP($B37,rf1_data!$B:$B,rf1_data!AA:AA,"NaN")))</f>
        <v>2</v>
      </c>
      <c r="AJ37" s="5">
        <f>IF(_xlfn.XLOOKUP($B37,rf1_data!$B:$B,rf1_data!AB:AB,"NaN")="","NaN",(_xlfn.XLOOKUP($B37,rf1_data!$B:$B,rf1_data!AB:AB,"NaN")))</f>
        <v>10</v>
      </c>
      <c r="AK37" s="5">
        <f>IF(_xlfn.XLOOKUP($B37,rf1_data!$B:$B,rf1_data!AC:AC,"NaN")="","NaN",(_xlfn.XLOOKUP($B37,rf1_data!$B:$B,rf1_data!AC:AC,"NaN")))</f>
        <v>42</v>
      </c>
      <c r="AL37" s="5">
        <f>IF(_xlfn.XLOOKUP($B37,rf1_data!$B:$B,rf1_data!AD:AD,"NaN")="","NaN",(_xlfn.XLOOKUP($B37,rf1_data!$B:$B,rf1_data!AD:AD,"NaN")))</f>
        <v>10</v>
      </c>
      <c r="AM37" s="5">
        <f>IF(_xlfn.XLOOKUP($B37,rf1_data!$B:$B,rf1_data!AE:AE,"NaN")="","NaN",(_xlfn.XLOOKUP($B37,rf1_data!$B:$B,rf1_data!AE:AE,"NaN")))</f>
        <v>0</v>
      </c>
      <c r="AN37" s="5">
        <f>IF(_xlfn.XLOOKUP($B37,rf1_data!$B:$B,rf1_data!AF:AF,"NaN")="","NaN",(_xlfn.XLOOKUP($B37,rf1_data!$B:$B,rf1_data!AF:AF,"NaN")))</f>
        <v>0</v>
      </c>
      <c r="AO37" s="5">
        <f>IF(_xlfn.XLOOKUP($B37,rf1_data!$B:$B,rf1_data!AG:AG,"NaN")="","NaN",(_xlfn.XLOOKUP($B37,rf1_data!$B:$B,rf1_data!AG:AG,"NaN")))</f>
        <v>7</v>
      </c>
      <c r="AP37" s="5">
        <f>IF(_xlfn.XLOOKUP($B37,rf1_data!$B:$B,rf1_data!AH:AH,"NaN")="","NaN",(_xlfn.XLOOKUP($B37,rf1_data!$B:$B,rf1_data!AH:AH,"NaN")))</f>
        <v>7</v>
      </c>
      <c r="AQ37" s="5">
        <f>IF(_xlfn.XLOOKUP($B37,rf1_data!$B:$B,rf1_data!AI:AI,"NaN")="","NaN",(_xlfn.XLOOKUP($B37,rf1_data!$B:$B,rf1_data!AI:AI,"NaN")))</f>
        <v>7</v>
      </c>
      <c r="AR37" s="5">
        <f>IF(_xlfn.XLOOKUP($B37,rf1_data!$B:$B,rf1_data!AJ:AJ,"NaN")="","NaN",(_xlfn.XLOOKUP($B37,rf1_data!$B:$B,rf1_data!AJ:AJ,"NaN")))</f>
        <v>7</v>
      </c>
      <c r="AS37" s="5">
        <f>IF(_xlfn.XLOOKUP($B37,rf1_data!$B:$B,rf1_data!AK:AK,"NaN")="","NaN",(_xlfn.XLOOKUP($B37,rf1_data!$B:$B,rf1_data!AK:AK,"NaN")))</f>
        <v>3.9</v>
      </c>
      <c r="AT37" s="5">
        <f>IF(_xlfn.XLOOKUP($B37,rf1_data!$B:$B,rf1_data!AL:AL,"NaN")="","NaN",(_xlfn.XLOOKUP($B37,rf1_data!$B:$B,rf1_data!AL:AL,"NaN")))</f>
        <v>8</v>
      </c>
      <c r="AU37" s="5">
        <f>IF(_xlfn.XLOOKUP($B37,rf1_data!$B:$B,rf1_data!AM:AM,"NaN")="","NaN",(_xlfn.XLOOKUP($B37,rf1_data!$B:$B,rf1_data!AM:AM,"NaN")))</f>
        <v>1.67</v>
      </c>
      <c r="AV37" s="5">
        <f>IF(_xlfn.XLOOKUP($B37,rf1_data!$B:$B,rf1_data!AN:AN,"NaN")="","NaN",(_xlfn.XLOOKUP($B37,rf1_data!$B:$B,rf1_data!AN:AN,"NaN")))</f>
        <v>0</v>
      </c>
      <c r="AW37" s="5">
        <f>IF(_xlfn.XLOOKUP($B37,rf1_data!$B:$B,rf1_data!AO:AO,"NaN")="","NaN",(_xlfn.XLOOKUP($B37,rf1_data!$B:$B,rf1_data!AO:AO,"NaN")))</f>
        <v>3.33</v>
      </c>
      <c r="AX37" s="5">
        <f>IF(_xlfn.XLOOKUP($B37,rf1_data!$B:$B,rf1_data!AP:AP,"NaN")="","NaN",(_xlfn.XLOOKUP($B37,rf1_data!$B:$B,rf1_data!AP:AP,"NaN")))</f>
        <v>3.4</v>
      </c>
      <c r="AY37" s="5" t="str">
        <f>IF(_xlfn.XLOOKUP($B37,rf1_data!$B:$B,rf1_data!AQ:AQ,"NaN")="","NaN",(_xlfn.XLOOKUP($B37,rf1_data!$B:$B,rf1_data!AQ:AQ,"NaN")))</f>
        <v>NaN</v>
      </c>
      <c r="AZ37" s="5" t="str">
        <f>IF(_xlfn.XLOOKUP($B37,rf1_data!$B:$B,rf1_data!AR:AR,"NaN")="","NaN",(_xlfn.XLOOKUP($B37,rf1_data!$B:$B,rf1_data!AR:AR,"NaN")))</f>
        <v>NaN</v>
      </c>
      <c r="BA37" s="5" t="str">
        <f>IF(_xlfn.XLOOKUP($B37,rf1_data!$B:$B,rf1_data!AS:AS,"NaN")="","NaN",(_xlfn.XLOOKUP($B37,rf1_data!$B:$B,rf1_data!AS:AS,"NaN")))</f>
        <v>NaN</v>
      </c>
      <c r="BB37" s="5" t="str">
        <f>IF(_xlfn.XLOOKUP($B37,rf1_data!$B:$B,rf1_data!AT:AT,"NaN")="","NaN",(_xlfn.XLOOKUP($B37,rf1_data!$B:$B,rf1_data!AT:AT,"NaN")))</f>
        <v>NaN</v>
      </c>
      <c r="BC37" s="5" t="str">
        <f>IF(_xlfn.XLOOKUP($B37,rf1_data!$B:$B,rf1_data!AU:AU,"NaN")="","NaN",(_xlfn.XLOOKUP($B37,rf1_data!$B:$B,rf1_data!AU:AU,"NaN")))</f>
        <v>NaN</v>
      </c>
      <c r="BD37" s="5" t="str">
        <f>IF(_xlfn.XLOOKUP($B37,rf1_data!$B:$B,rf1_data!AV:AV,"NaN")="","NaN",(_xlfn.XLOOKUP($B37,rf1_data!$B:$B,rf1_data!AV:AV,"NaN")))</f>
        <v>NaN</v>
      </c>
      <c r="BE37" s="5" t="str">
        <f>IF(_xlfn.XLOOKUP($B37,rf1_data!$B:$B,rf1_data!AW:AW,"NaN")="","NaN",(_xlfn.XLOOKUP($B37,rf1_data!$B:$B,rf1_data!AW:AW,"NaN")))</f>
        <v>NaN</v>
      </c>
      <c r="BF37" s="5" t="str">
        <f>IF(_xlfn.XLOOKUP($B37,rf1_data!$B:$B,rf1_data!AX:AX,"NaN")="","NaN",(_xlfn.XLOOKUP($B37,rf1_data!$B:$B,rf1_data!AX:AX,"NaN")))</f>
        <v>NaN</v>
      </c>
      <c r="BG37" s="5" t="str">
        <f>IF(_xlfn.XLOOKUP($B37,rf1_data!$B:$B,rf1_data!AY:AY,"NaN")="","NaN",(_xlfn.XLOOKUP($B37,rf1_data!$B:$B,rf1_data!AY:AY,"NaN")))</f>
        <v>NaN</v>
      </c>
      <c r="BH37" s="5" t="str">
        <f>IF(_xlfn.XLOOKUP($B37,rf1_data!$B:$B,rf1_data!AZ:AZ,"NaN")="","NaN",(_xlfn.XLOOKUP($B37,rf1_data!$B:$B,rf1_data!AZ:AZ,"NaN")))</f>
        <v>NaN</v>
      </c>
      <c r="BI37" s="5">
        <f>IF(_xlfn.XLOOKUP($B37,rf1_data!$B:$B,rf1_data!BA:BA,"NaN")="","NaN",(_xlfn.XLOOKUP($B37,rf1_data!$B:$B,rf1_data!BA:BA,"NaN")))</f>
        <v>20</v>
      </c>
      <c r="BJ37" s="5" t="str">
        <f>IF(_xlfn.XLOOKUP($B37,rf1_data!$B:$B,rf1_data!BB:BB,"NaN")="","NaN",(_xlfn.XLOOKUP($B37,rf1_data!$B:$B,rf1_data!BB:BB,"NaN")))</f>
        <v>NaN</v>
      </c>
      <c r="BK37" s="5" t="str">
        <f>IF(_xlfn.XLOOKUP($B37,rf1_data!$B:$B,rf1_data!BC:BC,"NaN")="","NaN",(_xlfn.XLOOKUP($B37,rf1_data!$B:$B,rf1_data!BC:BC,"NaN")))</f>
        <v>NaN</v>
      </c>
      <c r="BL37" s="5" t="str">
        <f>IF(_xlfn.XLOOKUP($B37,rf1_data!$B:$B,rf1_data!BD:BD,"NaN")="","NaN",(_xlfn.XLOOKUP($B37,rf1_data!$B:$B,rf1_data!BD:BD,"NaN")))</f>
        <v>NaN</v>
      </c>
      <c r="BM37" s="5" t="str">
        <f>IF(_xlfn.XLOOKUP($B37,rf1_data!$B:$B,rf1_data!BE:BE,"NaN")="","NaN",(_xlfn.XLOOKUP($B37,rf1_data!$B:$B,rf1_data!BE:BE,"NaN")))</f>
        <v>NaN</v>
      </c>
      <c r="BN37" s="5" t="str">
        <f>IF(_xlfn.XLOOKUP($B37,rf1_data!$B:$B,rf1_data!BF:BF,"NaN")="","NaN",(_xlfn.XLOOKUP($B37,rf1_data!$B:$B,rf1_data!BF:BF,"NaN")))</f>
        <v>NaN</v>
      </c>
      <c r="BO37" s="5" t="str">
        <f>IF(_xlfn.XLOOKUP($B37,rf1_data!$B:$B,rf1_data!BG:BG,"NaN")="","NaN",(_xlfn.XLOOKUP($B37,rf1_data!$B:$B,rf1_data!BG:BG,"NaN")))</f>
        <v>NaN</v>
      </c>
      <c r="BP37" s="5" t="str">
        <f>IF(_xlfn.XLOOKUP($B37,rf1_data!$B:$B,rf1_data!BH:BH,"NaN")="","NaN",(_xlfn.XLOOKUP($B37,rf1_data!$B:$B,rf1_data!BH:BH,"NaN")))</f>
        <v>NaN</v>
      </c>
      <c r="BQ37" s="5" t="str">
        <f>IF(_xlfn.XLOOKUP($B37,rf1_data!$B:$B,rf1_data!BI:BI,"NaN")="","NaN",(_xlfn.XLOOKUP($B37,rf1_data!$B:$B,rf1_data!BI:BI,"NaN")))</f>
        <v>NaN</v>
      </c>
      <c r="BR37" s="5">
        <f>IF(_xlfn.XLOOKUP($B37,rf1_data!$B:$B,rf1_data!BJ:BJ,"NaN")="","NaN",(_xlfn.XLOOKUP($B37,rf1_data!$B:$B,rf1_data!BJ:BJ,"NaN")))</f>
        <v>8991</v>
      </c>
      <c r="BS37" s="5" t="str">
        <f>IF(_xlfn.XLOOKUP($B37,rf1_data!$B:$B,rf1_data!BK:BK,"NaN")="","NaN",(_xlfn.XLOOKUP($B37,rf1_data!$B:$B,rf1_data!BK:BK,"NaN")))</f>
        <v>NaN</v>
      </c>
      <c r="BT37" s="5" t="str">
        <f>IF(_xlfn.XLOOKUP($B37,rf1_data!$B:$B,rf1_data!BL:BL,"NaN")="","NaN",(_xlfn.XLOOKUP($B37,rf1_data!$B:$B,rf1_data!BL:BL,"NaN")))</f>
        <v>NaN</v>
      </c>
      <c r="BU37" s="5" t="str">
        <f>IF(_xlfn.XLOOKUP($B37,rf1_data!$B:$B,rf1_data!BM:BM,"NaN")="","NaN",(_xlfn.XLOOKUP($B37,rf1_data!$B:$B,rf1_data!BM:BM,"NaN")))</f>
        <v>NaN</v>
      </c>
      <c r="BV37" s="5" t="str">
        <f>IF(_xlfn.XLOOKUP($B37,rf1_data!$B:$B,rf1_data!BN:BN,"NaN")="","NaN",(_xlfn.XLOOKUP($B37,rf1_data!$B:$B,rf1_data!BN:BN,"NaN")))</f>
        <v>NaN</v>
      </c>
      <c r="BW37" s="5">
        <f>IF(_xlfn.XLOOKUP($B37,rf1_data!$B:$B,rf1_data!BO:BO,"NaN")="","NaN",(_xlfn.XLOOKUP($B37,rf1_data!$B:$B,rf1_data!BO:BO,"NaN")))</f>
        <v>3.9</v>
      </c>
      <c r="BX37" s="5">
        <f>IF(_xlfn.XLOOKUP($B37,rf1_data!$B:$B,rf1_data!BP:BP,"NaN")="","NaN",(_xlfn.XLOOKUP($B37,rf1_data!$B:$B,rf1_data!BP:BP,"NaN")))</f>
        <v>3.9</v>
      </c>
      <c r="BY37" s="5">
        <f>IF(_xlfn.XLOOKUP($B37,rf1_data!$B:$B,rf1_data!BQ:BQ,"NaN")="","NaN",(_xlfn.XLOOKUP($B37,rf1_data!$B:$B,rf1_data!BQ:BQ,"NaN")))</f>
        <v>3.8</v>
      </c>
      <c r="BZ37" s="5">
        <f>IF(_xlfn.XLOOKUP($B37,rf1_data!$B:$B,rf1_data!BR:BR,"NaN")="","NaN",(_xlfn.XLOOKUP($B37,rf1_data!$B:$B,rf1_data!BR:BR,"NaN")))</f>
        <v>3.87</v>
      </c>
      <c r="CA37" s="5">
        <f>IF(_xlfn.XLOOKUP($B37,rf1_data!$B:$B,rf1_data!BS:BS,"NaN")="","NaN",(_xlfn.XLOOKUP($B37,rf1_data!$B:$B,rf1_data!BS:BS,"NaN")))</f>
        <v>6</v>
      </c>
      <c r="CB37" s="5">
        <f>IF(_xlfn.XLOOKUP($B37,rf1_data!$B:$B,rf1_data!BT:BT,"NaN")="","NaN",(_xlfn.XLOOKUP($B37,rf1_data!$B:$B,rf1_data!BT:BT,"NaN")))</f>
        <v>5.1666666666666599</v>
      </c>
      <c r="CC37" s="5">
        <f>IF(_xlfn.XLOOKUP($B37,rf1_data!$B:$B,rf1_data!BU:BU,"NaN")="","NaN",(_xlfn.XLOOKUP($B37,rf1_data!$B:$B,rf1_data!BU:BU,"NaN")))</f>
        <v>5.1666666666666599</v>
      </c>
      <c r="CD37" s="5">
        <f>IF(_xlfn.XLOOKUP($B37,rf1_data!$B:$B,rf1_data!BV:BV,"NaN")="","NaN",(_xlfn.XLOOKUP($B37,rf1_data!$B:$B,rf1_data!BV:BV,"NaN")))</f>
        <v>4.3333333333333304</v>
      </c>
      <c r="CE37" s="5">
        <f>IF(_xlfn.XLOOKUP($B37,rf1_data!$B:$B,rf1_data!BW:BW,"NaN")="","NaN",(_xlfn.XLOOKUP($B37,rf1_data!$B:$B,rf1_data!BW:BW,"NaN")))</f>
        <v>0.2</v>
      </c>
      <c r="CF37" s="5">
        <f>IF(_xlfn.XLOOKUP($B37,rf1_data!$B:$B,rf1_data!BX:BX,"NaN")="","NaN",(_xlfn.XLOOKUP($B37,rf1_data!$B:$B,rf1_data!BX:BX,"NaN")))</f>
        <v>0</v>
      </c>
      <c r="CG37" s="5">
        <f>IF(_xlfn.XLOOKUP($B37,rf1_data!$B:$B,rf1_data!BY:BY,"NaN")="","NaN",(_xlfn.XLOOKUP($B37,rf1_data!$B:$B,rf1_data!BY:BY,"NaN")))</f>
        <v>0</v>
      </c>
      <c r="CH37" s="5">
        <f>IF(_xlfn.XLOOKUP($B37,rf1_data!$B:$B,rf1_data!BZ:BZ,"NaN")="","NaN",(_xlfn.XLOOKUP($B37,rf1_data!$B:$B,rf1_data!BZ:BZ,"NaN")))</f>
        <v>24</v>
      </c>
      <c r="CI37" s="5" t="str">
        <f>IF(_xlfn.XLOOKUP($B37,rf1_data!$B:$B,rf1_data!CA:CA,"NaN")="","NaN",(_xlfn.XLOOKUP($B37,rf1_data!$B:$B,rf1_data!CA:CA,"NaN")))</f>
        <v>NaN</v>
      </c>
      <c r="CJ37" s="5">
        <f>IF(_xlfn.XLOOKUP($B37,rf1_data!$B:$B,rf1_data!CB:CB,"NaN")="","NaN",(_xlfn.XLOOKUP($B37,rf1_data!$B:$B,rf1_data!CB:CB,"NaN")))</f>
        <v>7</v>
      </c>
      <c r="CK37" s="5">
        <f>IF(_xlfn.XLOOKUP($B37,rf1_data!$B:$B,rf1_data!CC:CC,"NaN")="","NaN",(_xlfn.XLOOKUP($B37,rf1_data!$B:$B,rf1_data!CC:CC,"NaN")))</f>
        <v>0.7</v>
      </c>
      <c r="CL37" s="5">
        <f>IF(_xlfn.XLOOKUP($B37,rf1_data!$B:$B,rf1_data!CD:CD,"NaN")=0,"NaN",(_xlfn.XLOOKUP($B37,rf1_data!$B:$B,rf1_data!CD:CD,"NaN")))</f>
        <v>31</v>
      </c>
      <c r="CM37" s="5">
        <f>IF(_xlfn.XLOOKUP($B37,rf1_data!$B:$B,rf1_data!CE:CE,"NaN")="","NaN",(_xlfn.XLOOKUP($B37,rf1_data!$B:$B,rf1_data!CE:CE,"NaN")))</f>
        <v>39</v>
      </c>
      <c r="CN37" s="5">
        <f>IF(_xlfn.XLOOKUP($B37,rf1_data!$B:$B,rf1_data!CF:CF,"NaN")="","NaN",(_xlfn.XLOOKUP($B37,rf1_data!$B:$B,rf1_data!CF:CF,"NaN")))</f>
        <v>45</v>
      </c>
      <c r="CO37" s="5">
        <f>IF(_xlfn.XLOOKUP($B37,rf1_data!$B:$B,rf1_data!CG:CG,"NaN")="","NaN",(_xlfn.XLOOKUP($B37,rf1_data!$B:$B,rf1_data!CG:CG,"NaN")))</f>
        <v>31</v>
      </c>
      <c r="CP37" s="5">
        <f>IF(_xlfn.XLOOKUP($B37,rf1_data!$B:$B,rf1_data!CH:CH,"NaN")=0,"NaN",(_xlfn.XLOOKUP($B37,rf1_data!$B:$B,rf1_data!CH:CH,"NaN")))</f>
        <v>30</v>
      </c>
      <c r="CQ37" s="5">
        <f>IF(_xlfn.XLOOKUP($B37,rf1_data!$B:$B,rf1_data!CI:CI,"NaN")="","NaN",(_xlfn.XLOOKUP($B37,rf1_data!$B:$B,rf1_data!CI:CI,"NaN")))</f>
        <v>48</v>
      </c>
      <c r="CR37" s="5">
        <f>IF(_xlfn.XLOOKUP($B37,rf1_data!$B:$B,rf1_data!CJ:CJ,"NaN")="","NaN",(_xlfn.XLOOKUP($B37,rf1_data!$B:$B,rf1_data!CJ:CJ,"NaN")))</f>
        <v>60</v>
      </c>
      <c r="CS37" s="5">
        <f>IF(_xlfn.XLOOKUP($B37,rf1_data!$B:$B,rf1_data!CK:CK,"NaN")="","NaN",(_xlfn.XLOOKUP($B37,rf1_data!$B:$B,rf1_data!CK:CK,"NaN")))</f>
        <v>47</v>
      </c>
      <c r="CT37" s="5">
        <f>IF(_xlfn.XLOOKUP($B37,rf1_data!$B:$B,rf1_data!CL:CL,"NaN")="","NaN",(_xlfn.XLOOKUP($B37,rf1_data!$B:$B,rf1_data!CL:CL,"NaN")))</f>
        <v>60</v>
      </c>
      <c r="CU37" s="5">
        <f>IF(_xlfn.XLOOKUP($B37,rf1_data!$B:$B,rf1_data!CM:CM,"NaN")="","NaN",(_xlfn.XLOOKUP($B37,rf1_data!$B:$B,rf1_data!CM:CM,"NaN")))</f>
        <v>48</v>
      </c>
      <c r="CV37" s="5">
        <f>IF(_xlfn.XLOOKUP($B37,rf1_data!$B:$B,rf1_data!CN:CN,"NaN")="","NaN",(_xlfn.XLOOKUP($B37,rf1_data!$B:$B,rf1_data!CN:CN,"NaN")))</f>
        <v>60</v>
      </c>
      <c r="CW37" s="5" t="str">
        <f>IF(_xlfn.XLOOKUP($B37,rf1_data!$B:$B,rf1_data!CO:CO,"NaN")="","NaN",(_xlfn.XLOOKUP($B37,rf1_data!$B:$B,rf1_data!CO:CO,"NaN")))</f>
        <v>NaN</v>
      </c>
      <c r="CX37" s="5" t="str">
        <f>IF(_xlfn.XLOOKUP($B37,rf1_data!$B:$B,rf1_data!CP:CP,"NaN")="","NaN",(_xlfn.XLOOKUP($B37,rf1_data!$B:$B,rf1_data!CP:CP,"NaN")))</f>
        <v>NaN</v>
      </c>
      <c r="CY37" s="5">
        <f>IF(_xlfn.XLOOKUP($B37,rf1_data!$B:$B,rf1_data!CQ:CQ,"NaN")="","NaN",(_xlfn.XLOOKUP($B37,rf1_data!$B:$B,rf1_data!CQ:CQ,"NaN")))</f>
        <v>7</v>
      </c>
      <c r="CZ37" s="5">
        <f>IF(_xlfn.XLOOKUP($B37,rf1_data!$B:$B,rf1_data!CR:CR,"NaN")="","NaN",(_xlfn.XLOOKUP($B37,rf1_data!$B:$B,rf1_data!CR:CR,"NaN")))</f>
        <v>1</v>
      </c>
      <c r="DA37" s="5">
        <f>IF(_xlfn.XLOOKUP($B37,rf1_data!$B:$B,rf1_data!CS:CS,"NaN")="","NaN",(_xlfn.XLOOKUP($B37,rf1_data!$B:$B,rf1_data!CS:CS,"NaN")))</f>
        <v>1</v>
      </c>
      <c r="DB37" s="4">
        <f>IF(_xlfn.XLOOKUP($B37,island_data!$B:$B,island_data!H:H,"NaN")="","NaN",_xlfn.XLOOKUP($B37,island_data!$B:$B,island_data!H:H,"NaN"))</f>
        <v>4</v>
      </c>
      <c r="DC37" s="4">
        <f>IF(_xlfn.XLOOKUP($B37,island_data!$B:$B,island_data!I:I,"NaN")="","NaN",_xlfn.XLOOKUP($B37,island_data!$B:$B,island_data!I:I,"NaN"))</f>
        <v>0</v>
      </c>
      <c r="DD37" s="4">
        <f>IF(_xlfn.XLOOKUP($B37,island_data!$B:$B,island_data!J:J,"NaN")="","NaN",_xlfn.XLOOKUP($B37,island_data!$B:$B,island_data!J:J,"NaN"))</f>
        <v>0</v>
      </c>
      <c r="DE37" s="4">
        <f>IF(_xlfn.XLOOKUP($B37,island_data!$B:$B,island_data!K:K,"NaN")="","NaN",_xlfn.XLOOKUP($B37,island_data!$B:$B,island_data!K:K,"NaN"))</f>
        <v>2</v>
      </c>
      <c r="DF37" s="4">
        <f>IF(_xlfn.XLOOKUP($B37,island_data!$B:$B,island_data!L:L,"NaN")="","NaN",_xlfn.XLOOKUP($B37,island_data!$B:$B,island_data!L:L,"NaN"))</f>
        <v>0</v>
      </c>
      <c r="DG37" s="4">
        <f>IF(_xlfn.XLOOKUP($B37,island_data!$B:$B,island_data!M:M,"NaN")="","NaN",_xlfn.XLOOKUP($B37,island_data!$B:$B,island_data!M:M,"NaN"))</f>
        <v>4.125</v>
      </c>
      <c r="DH37" s="4">
        <f>IF(_xlfn.XLOOKUP($B37,island_data!$B:$B,island_data!N:N,"NaN")="","NaN",_xlfn.XLOOKUP($B37,island_data!$B:$B,island_data!N:N,"NaN"))</f>
        <v>12</v>
      </c>
      <c r="DI37" s="4">
        <f>IF(_xlfn.XLOOKUP($B37,island_data!$B:$B,island_data!O:O,"NaN")=999,"NaN",_xlfn.XLOOKUP($B37,island_data!$B:$B,island_data!O:O,"NaN"))</f>
        <v>12</v>
      </c>
      <c r="DJ37" s="4">
        <f>IF(_xlfn.XLOOKUP($B37,island_data!$B:$B,island_data!P:P,"NaN")="","NaN",_xlfn.XLOOKUP($B37,island_data!$B:$B,island_data!P:P,"NaN"))</f>
        <v>12</v>
      </c>
      <c r="DK37" s="4">
        <f>IF(_xlfn.XLOOKUP($B37,island_data!$B:$B,island_data!Q:Q,"NaN")="","NaN",_xlfn.XLOOKUP($B37,island_data!$B:$B,island_data!Q:Q,"NaN"))</f>
        <v>0</v>
      </c>
      <c r="DL37" s="4">
        <f>IF(_xlfn.XLOOKUP($B37,island_data!$B:$B,island_data!R:R,"NaN")=999,"NaN",_xlfn.XLOOKUP($B37,island_data!$B:$B,island_data!R:R,"NaN"))</f>
        <v>18</v>
      </c>
      <c r="DM37" s="4">
        <f>IF(_xlfn.XLOOKUP($B37,island_data!$B:$B,island_data!S:S,"NaN")="","NaN",_xlfn.XLOOKUP($B37,island_data!$B:$B,island_data!S:S,"NaN"))</f>
        <v>12</v>
      </c>
      <c r="DN37" s="4">
        <f>IF(_xlfn.XLOOKUP($B37,island_data!$B:$B,island_data!T:T,"NaN")="","NaN",_xlfn.XLOOKUP($B37,island_data!$B:$B,island_data!T:T,"NaN"))</f>
        <v>5</v>
      </c>
      <c r="DO37" s="4">
        <f>IF(_xlfn.XLOOKUP($B37,island_data!$B:$B,island_data!U:U,"NaN")="","NaN",_xlfn.XLOOKUP($B37,island_data!$B:$B,island_data!U:U,"NaN"))</f>
        <v>6</v>
      </c>
      <c r="DP37" s="4">
        <f>IF(_xlfn.XLOOKUP($B37,island_data!$B:$B,island_data!V:V,"NaN")="","NaN",_xlfn.XLOOKUP($B37,island_data!$B:$B,island_data!V:V,"NaN"))</f>
        <v>4</v>
      </c>
      <c r="DQ37" s="4">
        <f>IF(_xlfn.XLOOKUP($B37,island_data!$B:$B,island_data!W:W,"NaN")="","NaN",_xlfn.XLOOKUP($B37,island_data!$B:$B,island_data!W:W,"NaN"))</f>
        <v>8</v>
      </c>
      <c r="DR37" s="4">
        <f>IF(_xlfn.XLOOKUP($B37,island_data!$B:$B,island_data!X:X,"NaN")="","NaN",_xlfn.XLOOKUP($B37,island_data!$B:$B,island_data!X:X,"NaN"))</f>
        <v>6</v>
      </c>
      <c r="DS37" s="4" t="str">
        <f>IF(_xlfn.XLOOKUP($B37,island_data!$B:$B,island_data!Y:Y,"NaN")="","NaN",_xlfn.XLOOKUP($B37,island_data!$B:$B,island_data!Y:Y,"NaN"))</f>
        <v>NaN</v>
      </c>
      <c r="DT37" s="4" t="str">
        <f>IF(_xlfn.XLOOKUP($B37,island_data!$B:$B,island_data!Z:Z,"NaN")="","NaN",_xlfn.XLOOKUP($B37,island_data!$B:$B,island_data!Z:Z,"NaN"))</f>
        <v>NaN</v>
      </c>
      <c r="DU37" s="4" t="str">
        <f>IF(_xlfn.XLOOKUP($B37,island_data!$B:$B,island_data!AA:AA,"NaN")="","NaN",_xlfn.XLOOKUP($B37,island_data!$B:$B,island_data!AA:AA,"NaN"))</f>
        <v>NaN</v>
      </c>
      <c r="DV37" s="4">
        <f>IF(_xlfn.XLOOKUP($B37,island_data!$B:$B,island_data!AB:AB,"NaN")="","NaN",_xlfn.XLOOKUP($B37,island_data!$B:$B,island_data!AB:AB,"NaN"))</f>
        <v>3</v>
      </c>
      <c r="DW37" s="4">
        <f>IF(_xlfn.XLOOKUP($B37,island_data!$B:$B,island_data!AC:AC,"NaN")="","NaN",_xlfn.XLOOKUP($B37,island_data!$B:$B,island_data!AC:AC,"NaN"))</f>
        <v>19128</v>
      </c>
      <c r="DX37" s="4">
        <f>IF(_xlfn.XLOOKUP($B37,island_data!$B:$B,island_data!AD:AD,"NaN")="","NaN",_xlfn.XLOOKUP($B37,island_data!$B:$B,island_data!AD:AD,"NaN"))</f>
        <v>8</v>
      </c>
      <c r="DY37" s="4">
        <f>IF(_xlfn.XLOOKUP($B37,island_data!$B:$B,island_data!AE:AE,"NaN")="","NaN",_xlfn.XLOOKUP($B37,island_data!$B:$B,island_data!AE:AE,"NaN"))</f>
        <v>0</v>
      </c>
      <c r="DZ37" s="4" t="str">
        <f>IF(_xlfn.XLOOKUP($B37,island_data!$B:$B,island_data!AF:AF,"NaN")="","NaN",_xlfn.XLOOKUP($B37,island_data!$B:$B,island_data!AF:AF,"NaN"))</f>
        <v>NaN</v>
      </c>
      <c r="EA37" s="4" t="str">
        <f>IF(_xlfn.XLOOKUP($B37,island_data!$B:$B,island_data!AG:AG,"NaN")="","NaN",_xlfn.XLOOKUP($B37,island_data!$B:$B,island_data!AG:AG,"NaN"))</f>
        <v>NaN</v>
      </c>
      <c r="EB37" s="4" t="str">
        <f>IF(_xlfn.XLOOKUP($B37,island_data!$B:$B,island_data!AH:AH,"NaN")="","NaN",_xlfn.XLOOKUP($B37,island_data!$B:$B,island_data!AH:AH,"NaN"))</f>
        <v>NaN</v>
      </c>
      <c r="EC37" s="4" t="str">
        <f>IF(_xlfn.XLOOKUP($B37,island_data!$B:$B,island_data!AI:AI,"NaN")="","NaN",_xlfn.XLOOKUP($B37,island_data!$B:$B,island_data!AI:AI,"NaN"))</f>
        <v>NaN</v>
      </c>
      <c r="ED37" s="4" t="str">
        <f>IF(_xlfn.XLOOKUP($B37,island_data!$B:$B,island_data!AJ:AJ,"NaN")="","NaN",_xlfn.XLOOKUP($B37,island_data!$B:$B,island_data!AJ:AJ,"NaN"))</f>
        <v>NaN</v>
      </c>
      <c r="EE37" s="4" t="str">
        <f>IF(_xlfn.XLOOKUP($B37,island_data!$B:$B,island_data!AK:AK,"NaN")="","NaN",_xlfn.XLOOKUP($B37,island_data!$B:$B,island_data!AK:AK,"NaN"))</f>
        <v>NaN</v>
      </c>
      <c r="EF37" s="4" t="str">
        <f>IF(_xlfn.XLOOKUP($B37,island_data!$B:$B,island_data!AL:AL,"NaN")="","NaN",_xlfn.XLOOKUP($B37,island_data!$B:$B,island_data!AL:AL,"NaN"))</f>
        <v>NaN</v>
      </c>
      <c r="EG37" s="4" t="str">
        <f>IF(_xlfn.XLOOKUP($B37,island_data!$B:$B,island_data!AM:AM,"NaN")="","NaN",_xlfn.XLOOKUP($B37,island_data!$B:$B,island_data!AM:AM,"NaN"))</f>
        <v>NaN</v>
      </c>
      <c r="EH37" s="4" t="str">
        <f>IF(_xlfn.XLOOKUP($B37,island_data!$B:$B,island_data!AN:AN,"NaN")="","NaN",_xlfn.XLOOKUP($B37,island_data!$B:$B,island_data!AN:AN,"NaN"))</f>
        <v>NaN</v>
      </c>
      <c r="EI37" s="4" t="str">
        <f>IF(_xlfn.XLOOKUP($B37,island_data!$B:$B,island_data!AO:AO,"NaN")="","NaN",_xlfn.XLOOKUP($B37,island_data!$B:$B,island_data!AO:AO,"NaN"))</f>
        <v>NaN</v>
      </c>
      <c r="EJ37" s="8">
        <f>IF(_xlfn.XLOOKUP($A37,TabCAT!$A:$A,TabCAT!AU:AU,"NaN")="","NaN",(_xlfn.XLOOKUP($A37,TabCAT!$A:$A,TabCAT!AU:AU,"NaN")))</f>
        <v>145</v>
      </c>
      <c r="EK37" s="8" t="b">
        <f>IF(_xlfn.XLOOKUP($A37,TabCAT!$A:$A,TabCAT!AV:AV,"NaN")="","NaN",(_xlfn.XLOOKUP($A37,TabCAT!$A:$A,TabCAT!AV:AV,"NaN")))</f>
        <v>1</v>
      </c>
      <c r="EL37" s="8">
        <f>IF(_xlfn.XLOOKUP($A37,TabCAT!$A:$A,TabCAT!AW:AW,"NaN")="","NaN",(_xlfn.XLOOKUP($A37,TabCAT!$A:$A,TabCAT!AW:AW,"NaN")))</f>
        <v>6</v>
      </c>
      <c r="EM37" s="8">
        <f>IF(_xlfn.XLOOKUP($A37,TabCAT!$A:$A,TabCAT!AX:AX,"NaN")="","NaN",(_xlfn.XLOOKUP($A37,TabCAT!$A:$A,TabCAT!AX:AX,"NaN")))</f>
        <v>0</v>
      </c>
      <c r="EN37" s="8">
        <f>IF(_xlfn.XLOOKUP($A37,TabCAT!$A:$A,TabCAT!AY:AY,"NaN")="","NaN",(_xlfn.XLOOKUP($A37,TabCAT!$A:$A,TabCAT!AY:AY,"NaN")))</f>
        <v>9.8800000000000008</v>
      </c>
      <c r="EO37" s="8">
        <f>IF(_xlfn.XLOOKUP($A37,TabCAT!$A:$A,TabCAT!AZ:AZ,"NaN")="","NaN",(_xlfn.XLOOKUP($A37,TabCAT!$A:$A,TabCAT!AZ:AZ,"NaN")))</f>
        <v>32</v>
      </c>
      <c r="EP37" s="8">
        <f>IF(_xlfn.XLOOKUP($A37,TabCAT!$A:$A,TabCAT!BA:BA,"NaN")="","NaN",(_xlfn.XLOOKUP($A37,TabCAT!$A:$A,TabCAT!BA:BA,"NaN")))</f>
        <v>0.58486400000000005</v>
      </c>
      <c r="EQ37" s="8">
        <f>IF(_xlfn.XLOOKUP($A37,TabCAT!$A:$A,TabCAT!BB:BB,"NaN")="","NaN",(_xlfn.XLOOKUP($A37,TabCAT!$A:$A,TabCAT!BB:BB,"NaN")))</f>
        <v>8.3144092147096296E-2</v>
      </c>
      <c r="ER37" s="8">
        <f>IF(_xlfn.XLOOKUP($A37,TabCAT!$A:$A,TabCAT!BC:BC,"NaN")="","NaN",(_xlfn.XLOOKUP($A37,TabCAT!$A:$A,TabCAT!BC:BC,"NaN")))</f>
        <v>16</v>
      </c>
      <c r="ES37" s="8">
        <f>IF(_xlfn.XLOOKUP($A37,TabCAT!$A:$A,TabCAT!BD:BD,"NaN")="","NaN",(_xlfn.XLOOKUP($A37,TabCAT!$A:$A,TabCAT!BD:BD,"NaN")))</f>
        <v>0.58184999999999998</v>
      </c>
      <c r="ET37" s="8">
        <f>IF(_xlfn.XLOOKUP($A37,TabCAT!$A:$A,TabCAT!BE:BE,"NaN")="","NaN",(_xlfn.XLOOKUP($A37,TabCAT!$A:$A,TabCAT!BE:BE,"NaN")))</f>
        <v>16</v>
      </c>
      <c r="EU37" s="8">
        <f>IF(_xlfn.XLOOKUP($A37,TabCAT!$A:$A,TabCAT!BF:BF,"NaN")="","NaN",(_xlfn.XLOOKUP($A37,TabCAT!$A:$A,TabCAT!BF:BF,"NaN")))</f>
        <v>0.59229899999999902</v>
      </c>
      <c r="EV37" s="8">
        <f>IF(_xlfn.XLOOKUP($A37,TabCAT!$A:$A,TabCAT!BG:BG,"NaN")="","NaN",(_xlfn.XLOOKUP($A37,TabCAT!$A:$A,TabCAT!BG:BG,"NaN")))</f>
        <v>2.6981130000000002</v>
      </c>
      <c r="EW37" s="8" t="str">
        <f>IF(_xlfn.XLOOKUP($A37,TabCAT!$A:$A,TabCAT!BH:BH,"NaN")="","NaN",(_xlfn.XLOOKUP($A37,TabCAT!$A:$A,TabCAT!BH:BH,"NaN")))</f>
        <v>3.0.0</v>
      </c>
      <c r="EX37" s="8" t="str">
        <f>IF(_xlfn.XLOOKUP($A37,TabCAT!$A:$A,TabCAT!BI:BI,"NaN")="","NaN",(_xlfn.XLOOKUP($A37,TabCAT!$A:$A,TabCAT!BI:BI,"NaN")))</f>
        <v>English</v>
      </c>
      <c r="EY37" s="8">
        <f>IF(_xlfn.XLOOKUP($A37,TabCAT!$A:$A,TabCAT!BJ:BJ,"NaN")="","NaN",(_xlfn.XLOOKUP($A37,TabCAT!$A:$A,TabCAT!BJ:BJ,"NaN")))</f>
        <v>223</v>
      </c>
      <c r="EZ37" s="8">
        <f>IF(_xlfn.XLOOKUP($A37,TabCAT!$A:$A,TabCAT!BK:BK,"NaN")="","NaN",(_xlfn.XLOOKUP($A37,TabCAT!$A:$A,TabCAT!BK:BK,"NaN")))</f>
        <v>1</v>
      </c>
      <c r="FA37" s="8">
        <f>IF(_xlfn.XLOOKUP($A37,TabCAT!$A:$A,TabCAT!BL:BL,"NaN")="","NaN",(_xlfn.XLOOKUP($A37,TabCAT!$A:$A,TabCAT!BL:BL,"NaN")))</f>
        <v>6</v>
      </c>
      <c r="FB37" s="8">
        <f>IF(_xlfn.XLOOKUP($A37,TabCAT!$A:$A,TabCAT!BM:BM,"NaN")="","NaN",(_xlfn.XLOOKUP($A37,TabCAT!$A:$A,TabCAT!BM:BM,"NaN")))</f>
        <v>1</v>
      </c>
      <c r="FC37" s="8">
        <f>IF(_xlfn.XLOOKUP($A37,TabCAT!$A:$A,TabCAT!BN:BN,"NaN")="","NaN",(_xlfn.XLOOKUP($A37,TabCAT!$A:$A,TabCAT!BN:BN,"NaN")))</f>
        <v>5</v>
      </c>
      <c r="FD37" s="8">
        <f>IF(_xlfn.XLOOKUP($A37,TabCAT!$A:$A,TabCAT!BO:BO,"NaN")="","NaN",(_xlfn.XLOOKUP($A37,TabCAT!$A:$A,TabCAT!BO:BO,"NaN")))</f>
        <v>9</v>
      </c>
      <c r="FE37" s="8">
        <f>IF(_xlfn.XLOOKUP($A37,TabCAT!$A:$A,TabCAT!BP:BP,"NaN")="","NaN",(_xlfn.XLOOKUP($A37,TabCAT!$A:$A,TabCAT!BP:BP,"NaN")))</f>
        <v>1</v>
      </c>
      <c r="FF37" s="8">
        <f>IF(_xlfn.XLOOKUP($A37,TabCAT!$A:$A,TabCAT!BQ:BQ,"NaN")="","NaN",(_xlfn.XLOOKUP($A37,TabCAT!$A:$A,TabCAT!BQ:BQ,"NaN")))</f>
        <v>9</v>
      </c>
      <c r="FG37" s="8">
        <f>IF(_xlfn.XLOOKUP($A37,TabCAT!$A:$A,TabCAT!BR:BR,"NaN")="","NaN",(_xlfn.XLOOKUP($A37,TabCAT!$A:$A,TabCAT!BR:BR,"NaN")))</f>
        <v>12</v>
      </c>
      <c r="FH37" s="8">
        <f>IF(_xlfn.XLOOKUP($A37,TabCAT!$A:$A,TabCAT!BS:BS,"NaN")="","NaN",(_xlfn.XLOOKUP($A37,TabCAT!$A:$A,TabCAT!BS:BS,"NaN")))</f>
        <v>1</v>
      </c>
      <c r="FI37" s="8">
        <f>IF(_xlfn.XLOOKUP($A37,TabCAT!$A:$A,TabCAT!BT:BT,"NaN")="","NaN",(_xlfn.XLOOKUP($A37,TabCAT!$A:$A,TabCAT!BT:BT,"NaN")))</f>
        <v>11</v>
      </c>
      <c r="FJ37" s="8">
        <f>IF(_xlfn.XLOOKUP($A37,TabCAT!$A:$A,TabCAT!BU:BU,"NaN")="","NaN",(_xlfn.XLOOKUP($A37,TabCAT!$A:$A,TabCAT!BU:BU,"NaN")))</f>
        <v>13</v>
      </c>
      <c r="FK37" s="8">
        <f>IF(_xlfn.XLOOKUP($A37,TabCAT!$A:$A,TabCAT!BV:BV,"NaN")="","NaN",(_xlfn.XLOOKUP($A37,TabCAT!$A:$A,TabCAT!BV:BV,"NaN")))</f>
        <v>0.86666666666666603</v>
      </c>
      <c r="FL37" s="8">
        <f>IF(_xlfn.XLOOKUP($A37,TabCAT!$A:$A,TabCAT!BW:BW,"NaN")="","NaN",(_xlfn.XLOOKUP($A37,TabCAT!$A:$A,TabCAT!BW:BW,"NaN")))</f>
        <v>10.5</v>
      </c>
      <c r="FM37" s="8">
        <f>IF(_xlfn.XLOOKUP($A37,TabCAT!$A:$A,TabCAT!BX:BX,"NaN")="","NaN",(_xlfn.XLOOKUP($A37,TabCAT!$A:$A,TabCAT!BX:BX,"NaN")))</f>
        <v>40</v>
      </c>
      <c r="FN37" s="8">
        <f>IF(_xlfn.XLOOKUP($A37,TabCAT!$A:$A,TabCAT!BY:BY,"NaN")="","NaN",(_xlfn.XLOOKUP($A37,TabCAT!$A:$A,TabCAT!BY:BY,"NaN")))</f>
        <v>0.952380952380952</v>
      </c>
      <c r="FO37" s="8">
        <f>IF(_xlfn.XLOOKUP($A37,TabCAT!$A:$A,TabCAT!BZ:BZ,"NaN")="","NaN",(_xlfn.XLOOKUP($A37,TabCAT!$A:$A,TabCAT!BZ:BZ,"NaN")))</f>
        <v>35.5</v>
      </c>
      <c r="FP37" s="8" t="str">
        <f>IF(_xlfn.XLOOKUP($A37,TabCAT!$A:$A,TabCAT!CA:CA,"NaN")="","NaN",(_xlfn.XLOOKUP($A37,TabCAT!$A:$A,TabCAT!CA:CA,"NaN")))</f>
        <v>3.0.0</v>
      </c>
      <c r="FQ37" s="8" t="str">
        <f>IF(_xlfn.XLOOKUP($A37,TabCAT!$A:$A,TabCAT!CB:CB,"NaN")="","NaN",(_xlfn.XLOOKUP($A37,TabCAT!$A:$A,TabCAT!CB:CB,"NaN")))</f>
        <v>English</v>
      </c>
      <c r="FR37" s="8">
        <f>IF(_xlfn.XLOOKUP($A37,TabCAT!$A:$A,TabCAT!CC:CC,"NaN")="","NaN",(_xlfn.XLOOKUP($A37,TabCAT!$A:$A,TabCAT!CC:CC,"NaN")))</f>
        <v>208</v>
      </c>
      <c r="FS37" s="8" t="b">
        <f>IF(_xlfn.XLOOKUP($A37,TabCAT!$A:$A,TabCAT!CD:CD,"NaN")="","NaN",(_xlfn.XLOOKUP($A37,TabCAT!$A:$A,TabCAT!CD:CD,"NaN")))</f>
        <v>1</v>
      </c>
      <c r="FT37" s="8">
        <f>IF(_xlfn.XLOOKUP($A37,TabCAT!$A:$A,TabCAT!CE:CE,"NaN")="","NaN",(_xlfn.XLOOKUP($A37,TabCAT!$A:$A,TabCAT!CE:CE,"NaN")))</f>
        <v>8</v>
      </c>
      <c r="FU37" s="8">
        <f>IF(_xlfn.XLOOKUP($A37,TabCAT!$A:$A,TabCAT!CF:CF,"NaN")="","NaN",(_xlfn.XLOOKUP($A37,TabCAT!$A:$A,TabCAT!CF:CF,"NaN")))</f>
        <v>0</v>
      </c>
      <c r="FV37" s="8">
        <f>IF(_xlfn.XLOOKUP($A37,TabCAT!$A:$A,TabCAT!CG:CG,"NaN")="","NaN",(_xlfn.XLOOKUP($A37,TabCAT!$A:$A,TabCAT!CG:CG,"NaN")))</f>
        <v>9.81</v>
      </c>
      <c r="FW37" s="8">
        <f>IF(_xlfn.XLOOKUP($A37,TabCAT!$A:$A,TabCAT!CH:CH,"NaN")="","NaN",(_xlfn.XLOOKUP($A37,TabCAT!$A:$A,TabCAT!CH:CH,"NaN")))</f>
        <v>16</v>
      </c>
      <c r="FX37" s="8">
        <f>IF(_xlfn.XLOOKUP($A37,TabCAT!$A:$A,TabCAT!CI:CI,"NaN")="","NaN",(_xlfn.XLOOKUP($A37,TabCAT!$A:$A,TabCAT!CI:CI,"NaN")))</f>
        <v>0.51622400000000002</v>
      </c>
      <c r="FY37" s="8">
        <f>IF(_xlfn.XLOOKUP($A37,TabCAT!$A:$A,TabCAT!CJ:CJ,"NaN")="","NaN",(_xlfn.XLOOKUP($A37,TabCAT!$A:$A,TabCAT!CJ:CJ,"NaN")))</f>
        <v>16</v>
      </c>
      <c r="FZ37" s="8">
        <f>IF(_xlfn.XLOOKUP($A37,TabCAT!$A:$A,TabCAT!CK:CK,"NaN")="","NaN",(_xlfn.XLOOKUP($A37,TabCAT!$A:$A,TabCAT!CK:CK,"NaN")))</f>
        <v>0.51196799999999998</v>
      </c>
      <c r="GA37" s="8">
        <f>IF(_xlfn.XLOOKUP($A37,TabCAT!$A:$A,TabCAT!CL:CL,"NaN")="","NaN",(_xlfn.XLOOKUP($A37,TabCAT!$A:$A,TabCAT!CL:CL,"NaN")))</f>
        <v>32</v>
      </c>
      <c r="GB37" s="8">
        <f>IF(_xlfn.XLOOKUP($A37,TabCAT!$A:$A,TabCAT!CM:CM,"NaN")="","NaN",(_xlfn.XLOOKUP($A37,TabCAT!$A:$A,TabCAT!CM:CM,"NaN")))</f>
        <v>0.48638199999999998</v>
      </c>
      <c r="GC37" s="8">
        <f>IF(_xlfn.XLOOKUP($A37,TabCAT!$A:$A,TabCAT!CN:CN,"NaN")="","NaN",(_xlfn.XLOOKUP($A37,TabCAT!$A:$A,TabCAT!CN:CN,"NaN")))</f>
        <v>21</v>
      </c>
      <c r="GD37" s="8">
        <f>IF(_xlfn.XLOOKUP($A37,TabCAT!$A:$A,TabCAT!CO:CO,"NaN")="","NaN",(_xlfn.XLOOKUP($A37,TabCAT!$A:$A,TabCAT!CO:CO,"NaN")))</f>
        <v>0.55719799999999997</v>
      </c>
      <c r="GE37" s="8">
        <f>IF(_xlfn.XLOOKUP($A37,TabCAT!$A:$A,TabCAT!CP:CP,"NaN")="","NaN",(_xlfn.XLOOKUP($A37,TabCAT!$A:$A,TabCAT!CP:CP,"NaN")))</f>
        <v>0.17827996032481999</v>
      </c>
      <c r="GF37" s="8">
        <f>IF(_xlfn.XLOOKUP($A37,TabCAT!$A:$A,TabCAT!CQ:CQ,"NaN")="","NaN",(_xlfn.XLOOKUP($A37,TabCAT!$A:$A,TabCAT!CQ:CQ,"NaN")))</f>
        <v>53</v>
      </c>
      <c r="GG37" s="8">
        <f>IF(_xlfn.XLOOKUP($A37,TabCAT!$A:$A,TabCAT!CR:CR,"NaN")="","NaN",(_xlfn.XLOOKUP($A37,TabCAT!$A:$A,TabCAT!CR:CR,"NaN")))</f>
        <v>0.51183699999999999</v>
      </c>
      <c r="GH37" s="8">
        <f>IF(_xlfn.XLOOKUP($A37,TabCAT!$A:$A,TabCAT!CS:CS,"NaN")="","NaN",(_xlfn.XLOOKUP($A37,TabCAT!$A:$A,TabCAT!CS:CS,"NaN")))</f>
        <v>2.8695650000000001</v>
      </c>
    </row>
    <row r="38" spans="1:190" x14ac:dyDescent="0.2">
      <c r="A38">
        <v>10663</v>
      </c>
      <c r="B38">
        <f>_xlfn.XLOOKUP(bippity_poppity_boo!A38,rf1_data!A:A,rf1_data!B:B)</f>
        <v>11201</v>
      </c>
      <c r="C38" s="2">
        <f>(_xlfn.XLOOKUP($A38,trust!$A:$A,trust!B:B,"NaN"))</f>
        <v>2.6</v>
      </c>
      <c r="D38" s="2">
        <f>(_xlfn.XLOOKUP($A38,trust!$A:$A,trust!C:C,"NaN"))</f>
        <v>3.75</v>
      </c>
      <c r="E38" s="2">
        <f>(_xlfn.XLOOKUP($A38,trust!$A:$A,trust!D:D,"NaN"))</f>
        <v>3</v>
      </c>
      <c r="F38" s="2">
        <f>(_xlfn.XLOOKUP($A38,trust!$A:$A,trust!E:E,"NaN"))</f>
        <v>3.5714290000000002</v>
      </c>
      <c r="G38" s="2">
        <f>(_xlfn.XLOOKUP($A38,trust!$A:$A,trust!F:F,"NaN"))</f>
        <v>3.4</v>
      </c>
      <c r="H38" s="2">
        <f>(_xlfn.XLOOKUP($A38,trust!$A:$A,trust!G:G,"NaN"))</f>
        <v>4.6153849999999998</v>
      </c>
      <c r="I38" s="3">
        <f>IF(_xlfn.XLOOKUP($B38,island_data!$B:$B,island_data!C:C,"NaN")="","NaN",_xlfn.XLOOKUP($B38,island_data!$B:$B,island_data!C:C,"NaN"))</f>
        <v>45016</v>
      </c>
      <c r="J38" s="3">
        <f>IF(_xlfn.XLOOKUP($B38,island_data!$B:$B,island_data!D:D,"NaN")="","NaN",_xlfn.XLOOKUP($B38,island_data!$B:$B,island_data!D:D,"NaN"))</f>
        <v>36973</v>
      </c>
      <c r="K38" s="4">
        <f>IF(_xlfn.XLOOKUP($B38,island_data!$B:$B,island_data!E:E,"NaN")="","NaN",_xlfn.XLOOKUP($B38,island_data!$B:$B,island_data!E:E,"NaN"))</f>
        <v>22.02</v>
      </c>
      <c r="L38" s="5">
        <f>IF(_xlfn.XLOOKUP($B38,rf1_data!$B:$B,rf1_data!D:D,"NaN")="","NaN",(_xlfn.XLOOKUP($B38,rf1_data!$B:$B,rf1_data!D:D,"NaN")))</f>
        <v>22.07</v>
      </c>
      <c r="M38" s="5" t="str">
        <f>IF(_xlfn.XLOOKUP($B38,rf1_data!$B:$B,rf1_data!E:E,"NaN")="","NaN",(_xlfn.XLOOKUP($B38,rf1_data!$B:$B,rf1_data!E:E,"NaN")))</f>
        <v>White</v>
      </c>
      <c r="N38" s="5" t="str">
        <f>IF(_xlfn.XLOOKUP($B38,rf1_data!$B:$B,rf1_data!F:F,"NaN")="","NaN",(_xlfn.XLOOKUP($B38,rf1_data!$B:$B,rf1_data!F:F,"NaN")))</f>
        <v>Not Hispanic or Latino</v>
      </c>
      <c r="O38" s="5" t="str">
        <f>IF(_xlfn.XLOOKUP($B38,rf1_data!$B:$B,rf1_data!G:G,"NaN")="","NaN",(_xlfn.XLOOKUP($B38,rf1_data!$B:$B,rf1_data!G:G,"NaN")))</f>
        <v>Female</v>
      </c>
      <c r="P38" s="5">
        <f>IF(_xlfn.XLOOKUP($B38,rf1_data!$B:$B,rf1_data!H:H,"NaN")="","NaN",(_xlfn.XLOOKUP($B38,rf1_data!$B:$B,rf1_data!H:H,"NaN")))</f>
        <v>4.4400000000000004</v>
      </c>
      <c r="Q38" s="5">
        <f>IF(_xlfn.XLOOKUP($B38,rf1_data!$B:$B,rf1_data!I:I,"NaN")="","NaN",(_xlfn.XLOOKUP($B38,rf1_data!$B:$B,rf1_data!I:I,"NaN")))</f>
        <v>4.0999999999999996</v>
      </c>
      <c r="R38" s="5">
        <f>IF(_xlfn.XLOOKUP($B38,rf1_data!$B:$B,rf1_data!J:J,"NaN")="","NaN",(_xlfn.XLOOKUP($B38,rf1_data!$B:$B,rf1_data!J:J,"NaN")))</f>
        <v>3</v>
      </c>
      <c r="S38" s="5">
        <f>IF(_xlfn.XLOOKUP($B38,rf1_data!$B:$B,rf1_data!K:K,"NaN")="","NaN",(_xlfn.XLOOKUP($B38,rf1_data!$B:$B,rf1_data!K:K,"NaN")))</f>
        <v>9</v>
      </c>
      <c r="T38" s="5">
        <f>IF(_xlfn.XLOOKUP($B38,rf1_data!$B:$B,rf1_data!L:L,"NaN")="","NaN",(_xlfn.XLOOKUP($B38,rf1_data!$B:$B,rf1_data!L:L,"NaN")))</f>
        <v>0</v>
      </c>
      <c r="U38" s="5">
        <f>IF(_xlfn.XLOOKUP($B38,rf1_data!$B:$B,rf1_data!M:M,"NaN")="","NaN",(_xlfn.XLOOKUP($B38,rf1_data!$B:$B,rf1_data!M:M,"NaN")))</f>
        <v>6.17</v>
      </c>
      <c r="V38" s="5">
        <f>IF(_xlfn.XLOOKUP($B38,rf1_data!$B:$B,rf1_data!N:N,"NaN")="","NaN",(_xlfn.XLOOKUP($B38,rf1_data!$B:$B,rf1_data!N:N,"NaN")))</f>
        <v>4</v>
      </c>
      <c r="W38" s="5">
        <f>IF(_xlfn.XLOOKUP($B38,rf1_data!$B:$B,rf1_data!O:O,"NaN")="","NaN",(_xlfn.XLOOKUP($B38,rf1_data!$B:$B,rf1_data!O:O,"NaN")))</f>
        <v>4</v>
      </c>
      <c r="X38" s="5">
        <f>IF(_xlfn.XLOOKUP($B38,rf1_data!$B:$B,rf1_data!P:P,"NaN")="","NaN",(_xlfn.XLOOKUP($B38,rf1_data!$B:$B,rf1_data!P:P,"NaN")))</f>
        <v>4.67</v>
      </c>
      <c r="Y38" s="5">
        <f>IF(_xlfn.XLOOKUP($B38,rf1_data!$B:$B,rf1_data!Q:Q,"NaN")="","NaN",(_xlfn.XLOOKUP($B38,rf1_data!$B:$B,rf1_data!Q:Q,"NaN")))</f>
        <v>4.7</v>
      </c>
      <c r="Z38" s="5">
        <f>IF(_xlfn.XLOOKUP($B38,rf1_data!$B:$B,rf1_data!R:R,"NaN")="","NaN",(_xlfn.XLOOKUP($B38,rf1_data!$B:$B,rf1_data!R:R,"NaN")))</f>
        <v>48</v>
      </c>
      <c r="AA38" s="5">
        <f>IF(_xlfn.XLOOKUP($B38,rf1_data!$B:$B,rf1_data!S:S,"NaN")="","NaN",(_xlfn.XLOOKUP($B38,rf1_data!$B:$B,rf1_data!S:S,"NaN")))</f>
        <v>16</v>
      </c>
      <c r="AB38" s="5">
        <f>IF(_xlfn.XLOOKUP($B38,rf1_data!$B:$B,rf1_data!T:T,"NaN")="","NaN",(_xlfn.XLOOKUP($B38,rf1_data!$B:$B,rf1_data!T:T,"NaN")))</f>
        <v>18</v>
      </c>
      <c r="AC38" s="5">
        <f>IF(_xlfn.XLOOKUP($B38,rf1_data!$B:$B,rf1_data!U:U,"NaN")="","NaN",(_xlfn.XLOOKUP($B38,rf1_data!$B:$B,rf1_data!U:U,"NaN")))</f>
        <v>1</v>
      </c>
      <c r="AD38" s="5">
        <f>IF(_xlfn.XLOOKUP($B38,rf1_data!$B:$B,rf1_data!V:V,"NaN")="","NaN",(_xlfn.XLOOKUP($B38,rf1_data!$B:$B,rf1_data!V:V,"NaN")))</f>
        <v>13</v>
      </c>
      <c r="AE38" s="5">
        <f>IF(_xlfn.XLOOKUP($B38,rf1_data!$B:$B,rf1_data!W:W,"NaN")="","NaN",(_xlfn.XLOOKUP($B38,rf1_data!$B:$B,rf1_data!W:W,"NaN")))</f>
        <v>3</v>
      </c>
      <c r="AF38" s="5">
        <f>IF(_xlfn.XLOOKUP($B38,rf1_data!$B:$B,rf1_data!X:X,"NaN")="","NaN",(_xlfn.XLOOKUP($B38,rf1_data!$B:$B,rf1_data!X:X,"NaN")))</f>
        <v>7</v>
      </c>
      <c r="AG38" s="5">
        <f>IF(_xlfn.XLOOKUP($B38,rf1_data!$B:$B,rf1_data!Y:Y,"NaN")="","NaN",(_xlfn.XLOOKUP($B38,rf1_data!$B:$B,rf1_data!Y:Y,"NaN")))</f>
        <v>2</v>
      </c>
      <c r="AH38" s="5">
        <f>IF(_xlfn.XLOOKUP($B38,rf1_data!$B:$B,rf1_data!Z:Z,"NaN")="","NaN",(_xlfn.XLOOKUP($B38,rf1_data!$B:$B,rf1_data!Z:Z,"NaN")))</f>
        <v>4</v>
      </c>
      <c r="AI38" s="5">
        <f>IF(_xlfn.XLOOKUP($B38,rf1_data!$B:$B,rf1_data!AA:AA,"NaN")="","NaN",(_xlfn.XLOOKUP($B38,rf1_data!$B:$B,rf1_data!AA:AA,"NaN")))</f>
        <v>2</v>
      </c>
      <c r="AJ38" s="5">
        <f>IF(_xlfn.XLOOKUP($B38,rf1_data!$B:$B,rf1_data!AB:AB,"NaN")="","NaN",(_xlfn.XLOOKUP($B38,rf1_data!$B:$B,rf1_data!AB:AB,"NaN")))</f>
        <v>18</v>
      </c>
      <c r="AK38" s="5">
        <f>IF(_xlfn.XLOOKUP($B38,rf1_data!$B:$B,rf1_data!AC:AC,"NaN")="","NaN",(_xlfn.XLOOKUP($B38,rf1_data!$B:$B,rf1_data!AC:AC,"NaN")))</f>
        <v>27</v>
      </c>
      <c r="AL38" s="5">
        <f>IF(_xlfn.XLOOKUP($B38,rf1_data!$B:$B,rf1_data!AD:AD,"NaN")="","NaN",(_xlfn.XLOOKUP($B38,rf1_data!$B:$B,rf1_data!AD:AD,"NaN")))</f>
        <v>11</v>
      </c>
      <c r="AM38" s="5">
        <f>IF(_xlfn.XLOOKUP($B38,rf1_data!$B:$B,rf1_data!AE:AE,"NaN")="","NaN",(_xlfn.XLOOKUP($B38,rf1_data!$B:$B,rf1_data!AE:AE,"NaN")))</f>
        <v>0</v>
      </c>
      <c r="AN38" s="5">
        <f>IF(_xlfn.XLOOKUP($B38,rf1_data!$B:$B,rf1_data!AF:AF,"NaN")="","NaN",(_xlfn.XLOOKUP($B38,rf1_data!$B:$B,rf1_data!AF:AF,"NaN")))</f>
        <v>0</v>
      </c>
      <c r="AO38" s="5">
        <f>IF(_xlfn.XLOOKUP($B38,rf1_data!$B:$B,rf1_data!AG:AG,"NaN")="","NaN",(_xlfn.XLOOKUP($B38,rf1_data!$B:$B,rf1_data!AG:AG,"NaN")))</f>
        <v>6.42</v>
      </c>
      <c r="AP38" s="5">
        <f>IF(_xlfn.XLOOKUP($B38,rf1_data!$B:$B,rf1_data!AH:AH,"NaN")="","NaN",(_xlfn.XLOOKUP($B38,rf1_data!$B:$B,rf1_data!AH:AH,"NaN")))</f>
        <v>6.75</v>
      </c>
      <c r="AQ38" s="5">
        <f>IF(_xlfn.XLOOKUP($B38,rf1_data!$B:$B,rf1_data!AI:AI,"NaN")="","NaN",(_xlfn.XLOOKUP($B38,rf1_data!$B:$B,rf1_data!AI:AI,"NaN")))</f>
        <v>5.5</v>
      </c>
      <c r="AR38" s="5">
        <f>IF(_xlfn.XLOOKUP($B38,rf1_data!$B:$B,rf1_data!AJ:AJ,"NaN")="","NaN",(_xlfn.XLOOKUP($B38,rf1_data!$B:$B,rf1_data!AJ:AJ,"NaN")))</f>
        <v>7</v>
      </c>
      <c r="AS38" s="5">
        <f>IF(_xlfn.XLOOKUP($B38,rf1_data!$B:$B,rf1_data!AK:AK,"NaN")="","NaN",(_xlfn.XLOOKUP($B38,rf1_data!$B:$B,rf1_data!AK:AK,"NaN")))</f>
        <v>4.3</v>
      </c>
      <c r="AT38" s="5">
        <f>IF(_xlfn.XLOOKUP($B38,rf1_data!$B:$B,rf1_data!AL:AL,"NaN")="","NaN",(_xlfn.XLOOKUP($B38,rf1_data!$B:$B,rf1_data!AL:AL,"NaN")))</f>
        <v>15</v>
      </c>
      <c r="AU38" s="5">
        <f>IF(_xlfn.XLOOKUP($B38,rf1_data!$B:$B,rf1_data!AM:AM,"NaN")="","NaN",(_xlfn.XLOOKUP($B38,rf1_data!$B:$B,rf1_data!AM:AM,"NaN")))</f>
        <v>4.33</v>
      </c>
      <c r="AV38" s="5">
        <f>IF(_xlfn.XLOOKUP($B38,rf1_data!$B:$B,rf1_data!AN:AN,"NaN")="","NaN",(_xlfn.XLOOKUP($B38,rf1_data!$B:$B,rf1_data!AN:AN,"NaN")))</f>
        <v>12</v>
      </c>
      <c r="AW38" s="5">
        <f>IF(_xlfn.XLOOKUP($B38,rf1_data!$B:$B,rf1_data!AO:AO,"NaN")="","NaN",(_xlfn.XLOOKUP($B38,rf1_data!$B:$B,rf1_data!AO:AO,"NaN")))</f>
        <v>2.83</v>
      </c>
      <c r="AX38" s="5">
        <f>IF(_xlfn.XLOOKUP($B38,rf1_data!$B:$B,rf1_data!AP:AP,"NaN")="","NaN",(_xlfn.XLOOKUP($B38,rf1_data!$B:$B,rf1_data!AP:AP,"NaN")))</f>
        <v>4.37</v>
      </c>
      <c r="AY38" s="5">
        <f>IF(_xlfn.XLOOKUP($B38,rf1_data!$B:$B,rf1_data!AQ:AQ,"NaN")="","NaN",(_xlfn.XLOOKUP($B38,rf1_data!$B:$B,rf1_data!AQ:AQ,"NaN")))</f>
        <v>20</v>
      </c>
      <c r="AZ38" s="5" t="str">
        <f>IF(_xlfn.XLOOKUP($B38,rf1_data!$B:$B,rf1_data!AR:AR,"NaN")="","NaN",(_xlfn.XLOOKUP($B38,rf1_data!$B:$B,rf1_data!AR:AR,"NaN")))</f>
        <v>NaN</v>
      </c>
      <c r="BA38" s="5" t="str">
        <f>IF(_xlfn.XLOOKUP($B38,rf1_data!$B:$B,rf1_data!AS:AS,"NaN")="","NaN",(_xlfn.XLOOKUP($B38,rf1_data!$B:$B,rf1_data!AS:AS,"NaN")))</f>
        <v>NaN</v>
      </c>
      <c r="BB38" s="5" t="str">
        <f>IF(_xlfn.XLOOKUP($B38,rf1_data!$B:$B,rf1_data!AT:AT,"NaN")="","NaN",(_xlfn.XLOOKUP($B38,rf1_data!$B:$B,rf1_data!AT:AT,"NaN")))</f>
        <v>NaN</v>
      </c>
      <c r="BC38" s="5" t="str">
        <f>IF(_xlfn.XLOOKUP($B38,rf1_data!$B:$B,rf1_data!AU:AU,"NaN")="","NaN",(_xlfn.XLOOKUP($B38,rf1_data!$B:$B,rf1_data!AU:AU,"NaN")))</f>
        <v>NaN</v>
      </c>
      <c r="BD38" s="5" t="str">
        <f>IF(_xlfn.XLOOKUP($B38,rf1_data!$B:$B,rf1_data!AV:AV,"NaN")="","NaN",(_xlfn.XLOOKUP($B38,rf1_data!$B:$B,rf1_data!AV:AV,"NaN")))</f>
        <v>NaN</v>
      </c>
      <c r="BE38" s="5" t="str">
        <f>IF(_xlfn.XLOOKUP($B38,rf1_data!$B:$B,rf1_data!AW:AW,"NaN")="","NaN",(_xlfn.XLOOKUP($B38,rf1_data!$B:$B,rf1_data!AW:AW,"NaN")))</f>
        <v>NaN</v>
      </c>
      <c r="BF38" s="5" t="str">
        <f>IF(_xlfn.XLOOKUP($B38,rf1_data!$B:$B,rf1_data!AX:AX,"NaN")="","NaN",(_xlfn.XLOOKUP($B38,rf1_data!$B:$B,rf1_data!AX:AX,"NaN")))</f>
        <v>NaN</v>
      </c>
      <c r="BG38" s="5" t="str">
        <f>IF(_xlfn.XLOOKUP($B38,rf1_data!$B:$B,rf1_data!AY:AY,"NaN")="","NaN",(_xlfn.XLOOKUP($B38,rf1_data!$B:$B,rf1_data!AY:AY,"NaN")))</f>
        <v>NaN</v>
      </c>
      <c r="BH38" s="5" t="str">
        <f>IF(_xlfn.XLOOKUP($B38,rf1_data!$B:$B,rf1_data!AZ:AZ,"NaN")="","NaN",(_xlfn.XLOOKUP($B38,rf1_data!$B:$B,rf1_data!AZ:AZ,"NaN")))</f>
        <v>NaN</v>
      </c>
      <c r="BI38" s="5">
        <f>IF(_xlfn.XLOOKUP($B38,rf1_data!$B:$B,rf1_data!BA:BA,"NaN")="","NaN",(_xlfn.XLOOKUP($B38,rf1_data!$B:$B,rf1_data!BA:BA,"NaN")))</f>
        <v>20</v>
      </c>
      <c r="BJ38" s="5" t="str">
        <f>IF(_xlfn.XLOOKUP($B38,rf1_data!$B:$B,rf1_data!BB:BB,"NaN")="","NaN",(_xlfn.XLOOKUP($B38,rf1_data!$B:$B,rf1_data!BB:BB,"NaN")))</f>
        <v>NaN</v>
      </c>
      <c r="BK38" s="5" t="str">
        <f>IF(_xlfn.XLOOKUP($B38,rf1_data!$B:$B,rf1_data!BC:BC,"NaN")="","NaN",(_xlfn.XLOOKUP($B38,rf1_data!$B:$B,rf1_data!BC:BC,"NaN")))</f>
        <v>NaN</v>
      </c>
      <c r="BL38" s="5" t="str">
        <f>IF(_xlfn.XLOOKUP($B38,rf1_data!$B:$B,rf1_data!BD:BD,"NaN")="","NaN",(_xlfn.XLOOKUP($B38,rf1_data!$B:$B,rf1_data!BD:BD,"NaN")))</f>
        <v>NaN</v>
      </c>
      <c r="BM38" s="5" t="str">
        <f>IF(_xlfn.XLOOKUP($B38,rf1_data!$B:$B,rf1_data!BE:BE,"NaN")="","NaN",(_xlfn.XLOOKUP($B38,rf1_data!$B:$B,rf1_data!BE:BE,"NaN")))</f>
        <v>NaN</v>
      </c>
      <c r="BN38" s="5" t="str">
        <f>IF(_xlfn.XLOOKUP($B38,rf1_data!$B:$B,rf1_data!BF:BF,"NaN")="","NaN",(_xlfn.XLOOKUP($B38,rf1_data!$B:$B,rf1_data!BF:BF,"NaN")))</f>
        <v>NaN</v>
      </c>
      <c r="BO38" s="5" t="str">
        <f>IF(_xlfn.XLOOKUP($B38,rf1_data!$B:$B,rf1_data!BG:BG,"NaN")="","NaN",(_xlfn.XLOOKUP($B38,rf1_data!$B:$B,rf1_data!BG:BG,"NaN")))</f>
        <v>NaN</v>
      </c>
      <c r="BP38" s="5" t="str">
        <f>IF(_xlfn.XLOOKUP($B38,rf1_data!$B:$B,rf1_data!BH:BH,"NaN")="","NaN",(_xlfn.XLOOKUP($B38,rf1_data!$B:$B,rf1_data!BH:BH,"NaN")))</f>
        <v>NaN</v>
      </c>
      <c r="BQ38" s="5" t="str">
        <f>IF(_xlfn.XLOOKUP($B38,rf1_data!$B:$B,rf1_data!BI:BI,"NaN")="","NaN",(_xlfn.XLOOKUP($B38,rf1_data!$B:$B,rf1_data!BI:BI,"NaN")))</f>
        <v>NaN</v>
      </c>
      <c r="BR38" s="5">
        <f>IF(_xlfn.XLOOKUP($B38,rf1_data!$B:$B,rf1_data!BJ:BJ,"NaN")="","NaN",(_xlfn.XLOOKUP($B38,rf1_data!$B:$B,rf1_data!BJ:BJ,"NaN")))</f>
        <v>8991</v>
      </c>
      <c r="BS38" s="5" t="str">
        <f>IF(_xlfn.XLOOKUP($B38,rf1_data!$B:$B,rf1_data!BK:BK,"NaN")="","NaN",(_xlfn.XLOOKUP($B38,rf1_data!$B:$B,rf1_data!BK:BK,"NaN")))</f>
        <v>NaN</v>
      </c>
      <c r="BT38" s="5" t="str">
        <f>IF(_xlfn.XLOOKUP($B38,rf1_data!$B:$B,rf1_data!BL:BL,"NaN")="","NaN",(_xlfn.XLOOKUP($B38,rf1_data!$B:$B,rf1_data!BL:BL,"NaN")))</f>
        <v>NaN</v>
      </c>
      <c r="BU38" s="5" t="str">
        <f>IF(_xlfn.XLOOKUP($B38,rf1_data!$B:$B,rf1_data!BM:BM,"NaN")="","NaN",(_xlfn.XLOOKUP($B38,rf1_data!$B:$B,rf1_data!BM:BM,"NaN")))</f>
        <v>NaN</v>
      </c>
      <c r="BV38" s="5" t="str">
        <f>IF(_xlfn.XLOOKUP($B38,rf1_data!$B:$B,rf1_data!BN:BN,"NaN")="","NaN",(_xlfn.XLOOKUP($B38,rf1_data!$B:$B,rf1_data!BN:BN,"NaN")))</f>
        <v>NaN</v>
      </c>
      <c r="BW38" s="5">
        <f>IF(_xlfn.XLOOKUP($B38,rf1_data!$B:$B,rf1_data!BO:BO,"NaN")="","NaN",(_xlfn.XLOOKUP($B38,rf1_data!$B:$B,rf1_data!BO:BO,"NaN")))</f>
        <v>3.9</v>
      </c>
      <c r="BX38" s="5">
        <f>IF(_xlfn.XLOOKUP($B38,rf1_data!$B:$B,rf1_data!BP:BP,"NaN")="","NaN",(_xlfn.XLOOKUP($B38,rf1_data!$B:$B,rf1_data!BP:BP,"NaN")))</f>
        <v>4.0999999999999996</v>
      </c>
      <c r="BY38" s="5">
        <f>IF(_xlfn.XLOOKUP($B38,rf1_data!$B:$B,rf1_data!BQ:BQ,"NaN")="","NaN",(_xlfn.XLOOKUP($B38,rf1_data!$B:$B,rf1_data!BQ:BQ,"NaN")))</f>
        <v>4.2</v>
      </c>
      <c r="BZ38" s="5">
        <f>IF(_xlfn.XLOOKUP($B38,rf1_data!$B:$B,rf1_data!BR:BR,"NaN")="","NaN",(_xlfn.XLOOKUP($B38,rf1_data!$B:$B,rf1_data!BR:BR,"NaN")))</f>
        <v>4.07</v>
      </c>
      <c r="CA38" s="5">
        <f>IF(_xlfn.XLOOKUP($B38,rf1_data!$B:$B,rf1_data!BS:BS,"NaN")="","NaN",(_xlfn.XLOOKUP($B38,rf1_data!$B:$B,rf1_data!BS:BS,"NaN")))</f>
        <v>3</v>
      </c>
      <c r="CB38" s="5">
        <f>IF(_xlfn.XLOOKUP($B38,rf1_data!$B:$B,rf1_data!BT:BT,"NaN")="","NaN",(_xlfn.XLOOKUP($B38,rf1_data!$B:$B,rf1_data!BT:BT,"NaN")))</f>
        <v>2.1666666666666599</v>
      </c>
      <c r="CC38" s="5">
        <f>IF(_xlfn.XLOOKUP($B38,rf1_data!$B:$B,rf1_data!BU:BU,"NaN")="","NaN",(_xlfn.XLOOKUP($B38,rf1_data!$B:$B,rf1_data!BU:BU,"NaN")))</f>
        <v>1.1666666666666601</v>
      </c>
      <c r="CD38" s="5">
        <f>IF(_xlfn.XLOOKUP($B38,rf1_data!$B:$B,rf1_data!BV:BV,"NaN")="","NaN",(_xlfn.XLOOKUP($B38,rf1_data!$B:$B,rf1_data!BV:BV,"NaN")))</f>
        <v>1.1666666666666601</v>
      </c>
      <c r="CE38" s="5">
        <f>IF(_xlfn.XLOOKUP($B38,rf1_data!$B:$B,rf1_data!BW:BW,"NaN")="","NaN",(_xlfn.XLOOKUP($B38,rf1_data!$B:$B,rf1_data!BW:BW,"NaN")))</f>
        <v>3.15</v>
      </c>
      <c r="CF38" s="5">
        <f>IF(_xlfn.XLOOKUP($B38,rf1_data!$B:$B,rf1_data!BX:BX,"NaN")="","NaN",(_xlfn.XLOOKUP($B38,rf1_data!$B:$B,rf1_data!BX:BX,"NaN")))</f>
        <v>0</v>
      </c>
      <c r="CG38" s="5">
        <f>IF(_xlfn.XLOOKUP($B38,rf1_data!$B:$B,rf1_data!BY:BY,"NaN")="","NaN",(_xlfn.XLOOKUP($B38,rf1_data!$B:$B,rf1_data!BY:BY,"NaN")))</f>
        <v>0</v>
      </c>
      <c r="CH38" s="5">
        <f>IF(_xlfn.XLOOKUP($B38,rf1_data!$B:$B,rf1_data!BZ:BZ,"NaN")="","NaN",(_xlfn.XLOOKUP($B38,rf1_data!$B:$B,rf1_data!BZ:BZ,"NaN")))</f>
        <v>25</v>
      </c>
      <c r="CI38" s="5">
        <f>IF(_xlfn.XLOOKUP($B38,rf1_data!$B:$B,rf1_data!CA:CA,"NaN")="","NaN",(_xlfn.XLOOKUP($B38,rf1_data!$B:$B,rf1_data!CA:CA,"NaN")))</f>
        <v>23</v>
      </c>
      <c r="CJ38" s="5">
        <f>IF(_xlfn.XLOOKUP($B38,rf1_data!$B:$B,rf1_data!CB:CB,"NaN")="","NaN",(_xlfn.XLOOKUP($B38,rf1_data!$B:$B,rf1_data!CB:CB,"NaN")))</f>
        <v>11</v>
      </c>
      <c r="CK38" s="5">
        <f>IF(_xlfn.XLOOKUP($B38,rf1_data!$B:$B,rf1_data!CC:CC,"NaN")="","NaN",(_xlfn.XLOOKUP($B38,rf1_data!$B:$B,rf1_data!CC:CC,"NaN")))</f>
        <v>1</v>
      </c>
      <c r="CL38" s="5">
        <f>IF(_xlfn.XLOOKUP($B38,rf1_data!$B:$B,rf1_data!CD:CD,"NaN")=0,"NaN",(_xlfn.XLOOKUP($B38,rf1_data!$B:$B,rf1_data!CD:CD,"NaN")))</f>
        <v>35</v>
      </c>
      <c r="CM38" s="5">
        <f>IF(_xlfn.XLOOKUP($B38,rf1_data!$B:$B,rf1_data!CE:CE,"NaN")="","NaN",(_xlfn.XLOOKUP($B38,rf1_data!$B:$B,rf1_data!CE:CE,"NaN")))</f>
        <v>37</v>
      </c>
      <c r="CN38" s="5">
        <f>IF(_xlfn.XLOOKUP($B38,rf1_data!$B:$B,rf1_data!CF:CF,"NaN")="","NaN",(_xlfn.XLOOKUP($B38,rf1_data!$B:$B,rf1_data!CF:CF,"NaN")))</f>
        <v>34</v>
      </c>
      <c r="CO38" s="5">
        <f>IF(_xlfn.XLOOKUP($B38,rf1_data!$B:$B,rf1_data!CG:CG,"NaN")="","NaN",(_xlfn.XLOOKUP($B38,rf1_data!$B:$B,rf1_data!CG:CG,"NaN")))</f>
        <v>21</v>
      </c>
      <c r="CP38" s="5">
        <f>IF(_xlfn.XLOOKUP($B38,rf1_data!$B:$B,rf1_data!CH:CH,"NaN")=0,"NaN",(_xlfn.XLOOKUP($B38,rf1_data!$B:$B,rf1_data!CH:CH,"NaN")))</f>
        <v>32</v>
      </c>
      <c r="CQ38" s="5">
        <f>IF(_xlfn.XLOOKUP($B38,rf1_data!$B:$B,rf1_data!CI:CI,"NaN")="","NaN",(_xlfn.XLOOKUP($B38,rf1_data!$B:$B,rf1_data!CI:CI,"NaN")))</f>
        <v>44</v>
      </c>
      <c r="CR38" s="5">
        <f>IF(_xlfn.XLOOKUP($B38,rf1_data!$B:$B,rf1_data!CJ:CJ,"NaN")="","NaN",(_xlfn.XLOOKUP($B38,rf1_data!$B:$B,rf1_data!CJ:CJ,"NaN")))</f>
        <v>60</v>
      </c>
      <c r="CS38" s="5">
        <f>IF(_xlfn.XLOOKUP($B38,rf1_data!$B:$B,rf1_data!CK:CK,"NaN")="","NaN",(_xlfn.XLOOKUP($B38,rf1_data!$B:$B,rf1_data!CK:CK,"NaN")))</f>
        <v>40</v>
      </c>
      <c r="CT38" s="5">
        <f>IF(_xlfn.XLOOKUP($B38,rf1_data!$B:$B,rf1_data!CL:CL,"NaN")="","NaN",(_xlfn.XLOOKUP($B38,rf1_data!$B:$B,rf1_data!CL:CL,"NaN")))</f>
        <v>60</v>
      </c>
      <c r="CU38" s="5">
        <f>IF(_xlfn.XLOOKUP($B38,rf1_data!$B:$B,rf1_data!CM:CM,"NaN")="","NaN",(_xlfn.XLOOKUP($B38,rf1_data!$B:$B,rf1_data!CM:CM,"NaN")))</f>
        <v>48</v>
      </c>
      <c r="CV38" s="5">
        <f>IF(_xlfn.XLOOKUP($B38,rf1_data!$B:$B,rf1_data!CN:CN,"NaN")="","NaN",(_xlfn.XLOOKUP($B38,rf1_data!$B:$B,rf1_data!CN:CN,"NaN")))</f>
        <v>60</v>
      </c>
      <c r="CW38" s="5" t="str">
        <f>IF(_xlfn.XLOOKUP($B38,rf1_data!$B:$B,rf1_data!CO:CO,"NaN")="","NaN",(_xlfn.XLOOKUP($B38,rf1_data!$B:$B,rf1_data!CO:CO,"NaN")))</f>
        <v>NaN</v>
      </c>
      <c r="CX38" s="5" t="str">
        <f>IF(_xlfn.XLOOKUP($B38,rf1_data!$B:$B,rf1_data!CP:CP,"NaN")="","NaN",(_xlfn.XLOOKUP($B38,rf1_data!$B:$B,rf1_data!CP:CP,"NaN")))</f>
        <v>NaN</v>
      </c>
      <c r="CY38" s="5">
        <f>IF(_xlfn.XLOOKUP($B38,rf1_data!$B:$B,rf1_data!CQ:CQ,"NaN")="","NaN",(_xlfn.XLOOKUP($B38,rf1_data!$B:$B,rf1_data!CQ:CQ,"NaN")))</f>
        <v>7</v>
      </c>
      <c r="CZ38" s="5">
        <f>IF(_xlfn.XLOOKUP($B38,rf1_data!$B:$B,rf1_data!CR:CR,"NaN")="","NaN",(_xlfn.XLOOKUP($B38,rf1_data!$B:$B,rf1_data!CR:CR,"NaN")))</f>
        <v>1</v>
      </c>
      <c r="DA38" s="5">
        <f>IF(_xlfn.XLOOKUP($B38,rf1_data!$B:$B,rf1_data!CS:CS,"NaN")="","NaN",(_xlfn.XLOOKUP($B38,rf1_data!$B:$B,rf1_data!CS:CS,"NaN")))</f>
        <v>1</v>
      </c>
      <c r="DB38" s="4">
        <f>IF(_xlfn.XLOOKUP($B38,island_data!$B:$B,island_data!H:H,"NaN")="","NaN",_xlfn.XLOOKUP($B38,island_data!$B:$B,island_data!H:H,"NaN"))</f>
        <v>22</v>
      </c>
      <c r="DC38" s="4">
        <f>IF(_xlfn.XLOOKUP($B38,island_data!$B:$B,island_data!I:I,"NaN")="","NaN",_xlfn.XLOOKUP($B38,island_data!$B:$B,island_data!I:I,"NaN"))</f>
        <v>32</v>
      </c>
      <c r="DD38" s="4">
        <f>IF(_xlfn.XLOOKUP($B38,island_data!$B:$B,island_data!J:J,"NaN")="","NaN",_xlfn.XLOOKUP($B38,island_data!$B:$B,island_data!J:J,"NaN"))</f>
        <v>3</v>
      </c>
      <c r="DE38" s="4">
        <f>IF(_xlfn.XLOOKUP($B38,island_data!$B:$B,island_data!K:K,"NaN")="","NaN",_xlfn.XLOOKUP($B38,island_data!$B:$B,island_data!K:K,"NaN"))</f>
        <v>15</v>
      </c>
      <c r="DF38" s="4">
        <f>IF(_xlfn.XLOOKUP($B38,island_data!$B:$B,island_data!L:L,"NaN")="","NaN",_xlfn.XLOOKUP($B38,island_data!$B:$B,island_data!L:L,"NaN"))</f>
        <v>24</v>
      </c>
      <c r="DG38" s="4">
        <f>IF(_xlfn.XLOOKUP($B38,island_data!$B:$B,island_data!M:M,"NaN")="","NaN",_xlfn.XLOOKUP($B38,island_data!$B:$B,island_data!M:M,"NaN"))</f>
        <v>3.8125</v>
      </c>
      <c r="DH38" s="4">
        <f>IF(_xlfn.XLOOKUP($B38,island_data!$B:$B,island_data!N:N,"NaN")="","NaN",_xlfn.XLOOKUP($B38,island_data!$B:$B,island_data!N:N,"NaN"))</f>
        <v>12</v>
      </c>
      <c r="DI38" s="4">
        <f>IF(_xlfn.XLOOKUP($B38,island_data!$B:$B,island_data!O:O,"NaN")=999,"NaN",_xlfn.XLOOKUP($B38,island_data!$B:$B,island_data!O:O,"NaN"))</f>
        <v>3</v>
      </c>
      <c r="DJ38" s="4">
        <f>IF(_xlfn.XLOOKUP($B38,island_data!$B:$B,island_data!P:P,"NaN")="","NaN",_xlfn.XLOOKUP($B38,island_data!$B:$B,island_data!P:P,"NaN"))</f>
        <v>11</v>
      </c>
      <c r="DK38" s="4">
        <f>IF(_xlfn.XLOOKUP($B38,island_data!$B:$B,island_data!Q:Q,"NaN")="","NaN",_xlfn.XLOOKUP($B38,island_data!$B:$B,island_data!Q:Q,"NaN"))</f>
        <v>8</v>
      </c>
      <c r="DL38" s="4">
        <f>IF(_xlfn.XLOOKUP($B38,island_data!$B:$B,island_data!R:R,"NaN")=999,"NaN",_xlfn.XLOOKUP($B38,island_data!$B:$B,island_data!R:R,"NaN"))</f>
        <v>15</v>
      </c>
      <c r="DM38" s="4">
        <f>IF(_xlfn.XLOOKUP($B38,island_data!$B:$B,island_data!S:S,"NaN")="","NaN",_xlfn.XLOOKUP($B38,island_data!$B:$B,island_data!S:S,"NaN"))</f>
        <v>12</v>
      </c>
      <c r="DN38" s="4">
        <f>IF(_xlfn.XLOOKUP($B38,island_data!$B:$B,island_data!T:T,"NaN")="","NaN",_xlfn.XLOOKUP($B38,island_data!$B:$B,island_data!T:T,"NaN"))</f>
        <v>4.6666666666666599</v>
      </c>
      <c r="DO38" s="4">
        <f>IF(_xlfn.XLOOKUP($B38,island_data!$B:$B,island_data!U:U,"NaN")="","NaN",_xlfn.XLOOKUP($B38,island_data!$B:$B,island_data!U:U,"NaN"))</f>
        <v>4</v>
      </c>
      <c r="DP38" s="4">
        <f>IF(_xlfn.XLOOKUP($B38,island_data!$B:$B,island_data!V:V,"NaN")="","NaN",_xlfn.XLOOKUP($B38,island_data!$B:$B,island_data!V:V,"NaN"))</f>
        <v>2</v>
      </c>
      <c r="DQ38" s="4">
        <f>IF(_xlfn.XLOOKUP($B38,island_data!$B:$B,island_data!W:W,"NaN")="","NaN",_xlfn.XLOOKUP($B38,island_data!$B:$B,island_data!W:W,"NaN"))</f>
        <v>5</v>
      </c>
      <c r="DR38" s="4">
        <f>IF(_xlfn.XLOOKUP($B38,island_data!$B:$B,island_data!X:X,"NaN")="","NaN",_xlfn.XLOOKUP($B38,island_data!$B:$B,island_data!X:X,"NaN"))</f>
        <v>4</v>
      </c>
      <c r="DS38" s="4" t="str">
        <f>IF(_xlfn.XLOOKUP($B38,island_data!$B:$B,island_data!Y:Y,"NaN")="","NaN",_xlfn.XLOOKUP($B38,island_data!$B:$B,island_data!Y:Y,"NaN"))</f>
        <v>NaN</v>
      </c>
      <c r="DT38" s="4" t="str">
        <f>IF(_xlfn.XLOOKUP($B38,island_data!$B:$B,island_data!Z:Z,"NaN")="","NaN",_xlfn.XLOOKUP($B38,island_data!$B:$B,island_data!Z:Z,"NaN"))</f>
        <v>NaN</v>
      </c>
      <c r="DU38" s="4" t="str">
        <f>IF(_xlfn.XLOOKUP($B38,island_data!$B:$B,island_data!AA:AA,"NaN")="","NaN",_xlfn.XLOOKUP($B38,island_data!$B:$B,island_data!AA:AA,"NaN"))</f>
        <v>NaN</v>
      </c>
      <c r="DV38" s="4" t="str">
        <f>IF(_xlfn.XLOOKUP($B38,island_data!$B:$B,island_data!AB:AB,"NaN")="","NaN",_xlfn.XLOOKUP($B38,island_data!$B:$B,island_data!AB:AB,"NaN"))</f>
        <v>NaN</v>
      </c>
      <c r="DW38" s="4">
        <f>IF(_xlfn.XLOOKUP($B38,island_data!$B:$B,island_data!AC:AC,"NaN")="","NaN",_xlfn.XLOOKUP($B38,island_data!$B:$B,island_data!AC:AC,"NaN"))</f>
        <v>7430</v>
      </c>
      <c r="DX38" s="4">
        <f>IF(_xlfn.XLOOKUP($B38,island_data!$B:$B,island_data!AD:AD,"NaN")="","NaN",_xlfn.XLOOKUP($B38,island_data!$B:$B,island_data!AD:AD,"NaN"))</f>
        <v>5</v>
      </c>
      <c r="DY38" s="4">
        <f>IF(_xlfn.XLOOKUP($B38,island_data!$B:$B,island_data!AE:AE,"NaN")="","NaN",_xlfn.XLOOKUP($B38,island_data!$B:$B,island_data!AE:AE,"NaN"))</f>
        <v>0</v>
      </c>
      <c r="DZ38" s="4" t="str">
        <f>IF(_xlfn.XLOOKUP($B38,island_data!$B:$B,island_data!AF:AF,"NaN")="","NaN",_xlfn.XLOOKUP($B38,island_data!$B:$B,island_data!AF:AF,"NaN"))</f>
        <v>NaN</v>
      </c>
      <c r="EA38" s="4" t="str">
        <f>IF(_xlfn.XLOOKUP($B38,island_data!$B:$B,island_data!AG:AG,"NaN")="","NaN",_xlfn.XLOOKUP($B38,island_data!$B:$B,island_data!AG:AG,"NaN"))</f>
        <v>NaN</v>
      </c>
      <c r="EB38" s="4" t="str">
        <f>IF(_xlfn.XLOOKUP($B38,island_data!$B:$B,island_data!AH:AH,"NaN")="","NaN",_xlfn.XLOOKUP($B38,island_data!$B:$B,island_data!AH:AH,"NaN"))</f>
        <v>NaN</v>
      </c>
      <c r="EC38" s="4" t="str">
        <f>IF(_xlfn.XLOOKUP($B38,island_data!$B:$B,island_data!AI:AI,"NaN")="","NaN",_xlfn.XLOOKUP($B38,island_data!$B:$B,island_data!AI:AI,"NaN"))</f>
        <v>NaN</v>
      </c>
      <c r="ED38" s="4" t="str">
        <f>IF(_xlfn.XLOOKUP($B38,island_data!$B:$B,island_data!AJ:AJ,"NaN")="","NaN",_xlfn.XLOOKUP($B38,island_data!$B:$B,island_data!AJ:AJ,"NaN"))</f>
        <v>NaN</v>
      </c>
      <c r="EE38" s="4" t="str">
        <f>IF(_xlfn.XLOOKUP($B38,island_data!$B:$B,island_data!AK:AK,"NaN")="","NaN",_xlfn.XLOOKUP($B38,island_data!$B:$B,island_data!AK:AK,"NaN"))</f>
        <v>NaN</v>
      </c>
      <c r="EF38" s="4" t="str">
        <f>IF(_xlfn.XLOOKUP($B38,island_data!$B:$B,island_data!AL:AL,"NaN")="","NaN",_xlfn.XLOOKUP($B38,island_data!$B:$B,island_data!AL:AL,"NaN"))</f>
        <v>NaN</v>
      </c>
      <c r="EG38" s="4" t="str">
        <f>IF(_xlfn.XLOOKUP($B38,island_data!$B:$B,island_data!AM:AM,"NaN")="","NaN",_xlfn.XLOOKUP($B38,island_data!$B:$B,island_data!AM:AM,"NaN"))</f>
        <v>NaN</v>
      </c>
      <c r="EH38" s="4" t="str">
        <f>IF(_xlfn.XLOOKUP($B38,island_data!$B:$B,island_data!AN:AN,"NaN")="","NaN",_xlfn.XLOOKUP($B38,island_data!$B:$B,island_data!AN:AN,"NaN"))</f>
        <v>NaN</v>
      </c>
      <c r="EI38" s="4" t="str">
        <f>IF(_xlfn.XLOOKUP($B38,island_data!$B:$B,island_data!AO:AO,"NaN")="","NaN",_xlfn.XLOOKUP($B38,island_data!$B:$B,island_data!AO:AO,"NaN"))</f>
        <v>NaN</v>
      </c>
      <c r="EJ38" s="8">
        <f>IF(_xlfn.XLOOKUP($A38,TabCAT!$A:$A,TabCAT!AU:AU,"NaN")="","NaN",(_xlfn.XLOOKUP($A38,TabCAT!$A:$A,TabCAT!AU:AU,"NaN")))</f>
        <v>184</v>
      </c>
      <c r="EK38" s="8" t="b">
        <f>IF(_xlfn.XLOOKUP($A38,TabCAT!$A:$A,TabCAT!AV:AV,"NaN")="","NaN",(_xlfn.XLOOKUP($A38,TabCAT!$A:$A,TabCAT!AV:AV,"NaN")))</f>
        <v>1</v>
      </c>
      <c r="EL38" s="8">
        <f>IF(_xlfn.XLOOKUP($A38,TabCAT!$A:$A,TabCAT!AW:AW,"NaN")="","NaN",(_xlfn.XLOOKUP($A38,TabCAT!$A:$A,TabCAT!AW:AW,"NaN")))</f>
        <v>6</v>
      </c>
      <c r="EM38" s="8">
        <f>IF(_xlfn.XLOOKUP($A38,TabCAT!$A:$A,TabCAT!AX:AX,"NaN")="","NaN",(_xlfn.XLOOKUP($A38,TabCAT!$A:$A,TabCAT!AX:AX,"NaN")))</f>
        <v>0</v>
      </c>
      <c r="EN38" s="8">
        <f>IF(_xlfn.XLOOKUP($A38,TabCAT!$A:$A,TabCAT!AY:AY,"NaN")="","NaN",(_xlfn.XLOOKUP($A38,TabCAT!$A:$A,TabCAT!AY:AY,"NaN")))</f>
        <v>6.59</v>
      </c>
      <c r="EO38" s="8">
        <f>IF(_xlfn.XLOOKUP($A38,TabCAT!$A:$A,TabCAT!AZ:AZ,"NaN")="","NaN",(_xlfn.XLOOKUP($A38,TabCAT!$A:$A,TabCAT!AZ:AZ,"NaN")))</f>
        <v>32</v>
      </c>
      <c r="EP38" s="8">
        <f>IF(_xlfn.XLOOKUP($A38,TabCAT!$A:$A,TabCAT!BA:BA,"NaN")="","NaN",(_xlfn.XLOOKUP($A38,TabCAT!$A:$A,TabCAT!BA:BA,"NaN")))</f>
        <v>1.237741</v>
      </c>
      <c r="EQ38" s="8">
        <f>IF(_xlfn.XLOOKUP($A38,TabCAT!$A:$A,TabCAT!BB:BB,"NaN")="","NaN",(_xlfn.XLOOKUP($A38,TabCAT!$A:$A,TabCAT!BB:BB,"NaN")))</f>
        <v>0.30143547973167001</v>
      </c>
      <c r="ER38" s="8">
        <f>IF(_xlfn.XLOOKUP($A38,TabCAT!$A:$A,TabCAT!BC:BC,"NaN")="","NaN",(_xlfn.XLOOKUP($A38,TabCAT!$A:$A,TabCAT!BC:BC,"NaN")))</f>
        <v>16</v>
      </c>
      <c r="ES38" s="8">
        <f>IF(_xlfn.XLOOKUP($A38,TabCAT!$A:$A,TabCAT!BD:BD,"NaN")="","NaN",(_xlfn.XLOOKUP($A38,TabCAT!$A:$A,TabCAT!BD:BD,"NaN")))</f>
        <v>1.1083769999999999</v>
      </c>
      <c r="ET38" s="8">
        <f>IF(_xlfn.XLOOKUP($A38,TabCAT!$A:$A,TabCAT!BE:BE,"NaN")="","NaN",(_xlfn.XLOOKUP($A38,TabCAT!$A:$A,TabCAT!BE:BE,"NaN")))</f>
        <v>16</v>
      </c>
      <c r="EU38" s="8">
        <f>IF(_xlfn.XLOOKUP($A38,TabCAT!$A:$A,TabCAT!BF:BF,"NaN")="","NaN",(_xlfn.XLOOKUP($A38,TabCAT!$A:$A,TabCAT!BF:BF,"NaN")))</f>
        <v>1.3000924999999901</v>
      </c>
      <c r="EV38" s="8" t="str">
        <f>IF(_xlfn.XLOOKUP($A38,TabCAT!$A:$A,TabCAT!BG:BG,"NaN")="","NaN",(_xlfn.XLOOKUP($A38,TabCAT!$A:$A,TabCAT!BG:BG,"NaN")))</f>
        <v>NaN</v>
      </c>
      <c r="EW38" s="8" t="str">
        <f>IF(_xlfn.XLOOKUP($A38,TabCAT!$A:$A,TabCAT!BH:BH,"NaN")="","NaN",(_xlfn.XLOOKUP($A38,TabCAT!$A:$A,TabCAT!BH:BH,"NaN")))</f>
        <v>3.0.0</v>
      </c>
      <c r="EX38" s="8" t="str">
        <f>IF(_xlfn.XLOOKUP($A38,TabCAT!$A:$A,TabCAT!BI:BI,"NaN")="","NaN",(_xlfn.XLOOKUP($A38,TabCAT!$A:$A,TabCAT!BI:BI,"NaN")))</f>
        <v>English</v>
      </c>
      <c r="EY38" s="8">
        <f>IF(_xlfn.XLOOKUP($A38,TabCAT!$A:$A,TabCAT!BJ:BJ,"NaN")="","NaN",(_xlfn.XLOOKUP($A38,TabCAT!$A:$A,TabCAT!BJ:BJ,"NaN")))</f>
        <v>295</v>
      </c>
      <c r="EZ38" s="8">
        <f>IF(_xlfn.XLOOKUP($A38,TabCAT!$A:$A,TabCAT!BK:BK,"NaN")="","NaN",(_xlfn.XLOOKUP($A38,TabCAT!$A:$A,TabCAT!BK:BK,"NaN")))</f>
        <v>1</v>
      </c>
      <c r="FA38" s="8">
        <f>IF(_xlfn.XLOOKUP($A38,TabCAT!$A:$A,TabCAT!BL:BL,"NaN")="","NaN",(_xlfn.XLOOKUP($A38,TabCAT!$A:$A,TabCAT!BL:BL,"NaN")))</f>
        <v>6</v>
      </c>
      <c r="FB38" s="8">
        <f>IF(_xlfn.XLOOKUP($A38,TabCAT!$A:$A,TabCAT!BM:BM,"NaN")="","NaN",(_xlfn.XLOOKUP($A38,TabCAT!$A:$A,TabCAT!BM:BM,"NaN")))</f>
        <v>1</v>
      </c>
      <c r="FC38" s="8">
        <f>IF(_xlfn.XLOOKUP($A38,TabCAT!$A:$A,TabCAT!BN:BN,"NaN")="","NaN",(_xlfn.XLOOKUP($A38,TabCAT!$A:$A,TabCAT!BN:BN,"NaN")))</f>
        <v>6</v>
      </c>
      <c r="FD38" s="8">
        <f>IF(_xlfn.XLOOKUP($A38,TabCAT!$A:$A,TabCAT!BO:BO,"NaN")="","NaN",(_xlfn.XLOOKUP($A38,TabCAT!$A:$A,TabCAT!BO:BO,"NaN")))</f>
        <v>7</v>
      </c>
      <c r="FE38" s="8">
        <f>IF(_xlfn.XLOOKUP($A38,TabCAT!$A:$A,TabCAT!BP:BP,"NaN")="","NaN",(_xlfn.XLOOKUP($A38,TabCAT!$A:$A,TabCAT!BP:BP,"NaN")))</f>
        <v>0.77777777777777701</v>
      </c>
      <c r="FF38" s="8">
        <f>IF(_xlfn.XLOOKUP($A38,TabCAT!$A:$A,TabCAT!BQ:BQ,"NaN")="","NaN",(_xlfn.XLOOKUP($A38,TabCAT!$A:$A,TabCAT!BQ:BQ,"NaN")))</f>
        <v>7</v>
      </c>
      <c r="FG38" s="8">
        <f>IF(_xlfn.XLOOKUP($A38,TabCAT!$A:$A,TabCAT!BR:BR,"NaN")="","NaN",(_xlfn.XLOOKUP($A38,TabCAT!$A:$A,TabCAT!BR:BR,"NaN")))</f>
        <v>10</v>
      </c>
      <c r="FH38" s="8">
        <f>IF(_xlfn.XLOOKUP($A38,TabCAT!$A:$A,TabCAT!BS:BS,"NaN")="","NaN",(_xlfn.XLOOKUP($A38,TabCAT!$A:$A,TabCAT!BS:BS,"NaN")))</f>
        <v>0.83333333333333304</v>
      </c>
      <c r="FI38" s="8">
        <f>IF(_xlfn.XLOOKUP($A38,TabCAT!$A:$A,TabCAT!BT:BT,"NaN")="","NaN",(_xlfn.XLOOKUP($A38,TabCAT!$A:$A,TabCAT!BT:BT,"NaN")))</f>
        <v>7.5</v>
      </c>
      <c r="FJ38" s="8">
        <f>IF(_xlfn.XLOOKUP($A38,TabCAT!$A:$A,TabCAT!BU:BU,"NaN")="","NaN",(_xlfn.XLOOKUP($A38,TabCAT!$A:$A,TabCAT!BU:BU,"NaN")))</f>
        <v>9</v>
      </c>
      <c r="FK38" s="8">
        <f>IF(_xlfn.XLOOKUP($A38,TabCAT!$A:$A,TabCAT!BV:BV,"NaN")="","NaN",(_xlfn.XLOOKUP($A38,TabCAT!$A:$A,TabCAT!BV:BV,"NaN")))</f>
        <v>0.6</v>
      </c>
      <c r="FL38" s="8">
        <f>IF(_xlfn.XLOOKUP($A38,TabCAT!$A:$A,TabCAT!BW:BW,"NaN")="","NaN",(_xlfn.XLOOKUP($A38,TabCAT!$A:$A,TabCAT!BW:BW,"NaN")))</f>
        <v>5</v>
      </c>
      <c r="FM38" s="8">
        <f>IF(_xlfn.XLOOKUP($A38,TabCAT!$A:$A,TabCAT!BX:BX,"NaN")="","NaN",(_xlfn.XLOOKUP($A38,TabCAT!$A:$A,TabCAT!BX:BX,"NaN")))</f>
        <v>32</v>
      </c>
      <c r="FN38" s="8">
        <f>IF(_xlfn.XLOOKUP($A38,TabCAT!$A:$A,TabCAT!BY:BY,"NaN")="","NaN",(_xlfn.XLOOKUP($A38,TabCAT!$A:$A,TabCAT!BY:BY,"NaN")))</f>
        <v>0.76190476190476097</v>
      </c>
      <c r="FO38" s="8">
        <f>IF(_xlfn.XLOOKUP($A38,TabCAT!$A:$A,TabCAT!BZ:BZ,"NaN")="","NaN",(_xlfn.XLOOKUP($A38,TabCAT!$A:$A,TabCAT!BZ:BZ,"NaN")))</f>
        <v>25.5</v>
      </c>
      <c r="FP38" s="8" t="str">
        <f>IF(_xlfn.XLOOKUP($A38,TabCAT!$A:$A,TabCAT!CA:CA,"NaN")="","NaN",(_xlfn.XLOOKUP($A38,TabCAT!$A:$A,TabCAT!CA:CA,"NaN")))</f>
        <v>3.0.0</v>
      </c>
      <c r="FQ38" s="8" t="str">
        <f>IF(_xlfn.XLOOKUP($A38,TabCAT!$A:$A,TabCAT!CB:CB,"NaN")="","NaN",(_xlfn.XLOOKUP($A38,TabCAT!$A:$A,TabCAT!CB:CB,"NaN")))</f>
        <v>English</v>
      </c>
      <c r="FR38" s="8">
        <f>IF(_xlfn.XLOOKUP($A38,TabCAT!$A:$A,TabCAT!CC:CC,"NaN")="","NaN",(_xlfn.XLOOKUP($A38,TabCAT!$A:$A,TabCAT!CC:CC,"NaN")))</f>
        <v>221</v>
      </c>
      <c r="FS38" s="8" t="b">
        <f>IF(_xlfn.XLOOKUP($A38,TabCAT!$A:$A,TabCAT!CD:CD,"NaN")="","NaN",(_xlfn.XLOOKUP($A38,TabCAT!$A:$A,TabCAT!CD:CD,"NaN")))</f>
        <v>1</v>
      </c>
      <c r="FT38" s="8">
        <f>IF(_xlfn.XLOOKUP($A38,TabCAT!$A:$A,TabCAT!CE:CE,"NaN")="","NaN",(_xlfn.XLOOKUP($A38,TabCAT!$A:$A,TabCAT!CE:CE,"NaN")))</f>
        <v>8</v>
      </c>
      <c r="FU38" s="8">
        <f>IF(_xlfn.XLOOKUP($A38,TabCAT!$A:$A,TabCAT!CF:CF,"NaN")="","NaN",(_xlfn.XLOOKUP($A38,TabCAT!$A:$A,TabCAT!CF:CF,"NaN")))</f>
        <v>0</v>
      </c>
      <c r="FV38" s="8">
        <f>IF(_xlfn.XLOOKUP($A38,TabCAT!$A:$A,TabCAT!CG:CG,"NaN")="","NaN",(_xlfn.XLOOKUP($A38,TabCAT!$A:$A,TabCAT!CG:CG,"NaN")))</f>
        <v>7.87</v>
      </c>
      <c r="FW38" s="8">
        <f>IF(_xlfn.XLOOKUP($A38,TabCAT!$A:$A,TabCAT!CH:CH,"NaN")="","NaN",(_xlfn.XLOOKUP($A38,TabCAT!$A:$A,TabCAT!CH:CH,"NaN")))</f>
        <v>16</v>
      </c>
      <c r="FX38" s="8">
        <f>IF(_xlfn.XLOOKUP($A38,TabCAT!$A:$A,TabCAT!CI:CI,"NaN")="","NaN",(_xlfn.XLOOKUP($A38,TabCAT!$A:$A,TabCAT!CI:CI,"NaN")))</f>
        <v>0.54229899999999998</v>
      </c>
      <c r="FY38" s="8">
        <f>IF(_xlfn.XLOOKUP($A38,TabCAT!$A:$A,TabCAT!CJ:CJ,"NaN")="","NaN",(_xlfn.XLOOKUP($A38,TabCAT!$A:$A,TabCAT!CJ:CJ,"NaN")))</f>
        <v>16</v>
      </c>
      <c r="FZ38" s="8">
        <f>IF(_xlfn.XLOOKUP($A38,TabCAT!$A:$A,TabCAT!CK:CK,"NaN")="","NaN",(_xlfn.XLOOKUP($A38,TabCAT!$A:$A,TabCAT!CK:CK,"NaN")))</f>
        <v>0.60043449999999998</v>
      </c>
      <c r="GA38" s="8">
        <f>IF(_xlfn.XLOOKUP($A38,TabCAT!$A:$A,TabCAT!CL:CL,"NaN")="","NaN",(_xlfn.XLOOKUP($A38,TabCAT!$A:$A,TabCAT!CL:CL,"NaN")))</f>
        <v>31</v>
      </c>
      <c r="GB38" s="8">
        <f>IF(_xlfn.XLOOKUP($A38,TabCAT!$A:$A,TabCAT!CM:CM,"NaN")="","NaN",(_xlfn.XLOOKUP($A38,TabCAT!$A:$A,TabCAT!CM:CM,"NaN")))</f>
        <v>0.82125800000000004</v>
      </c>
      <c r="GC38" s="8">
        <f>IF(_xlfn.XLOOKUP($A38,TabCAT!$A:$A,TabCAT!CN:CN,"NaN")="","NaN",(_xlfn.XLOOKUP($A38,TabCAT!$A:$A,TabCAT!CN:CN,"NaN")))</f>
        <v>21</v>
      </c>
      <c r="GD38" s="8">
        <f>IF(_xlfn.XLOOKUP($A38,TabCAT!$A:$A,TabCAT!CO:CO,"NaN")="","NaN",(_xlfn.XLOOKUP($A38,TabCAT!$A:$A,TabCAT!CO:CO,"NaN")))</f>
        <v>0.81322799999999995</v>
      </c>
      <c r="GE38" s="8">
        <f>IF(_xlfn.XLOOKUP($A38,TabCAT!$A:$A,TabCAT!CP:CP,"NaN")="","NaN",(_xlfn.XLOOKUP($A38,TabCAT!$A:$A,TabCAT!CP:CP,"NaN")))</f>
        <v>0.283057104627365</v>
      </c>
      <c r="GF38" s="8">
        <f>IF(_xlfn.XLOOKUP($A38,TabCAT!$A:$A,TabCAT!CQ:CQ,"NaN")="","NaN",(_xlfn.XLOOKUP($A38,TabCAT!$A:$A,TabCAT!CQ:CQ,"NaN")))</f>
        <v>52</v>
      </c>
      <c r="GG38" s="8">
        <f>IF(_xlfn.XLOOKUP($A38,TabCAT!$A:$A,TabCAT!CR:CR,"NaN")="","NaN",(_xlfn.XLOOKUP($A38,TabCAT!$A:$A,TabCAT!CR:CR,"NaN")))</f>
        <v>0.59239399999999998</v>
      </c>
      <c r="GH38" s="8" t="str">
        <f>IF(_xlfn.XLOOKUP($A38,TabCAT!$A:$A,TabCAT!CS:CS,"NaN")="","NaN",(_xlfn.XLOOKUP($A38,TabCAT!$A:$A,TabCAT!CS:CS,"NaN")))</f>
        <v>NaN</v>
      </c>
    </row>
    <row r="39" spans="1:190" x14ac:dyDescent="0.2">
      <c r="A39">
        <v>10668</v>
      </c>
      <c r="B39">
        <f>_xlfn.XLOOKUP(bippity_poppity_boo!A39,rf1_data!A:A,rf1_data!B:B)</f>
        <v>131186</v>
      </c>
      <c r="C39" s="2">
        <f>(_xlfn.XLOOKUP($A39,trust!$A:$A,trust!B:B,"NaN"))</f>
        <v>2.6666669999999999</v>
      </c>
      <c r="D39" s="2">
        <f>(_xlfn.XLOOKUP($A39,trust!$A:$A,trust!C:C,"NaN"))</f>
        <v>6</v>
      </c>
      <c r="E39" s="2">
        <f>(_xlfn.XLOOKUP($A39,trust!$A:$A,trust!D:D,"NaN"))</f>
        <v>4</v>
      </c>
      <c r="F39" s="2">
        <f>(_xlfn.XLOOKUP($A39,trust!$A:$A,trust!E:E,"NaN"))</f>
        <v>5.2</v>
      </c>
      <c r="G39" s="2">
        <f>(_xlfn.XLOOKUP($A39,trust!$A:$A,trust!F:F,"NaN"))</f>
        <v>5.3333329999999997</v>
      </c>
      <c r="H39" s="2">
        <f>(_xlfn.XLOOKUP($A39,trust!$A:$A,trust!G:G,"NaN"))</f>
        <v>4.6666670000000003</v>
      </c>
      <c r="I39" s="3">
        <f>IF(_xlfn.XLOOKUP($B39,island_data!$B:$B,island_data!C:C,"NaN")="","NaN",_xlfn.XLOOKUP($B39,island_data!$B:$B,island_data!C:C,"NaN"))</f>
        <v>45017</v>
      </c>
      <c r="J39" s="3">
        <f>IF(_xlfn.XLOOKUP($B39,island_data!$B:$B,island_data!D:D,"NaN")="","NaN",_xlfn.XLOOKUP($B39,island_data!$B:$B,island_data!D:D,"NaN"))</f>
        <v>31436</v>
      </c>
      <c r="K39" s="4">
        <f>IF(_xlfn.XLOOKUP($B39,island_data!$B:$B,island_data!E:E,"NaN")="","NaN",_xlfn.XLOOKUP($B39,island_data!$B:$B,island_data!E:E,"NaN"))</f>
        <v>37.18</v>
      </c>
      <c r="L39" s="5">
        <f>IF(_xlfn.XLOOKUP($B39,rf1_data!$B:$B,rf1_data!D:D,"NaN")="","NaN",(_xlfn.XLOOKUP($B39,rf1_data!$B:$B,rf1_data!D:D,"NaN")))</f>
        <v>37.369999999999997</v>
      </c>
      <c r="M39" s="5" t="str">
        <f>IF(_xlfn.XLOOKUP($B39,rf1_data!$B:$B,rf1_data!E:E,"NaN")="","NaN",(_xlfn.XLOOKUP($B39,rf1_data!$B:$B,rf1_data!E:E,"NaN")))</f>
        <v>Black or African American</v>
      </c>
      <c r="N39" s="5" t="str">
        <f>IF(_xlfn.XLOOKUP($B39,rf1_data!$B:$B,rf1_data!F:F,"NaN")="","NaN",(_xlfn.XLOOKUP($B39,rf1_data!$B:$B,rf1_data!F:F,"NaN")))</f>
        <v>Not Hispanic or Latino</v>
      </c>
      <c r="O39" s="5" t="str">
        <f>IF(_xlfn.XLOOKUP($B39,rf1_data!$B:$B,rf1_data!G:G,"NaN")="","NaN",(_xlfn.XLOOKUP($B39,rf1_data!$B:$B,rf1_data!G:G,"NaN")))</f>
        <v>Female</v>
      </c>
      <c r="P39" s="5">
        <f>IF(_xlfn.XLOOKUP($B39,rf1_data!$B:$B,rf1_data!H:H,"NaN")="","NaN",(_xlfn.XLOOKUP($B39,rf1_data!$B:$B,rf1_data!H:H,"NaN")))</f>
        <v>3.89</v>
      </c>
      <c r="Q39" s="5">
        <f>IF(_xlfn.XLOOKUP($B39,rf1_data!$B:$B,rf1_data!I:I,"NaN")="","NaN",(_xlfn.XLOOKUP($B39,rf1_data!$B:$B,rf1_data!I:I,"NaN")))</f>
        <v>3.1</v>
      </c>
      <c r="R39" s="5">
        <f>IF(_xlfn.XLOOKUP($B39,rf1_data!$B:$B,rf1_data!J:J,"NaN")="","NaN",(_xlfn.XLOOKUP($B39,rf1_data!$B:$B,rf1_data!J:J,"NaN")))</f>
        <v>9</v>
      </c>
      <c r="S39" s="5">
        <f>IF(_xlfn.XLOOKUP($B39,rf1_data!$B:$B,rf1_data!K:K,"NaN")="","NaN",(_xlfn.XLOOKUP($B39,rf1_data!$B:$B,rf1_data!K:K,"NaN")))</f>
        <v>14</v>
      </c>
      <c r="T39" s="5">
        <f>IF(_xlfn.XLOOKUP($B39,rf1_data!$B:$B,rf1_data!L:L,"NaN")="","NaN",(_xlfn.XLOOKUP($B39,rf1_data!$B:$B,rf1_data!L:L,"NaN")))</f>
        <v>0</v>
      </c>
      <c r="U39" s="5">
        <f>IF(_xlfn.XLOOKUP($B39,rf1_data!$B:$B,rf1_data!M:M,"NaN")="","NaN",(_xlfn.XLOOKUP($B39,rf1_data!$B:$B,rf1_data!M:M,"NaN")))</f>
        <v>5.83</v>
      </c>
      <c r="V39" s="5">
        <f>IF(_xlfn.XLOOKUP($B39,rf1_data!$B:$B,rf1_data!N:N,"NaN")="","NaN",(_xlfn.XLOOKUP($B39,rf1_data!$B:$B,rf1_data!N:N,"NaN")))</f>
        <v>4.83</v>
      </c>
      <c r="W39" s="5">
        <f>IF(_xlfn.XLOOKUP($B39,rf1_data!$B:$B,rf1_data!O:O,"NaN")="","NaN",(_xlfn.XLOOKUP($B39,rf1_data!$B:$B,rf1_data!O:O,"NaN")))</f>
        <v>5.5</v>
      </c>
      <c r="X39" s="5">
        <f>IF(_xlfn.XLOOKUP($B39,rf1_data!$B:$B,rf1_data!P:P,"NaN")="","NaN",(_xlfn.XLOOKUP($B39,rf1_data!$B:$B,rf1_data!P:P,"NaN")))</f>
        <v>5.33</v>
      </c>
      <c r="Y39" s="5">
        <f>IF(_xlfn.XLOOKUP($B39,rf1_data!$B:$B,rf1_data!Q:Q,"NaN")="","NaN",(_xlfn.XLOOKUP($B39,rf1_data!$B:$B,rf1_data!Q:Q,"NaN")))</f>
        <v>5.33</v>
      </c>
      <c r="Z39" s="5">
        <f>IF(_xlfn.XLOOKUP($B39,rf1_data!$B:$B,rf1_data!R:R,"NaN")="","NaN",(_xlfn.XLOOKUP($B39,rf1_data!$B:$B,rf1_data!R:R,"NaN")))</f>
        <v>43</v>
      </c>
      <c r="AA39" s="5">
        <f>IF(_xlfn.XLOOKUP($B39,rf1_data!$B:$B,rf1_data!S:S,"NaN")="","NaN",(_xlfn.XLOOKUP($B39,rf1_data!$B:$B,rf1_data!S:S,"NaN")))</f>
        <v>13</v>
      </c>
      <c r="AB39" s="5">
        <f>IF(_xlfn.XLOOKUP($B39,rf1_data!$B:$B,rf1_data!T:T,"NaN")="","NaN",(_xlfn.XLOOKUP($B39,rf1_data!$B:$B,rf1_data!T:T,"NaN")))</f>
        <v>18</v>
      </c>
      <c r="AC39" s="5">
        <f>IF(_xlfn.XLOOKUP($B39,rf1_data!$B:$B,rf1_data!U:U,"NaN")="","NaN",(_xlfn.XLOOKUP($B39,rf1_data!$B:$B,rf1_data!U:U,"NaN")))</f>
        <v>4</v>
      </c>
      <c r="AD39" s="5">
        <f>IF(_xlfn.XLOOKUP($B39,rf1_data!$B:$B,rf1_data!V:V,"NaN")="","NaN",(_xlfn.XLOOKUP($B39,rf1_data!$B:$B,rf1_data!V:V,"NaN")))</f>
        <v>8</v>
      </c>
      <c r="AE39" s="5">
        <f>IF(_xlfn.XLOOKUP($B39,rf1_data!$B:$B,rf1_data!W:W,"NaN")="","NaN",(_xlfn.XLOOKUP($B39,rf1_data!$B:$B,rf1_data!W:W,"NaN")))</f>
        <v>7</v>
      </c>
      <c r="AF39" s="5">
        <f>IF(_xlfn.XLOOKUP($B39,rf1_data!$B:$B,rf1_data!X:X,"NaN")="","NaN",(_xlfn.XLOOKUP($B39,rf1_data!$B:$B,rf1_data!X:X,"NaN")))</f>
        <v>6</v>
      </c>
      <c r="AG39" s="5">
        <f>IF(_xlfn.XLOOKUP($B39,rf1_data!$B:$B,rf1_data!Y:Y,"NaN")="","NaN",(_xlfn.XLOOKUP($B39,rf1_data!$B:$B,rf1_data!Y:Y,"NaN")))</f>
        <v>5</v>
      </c>
      <c r="AH39" s="5">
        <f>IF(_xlfn.XLOOKUP($B39,rf1_data!$B:$B,rf1_data!Z:Z,"NaN")="","NaN",(_xlfn.XLOOKUP($B39,rf1_data!$B:$B,rf1_data!Z:Z,"NaN")))</f>
        <v>3</v>
      </c>
      <c r="AI39" s="5">
        <f>IF(_xlfn.XLOOKUP($B39,rf1_data!$B:$B,rf1_data!AA:AA,"NaN")="","NaN",(_xlfn.XLOOKUP($B39,rf1_data!$B:$B,rf1_data!AA:AA,"NaN")))</f>
        <v>1</v>
      </c>
      <c r="AJ39" s="5">
        <f>IF(_xlfn.XLOOKUP($B39,rf1_data!$B:$B,rf1_data!AB:AB,"NaN")="","NaN",(_xlfn.XLOOKUP($B39,rf1_data!$B:$B,rf1_data!AB:AB,"NaN")))</f>
        <v>22</v>
      </c>
      <c r="AK39" s="5">
        <f>IF(_xlfn.XLOOKUP($B39,rf1_data!$B:$B,rf1_data!AC:AC,"NaN")="","NaN",(_xlfn.XLOOKUP($B39,rf1_data!$B:$B,rf1_data!AC:AC,"NaN")))</f>
        <v>32</v>
      </c>
      <c r="AL39" s="5">
        <f>IF(_xlfn.XLOOKUP($B39,rf1_data!$B:$B,rf1_data!AD:AD,"NaN")="","NaN",(_xlfn.XLOOKUP($B39,rf1_data!$B:$B,rf1_data!AD:AD,"NaN")))</f>
        <v>14</v>
      </c>
      <c r="AM39" s="5">
        <f>IF(_xlfn.XLOOKUP($B39,rf1_data!$B:$B,rf1_data!AE:AE,"NaN")="","NaN",(_xlfn.XLOOKUP($B39,rf1_data!$B:$B,rf1_data!AE:AE,"NaN")))</f>
        <v>0</v>
      </c>
      <c r="AN39" s="5">
        <f>IF(_xlfn.XLOOKUP($B39,rf1_data!$B:$B,rf1_data!AF:AF,"NaN")="","NaN",(_xlfn.XLOOKUP($B39,rf1_data!$B:$B,rf1_data!AF:AF,"NaN")))</f>
        <v>0</v>
      </c>
      <c r="AO39" s="5">
        <f>IF(_xlfn.XLOOKUP($B39,rf1_data!$B:$B,rf1_data!AG:AG,"NaN")="","NaN",(_xlfn.XLOOKUP($B39,rf1_data!$B:$B,rf1_data!AG:AG,"NaN")))</f>
        <v>4.25</v>
      </c>
      <c r="AP39" s="5">
        <f>IF(_xlfn.XLOOKUP($B39,rf1_data!$B:$B,rf1_data!AH:AH,"NaN")="","NaN",(_xlfn.XLOOKUP($B39,rf1_data!$B:$B,rf1_data!AH:AH,"NaN")))</f>
        <v>4.5</v>
      </c>
      <c r="AQ39" s="5">
        <f>IF(_xlfn.XLOOKUP($B39,rf1_data!$B:$B,rf1_data!AI:AI,"NaN")="","NaN",(_xlfn.XLOOKUP($B39,rf1_data!$B:$B,rf1_data!AI:AI,"NaN")))</f>
        <v>4</v>
      </c>
      <c r="AR39" s="5">
        <f>IF(_xlfn.XLOOKUP($B39,rf1_data!$B:$B,rf1_data!AJ:AJ,"NaN")="","NaN",(_xlfn.XLOOKUP($B39,rf1_data!$B:$B,rf1_data!AJ:AJ,"NaN")))</f>
        <v>4.25</v>
      </c>
      <c r="AS39" s="5">
        <f>IF(_xlfn.XLOOKUP($B39,rf1_data!$B:$B,rf1_data!AK:AK,"NaN")="","NaN",(_xlfn.XLOOKUP($B39,rf1_data!$B:$B,rf1_data!AK:AK,"NaN")))</f>
        <v>3.3</v>
      </c>
      <c r="AT39" s="5">
        <f>IF(_xlfn.XLOOKUP($B39,rf1_data!$B:$B,rf1_data!AL:AL,"NaN")="","NaN",(_xlfn.XLOOKUP($B39,rf1_data!$B:$B,rf1_data!AL:AL,"NaN")))</f>
        <v>21</v>
      </c>
      <c r="AU39" s="5">
        <f>IF(_xlfn.XLOOKUP($B39,rf1_data!$B:$B,rf1_data!AM:AM,"NaN")="","NaN",(_xlfn.XLOOKUP($B39,rf1_data!$B:$B,rf1_data!AM:AM,"NaN")))</f>
        <v>1</v>
      </c>
      <c r="AV39" s="5">
        <f>IF(_xlfn.XLOOKUP($B39,rf1_data!$B:$B,rf1_data!AN:AN,"NaN")="","NaN",(_xlfn.XLOOKUP($B39,rf1_data!$B:$B,rf1_data!AN:AN,"NaN")))</f>
        <v>36</v>
      </c>
      <c r="AW39" s="5">
        <f>IF(_xlfn.XLOOKUP($B39,rf1_data!$B:$B,rf1_data!AO:AO,"NaN")="","NaN",(_xlfn.XLOOKUP($B39,rf1_data!$B:$B,rf1_data!AO:AO,"NaN")))</f>
        <v>1.17</v>
      </c>
      <c r="AX39" s="5">
        <f>IF(_xlfn.XLOOKUP($B39,rf1_data!$B:$B,rf1_data!AP:AP,"NaN")="","NaN",(_xlfn.XLOOKUP($B39,rf1_data!$B:$B,rf1_data!AP:AP,"NaN")))</f>
        <v>9999</v>
      </c>
      <c r="AY39" s="5" t="str">
        <f>IF(_xlfn.XLOOKUP($B39,rf1_data!$B:$B,rf1_data!AQ:AQ,"NaN")="","NaN",(_xlfn.XLOOKUP($B39,rf1_data!$B:$B,rf1_data!AQ:AQ,"NaN")))</f>
        <v>NaN</v>
      </c>
      <c r="AZ39" s="5" t="str">
        <f>IF(_xlfn.XLOOKUP($B39,rf1_data!$B:$B,rf1_data!AR:AR,"NaN")="","NaN",(_xlfn.XLOOKUP($B39,rf1_data!$B:$B,rf1_data!AR:AR,"NaN")))</f>
        <v>NaN</v>
      </c>
      <c r="BA39" s="5" t="str">
        <f>IF(_xlfn.XLOOKUP($B39,rf1_data!$B:$B,rf1_data!AS:AS,"NaN")="","NaN",(_xlfn.XLOOKUP($B39,rf1_data!$B:$B,rf1_data!AS:AS,"NaN")))</f>
        <v>NaN</v>
      </c>
      <c r="BB39" s="5" t="str">
        <f>IF(_xlfn.XLOOKUP($B39,rf1_data!$B:$B,rf1_data!AT:AT,"NaN")="","NaN",(_xlfn.XLOOKUP($B39,rf1_data!$B:$B,rf1_data!AT:AT,"NaN")))</f>
        <v>NaN</v>
      </c>
      <c r="BC39" s="5" t="str">
        <f>IF(_xlfn.XLOOKUP($B39,rf1_data!$B:$B,rf1_data!AU:AU,"NaN")="","NaN",(_xlfn.XLOOKUP($B39,rf1_data!$B:$B,rf1_data!AU:AU,"NaN")))</f>
        <v>NaN</v>
      </c>
      <c r="BD39" s="5" t="str">
        <f>IF(_xlfn.XLOOKUP($B39,rf1_data!$B:$B,rf1_data!AV:AV,"NaN")="","NaN",(_xlfn.XLOOKUP($B39,rf1_data!$B:$B,rf1_data!AV:AV,"NaN")))</f>
        <v>NaN</v>
      </c>
      <c r="BE39" s="5" t="str">
        <f>IF(_xlfn.XLOOKUP($B39,rf1_data!$B:$B,rf1_data!AW:AW,"NaN")="","NaN",(_xlfn.XLOOKUP($B39,rf1_data!$B:$B,rf1_data!AW:AW,"NaN")))</f>
        <v>NaN</v>
      </c>
      <c r="BF39" s="5" t="str">
        <f>IF(_xlfn.XLOOKUP($B39,rf1_data!$B:$B,rf1_data!AX:AX,"NaN")="","NaN",(_xlfn.XLOOKUP($B39,rf1_data!$B:$B,rf1_data!AX:AX,"NaN")))</f>
        <v>NaN</v>
      </c>
      <c r="BG39" s="5" t="str">
        <f>IF(_xlfn.XLOOKUP($B39,rf1_data!$B:$B,rf1_data!AY:AY,"NaN")="","NaN",(_xlfn.XLOOKUP($B39,rf1_data!$B:$B,rf1_data!AY:AY,"NaN")))</f>
        <v>NaN</v>
      </c>
      <c r="BH39" s="5" t="str">
        <f>IF(_xlfn.XLOOKUP($B39,rf1_data!$B:$B,rf1_data!AZ:AZ,"NaN")="","NaN",(_xlfn.XLOOKUP($B39,rf1_data!$B:$B,rf1_data!AZ:AZ,"NaN")))</f>
        <v>NaN</v>
      </c>
      <c r="BI39" s="5">
        <f>IF(_xlfn.XLOOKUP($B39,rf1_data!$B:$B,rf1_data!BA:BA,"NaN")="","NaN",(_xlfn.XLOOKUP($B39,rf1_data!$B:$B,rf1_data!BA:BA,"NaN")))</f>
        <v>20</v>
      </c>
      <c r="BJ39" s="5" t="str">
        <f>IF(_xlfn.XLOOKUP($B39,rf1_data!$B:$B,rf1_data!BB:BB,"NaN")="","NaN",(_xlfn.XLOOKUP($B39,rf1_data!$B:$B,rf1_data!BB:BB,"NaN")))</f>
        <v>NaN</v>
      </c>
      <c r="BK39" s="5" t="str">
        <f>IF(_xlfn.XLOOKUP($B39,rf1_data!$B:$B,rf1_data!BC:BC,"NaN")="","NaN",(_xlfn.XLOOKUP($B39,rf1_data!$B:$B,rf1_data!BC:BC,"NaN")))</f>
        <v>NaN</v>
      </c>
      <c r="BL39" s="5" t="str">
        <f>IF(_xlfn.XLOOKUP($B39,rf1_data!$B:$B,rf1_data!BD:BD,"NaN")="","NaN",(_xlfn.XLOOKUP($B39,rf1_data!$B:$B,rf1_data!BD:BD,"NaN")))</f>
        <v>NaN</v>
      </c>
      <c r="BM39" s="5" t="str">
        <f>IF(_xlfn.XLOOKUP($B39,rf1_data!$B:$B,rf1_data!BE:BE,"NaN")="","NaN",(_xlfn.XLOOKUP($B39,rf1_data!$B:$B,rf1_data!BE:BE,"NaN")))</f>
        <v>NaN</v>
      </c>
      <c r="BN39" s="5" t="str">
        <f>IF(_xlfn.XLOOKUP($B39,rf1_data!$B:$B,rf1_data!BF:BF,"NaN")="","NaN",(_xlfn.XLOOKUP($B39,rf1_data!$B:$B,rf1_data!BF:BF,"NaN")))</f>
        <v>NaN</v>
      </c>
      <c r="BO39" s="5" t="str">
        <f>IF(_xlfn.XLOOKUP($B39,rf1_data!$B:$B,rf1_data!BG:BG,"NaN")="","NaN",(_xlfn.XLOOKUP($B39,rf1_data!$B:$B,rf1_data!BG:BG,"NaN")))</f>
        <v>NaN</v>
      </c>
      <c r="BP39" s="5" t="str">
        <f>IF(_xlfn.XLOOKUP($B39,rf1_data!$B:$B,rf1_data!BH:BH,"NaN")="","NaN",(_xlfn.XLOOKUP($B39,rf1_data!$B:$B,rf1_data!BH:BH,"NaN")))</f>
        <v>NaN</v>
      </c>
      <c r="BQ39" s="5" t="str">
        <f>IF(_xlfn.XLOOKUP($B39,rf1_data!$B:$B,rf1_data!BI:BI,"NaN")="","NaN",(_xlfn.XLOOKUP($B39,rf1_data!$B:$B,rf1_data!BI:BI,"NaN")))</f>
        <v>NaN</v>
      </c>
      <c r="BR39" s="5">
        <f>IF(_xlfn.XLOOKUP($B39,rf1_data!$B:$B,rf1_data!BJ:BJ,"NaN")="","NaN",(_xlfn.XLOOKUP($B39,rf1_data!$B:$B,rf1_data!BJ:BJ,"NaN")))</f>
        <v>8991</v>
      </c>
      <c r="BS39" s="5" t="str">
        <f>IF(_xlfn.XLOOKUP($B39,rf1_data!$B:$B,rf1_data!BK:BK,"NaN")="","NaN",(_xlfn.XLOOKUP($B39,rf1_data!$B:$B,rf1_data!BK:BK,"NaN")))</f>
        <v>NaN</v>
      </c>
      <c r="BT39" s="5" t="str">
        <f>IF(_xlfn.XLOOKUP($B39,rf1_data!$B:$B,rf1_data!BL:BL,"NaN")="","NaN",(_xlfn.XLOOKUP($B39,rf1_data!$B:$B,rf1_data!BL:BL,"NaN")))</f>
        <v>NaN</v>
      </c>
      <c r="BU39" s="5" t="str">
        <f>IF(_xlfn.XLOOKUP($B39,rf1_data!$B:$B,rf1_data!BM:BM,"NaN")="","NaN",(_xlfn.XLOOKUP($B39,rf1_data!$B:$B,rf1_data!BM:BM,"NaN")))</f>
        <v>NaN</v>
      </c>
      <c r="BV39" s="5" t="str">
        <f>IF(_xlfn.XLOOKUP($B39,rf1_data!$B:$B,rf1_data!BN:BN,"NaN")="","NaN",(_xlfn.XLOOKUP($B39,rf1_data!$B:$B,rf1_data!BN:BN,"NaN")))</f>
        <v>NaN</v>
      </c>
      <c r="BW39" s="5">
        <f>IF(_xlfn.XLOOKUP($B39,rf1_data!$B:$B,rf1_data!BO:BO,"NaN")="","NaN",(_xlfn.XLOOKUP($B39,rf1_data!$B:$B,rf1_data!BO:BO,"NaN")))</f>
        <v>3.7</v>
      </c>
      <c r="BX39" s="5">
        <f>IF(_xlfn.XLOOKUP($B39,rf1_data!$B:$B,rf1_data!BP:BP,"NaN")="","NaN",(_xlfn.XLOOKUP($B39,rf1_data!$B:$B,rf1_data!BP:BP,"NaN")))</f>
        <v>3</v>
      </c>
      <c r="BY39" s="5">
        <f>IF(_xlfn.XLOOKUP($B39,rf1_data!$B:$B,rf1_data!BQ:BQ,"NaN")="","NaN",(_xlfn.XLOOKUP($B39,rf1_data!$B:$B,rf1_data!BQ:BQ,"NaN")))</f>
        <v>3.7</v>
      </c>
      <c r="BZ39" s="5">
        <f>IF(_xlfn.XLOOKUP($B39,rf1_data!$B:$B,rf1_data!BR:BR,"NaN")="","NaN",(_xlfn.XLOOKUP($B39,rf1_data!$B:$B,rf1_data!BR:BR,"NaN")))</f>
        <v>3.47</v>
      </c>
      <c r="CA39" s="5">
        <f>IF(_xlfn.XLOOKUP($B39,rf1_data!$B:$B,rf1_data!BS:BS,"NaN")="","NaN",(_xlfn.XLOOKUP($B39,rf1_data!$B:$B,rf1_data!BS:BS,"NaN")))</f>
        <v>6</v>
      </c>
      <c r="CB39" s="5">
        <f>IF(_xlfn.XLOOKUP($B39,rf1_data!$B:$B,rf1_data!BT:BT,"NaN")="","NaN",(_xlfn.XLOOKUP($B39,rf1_data!$B:$B,rf1_data!BT:BT,"NaN")))</f>
        <v>5.1666666666666599</v>
      </c>
      <c r="CC39" s="5">
        <f>IF(_xlfn.XLOOKUP($B39,rf1_data!$B:$B,rf1_data!BU:BU,"NaN")="","NaN",(_xlfn.XLOOKUP($B39,rf1_data!$B:$B,rf1_data!BU:BU,"NaN")))</f>
        <v>6</v>
      </c>
      <c r="CD39" s="5">
        <f>IF(_xlfn.XLOOKUP($B39,rf1_data!$B:$B,rf1_data!BV:BV,"NaN")="","NaN",(_xlfn.XLOOKUP($B39,rf1_data!$B:$B,rf1_data!BV:BV,"NaN")))</f>
        <v>4.3333333333333304</v>
      </c>
      <c r="CE39" s="5">
        <f>IF(_xlfn.XLOOKUP($B39,rf1_data!$B:$B,rf1_data!BW:BW,"NaN")="","NaN",(_xlfn.XLOOKUP($B39,rf1_data!$B:$B,rf1_data!BW:BW,"NaN")))</f>
        <v>2.15</v>
      </c>
      <c r="CF39" s="5">
        <f>IF(_xlfn.XLOOKUP($B39,rf1_data!$B:$B,rf1_data!BX:BX,"NaN")="","NaN",(_xlfn.XLOOKUP($B39,rf1_data!$B:$B,rf1_data!BX:BX,"NaN")))</f>
        <v>0</v>
      </c>
      <c r="CG39" s="5">
        <f>IF(_xlfn.XLOOKUP($B39,rf1_data!$B:$B,rf1_data!BY:BY,"NaN")="","NaN",(_xlfn.XLOOKUP($B39,rf1_data!$B:$B,rf1_data!BY:BY,"NaN")))</f>
        <v>0</v>
      </c>
      <c r="CH39" s="5">
        <f>IF(_xlfn.XLOOKUP($B39,rf1_data!$B:$B,rf1_data!BZ:BZ,"NaN")="","NaN",(_xlfn.XLOOKUP($B39,rf1_data!$B:$B,rf1_data!BZ:BZ,"NaN")))</f>
        <v>0</v>
      </c>
      <c r="CI39" s="5" t="str">
        <f>IF(_xlfn.XLOOKUP($B39,rf1_data!$B:$B,rf1_data!CA:CA,"NaN")="","NaN",(_xlfn.XLOOKUP($B39,rf1_data!$B:$B,rf1_data!CA:CA,"NaN")))</f>
        <v>NaN</v>
      </c>
      <c r="CJ39" s="5" t="str">
        <f>IF(_xlfn.XLOOKUP($B39,rf1_data!$B:$B,rf1_data!CB:CB,"NaN")="","NaN",(_xlfn.XLOOKUP($B39,rf1_data!$B:$B,rf1_data!CB:CB,"NaN")))</f>
        <v>NaN</v>
      </c>
      <c r="CK39" s="5" t="str">
        <f>IF(_xlfn.XLOOKUP($B39,rf1_data!$B:$B,rf1_data!CC:CC,"NaN")="","NaN",(_xlfn.XLOOKUP($B39,rf1_data!$B:$B,rf1_data!CC:CC,"NaN")))</f>
        <v>NaN</v>
      </c>
      <c r="CL39" s="5" t="str">
        <f>IF(_xlfn.XLOOKUP($B39,rf1_data!$B:$B,rf1_data!CD:CD,"NaN")=0,"NaN",(_xlfn.XLOOKUP($B39,rf1_data!$B:$B,rf1_data!CD:CD,"NaN")))</f>
        <v>NaN</v>
      </c>
      <c r="CM39" s="5" t="str">
        <f>IF(_xlfn.XLOOKUP($B39,rf1_data!$B:$B,rf1_data!CE:CE,"NaN")="","NaN",(_xlfn.XLOOKUP($B39,rf1_data!$B:$B,rf1_data!CE:CE,"NaN")))</f>
        <v>NaN</v>
      </c>
      <c r="CN39" s="5" t="str">
        <f>IF(_xlfn.XLOOKUP($B39,rf1_data!$B:$B,rf1_data!CF:CF,"NaN")="","NaN",(_xlfn.XLOOKUP($B39,rf1_data!$B:$B,rf1_data!CF:CF,"NaN")))</f>
        <v>NaN</v>
      </c>
      <c r="CO39" s="5" t="str">
        <f>IF(_xlfn.XLOOKUP($B39,rf1_data!$B:$B,rf1_data!CG:CG,"NaN")="","NaN",(_xlfn.XLOOKUP($B39,rf1_data!$B:$B,rf1_data!CG:CG,"NaN")))</f>
        <v>NaN</v>
      </c>
      <c r="CP39" s="5">
        <f>IF(_xlfn.XLOOKUP($B39,rf1_data!$B:$B,rf1_data!CH:CH,"NaN")=0,"NaN",(_xlfn.XLOOKUP($B39,rf1_data!$B:$B,rf1_data!CH:CH,"NaN")))</f>
        <v>30</v>
      </c>
      <c r="CQ39" s="5" t="str">
        <f>IF(_xlfn.XLOOKUP($B39,rf1_data!$B:$B,rf1_data!CI:CI,"NaN")="","NaN",(_xlfn.XLOOKUP($B39,rf1_data!$B:$B,rf1_data!CI:CI,"NaN")))</f>
        <v>NaN</v>
      </c>
      <c r="CR39" s="5" t="str">
        <f>IF(_xlfn.XLOOKUP($B39,rf1_data!$B:$B,rf1_data!CJ:CJ,"NaN")="","NaN",(_xlfn.XLOOKUP($B39,rf1_data!$B:$B,rf1_data!CJ:CJ,"NaN")))</f>
        <v>NaN</v>
      </c>
      <c r="CS39" s="5" t="str">
        <f>IF(_xlfn.XLOOKUP($B39,rf1_data!$B:$B,rf1_data!CK:CK,"NaN")="","NaN",(_xlfn.XLOOKUP($B39,rf1_data!$B:$B,rf1_data!CK:CK,"NaN")))</f>
        <v>NaN</v>
      </c>
      <c r="CT39" s="5" t="str">
        <f>IF(_xlfn.XLOOKUP($B39,rf1_data!$B:$B,rf1_data!CL:CL,"NaN")="","NaN",(_xlfn.XLOOKUP($B39,rf1_data!$B:$B,rf1_data!CL:CL,"NaN")))</f>
        <v>NaN</v>
      </c>
      <c r="CU39" s="5" t="str">
        <f>IF(_xlfn.XLOOKUP($B39,rf1_data!$B:$B,rf1_data!CM:CM,"NaN")="","NaN",(_xlfn.XLOOKUP($B39,rf1_data!$B:$B,rf1_data!CM:CM,"NaN")))</f>
        <v>NaN</v>
      </c>
      <c r="CV39" s="5" t="str">
        <f>IF(_xlfn.XLOOKUP($B39,rf1_data!$B:$B,rf1_data!CN:CN,"NaN")="","NaN",(_xlfn.XLOOKUP($B39,rf1_data!$B:$B,rf1_data!CN:CN,"NaN")))</f>
        <v>NaN</v>
      </c>
      <c r="CW39" s="5">
        <f>IF(_xlfn.XLOOKUP($B39,rf1_data!$B:$B,rf1_data!CO:CO,"NaN")="","NaN",(_xlfn.XLOOKUP($B39,rf1_data!$B:$B,rf1_data!CO:CO,"NaN")))</f>
        <v>2</v>
      </c>
      <c r="CX39" s="5">
        <f>IF(_xlfn.XLOOKUP($B39,rf1_data!$B:$B,rf1_data!CP:CP,"NaN")="","NaN",(_xlfn.XLOOKUP($B39,rf1_data!$B:$B,rf1_data!CP:CP,"NaN")))</f>
        <v>2</v>
      </c>
      <c r="CY39" s="5">
        <f>IF(_xlfn.XLOOKUP($B39,rf1_data!$B:$B,rf1_data!CQ:CQ,"NaN")="","NaN",(_xlfn.XLOOKUP($B39,rf1_data!$B:$B,rf1_data!CQ:CQ,"NaN")))</f>
        <v>3</v>
      </c>
      <c r="CZ39" s="5">
        <f>IF(_xlfn.XLOOKUP($B39,rf1_data!$B:$B,rf1_data!CR:CR,"NaN")="","NaN",(_xlfn.XLOOKUP($B39,rf1_data!$B:$B,rf1_data!CR:CR,"NaN")))</f>
        <v>1</v>
      </c>
      <c r="DA39" s="5">
        <f>IF(_xlfn.XLOOKUP($B39,rf1_data!$B:$B,rf1_data!CS:CS,"NaN")="","NaN",(_xlfn.XLOOKUP($B39,rf1_data!$B:$B,rf1_data!CS:CS,"NaN")))</f>
        <v>1</v>
      </c>
      <c r="DB39" s="4">
        <f>IF(_xlfn.XLOOKUP($B39,island_data!$B:$B,island_data!H:H,"NaN")="","NaN",_xlfn.XLOOKUP($B39,island_data!$B:$B,island_data!H:H,"NaN"))</f>
        <v>6</v>
      </c>
      <c r="DC39" s="4">
        <f>IF(_xlfn.XLOOKUP($B39,island_data!$B:$B,island_data!I:I,"NaN")="","NaN",_xlfn.XLOOKUP($B39,island_data!$B:$B,island_data!I:I,"NaN"))</f>
        <v>0</v>
      </c>
      <c r="DD39" s="4">
        <f>IF(_xlfn.XLOOKUP($B39,island_data!$B:$B,island_data!J:J,"NaN")="","NaN",_xlfn.XLOOKUP($B39,island_data!$B:$B,island_data!J:J,"NaN"))</f>
        <v>6</v>
      </c>
      <c r="DE39" s="4">
        <f>IF(_xlfn.XLOOKUP($B39,island_data!$B:$B,island_data!K:K,"NaN")="","NaN",_xlfn.XLOOKUP($B39,island_data!$B:$B,island_data!K:K,"NaN"))</f>
        <v>11</v>
      </c>
      <c r="DF39" s="4">
        <f>IF(_xlfn.XLOOKUP($B39,island_data!$B:$B,island_data!L:L,"NaN")="","NaN",_xlfn.XLOOKUP($B39,island_data!$B:$B,island_data!L:L,"NaN"))</f>
        <v>0</v>
      </c>
      <c r="DG39" s="4">
        <f>IF(_xlfn.XLOOKUP($B39,island_data!$B:$B,island_data!M:M,"NaN")="","NaN",_xlfn.XLOOKUP($B39,island_data!$B:$B,island_data!M:M,"NaN"))</f>
        <v>4</v>
      </c>
      <c r="DH39" s="4">
        <f>IF(_xlfn.XLOOKUP($B39,island_data!$B:$B,island_data!N:N,"NaN")="","NaN",_xlfn.XLOOKUP($B39,island_data!$B:$B,island_data!N:N,"NaN"))</f>
        <v>12</v>
      </c>
      <c r="DI39" s="4">
        <f>IF(_xlfn.XLOOKUP($B39,island_data!$B:$B,island_data!O:O,"NaN")=999,"NaN",_xlfn.XLOOKUP($B39,island_data!$B:$B,island_data!O:O,"NaN"))</f>
        <v>12</v>
      </c>
      <c r="DJ39" s="4">
        <f>IF(_xlfn.XLOOKUP($B39,island_data!$B:$B,island_data!P:P,"NaN")="","NaN",_xlfn.XLOOKUP($B39,island_data!$B:$B,island_data!P:P,"NaN"))</f>
        <v>8</v>
      </c>
      <c r="DK39" s="4">
        <f>IF(_xlfn.XLOOKUP($B39,island_data!$B:$B,island_data!Q:Q,"NaN")="","NaN",_xlfn.XLOOKUP($B39,island_data!$B:$B,island_data!Q:Q,"NaN"))</f>
        <v>4</v>
      </c>
      <c r="DL39" s="4">
        <f>IF(_xlfn.XLOOKUP($B39,island_data!$B:$B,island_data!R:R,"NaN")=999,"NaN",_xlfn.XLOOKUP($B39,island_data!$B:$B,island_data!R:R,"NaN"))</f>
        <v>16</v>
      </c>
      <c r="DM39" s="4">
        <f>IF(_xlfn.XLOOKUP($B39,island_data!$B:$B,island_data!S:S,"NaN")="","NaN",_xlfn.XLOOKUP($B39,island_data!$B:$B,island_data!S:S,"NaN"))</f>
        <v>12</v>
      </c>
      <c r="DN39" s="4">
        <f>IF(_xlfn.XLOOKUP($B39,island_data!$B:$B,island_data!T:T,"NaN")="","NaN",_xlfn.XLOOKUP($B39,island_data!$B:$B,island_data!T:T,"NaN"))</f>
        <v>2.75</v>
      </c>
      <c r="DO39" s="4">
        <f>IF(_xlfn.XLOOKUP($B39,island_data!$B:$B,island_data!U:U,"NaN")="","NaN",_xlfn.XLOOKUP($B39,island_data!$B:$B,island_data!U:U,"NaN"))</f>
        <v>3</v>
      </c>
      <c r="DP39" s="4">
        <f>IF(_xlfn.XLOOKUP($B39,island_data!$B:$B,island_data!V:V,"NaN")="","NaN",_xlfn.XLOOKUP($B39,island_data!$B:$B,island_data!V:V,"NaN"))</f>
        <v>0</v>
      </c>
      <c r="DQ39" s="4">
        <f>IF(_xlfn.XLOOKUP($B39,island_data!$B:$B,island_data!W:W,"NaN")="","NaN",_xlfn.XLOOKUP($B39,island_data!$B:$B,island_data!W:W,"NaN"))</f>
        <v>3</v>
      </c>
      <c r="DR39" s="4">
        <f>IF(_xlfn.XLOOKUP($B39,island_data!$B:$B,island_data!X:X,"NaN")="","NaN",_xlfn.XLOOKUP($B39,island_data!$B:$B,island_data!X:X,"NaN"))</f>
        <v>3</v>
      </c>
      <c r="DS39" s="4" t="str">
        <f>IF(_xlfn.XLOOKUP($B39,island_data!$B:$B,island_data!Y:Y,"NaN")="","NaN",_xlfn.XLOOKUP($B39,island_data!$B:$B,island_data!Y:Y,"NaN"))</f>
        <v>NaN</v>
      </c>
      <c r="DT39" s="4" t="str">
        <f>IF(_xlfn.XLOOKUP($B39,island_data!$B:$B,island_data!Z:Z,"NaN")="","NaN",_xlfn.XLOOKUP($B39,island_data!$B:$B,island_data!Z:Z,"NaN"))</f>
        <v>NaN</v>
      </c>
      <c r="DU39" s="4" t="str">
        <f>IF(_xlfn.XLOOKUP($B39,island_data!$B:$B,island_data!AA:AA,"NaN")="","NaN",_xlfn.XLOOKUP($B39,island_data!$B:$B,island_data!AA:AA,"NaN"))</f>
        <v>NaN</v>
      </c>
      <c r="DV39" s="4">
        <f>IF(_xlfn.XLOOKUP($B39,island_data!$B:$B,island_data!AB:AB,"NaN")="","NaN",_xlfn.XLOOKUP($B39,island_data!$B:$B,island_data!AB:AB,"NaN"))</f>
        <v>3</v>
      </c>
      <c r="DW39" s="4">
        <f>IF(_xlfn.XLOOKUP($B39,island_data!$B:$B,island_data!AC:AC,"NaN")="","NaN",_xlfn.XLOOKUP($B39,island_data!$B:$B,island_data!AC:AC,"NaN"))</f>
        <v>19140</v>
      </c>
      <c r="DX39" s="4">
        <f>IF(_xlfn.XLOOKUP($B39,island_data!$B:$B,island_data!AD:AD,"NaN")="","NaN",_xlfn.XLOOKUP($B39,island_data!$B:$B,island_data!AD:AD,"NaN"))</f>
        <v>3</v>
      </c>
      <c r="DY39" s="4">
        <f>IF(_xlfn.XLOOKUP($B39,island_data!$B:$B,island_data!AE:AE,"NaN")="","NaN",_xlfn.XLOOKUP($B39,island_data!$B:$B,island_data!AE:AE,"NaN"))</f>
        <v>1</v>
      </c>
      <c r="DZ39" s="4" t="str">
        <f>IF(_xlfn.XLOOKUP($B39,island_data!$B:$B,island_data!AF:AF,"NaN")="","NaN",_xlfn.XLOOKUP($B39,island_data!$B:$B,island_data!AF:AF,"NaN"))</f>
        <v>NaN</v>
      </c>
      <c r="EA39" s="4" t="str">
        <f>IF(_xlfn.XLOOKUP($B39,island_data!$B:$B,island_data!AG:AG,"NaN")="","NaN",_xlfn.XLOOKUP($B39,island_data!$B:$B,island_data!AG:AG,"NaN"))</f>
        <v>NaN</v>
      </c>
      <c r="EB39" s="4" t="str">
        <f>IF(_xlfn.XLOOKUP($B39,island_data!$B:$B,island_data!AH:AH,"NaN")="","NaN",_xlfn.XLOOKUP($B39,island_data!$B:$B,island_data!AH:AH,"NaN"))</f>
        <v>NaN</v>
      </c>
      <c r="EC39" s="4" t="str">
        <f>IF(_xlfn.XLOOKUP($B39,island_data!$B:$B,island_data!AI:AI,"NaN")="","NaN",_xlfn.XLOOKUP($B39,island_data!$B:$B,island_data!AI:AI,"NaN"))</f>
        <v>NaN</v>
      </c>
      <c r="ED39" s="4" t="str">
        <f>IF(_xlfn.XLOOKUP($B39,island_data!$B:$B,island_data!AJ:AJ,"NaN")="","NaN",_xlfn.XLOOKUP($B39,island_data!$B:$B,island_data!AJ:AJ,"NaN"))</f>
        <v>NaN</v>
      </c>
      <c r="EE39" s="4" t="str">
        <f>IF(_xlfn.XLOOKUP($B39,island_data!$B:$B,island_data!AK:AK,"NaN")="","NaN",_xlfn.XLOOKUP($B39,island_data!$B:$B,island_data!AK:AK,"NaN"))</f>
        <v>NaN</v>
      </c>
      <c r="EF39" s="4" t="str">
        <f>IF(_xlfn.XLOOKUP($B39,island_data!$B:$B,island_data!AL:AL,"NaN")="","NaN",_xlfn.XLOOKUP($B39,island_data!$B:$B,island_data!AL:AL,"NaN"))</f>
        <v>NaN</v>
      </c>
      <c r="EG39" s="4" t="str">
        <f>IF(_xlfn.XLOOKUP($B39,island_data!$B:$B,island_data!AM:AM,"NaN")="","NaN",_xlfn.XLOOKUP($B39,island_data!$B:$B,island_data!AM:AM,"NaN"))</f>
        <v>NaN</v>
      </c>
      <c r="EH39" s="4" t="str">
        <f>IF(_xlfn.XLOOKUP($B39,island_data!$B:$B,island_data!AN:AN,"NaN")="","NaN",_xlfn.XLOOKUP($B39,island_data!$B:$B,island_data!AN:AN,"NaN"))</f>
        <v>NaN</v>
      </c>
      <c r="EI39" s="4" t="str">
        <f>IF(_xlfn.XLOOKUP($B39,island_data!$B:$B,island_data!AO:AO,"NaN")="","NaN",_xlfn.XLOOKUP($B39,island_data!$B:$B,island_data!AO:AO,"NaN"))</f>
        <v>NaN</v>
      </c>
      <c r="EJ39" s="8" t="str">
        <f>IF(_xlfn.XLOOKUP($A39,TabCAT!$A:$A,TabCAT!AU:AU,"NaN")="","NaN",(_xlfn.XLOOKUP($A39,TabCAT!$A:$A,TabCAT!AU:AU,"NaN")))</f>
        <v>NaN</v>
      </c>
      <c r="EK39" s="8" t="str">
        <f>IF(_xlfn.XLOOKUP($A39,TabCAT!$A:$A,TabCAT!AV:AV,"NaN")="","NaN",(_xlfn.XLOOKUP($A39,TabCAT!$A:$A,TabCAT!AV:AV,"NaN")))</f>
        <v>NaN</v>
      </c>
      <c r="EL39" s="8" t="str">
        <f>IF(_xlfn.XLOOKUP($A39,TabCAT!$A:$A,TabCAT!AW:AW,"NaN")="","NaN",(_xlfn.XLOOKUP($A39,TabCAT!$A:$A,TabCAT!AW:AW,"NaN")))</f>
        <v>NaN</v>
      </c>
      <c r="EM39" s="8" t="str">
        <f>IF(_xlfn.XLOOKUP($A39,TabCAT!$A:$A,TabCAT!AX:AX,"NaN")="","NaN",(_xlfn.XLOOKUP($A39,TabCAT!$A:$A,TabCAT!AX:AX,"NaN")))</f>
        <v>NaN</v>
      </c>
      <c r="EN39" s="8" t="str">
        <f>IF(_xlfn.XLOOKUP($A39,TabCAT!$A:$A,TabCAT!AY:AY,"NaN")="","NaN",(_xlfn.XLOOKUP($A39,TabCAT!$A:$A,TabCAT!AY:AY,"NaN")))</f>
        <v>NaN</v>
      </c>
      <c r="EO39" s="8" t="str">
        <f>IF(_xlfn.XLOOKUP($A39,TabCAT!$A:$A,TabCAT!AZ:AZ,"NaN")="","NaN",(_xlfn.XLOOKUP($A39,TabCAT!$A:$A,TabCAT!AZ:AZ,"NaN")))</f>
        <v>NaN</v>
      </c>
      <c r="EP39" s="8" t="str">
        <f>IF(_xlfn.XLOOKUP($A39,TabCAT!$A:$A,TabCAT!BA:BA,"NaN")="","NaN",(_xlfn.XLOOKUP($A39,TabCAT!$A:$A,TabCAT!BA:BA,"NaN")))</f>
        <v>NaN</v>
      </c>
      <c r="EQ39" s="8" t="str">
        <f>IF(_xlfn.XLOOKUP($A39,TabCAT!$A:$A,TabCAT!BB:BB,"NaN")="","NaN",(_xlfn.XLOOKUP($A39,TabCAT!$A:$A,TabCAT!BB:BB,"NaN")))</f>
        <v>NaN</v>
      </c>
      <c r="ER39" s="8" t="str">
        <f>IF(_xlfn.XLOOKUP($A39,TabCAT!$A:$A,TabCAT!BC:BC,"NaN")="","NaN",(_xlfn.XLOOKUP($A39,TabCAT!$A:$A,TabCAT!BC:BC,"NaN")))</f>
        <v>NaN</v>
      </c>
      <c r="ES39" s="8" t="str">
        <f>IF(_xlfn.XLOOKUP($A39,TabCAT!$A:$A,TabCAT!BD:BD,"NaN")="","NaN",(_xlfn.XLOOKUP($A39,TabCAT!$A:$A,TabCAT!BD:BD,"NaN")))</f>
        <v>NaN</v>
      </c>
      <c r="ET39" s="8" t="str">
        <f>IF(_xlfn.XLOOKUP($A39,TabCAT!$A:$A,TabCAT!BE:BE,"NaN")="","NaN",(_xlfn.XLOOKUP($A39,TabCAT!$A:$A,TabCAT!BE:BE,"NaN")))</f>
        <v>NaN</v>
      </c>
      <c r="EU39" s="8" t="str">
        <f>IF(_xlfn.XLOOKUP($A39,TabCAT!$A:$A,TabCAT!BF:BF,"NaN")="","NaN",(_xlfn.XLOOKUP($A39,TabCAT!$A:$A,TabCAT!BF:BF,"NaN")))</f>
        <v>NaN</v>
      </c>
      <c r="EV39" s="8" t="str">
        <f>IF(_xlfn.XLOOKUP($A39,TabCAT!$A:$A,TabCAT!BG:BG,"NaN")="","NaN",(_xlfn.XLOOKUP($A39,TabCAT!$A:$A,TabCAT!BG:BG,"NaN")))</f>
        <v>NaN</v>
      </c>
      <c r="EW39" s="8" t="str">
        <f>IF(_xlfn.XLOOKUP($A39,TabCAT!$A:$A,TabCAT!BH:BH,"NaN")="","NaN",(_xlfn.XLOOKUP($A39,TabCAT!$A:$A,TabCAT!BH:BH,"NaN")))</f>
        <v>NaN</v>
      </c>
      <c r="EX39" s="8" t="str">
        <f>IF(_xlfn.XLOOKUP($A39,TabCAT!$A:$A,TabCAT!BI:BI,"NaN")="","NaN",(_xlfn.XLOOKUP($A39,TabCAT!$A:$A,TabCAT!BI:BI,"NaN")))</f>
        <v>NaN</v>
      </c>
      <c r="EY39" s="8" t="str">
        <f>IF(_xlfn.XLOOKUP($A39,TabCAT!$A:$A,TabCAT!BJ:BJ,"NaN")="","NaN",(_xlfn.XLOOKUP($A39,TabCAT!$A:$A,TabCAT!BJ:BJ,"NaN")))</f>
        <v>NaN</v>
      </c>
      <c r="EZ39" s="8" t="str">
        <f>IF(_xlfn.XLOOKUP($A39,TabCAT!$A:$A,TabCAT!BK:BK,"NaN")="","NaN",(_xlfn.XLOOKUP($A39,TabCAT!$A:$A,TabCAT!BK:BK,"NaN")))</f>
        <v>NaN</v>
      </c>
      <c r="FA39" s="8" t="str">
        <f>IF(_xlfn.XLOOKUP($A39,TabCAT!$A:$A,TabCAT!BL:BL,"NaN")="","NaN",(_xlfn.XLOOKUP($A39,TabCAT!$A:$A,TabCAT!BL:BL,"NaN")))</f>
        <v>NaN</v>
      </c>
      <c r="FB39" s="8" t="str">
        <f>IF(_xlfn.XLOOKUP($A39,TabCAT!$A:$A,TabCAT!BM:BM,"NaN")="","NaN",(_xlfn.XLOOKUP($A39,TabCAT!$A:$A,TabCAT!BM:BM,"NaN")))</f>
        <v>NaN</v>
      </c>
      <c r="FC39" s="8" t="str">
        <f>IF(_xlfn.XLOOKUP($A39,TabCAT!$A:$A,TabCAT!BN:BN,"NaN")="","NaN",(_xlfn.XLOOKUP($A39,TabCAT!$A:$A,TabCAT!BN:BN,"NaN")))</f>
        <v>NaN</v>
      </c>
      <c r="FD39" s="8" t="str">
        <f>IF(_xlfn.XLOOKUP($A39,TabCAT!$A:$A,TabCAT!BO:BO,"NaN")="","NaN",(_xlfn.XLOOKUP($A39,TabCAT!$A:$A,TabCAT!BO:BO,"NaN")))</f>
        <v>NaN</v>
      </c>
      <c r="FE39" s="8" t="str">
        <f>IF(_xlfn.XLOOKUP($A39,TabCAT!$A:$A,TabCAT!BP:BP,"NaN")="","NaN",(_xlfn.XLOOKUP($A39,TabCAT!$A:$A,TabCAT!BP:BP,"NaN")))</f>
        <v>NaN</v>
      </c>
      <c r="FF39" s="8" t="str">
        <f>IF(_xlfn.XLOOKUP($A39,TabCAT!$A:$A,TabCAT!BQ:BQ,"NaN")="","NaN",(_xlfn.XLOOKUP($A39,TabCAT!$A:$A,TabCAT!BQ:BQ,"NaN")))</f>
        <v>NaN</v>
      </c>
      <c r="FG39" s="8" t="str">
        <f>IF(_xlfn.XLOOKUP($A39,TabCAT!$A:$A,TabCAT!BR:BR,"NaN")="","NaN",(_xlfn.XLOOKUP($A39,TabCAT!$A:$A,TabCAT!BR:BR,"NaN")))</f>
        <v>NaN</v>
      </c>
      <c r="FH39" s="8" t="str">
        <f>IF(_xlfn.XLOOKUP($A39,TabCAT!$A:$A,TabCAT!BS:BS,"NaN")="","NaN",(_xlfn.XLOOKUP($A39,TabCAT!$A:$A,TabCAT!BS:BS,"NaN")))</f>
        <v>NaN</v>
      </c>
      <c r="FI39" s="8" t="str">
        <f>IF(_xlfn.XLOOKUP($A39,TabCAT!$A:$A,TabCAT!BT:BT,"NaN")="","NaN",(_xlfn.XLOOKUP($A39,TabCAT!$A:$A,TabCAT!BT:BT,"NaN")))</f>
        <v>NaN</v>
      </c>
      <c r="FJ39" s="8" t="str">
        <f>IF(_xlfn.XLOOKUP($A39,TabCAT!$A:$A,TabCAT!BU:BU,"NaN")="","NaN",(_xlfn.XLOOKUP($A39,TabCAT!$A:$A,TabCAT!BU:BU,"NaN")))</f>
        <v>NaN</v>
      </c>
      <c r="FK39" s="8" t="str">
        <f>IF(_xlfn.XLOOKUP($A39,TabCAT!$A:$A,TabCAT!BV:BV,"NaN")="","NaN",(_xlfn.XLOOKUP($A39,TabCAT!$A:$A,TabCAT!BV:BV,"NaN")))</f>
        <v>NaN</v>
      </c>
      <c r="FL39" s="8" t="str">
        <f>IF(_xlfn.XLOOKUP($A39,TabCAT!$A:$A,TabCAT!BW:BW,"NaN")="","NaN",(_xlfn.XLOOKUP($A39,TabCAT!$A:$A,TabCAT!BW:BW,"NaN")))</f>
        <v>NaN</v>
      </c>
      <c r="FM39" s="8" t="str">
        <f>IF(_xlfn.XLOOKUP($A39,TabCAT!$A:$A,TabCAT!BX:BX,"NaN")="","NaN",(_xlfn.XLOOKUP($A39,TabCAT!$A:$A,TabCAT!BX:BX,"NaN")))</f>
        <v>NaN</v>
      </c>
      <c r="FN39" s="8" t="str">
        <f>IF(_xlfn.XLOOKUP($A39,TabCAT!$A:$A,TabCAT!BY:BY,"NaN")="","NaN",(_xlfn.XLOOKUP($A39,TabCAT!$A:$A,TabCAT!BY:BY,"NaN")))</f>
        <v>NaN</v>
      </c>
      <c r="FO39" s="8" t="str">
        <f>IF(_xlfn.XLOOKUP($A39,TabCAT!$A:$A,TabCAT!BZ:BZ,"NaN")="","NaN",(_xlfn.XLOOKUP($A39,TabCAT!$A:$A,TabCAT!BZ:BZ,"NaN")))</f>
        <v>NaN</v>
      </c>
      <c r="FP39" s="8" t="str">
        <f>IF(_xlfn.XLOOKUP($A39,TabCAT!$A:$A,TabCAT!CA:CA,"NaN")="","NaN",(_xlfn.XLOOKUP($A39,TabCAT!$A:$A,TabCAT!CA:CA,"NaN")))</f>
        <v>NaN</v>
      </c>
      <c r="FQ39" s="8" t="str">
        <f>IF(_xlfn.XLOOKUP($A39,TabCAT!$A:$A,TabCAT!CB:CB,"NaN")="","NaN",(_xlfn.XLOOKUP($A39,TabCAT!$A:$A,TabCAT!CB:CB,"NaN")))</f>
        <v>NaN</v>
      </c>
      <c r="FR39" s="8" t="str">
        <f>IF(_xlfn.XLOOKUP($A39,TabCAT!$A:$A,TabCAT!CC:CC,"NaN")="","NaN",(_xlfn.XLOOKUP($A39,TabCAT!$A:$A,TabCAT!CC:CC,"NaN")))</f>
        <v>NaN</v>
      </c>
      <c r="FS39" s="8" t="str">
        <f>IF(_xlfn.XLOOKUP($A39,TabCAT!$A:$A,TabCAT!CD:CD,"NaN")="","NaN",(_xlfn.XLOOKUP($A39,TabCAT!$A:$A,TabCAT!CD:CD,"NaN")))</f>
        <v>NaN</v>
      </c>
      <c r="FT39" s="8" t="str">
        <f>IF(_xlfn.XLOOKUP($A39,TabCAT!$A:$A,TabCAT!CE:CE,"NaN")="","NaN",(_xlfn.XLOOKUP($A39,TabCAT!$A:$A,TabCAT!CE:CE,"NaN")))</f>
        <v>NaN</v>
      </c>
      <c r="FU39" s="8" t="str">
        <f>IF(_xlfn.XLOOKUP($A39,TabCAT!$A:$A,TabCAT!CF:CF,"NaN")="","NaN",(_xlfn.XLOOKUP($A39,TabCAT!$A:$A,TabCAT!CF:CF,"NaN")))</f>
        <v>NaN</v>
      </c>
      <c r="FV39" s="8" t="str">
        <f>IF(_xlfn.XLOOKUP($A39,TabCAT!$A:$A,TabCAT!CG:CG,"NaN")="","NaN",(_xlfn.XLOOKUP($A39,TabCAT!$A:$A,TabCAT!CG:CG,"NaN")))</f>
        <v>NaN</v>
      </c>
      <c r="FW39" s="8" t="str">
        <f>IF(_xlfn.XLOOKUP($A39,TabCAT!$A:$A,TabCAT!CH:CH,"NaN")="","NaN",(_xlfn.XLOOKUP($A39,TabCAT!$A:$A,TabCAT!CH:CH,"NaN")))</f>
        <v>NaN</v>
      </c>
      <c r="FX39" s="8" t="str">
        <f>IF(_xlfn.XLOOKUP($A39,TabCAT!$A:$A,TabCAT!CI:CI,"NaN")="","NaN",(_xlfn.XLOOKUP($A39,TabCAT!$A:$A,TabCAT!CI:CI,"NaN")))</f>
        <v>NaN</v>
      </c>
      <c r="FY39" s="8" t="str">
        <f>IF(_xlfn.XLOOKUP($A39,TabCAT!$A:$A,TabCAT!CJ:CJ,"NaN")="","NaN",(_xlfn.XLOOKUP($A39,TabCAT!$A:$A,TabCAT!CJ:CJ,"NaN")))</f>
        <v>NaN</v>
      </c>
      <c r="FZ39" s="8" t="str">
        <f>IF(_xlfn.XLOOKUP($A39,TabCAT!$A:$A,TabCAT!CK:CK,"NaN")="","NaN",(_xlfn.XLOOKUP($A39,TabCAT!$A:$A,TabCAT!CK:CK,"NaN")))</f>
        <v>NaN</v>
      </c>
      <c r="GA39" s="8" t="str">
        <f>IF(_xlfn.XLOOKUP($A39,TabCAT!$A:$A,TabCAT!CL:CL,"NaN")="","NaN",(_xlfn.XLOOKUP($A39,TabCAT!$A:$A,TabCAT!CL:CL,"NaN")))</f>
        <v>NaN</v>
      </c>
      <c r="GB39" s="8" t="str">
        <f>IF(_xlfn.XLOOKUP($A39,TabCAT!$A:$A,TabCAT!CM:CM,"NaN")="","NaN",(_xlfn.XLOOKUP($A39,TabCAT!$A:$A,TabCAT!CM:CM,"NaN")))</f>
        <v>NaN</v>
      </c>
      <c r="GC39" s="8" t="str">
        <f>IF(_xlfn.XLOOKUP($A39,TabCAT!$A:$A,TabCAT!CN:CN,"NaN")="","NaN",(_xlfn.XLOOKUP($A39,TabCAT!$A:$A,TabCAT!CN:CN,"NaN")))</f>
        <v>NaN</v>
      </c>
      <c r="GD39" s="8" t="str">
        <f>IF(_xlfn.XLOOKUP($A39,TabCAT!$A:$A,TabCAT!CO:CO,"NaN")="","NaN",(_xlfn.XLOOKUP($A39,TabCAT!$A:$A,TabCAT!CO:CO,"NaN")))</f>
        <v>NaN</v>
      </c>
      <c r="GE39" s="8" t="str">
        <f>IF(_xlfn.XLOOKUP($A39,TabCAT!$A:$A,TabCAT!CP:CP,"NaN")="","NaN",(_xlfn.XLOOKUP($A39,TabCAT!$A:$A,TabCAT!CP:CP,"NaN")))</f>
        <v>NaN</v>
      </c>
      <c r="GF39" s="8" t="str">
        <f>IF(_xlfn.XLOOKUP($A39,TabCAT!$A:$A,TabCAT!CQ:CQ,"NaN")="","NaN",(_xlfn.XLOOKUP($A39,TabCAT!$A:$A,TabCAT!CQ:CQ,"NaN")))</f>
        <v>NaN</v>
      </c>
      <c r="GG39" s="8" t="str">
        <f>IF(_xlfn.XLOOKUP($A39,TabCAT!$A:$A,TabCAT!CR:CR,"NaN")="","NaN",(_xlfn.XLOOKUP($A39,TabCAT!$A:$A,TabCAT!CR:CR,"NaN")))</f>
        <v>NaN</v>
      </c>
      <c r="GH39" s="8" t="str">
        <f>IF(_xlfn.XLOOKUP($A39,TabCAT!$A:$A,TabCAT!CS:CS,"NaN")="","NaN",(_xlfn.XLOOKUP($A39,TabCAT!$A:$A,TabCAT!CS:CS,"NaN")))</f>
        <v>NaN</v>
      </c>
    </row>
    <row r="40" spans="1:190" x14ac:dyDescent="0.2">
      <c r="A40">
        <v>10673</v>
      </c>
      <c r="B40">
        <f>_xlfn.XLOOKUP(bippity_poppity_boo!A40,rf1_data!A:A,rf1_data!B:B)</f>
        <v>50274</v>
      </c>
      <c r="C40" s="2">
        <f>(_xlfn.XLOOKUP($A40,trust!$A:$A,trust!B:B,"NaN"))</f>
        <v>3.8333330000000001</v>
      </c>
      <c r="D40" s="2">
        <f>(_xlfn.XLOOKUP($A40,trust!$A:$A,trust!C:C,"NaN"))</f>
        <v>5.4</v>
      </c>
      <c r="E40" s="2">
        <f>(_xlfn.XLOOKUP($A40,trust!$A:$A,trust!D:D,"NaN"))</f>
        <v>4.4000000000000004</v>
      </c>
      <c r="F40" s="2">
        <f>(_xlfn.XLOOKUP($A40,trust!$A:$A,trust!E:E,"NaN"))</f>
        <v>3.714286</v>
      </c>
      <c r="G40" s="2">
        <f>(_xlfn.XLOOKUP($A40,trust!$A:$A,trust!F:F,"NaN"))</f>
        <v>5.8181820000000002</v>
      </c>
      <c r="H40" s="2">
        <f>(_xlfn.XLOOKUP($A40,trust!$A:$A,trust!G:G,"NaN"))</f>
        <v>3.538462</v>
      </c>
      <c r="I40" s="3">
        <f>IF(_xlfn.XLOOKUP($B40,island_data!$B:$B,island_data!C:C,"NaN")="","NaN",_xlfn.XLOOKUP($B40,island_data!$B:$B,island_data!C:C,"NaN"))</f>
        <v>45019</v>
      </c>
      <c r="J40" s="3">
        <f>IF(_xlfn.XLOOKUP($B40,island_data!$B:$B,island_data!D:D,"NaN")="","NaN",_xlfn.XLOOKUP($B40,island_data!$B:$B,island_data!D:D,"NaN"))</f>
        <v>27295</v>
      </c>
      <c r="K40" s="4">
        <f>IF(_xlfn.XLOOKUP($B40,island_data!$B:$B,island_data!E:E,"NaN")="","NaN",_xlfn.XLOOKUP($B40,island_data!$B:$B,island_data!E:E,"NaN"))</f>
        <v>48.53</v>
      </c>
      <c r="L40" s="5">
        <f>IF(_xlfn.XLOOKUP($B40,rf1_data!$B:$B,rf1_data!D:D,"NaN")="","NaN",(_xlfn.XLOOKUP($B40,rf1_data!$B:$B,rf1_data!D:D,"NaN")))</f>
        <v>48.6</v>
      </c>
      <c r="M40" s="5" t="str">
        <f>IF(_xlfn.XLOOKUP($B40,rf1_data!$B:$B,rf1_data!E:E,"NaN")="","NaN",(_xlfn.XLOOKUP($B40,rf1_data!$B:$B,rf1_data!E:E,"NaN")))</f>
        <v>White</v>
      </c>
      <c r="N40" s="5" t="str">
        <f>IF(_xlfn.XLOOKUP($B40,rf1_data!$B:$B,rf1_data!F:F,"NaN")="","NaN",(_xlfn.XLOOKUP($B40,rf1_data!$B:$B,rf1_data!F:F,"NaN")))</f>
        <v>Not Hispanic or Latino</v>
      </c>
      <c r="O40" s="5" t="str">
        <f>IF(_xlfn.XLOOKUP($B40,rf1_data!$B:$B,rf1_data!G:G,"NaN")="","NaN",(_xlfn.XLOOKUP($B40,rf1_data!$B:$B,rf1_data!G:G,"NaN")))</f>
        <v>Female</v>
      </c>
      <c r="P40" s="5">
        <f>IF(_xlfn.XLOOKUP($B40,rf1_data!$B:$B,rf1_data!H:H,"NaN")="","NaN",(_xlfn.XLOOKUP($B40,rf1_data!$B:$B,rf1_data!H:H,"NaN")))</f>
        <v>5</v>
      </c>
      <c r="Q40" s="5">
        <f>IF(_xlfn.XLOOKUP($B40,rf1_data!$B:$B,rf1_data!I:I,"NaN")="","NaN",(_xlfn.XLOOKUP($B40,rf1_data!$B:$B,rf1_data!I:I,"NaN")))</f>
        <v>3.4</v>
      </c>
      <c r="R40" s="5">
        <f>IF(_xlfn.XLOOKUP($B40,rf1_data!$B:$B,rf1_data!J:J,"NaN")="","NaN",(_xlfn.XLOOKUP($B40,rf1_data!$B:$B,rf1_data!J:J,"NaN")))</f>
        <v>8</v>
      </c>
      <c r="S40" s="5">
        <f>IF(_xlfn.XLOOKUP($B40,rf1_data!$B:$B,rf1_data!K:K,"NaN")="","NaN",(_xlfn.XLOOKUP($B40,rf1_data!$B:$B,rf1_data!K:K,"NaN")))</f>
        <v>9</v>
      </c>
      <c r="T40" s="5">
        <f>IF(_xlfn.XLOOKUP($B40,rf1_data!$B:$B,rf1_data!L:L,"NaN")="","NaN",(_xlfn.XLOOKUP($B40,rf1_data!$B:$B,rf1_data!L:L,"NaN")))</f>
        <v>0</v>
      </c>
      <c r="U40" s="5">
        <f>IF(_xlfn.XLOOKUP($B40,rf1_data!$B:$B,rf1_data!M:M,"NaN")="","NaN",(_xlfn.XLOOKUP($B40,rf1_data!$B:$B,rf1_data!M:M,"NaN")))</f>
        <v>5.83</v>
      </c>
      <c r="V40" s="5">
        <f>IF(_xlfn.XLOOKUP($B40,rf1_data!$B:$B,rf1_data!N:N,"NaN")="","NaN",(_xlfn.XLOOKUP($B40,rf1_data!$B:$B,rf1_data!N:N,"NaN")))</f>
        <v>4.17</v>
      </c>
      <c r="W40" s="5">
        <f>IF(_xlfn.XLOOKUP($B40,rf1_data!$B:$B,rf1_data!O:O,"NaN")="","NaN",(_xlfn.XLOOKUP($B40,rf1_data!$B:$B,rf1_data!O:O,"NaN")))</f>
        <v>6.13</v>
      </c>
      <c r="X40" s="5">
        <f>IF(_xlfn.XLOOKUP($B40,rf1_data!$B:$B,rf1_data!P:P,"NaN")="","NaN",(_xlfn.XLOOKUP($B40,rf1_data!$B:$B,rf1_data!P:P,"NaN")))</f>
        <v>6</v>
      </c>
      <c r="Y40" s="5">
        <f>IF(_xlfn.XLOOKUP($B40,rf1_data!$B:$B,rf1_data!Q:Q,"NaN")="","NaN",(_xlfn.XLOOKUP($B40,rf1_data!$B:$B,rf1_data!Q:Q,"NaN")))</f>
        <v>5.47</v>
      </c>
      <c r="Z40" s="5">
        <f>IF(_xlfn.XLOOKUP($B40,rf1_data!$B:$B,rf1_data!R:R,"NaN")="","NaN",(_xlfn.XLOOKUP($B40,rf1_data!$B:$B,rf1_data!R:R,"NaN")))</f>
        <v>30</v>
      </c>
      <c r="AA40" s="5">
        <f>IF(_xlfn.XLOOKUP($B40,rf1_data!$B:$B,rf1_data!S:S,"NaN")="","NaN",(_xlfn.XLOOKUP($B40,rf1_data!$B:$B,rf1_data!S:S,"NaN")))</f>
        <v>12</v>
      </c>
      <c r="AB40" s="5">
        <f>IF(_xlfn.XLOOKUP($B40,rf1_data!$B:$B,rf1_data!T:T,"NaN")="","NaN",(_xlfn.XLOOKUP($B40,rf1_data!$B:$B,rf1_data!T:T,"NaN")))</f>
        <v>14</v>
      </c>
      <c r="AC40" s="5">
        <f>IF(_xlfn.XLOOKUP($B40,rf1_data!$B:$B,rf1_data!U:U,"NaN")="","NaN",(_xlfn.XLOOKUP($B40,rf1_data!$B:$B,rf1_data!U:U,"NaN")))</f>
        <v>1</v>
      </c>
      <c r="AD40" s="5">
        <f>IF(_xlfn.XLOOKUP($B40,rf1_data!$B:$B,rf1_data!V:V,"NaN")="","NaN",(_xlfn.XLOOKUP($B40,rf1_data!$B:$B,rf1_data!V:V,"NaN")))</f>
        <v>3</v>
      </c>
      <c r="AE40" s="5">
        <f>IF(_xlfn.XLOOKUP($B40,rf1_data!$B:$B,rf1_data!W:W,"NaN")="","NaN",(_xlfn.XLOOKUP($B40,rf1_data!$B:$B,rf1_data!W:W,"NaN")))</f>
        <v>2</v>
      </c>
      <c r="AF40" s="5">
        <f>IF(_xlfn.XLOOKUP($B40,rf1_data!$B:$B,rf1_data!X:X,"NaN")="","NaN",(_xlfn.XLOOKUP($B40,rf1_data!$B:$B,rf1_data!X:X,"NaN")))</f>
        <v>2</v>
      </c>
      <c r="AG40" s="5">
        <f>IF(_xlfn.XLOOKUP($B40,rf1_data!$B:$B,rf1_data!Y:Y,"NaN")="","NaN",(_xlfn.XLOOKUP($B40,rf1_data!$B:$B,rf1_data!Y:Y,"NaN")))</f>
        <v>7</v>
      </c>
      <c r="AH40" s="5">
        <f>IF(_xlfn.XLOOKUP($B40,rf1_data!$B:$B,rf1_data!Z:Z,"NaN")="","NaN",(_xlfn.XLOOKUP($B40,rf1_data!$B:$B,rf1_data!Z:Z,"NaN")))</f>
        <v>0</v>
      </c>
      <c r="AI40" s="5">
        <f>IF(_xlfn.XLOOKUP($B40,rf1_data!$B:$B,rf1_data!AA:AA,"NaN")="","NaN",(_xlfn.XLOOKUP($B40,rf1_data!$B:$B,rf1_data!AA:AA,"NaN")))</f>
        <v>4</v>
      </c>
      <c r="AJ40" s="5">
        <f>IF(_xlfn.XLOOKUP($B40,rf1_data!$B:$B,rf1_data!AB:AB,"NaN")="","NaN",(_xlfn.XLOOKUP($B40,rf1_data!$B:$B,rf1_data!AB:AB,"NaN")))</f>
        <v>15</v>
      </c>
      <c r="AK40" s="5">
        <f>IF(_xlfn.XLOOKUP($B40,rf1_data!$B:$B,rf1_data!AC:AC,"NaN")="","NaN",(_xlfn.XLOOKUP($B40,rf1_data!$B:$B,rf1_data!AC:AC,"NaN")))</f>
        <v>36</v>
      </c>
      <c r="AL40" s="5">
        <f>IF(_xlfn.XLOOKUP($B40,rf1_data!$B:$B,rf1_data!AD:AD,"NaN")="","NaN",(_xlfn.XLOOKUP($B40,rf1_data!$B:$B,rf1_data!AD:AD,"NaN")))</f>
        <v>15</v>
      </c>
      <c r="AM40" s="5">
        <f>IF(_xlfn.XLOOKUP($B40,rf1_data!$B:$B,rf1_data!AE:AE,"NaN")="","NaN",(_xlfn.XLOOKUP($B40,rf1_data!$B:$B,rf1_data!AE:AE,"NaN")))</f>
        <v>0</v>
      </c>
      <c r="AN40" s="5">
        <f>IF(_xlfn.XLOOKUP($B40,rf1_data!$B:$B,rf1_data!AF:AF,"NaN")="","NaN",(_xlfn.XLOOKUP($B40,rf1_data!$B:$B,rf1_data!AF:AF,"NaN")))</f>
        <v>0</v>
      </c>
      <c r="AO40" s="5">
        <f>IF(_xlfn.XLOOKUP($B40,rf1_data!$B:$B,rf1_data!AG:AG,"NaN")="","NaN",(_xlfn.XLOOKUP($B40,rf1_data!$B:$B,rf1_data!AG:AG,"NaN")))</f>
        <v>5.75</v>
      </c>
      <c r="AP40" s="5">
        <f>IF(_xlfn.XLOOKUP($B40,rf1_data!$B:$B,rf1_data!AH:AH,"NaN")="","NaN",(_xlfn.XLOOKUP($B40,rf1_data!$B:$B,rf1_data!AH:AH,"NaN")))</f>
        <v>5.75</v>
      </c>
      <c r="AQ40" s="5">
        <f>IF(_xlfn.XLOOKUP($B40,rf1_data!$B:$B,rf1_data!AI:AI,"NaN")="","NaN",(_xlfn.XLOOKUP($B40,rf1_data!$B:$B,rf1_data!AI:AI,"NaN")))</f>
        <v>4.5</v>
      </c>
      <c r="AR40" s="5">
        <f>IF(_xlfn.XLOOKUP($B40,rf1_data!$B:$B,rf1_data!AJ:AJ,"NaN")="","NaN",(_xlfn.XLOOKUP($B40,rf1_data!$B:$B,rf1_data!AJ:AJ,"NaN")))</f>
        <v>7</v>
      </c>
      <c r="AS40" s="5">
        <f>IF(_xlfn.XLOOKUP($B40,rf1_data!$B:$B,rf1_data!AK:AK,"NaN")="","NaN",(_xlfn.XLOOKUP($B40,rf1_data!$B:$B,rf1_data!AK:AK,"NaN")))</f>
        <v>3.7</v>
      </c>
      <c r="AT40" s="5">
        <f>IF(_xlfn.XLOOKUP($B40,rf1_data!$B:$B,rf1_data!AL:AL,"NaN")="","NaN",(_xlfn.XLOOKUP($B40,rf1_data!$B:$B,rf1_data!AL:AL,"NaN")))</f>
        <v>13</v>
      </c>
      <c r="AU40" s="5">
        <f>IF(_xlfn.XLOOKUP($B40,rf1_data!$B:$B,rf1_data!AM:AM,"NaN")="","NaN",(_xlfn.XLOOKUP($B40,rf1_data!$B:$B,rf1_data!AM:AM,"NaN")))</f>
        <v>2.75</v>
      </c>
      <c r="AV40" s="5">
        <f>IF(_xlfn.XLOOKUP($B40,rf1_data!$B:$B,rf1_data!AN:AN,"NaN")="","NaN",(_xlfn.XLOOKUP($B40,rf1_data!$B:$B,rf1_data!AN:AN,"NaN")))</f>
        <v>25</v>
      </c>
      <c r="AW40" s="5">
        <f>IF(_xlfn.XLOOKUP($B40,rf1_data!$B:$B,rf1_data!AO:AO,"NaN")="","NaN",(_xlfn.XLOOKUP($B40,rf1_data!$B:$B,rf1_data!AO:AO,"NaN")))</f>
        <v>2.67</v>
      </c>
      <c r="AX40" s="5">
        <f>IF(_xlfn.XLOOKUP($B40,rf1_data!$B:$B,rf1_data!AP:AP,"NaN")="","NaN",(_xlfn.XLOOKUP($B40,rf1_data!$B:$B,rf1_data!AP:AP,"NaN")))</f>
        <v>3.46</v>
      </c>
      <c r="AY40" s="5" t="str">
        <f>IF(_xlfn.XLOOKUP($B40,rf1_data!$B:$B,rf1_data!AQ:AQ,"NaN")="","NaN",(_xlfn.XLOOKUP($B40,rf1_data!$B:$B,rf1_data!AQ:AQ,"NaN")))</f>
        <v>NaN</v>
      </c>
      <c r="AZ40" s="5">
        <f>IF(_xlfn.XLOOKUP($B40,rf1_data!$B:$B,rf1_data!AR:AR,"NaN")="","NaN",(_xlfn.XLOOKUP($B40,rf1_data!$B:$B,rf1_data!AR:AR,"NaN")))</f>
        <v>26</v>
      </c>
      <c r="BA40" s="5">
        <f>IF(_xlfn.XLOOKUP($B40,rf1_data!$B:$B,rf1_data!AS:AS,"NaN")="","NaN",(_xlfn.XLOOKUP($B40,rf1_data!$B:$B,rf1_data!AS:AS,"NaN")))</f>
        <v>2.5</v>
      </c>
      <c r="BB40" s="5">
        <f>IF(_xlfn.XLOOKUP($B40,rf1_data!$B:$B,rf1_data!AT:AT,"NaN")="","NaN",(_xlfn.XLOOKUP($B40,rf1_data!$B:$B,rf1_data!AT:AT,"NaN")))</f>
        <v>1</v>
      </c>
      <c r="BC40" s="5">
        <f>IF(_xlfn.XLOOKUP($B40,rf1_data!$B:$B,rf1_data!AU:AU,"NaN")="","NaN",(_xlfn.XLOOKUP($B40,rf1_data!$B:$B,rf1_data!AU:AU,"NaN")))</f>
        <v>1</v>
      </c>
      <c r="BD40" s="5">
        <f>IF(_xlfn.XLOOKUP($B40,rf1_data!$B:$B,rf1_data!AV:AV,"NaN")="","NaN",(_xlfn.XLOOKUP($B40,rf1_data!$B:$B,rf1_data!AV:AV,"NaN")))</f>
        <v>1.5</v>
      </c>
      <c r="BE40" s="5">
        <f>IF(_xlfn.XLOOKUP($B40,rf1_data!$B:$B,rf1_data!AW:AW,"NaN")="","NaN",(_xlfn.XLOOKUP($B40,rf1_data!$B:$B,rf1_data!AW:AW,"NaN")))</f>
        <v>0.75</v>
      </c>
      <c r="BF40" s="5">
        <f>IF(_xlfn.XLOOKUP($B40,rf1_data!$B:$B,rf1_data!AX:AX,"NaN")="","NaN",(_xlfn.XLOOKUP($B40,rf1_data!$B:$B,rf1_data!AX:AX,"NaN")))</f>
        <v>1</v>
      </c>
      <c r="BG40" s="5">
        <f>IF(_xlfn.XLOOKUP($B40,rf1_data!$B:$B,rf1_data!AY:AY,"NaN")="","NaN",(_xlfn.XLOOKUP($B40,rf1_data!$B:$B,rf1_data!AY:AY,"NaN")))</f>
        <v>0.5</v>
      </c>
      <c r="BH40" s="5">
        <f>IF(_xlfn.XLOOKUP($B40,rf1_data!$B:$B,rf1_data!AZ:AZ,"NaN")="","NaN",(_xlfn.XLOOKUP($B40,rf1_data!$B:$B,rf1_data!AZ:AZ,"NaN")))</f>
        <v>1.1785714285714199</v>
      </c>
      <c r="BI40" s="5">
        <f>IF(_xlfn.XLOOKUP($B40,rf1_data!$B:$B,rf1_data!BA:BA,"NaN")="","NaN",(_xlfn.XLOOKUP($B40,rf1_data!$B:$B,rf1_data!BA:BA,"NaN")))</f>
        <v>104</v>
      </c>
      <c r="BJ40" s="5">
        <f>IF(_xlfn.XLOOKUP($B40,rf1_data!$B:$B,rf1_data!BB:BB,"NaN")="","NaN",(_xlfn.XLOOKUP($B40,rf1_data!$B:$B,rf1_data!BB:BB,"NaN")))</f>
        <v>84</v>
      </c>
      <c r="BK40" s="5" t="str">
        <f>IF(_xlfn.XLOOKUP($B40,rf1_data!$B:$B,rf1_data!BC:BC,"NaN")="","NaN",(_xlfn.XLOOKUP($B40,rf1_data!$B:$B,rf1_data!BC:BC,"NaN")))</f>
        <v>NaN</v>
      </c>
      <c r="BL40" s="5" t="str">
        <f>IF(_xlfn.XLOOKUP($B40,rf1_data!$B:$B,rf1_data!BD:BD,"NaN")="","NaN",(_xlfn.XLOOKUP($B40,rf1_data!$B:$B,rf1_data!BD:BD,"NaN")))</f>
        <v>NaN</v>
      </c>
      <c r="BM40" s="5" t="str">
        <f>IF(_xlfn.XLOOKUP($B40,rf1_data!$B:$B,rf1_data!BE:BE,"NaN")="","NaN",(_xlfn.XLOOKUP($B40,rf1_data!$B:$B,rf1_data!BE:BE,"NaN")))</f>
        <v>NaN</v>
      </c>
      <c r="BN40" s="5" t="str">
        <f>IF(_xlfn.XLOOKUP($B40,rf1_data!$B:$B,rf1_data!BF:BF,"NaN")="","NaN",(_xlfn.XLOOKUP($B40,rf1_data!$B:$B,rf1_data!BF:BF,"NaN")))</f>
        <v>NaN</v>
      </c>
      <c r="BO40" s="5" t="str">
        <f>IF(_xlfn.XLOOKUP($B40,rf1_data!$B:$B,rf1_data!BG:BG,"NaN")="","NaN",(_xlfn.XLOOKUP($B40,rf1_data!$B:$B,rf1_data!BG:BG,"NaN")))</f>
        <v>NaN</v>
      </c>
      <c r="BP40" s="5">
        <f>IF(_xlfn.XLOOKUP($B40,rf1_data!$B:$B,rf1_data!BH:BH,"NaN")="","NaN",(_xlfn.XLOOKUP($B40,rf1_data!$B:$B,rf1_data!BH:BH,"NaN")))</f>
        <v>63</v>
      </c>
      <c r="BQ40" s="5">
        <f>IF(_xlfn.XLOOKUP($B40,rf1_data!$B:$B,rf1_data!BI:BI,"NaN")="","NaN",(_xlfn.XLOOKUP($B40,rf1_data!$B:$B,rf1_data!BI:BI,"NaN")))</f>
        <v>40</v>
      </c>
      <c r="BR40" s="5">
        <f>IF(_xlfn.XLOOKUP($B40,rf1_data!$B:$B,rf1_data!BJ:BJ,"NaN")="","NaN",(_xlfn.XLOOKUP($B40,rf1_data!$B:$B,rf1_data!BJ:BJ,"NaN")))</f>
        <v>8991</v>
      </c>
      <c r="BS40" s="5" t="str">
        <f>IF(_xlfn.XLOOKUP($B40,rf1_data!$B:$B,rf1_data!BK:BK,"NaN")="","NaN",(_xlfn.XLOOKUP($B40,rf1_data!$B:$B,rf1_data!BK:BK,"NaN")))</f>
        <v>NaN</v>
      </c>
      <c r="BT40" s="5" t="str">
        <f>IF(_xlfn.XLOOKUP($B40,rf1_data!$B:$B,rf1_data!BL:BL,"NaN")="","NaN",(_xlfn.XLOOKUP($B40,rf1_data!$B:$B,rf1_data!BL:BL,"NaN")))</f>
        <v>NaN</v>
      </c>
      <c r="BU40" s="5" t="str">
        <f>IF(_xlfn.XLOOKUP($B40,rf1_data!$B:$B,rf1_data!BM:BM,"NaN")="","NaN",(_xlfn.XLOOKUP($B40,rf1_data!$B:$B,rf1_data!BM:BM,"NaN")))</f>
        <v>NaN</v>
      </c>
      <c r="BV40" s="5" t="str">
        <f>IF(_xlfn.XLOOKUP($B40,rf1_data!$B:$B,rf1_data!BN:BN,"NaN")="","NaN",(_xlfn.XLOOKUP($B40,rf1_data!$B:$B,rf1_data!BN:BN,"NaN")))</f>
        <v>NaN</v>
      </c>
      <c r="BW40" s="5">
        <f>IF(_xlfn.XLOOKUP($B40,rf1_data!$B:$B,rf1_data!BO:BO,"NaN")="","NaN",(_xlfn.XLOOKUP($B40,rf1_data!$B:$B,rf1_data!BO:BO,"NaN")))</f>
        <v>2.2000000000000002</v>
      </c>
      <c r="BX40" s="5">
        <f>IF(_xlfn.XLOOKUP($B40,rf1_data!$B:$B,rf1_data!BP:BP,"NaN")="","NaN",(_xlfn.XLOOKUP($B40,rf1_data!$B:$B,rf1_data!BP:BP,"NaN")))</f>
        <v>3.7</v>
      </c>
      <c r="BY40" s="5">
        <f>IF(_xlfn.XLOOKUP($B40,rf1_data!$B:$B,rf1_data!BQ:BQ,"NaN")="","NaN",(_xlfn.XLOOKUP($B40,rf1_data!$B:$B,rf1_data!BQ:BQ,"NaN")))</f>
        <v>3.4</v>
      </c>
      <c r="BZ40" s="5">
        <f>IF(_xlfn.XLOOKUP($B40,rf1_data!$B:$B,rf1_data!BR:BR,"NaN")="","NaN",(_xlfn.XLOOKUP($B40,rf1_data!$B:$B,rf1_data!BR:BR,"NaN")))</f>
        <v>3.1</v>
      </c>
      <c r="CA40" s="5">
        <f>IF(_xlfn.XLOOKUP($B40,rf1_data!$B:$B,rf1_data!BS:BS,"NaN")="","NaN",(_xlfn.XLOOKUP($B40,rf1_data!$B:$B,rf1_data!BS:BS,"NaN")))</f>
        <v>3</v>
      </c>
      <c r="CB40" s="5">
        <f>IF(_xlfn.XLOOKUP($B40,rf1_data!$B:$B,rf1_data!BT:BT,"NaN")="","NaN",(_xlfn.XLOOKUP($B40,rf1_data!$B:$B,rf1_data!BT:BT,"NaN")))</f>
        <v>2.8333333333333299</v>
      </c>
      <c r="CC40" s="5">
        <f>IF(_xlfn.XLOOKUP($B40,rf1_data!$B:$B,rf1_data!BU:BU,"NaN")="","NaN",(_xlfn.XLOOKUP($B40,rf1_data!$B:$B,rf1_data!BU:BU,"NaN")))</f>
        <v>3.8333333333333299</v>
      </c>
      <c r="CD40" s="5">
        <f>IF(_xlfn.XLOOKUP($B40,rf1_data!$B:$B,rf1_data!BV:BV,"NaN")="","NaN",(_xlfn.XLOOKUP($B40,rf1_data!$B:$B,rf1_data!BV:BV,"NaN")))</f>
        <v>2.6666666666666599</v>
      </c>
      <c r="CE40" s="5">
        <f>IF(_xlfn.XLOOKUP($B40,rf1_data!$B:$B,rf1_data!BW:BW,"NaN")="","NaN",(_xlfn.XLOOKUP($B40,rf1_data!$B:$B,rf1_data!BW:BW,"NaN")))</f>
        <v>2</v>
      </c>
      <c r="CF40" s="5">
        <f>IF(_xlfn.XLOOKUP($B40,rf1_data!$B:$B,rf1_data!BX:BX,"NaN")="","NaN",(_xlfn.XLOOKUP($B40,rf1_data!$B:$B,rf1_data!BX:BX,"NaN")))</f>
        <v>0</v>
      </c>
      <c r="CG40" s="5">
        <f>IF(_xlfn.XLOOKUP($B40,rf1_data!$B:$B,rf1_data!BY:BY,"NaN")="","NaN",(_xlfn.XLOOKUP($B40,rf1_data!$B:$B,rf1_data!BY:BY,"NaN")))</f>
        <v>0</v>
      </c>
      <c r="CH40" s="5">
        <f>IF(_xlfn.XLOOKUP($B40,rf1_data!$B:$B,rf1_data!BZ:BZ,"NaN")="","NaN",(_xlfn.XLOOKUP($B40,rf1_data!$B:$B,rf1_data!BZ:BZ,"NaN")))</f>
        <v>17</v>
      </c>
      <c r="CI40" s="5">
        <f>IF(_xlfn.XLOOKUP($B40,rf1_data!$B:$B,rf1_data!CA:CA,"NaN")="","NaN",(_xlfn.XLOOKUP($B40,rf1_data!$B:$B,rf1_data!CA:CA,"NaN")))</f>
        <v>20</v>
      </c>
      <c r="CJ40" s="5">
        <f>IF(_xlfn.XLOOKUP($B40,rf1_data!$B:$B,rf1_data!CB:CB,"NaN")="","NaN",(_xlfn.XLOOKUP($B40,rf1_data!$B:$B,rf1_data!CB:CB,"NaN")))</f>
        <v>4</v>
      </c>
      <c r="CK40" s="5">
        <f>IF(_xlfn.XLOOKUP($B40,rf1_data!$B:$B,rf1_data!CC:CC,"NaN")="","NaN",(_xlfn.XLOOKUP($B40,rf1_data!$B:$B,rf1_data!CC:CC,"NaN")))</f>
        <v>0.57142857142857095</v>
      </c>
      <c r="CL40" s="5">
        <f>IF(_xlfn.XLOOKUP($B40,rf1_data!$B:$B,rf1_data!CD:CD,"NaN")=0,"NaN",(_xlfn.XLOOKUP($B40,rf1_data!$B:$B,rf1_data!CD:CD,"NaN")))</f>
        <v>21</v>
      </c>
      <c r="CM40" s="5">
        <f>IF(_xlfn.XLOOKUP($B40,rf1_data!$B:$B,rf1_data!CE:CE,"NaN")="","NaN",(_xlfn.XLOOKUP($B40,rf1_data!$B:$B,rf1_data!CE:CE,"NaN")))</f>
        <v>26</v>
      </c>
      <c r="CN40" s="5">
        <f>IF(_xlfn.XLOOKUP($B40,rf1_data!$B:$B,rf1_data!CF:CF,"NaN")="","NaN",(_xlfn.XLOOKUP($B40,rf1_data!$B:$B,rf1_data!CF:CF,"NaN")))</f>
        <v>43</v>
      </c>
      <c r="CO40" s="5">
        <f>IF(_xlfn.XLOOKUP($B40,rf1_data!$B:$B,rf1_data!CG:CG,"NaN")="","NaN",(_xlfn.XLOOKUP($B40,rf1_data!$B:$B,rf1_data!CG:CG,"NaN")))</f>
        <v>29</v>
      </c>
      <c r="CP40" s="5">
        <f>IF(_xlfn.XLOOKUP($B40,rf1_data!$B:$B,rf1_data!CH:CH,"NaN")=0,"NaN",(_xlfn.XLOOKUP($B40,rf1_data!$B:$B,rf1_data!CH:CH,"NaN")))</f>
        <v>23</v>
      </c>
      <c r="CQ40" s="5">
        <f>IF(_xlfn.XLOOKUP($B40,rf1_data!$B:$B,rf1_data!CI:CI,"NaN")="","NaN",(_xlfn.XLOOKUP($B40,rf1_data!$B:$B,rf1_data!CI:CI,"NaN")))</f>
        <v>46</v>
      </c>
      <c r="CR40" s="5">
        <f>IF(_xlfn.XLOOKUP($B40,rf1_data!$B:$B,rf1_data!CJ:CJ,"NaN")="","NaN",(_xlfn.XLOOKUP($B40,rf1_data!$B:$B,rf1_data!CJ:CJ,"NaN")))</f>
        <v>60</v>
      </c>
      <c r="CS40" s="5">
        <f>IF(_xlfn.XLOOKUP($B40,rf1_data!$B:$B,rf1_data!CK:CK,"NaN")="","NaN",(_xlfn.XLOOKUP($B40,rf1_data!$B:$B,rf1_data!CK:CK,"NaN")))</f>
        <v>40</v>
      </c>
      <c r="CT40" s="5">
        <f>IF(_xlfn.XLOOKUP($B40,rf1_data!$B:$B,rf1_data!CL:CL,"NaN")="","NaN",(_xlfn.XLOOKUP($B40,rf1_data!$B:$B,rf1_data!CL:CL,"NaN")))</f>
        <v>60</v>
      </c>
      <c r="CU40" s="5">
        <f>IF(_xlfn.XLOOKUP($B40,rf1_data!$B:$B,rf1_data!CM:CM,"NaN")="","NaN",(_xlfn.XLOOKUP($B40,rf1_data!$B:$B,rf1_data!CM:CM,"NaN")))</f>
        <v>45</v>
      </c>
      <c r="CV40" s="5">
        <f>IF(_xlfn.XLOOKUP($B40,rf1_data!$B:$B,rf1_data!CN:CN,"NaN")="","NaN",(_xlfn.XLOOKUP($B40,rf1_data!$B:$B,rf1_data!CN:CN,"NaN")))</f>
        <v>60</v>
      </c>
      <c r="CW40" s="5" t="str">
        <f>IF(_xlfn.XLOOKUP($B40,rf1_data!$B:$B,rf1_data!CO:CO,"NaN")="","NaN",(_xlfn.XLOOKUP($B40,rf1_data!$B:$B,rf1_data!CO:CO,"NaN")))</f>
        <v>NaN</v>
      </c>
      <c r="CX40" s="5" t="str">
        <f>IF(_xlfn.XLOOKUP($B40,rf1_data!$B:$B,rf1_data!CP:CP,"NaN")="","NaN",(_xlfn.XLOOKUP($B40,rf1_data!$B:$B,rf1_data!CP:CP,"NaN")))</f>
        <v>NaN</v>
      </c>
      <c r="CY40" s="5">
        <f>IF(_xlfn.XLOOKUP($B40,rf1_data!$B:$B,rf1_data!CQ:CQ,"NaN")="","NaN",(_xlfn.XLOOKUP($B40,rf1_data!$B:$B,rf1_data!CQ:CQ,"NaN")))</f>
        <v>7</v>
      </c>
      <c r="CZ40" s="5">
        <f>IF(_xlfn.XLOOKUP($B40,rf1_data!$B:$B,rf1_data!CR:CR,"NaN")="","NaN",(_xlfn.XLOOKUP($B40,rf1_data!$B:$B,rf1_data!CR:CR,"NaN")))</f>
        <v>1</v>
      </c>
      <c r="DA40" s="5">
        <f>IF(_xlfn.XLOOKUP($B40,rf1_data!$B:$B,rf1_data!CS:CS,"NaN")="","NaN",(_xlfn.XLOOKUP($B40,rf1_data!$B:$B,rf1_data!CS:CS,"NaN")))</f>
        <v>1</v>
      </c>
      <c r="DB40" s="4">
        <f>IF(_xlfn.XLOOKUP($B40,island_data!$B:$B,island_data!H:H,"NaN")="","NaN",_xlfn.XLOOKUP($B40,island_data!$B:$B,island_data!H:H,"NaN"))</f>
        <v>6</v>
      </c>
      <c r="DC40" s="4">
        <f>IF(_xlfn.XLOOKUP($B40,island_data!$B:$B,island_data!I:I,"NaN")="","NaN",_xlfn.XLOOKUP($B40,island_data!$B:$B,island_data!I:I,"NaN"))</f>
        <v>1</v>
      </c>
      <c r="DD40" s="4">
        <f>IF(_xlfn.XLOOKUP($B40,island_data!$B:$B,island_data!J:J,"NaN")="","NaN",_xlfn.XLOOKUP($B40,island_data!$B:$B,island_data!J:J,"NaN"))</f>
        <v>3</v>
      </c>
      <c r="DE40" s="4">
        <f>IF(_xlfn.XLOOKUP($B40,island_data!$B:$B,island_data!K:K,"NaN")="","NaN",_xlfn.XLOOKUP($B40,island_data!$B:$B,island_data!K:K,"NaN"))</f>
        <v>17</v>
      </c>
      <c r="DF40" s="4">
        <f>IF(_xlfn.XLOOKUP($B40,island_data!$B:$B,island_data!L:L,"NaN")="","NaN",_xlfn.XLOOKUP($B40,island_data!$B:$B,island_data!L:L,"NaN"))</f>
        <v>28</v>
      </c>
      <c r="DG40" s="4">
        <f>IF(_xlfn.XLOOKUP($B40,island_data!$B:$B,island_data!M:M,"NaN")="","NaN",_xlfn.XLOOKUP($B40,island_data!$B:$B,island_data!M:M,"NaN"))</f>
        <v>3.875</v>
      </c>
      <c r="DH40" s="4">
        <f>IF(_xlfn.XLOOKUP($B40,island_data!$B:$B,island_data!N:N,"NaN")="","NaN",_xlfn.XLOOKUP($B40,island_data!$B:$B,island_data!N:N,"NaN"))</f>
        <v>12</v>
      </c>
      <c r="DI40" s="4">
        <f>IF(_xlfn.XLOOKUP($B40,island_data!$B:$B,island_data!O:O,"NaN")=999,"NaN",_xlfn.XLOOKUP($B40,island_data!$B:$B,island_data!O:O,"NaN"))</f>
        <v>8</v>
      </c>
      <c r="DJ40" s="4">
        <f>IF(_xlfn.XLOOKUP($B40,island_data!$B:$B,island_data!P:P,"NaN")="","NaN",_xlfn.XLOOKUP($B40,island_data!$B:$B,island_data!P:P,"NaN"))</f>
        <v>12</v>
      </c>
      <c r="DK40" s="4">
        <f>IF(_xlfn.XLOOKUP($B40,island_data!$B:$B,island_data!Q:Q,"NaN")="","NaN",_xlfn.XLOOKUP($B40,island_data!$B:$B,island_data!Q:Q,"NaN"))</f>
        <v>0</v>
      </c>
      <c r="DL40" s="4">
        <f>IF(_xlfn.XLOOKUP($B40,island_data!$B:$B,island_data!R:R,"NaN")=999,"NaN",_xlfn.XLOOKUP($B40,island_data!$B:$B,island_data!R:R,"NaN"))</f>
        <v>18</v>
      </c>
      <c r="DM40" s="4">
        <f>IF(_xlfn.XLOOKUP($B40,island_data!$B:$B,island_data!S:S,"NaN")="","NaN",_xlfn.XLOOKUP($B40,island_data!$B:$B,island_data!S:S,"NaN"))</f>
        <v>12</v>
      </c>
      <c r="DN40" s="4">
        <f>IF(_xlfn.XLOOKUP($B40,island_data!$B:$B,island_data!T:T,"NaN")="","NaN",_xlfn.XLOOKUP($B40,island_data!$B:$B,island_data!T:T,"NaN"))</f>
        <v>4.1666666666666599</v>
      </c>
      <c r="DO40" s="4">
        <f>IF(_xlfn.XLOOKUP($B40,island_data!$B:$B,island_data!U:U,"NaN")="","NaN",_xlfn.XLOOKUP($B40,island_data!$B:$B,island_data!U:U,"NaN"))</f>
        <v>6</v>
      </c>
      <c r="DP40" s="4">
        <f>IF(_xlfn.XLOOKUP($B40,island_data!$B:$B,island_data!V:V,"NaN")="","NaN",_xlfn.XLOOKUP($B40,island_data!$B:$B,island_data!V:V,"NaN"))</f>
        <v>2</v>
      </c>
      <c r="DQ40" s="4">
        <f>IF(_xlfn.XLOOKUP($B40,island_data!$B:$B,island_data!W:W,"NaN")="","NaN",_xlfn.XLOOKUP($B40,island_data!$B:$B,island_data!W:W,"NaN"))</f>
        <v>7</v>
      </c>
      <c r="DR40" s="4">
        <f>IF(_xlfn.XLOOKUP($B40,island_data!$B:$B,island_data!X:X,"NaN")="","NaN",_xlfn.XLOOKUP($B40,island_data!$B:$B,island_data!X:X,"NaN"))</f>
        <v>6</v>
      </c>
      <c r="DS40" s="4" t="str">
        <f>IF(_xlfn.XLOOKUP($B40,island_data!$B:$B,island_data!Y:Y,"NaN")="","NaN",_xlfn.XLOOKUP($B40,island_data!$B:$B,island_data!Y:Y,"NaN"))</f>
        <v>NaN</v>
      </c>
      <c r="DT40" s="4" t="str">
        <f>IF(_xlfn.XLOOKUP($B40,island_data!$B:$B,island_data!Z:Z,"NaN")="","NaN",_xlfn.XLOOKUP($B40,island_data!$B:$B,island_data!Z:Z,"NaN"))</f>
        <v>NaN</v>
      </c>
      <c r="DU40" s="4" t="str">
        <f>IF(_xlfn.XLOOKUP($B40,island_data!$B:$B,island_data!AA:AA,"NaN")="","NaN",_xlfn.XLOOKUP($B40,island_data!$B:$B,island_data!AA:AA,"NaN"))</f>
        <v>NaN</v>
      </c>
      <c r="DV40" s="4">
        <f>IF(_xlfn.XLOOKUP($B40,island_data!$B:$B,island_data!AB:AB,"NaN")="","NaN",_xlfn.XLOOKUP($B40,island_data!$B:$B,island_data!AB:AB,"NaN"))</f>
        <v>0</v>
      </c>
      <c r="DW40" s="4">
        <f>IF(_xlfn.XLOOKUP($B40,island_data!$B:$B,island_data!AC:AC,"NaN")="","NaN",_xlfn.XLOOKUP($B40,island_data!$B:$B,island_data!AC:AC,"NaN"))</f>
        <v>19460</v>
      </c>
      <c r="DX40" s="4">
        <f>IF(_xlfn.XLOOKUP($B40,island_data!$B:$B,island_data!AD:AD,"NaN")="","NaN",_xlfn.XLOOKUP($B40,island_data!$B:$B,island_data!AD:AD,"NaN"))</f>
        <v>7</v>
      </c>
      <c r="DY40" s="4">
        <f>IF(_xlfn.XLOOKUP($B40,island_data!$B:$B,island_data!AE:AE,"NaN")="","NaN",_xlfn.XLOOKUP($B40,island_data!$B:$B,island_data!AE:AE,"NaN"))</f>
        <v>0</v>
      </c>
      <c r="DZ40" s="4" t="str">
        <f>IF(_xlfn.XLOOKUP($B40,island_data!$B:$B,island_data!AF:AF,"NaN")="","NaN",_xlfn.XLOOKUP($B40,island_data!$B:$B,island_data!AF:AF,"NaN"))</f>
        <v>NaN</v>
      </c>
      <c r="EA40" s="4" t="str">
        <f>IF(_xlfn.XLOOKUP($B40,island_data!$B:$B,island_data!AG:AG,"NaN")="","NaN",_xlfn.XLOOKUP($B40,island_data!$B:$B,island_data!AG:AG,"NaN"))</f>
        <v>NaN</v>
      </c>
      <c r="EB40" s="4" t="str">
        <f>IF(_xlfn.XLOOKUP($B40,island_data!$B:$B,island_data!AH:AH,"NaN")="","NaN",_xlfn.XLOOKUP($B40,island_data!$B:$B,island_data!AH:AH,"NaN"))</f>
        <v>NaN</v>
      </c>
      <c r="EC40" s="4" t="str">
        <f>IF(_xlfn.XLOOKUP($B40,island_data!$B:$B,island_data!AI:AI,"NaN")="","NaN",_xlfn.XLOOKUP($B40,island_data!$B:$B,island_data!AI:AI,"NaN"))</f>
        <v>NaN</v>
      </c>
      <c r="ED40" s="4" t="str">
        <f>IF(_xlfn.XLOOKUP($B40,island_data!$B:$B,island_data!AJ:AJ,"NaN")="","NaN",_xlfn.XLOOKUP($B40,island_data!$B:$B,island_data!AJ:AJ,"NaN"))</f>
        <v>NaN</v>
      </c>
      <c r="EE40" s="4" t="str">
        <f>IF(_xlfn.XLOOKUP($B40,island_data!$B:$B,island_data!AK:AK,"NaN")="","NaN",_xlfn.XLOOKUP($B40,island_data!$B:$B,island_data!AK:AK,"NaN"))</f>
        <v>NaN</v>
      </c>
      <c r="EF40" s="4" t="str">
        <f>IF(_xlfn.XLOOKUP($B40,island_data!$B:$B,island_data!AL:AL,"NaN")="","NaN",_xlfn.XLOOKUP($B40,island_data!$B:$B,island_data!AL:AL,"NaN"))</f>
        <v>NaN</v>
      </c>
      <c r="EG40" s="4" t="str">
        <f>IF(_xlfn.XLOOKUP($B40,island_data!$B:$B,island_data!AM:AM,"NaN")="","NaN",_xlfn.XLOOKUP($B40,island_data!$B:$B,island_data!AM:AM,"NaN"))</f>
        <v>NaN</v>
      </c>
      <c r="EH40" s="4" t="str">
        <f>IF(_xlfn.XLOOKUP($B40,island_data!$B:$B,island_data!AN:AN,"NaN")="","NaN",_xlfn.XLOOKUP($B40,island_data!$B:$B,island_data!AN:AN,"NaN"))</f>
        <v>NaN</v>
      </c>
      <c r="EI40" s="4" t="str">
        <f>IF(_xlfn.XLOOKUP($B40,island_data!$B:$B,island_data!AO:AO,"NaN")="","NaN",_xlfn.XLOOKUP($B40,island_data!$B:$B,island_data!AO:AO,"NaN"))</f>
        <v>NaN</v>
      </c>
      <c r="EJ40" s="8">
        <f>IF(_xlfn.XLOOKUP($A40,TabCAT!$A:$A,TabCAT!AU:AU,"NaN")="","NaN",(_xlfn.XLOOKUP($A40,TabCAT!$A:$A,TabCAT!AU:AU,"NaN")))</f>
        <v>219</v>
      </c>
      <c r="EK40" s="8" t="b">
        <f>IF(_xlfn.XLOOKUP($A40,TabCAT!$A:$A,TabCAT!AV:AV,"NaN")="","NaN",(_xlfn.XLOOKUP($A40,TabCAT!$A:$A,TabCAT!AV:AV,"NaN")))</f>
        <v>1</v>
      </c>
      <c r="EL40" s="8">
        <f>IF(_xlfn.XLOOKUP($A40,TabCAT!$A:$A,TabCAT!AW:AW,"NaN")="","NaN",(_xlfn.XLOOKUP($A40,TabCAT!$A:$A,TabCAT!AW:AW,"NaN")))</f>
        <v>6</v>
      </c>
      <c r="EM40" s="8">
        <f>IF(_xlfn.XLOOKUP($A40,TabCAT!$A:$A,TabCAT!AX:AX,"NaN")="","NaN",(_xlfn.XLOOKUP($A40,TabCAT!$A:$A,TabCAT!AX:AX,"NaN")))</f>
        <v>0</v>
      </c>
      <c r="EN40" s="8">
        <f>IF(_xlfn.XLOOKUP($A40,TabCAT!$A:$A,TabCAT!AY:AY,"NaN")="","NaN",(_xlfn.XLOOKUP($A40,TabCAT!$A:$A,TabCAT!AY:AY,"NaN")))</f>
        <v>7.72</v>
      </c>
      <c r="EO40" s="8">
        <f>IF(_xlfn.XLOOKUP($A40,TabCAT!$A:$A,TabCAT!AZ:AZ,"NaN")="","NaN",(_xlfn.XLOOKUP($A40,TabCAT!$A:$A,TabCAT!AZ:AZ,"NaN")))</f>
        <v>32</v>
      </c>
      <c r="EP40" s="8">
        <f>IF(_xlfn.XLOOKUP($A40,TabCAT!$A:$A,TabCAT!BA:BA,"NaN")="","NaN",(_xlfn.XLOOKUP($A40,TabCAT!$A:$A,TabCAT!BA:BA,"NaN")))</f>
        <v>0.92927000000000004</v>
      </c>
      <c r="EQ40" s="8">
        <f>IF(_xlfn.XLOOKUP($A40,TabCAT!$A:$A,TabCAT!BB:BB,"NaN")="","NaN",(_xlfn.XLOOKUP($A40,TabCAT!$A:$A,TabCAT!BB:BB,"NaN")))</f>
        <v>0.19610370441099401</v>
      </c>
      <c r="ER40" s="8">
        <f>IF(_xlfn.XLOOKUP($A40,TabCAT!$A:$A,TabCAT!BC:BC,"NaN")="","NaN",(_xlfn.XLOOKUP($A40,TabCAT!$A:$A,TabCAT!BC:BC,"NaN")))</f>
        <v>16</v>
      </c>
      <c r="ES40" s="8">
        <f>IF(_xlfn.XLOOKUP($A40,TabCAT!$A:$A,TabCAT!BD:BD,"NaN")="","NaN",(_xlfn.XLOOKUP($A40,TabCAT!$A:$A,TabCAT!BD:BD,"NaN")))</f>
        <v>0.87475550000000002</v>
      </c>
      <c r="ET40" s="8">
        <f>IF(_xlfn.XLOOKUP($A40,TabCAT!$A:$A,TabCAT!BE:BE,"NaN")="","NaN",(_xlfn.XLOOKUP($A40,TabCAT!$A:$A,TabCAT!BE:BE,"NaN")))</f>
        <v>16</v>
      </c>
      <c r="EU40" s="8">
        <f>IF(_xlfn.XLOOKUP($A40,TabCAT!$A:$A,TabCAT!BF:BF,"NaN")="","NaN",(_xlfn.XLOOKUP($A40,TabCAT!$A:$A,TabCAT!BF:BF,"NaN")))</f>
        <v>0.99171750000000003</v>
      </c>
      <c r="EV40" s="8" t="str">
        <f>IF(_xlfn.XLOOKUP($A40,TabCAT!$A:$A,TabCAT!BG:BG,"NaN")="","NaN",(_xlfn.XLOOKUP($A40,TabCAT!$A:$A,TabCAT!BG:BG,"NaN")))</f>
        <v>NaN</v>
      </c>
      <c r="EW40" s="8" t="str">
        <f>IF(_xlfn.XLOOKUP($A40,TabCAT!$A:$A,TabCAT!BH:BH,"NaN")="","NaN",(_xlfn.XLOOKUP($A40,TabCAT!$A:$A,TabCAT!BH:BH,"NaN")))</f>
        <v>3.0.0</v>
      </c>
      <c r="EX40" s="8" t="str">
        <f>IF(_xlfn.XLOOKUP($A40,TabCAT!$A:$A,TabCAT!BI:BI,"NaN")="","NaN",(_xlfn.XLOOKUP($A40,TabCAT!$A:$A,TabCAT!BI:BI,"NaN")))</f>
        <v>English</v>
      </c>
      <c r="EY40" s="8">
        <f>IF(_xlfn.XLOOKUP($A40,TabCAT!$A:$A,TabCAT!BJ:BJ,"NaN")="","NaN",(_xlfn.XLOOKUP($A40,TabCAT!$A:$A,TabCAT!BJ:BJ,"NaN")))</f>
        <v>288</v>
      </c>
      <c r="EZ40" s="8">
        <f>IF(_xlfn.XLOOKUP($A40,TabCAT!$A:$A,TabCAT!BK:BK,"NaN")="","NaN",(_xlfn.XLOOKUP($A40,TabCAT!$A:$A,TabCAT!BK:BK,"NaN")))</f>
        <v>1</v>
      </c>
      <c r="FA40" s="8">
        <f>IF(_xlfn.XLOOKUP($A40,TabCAT!$A:$A,TabCAT!BL:BL,"NaN")="","NaN",(_xlfn.XLOOKUP($A40,TabCAT!$A:$A,TabCAT!BL:BL,"NaN")))</f>
        <v>6</v>
      </c>
      <c r="FB40" s="8">
        <f>IF(_xlfn.XLOOKUP($A40,TabCAT!$A:$A,TabCAT!BM:BM,"NaN")="","NaN",(_xlfn.XLOOKUP($A40,TabCAT!$A:$A,TabCAT!BM:BM,"NaN")))</f>
        <v>1</v>
      </c>
      <c r="FC40" s="8">
        <f>IF(_xlfn.XLOOKUP($A40,TabCAT!$A:$A,TabCAT!BN:BN,"NaN")="","NaN",(_xlfn.XLOOKUP($A40,TabCAT!$A:$A,TabCAT!BN:BN,"NaN")))</f>
        <v>6</v>
      </c>
      <c r="FD40" s="8">
        <f>IF(_xlfn.XLOOKUP($A40,TabCAT!$A:$A,TabCAT!BO:BO,"NaN")="","NaN",(_xlfn.XLOOKUP($A40,TabCAT!$A:$A,TabCAT!BO:BO,"NaN")))</f>
        <v>9</v>
      </c>
      <c r="FE40" s="8">
        <f>IF(_xlfn.XLOOKUP($A40,TabCAT!$A:$A,TabCAT!BP:BP,"NaN")="","NaN",(_xlfn.XLOOKUP($A40,TabCAT!$A:$A,TabCAT!BP:BP,"NaN")))</f>
        <v>1</v>
      </c>
      <c r="FF40" s="8">
        <f>IF(_xlfn.XLOOKUP($A40,TabCAT!$A:$A,TabCAT!BQ:BQ,"NaN")="","NaN",(_xlfn.XLOOKUP($A40,TabCAT!$A:$A,TabCAT!BQ:BQ,"NaN")))</f>
        <v>8</v>
      </c>
      <c r="FG40" s="8">
        <f>IF(_xlfn.XLOOKUP($A40,TabCAT!$A:$A,TabCAT!BR:BR,"NaN")="","NaN",(_xlfn.XLOOKUP($A40,TabCAT!$A:$A,TabCAT!BR:BR,"NaN")))</f>
        <v>8</v>
      </c>
      <c r="FH40" s="8">
        <f>IF(_xlfn.XLOOKUP($A40,TabCAT!$A:$A,TabCAT!BS:BS,"NaN")="","NaN",(_xlfn.XLOOKUP($A40,TabCAT!$A:$A,TabCAT!BS:BS,"NaN")))</f>
        <v>0.66666666666666596</v>
      </c>
      <c r="FI40" s="8">
        <f>IF(_xlfn.XLOOKUP($A40,TabCAT!$A:$A,TabCAT!BT:BT,"NaN")="","NaN",(_xlfn.XLOOKUP($A40,TabCAT!$A:$A,TabCAT!BT:BT,"NaN")))</f>
        <v>7</v>
      </c>
      <c r="FJ40" s="8">
        <f>IF(_xlfn.XLOOKUP($A40,TabCAT!$A:$A,TabCAT!BU:BU,"NaN")="","NaN",(_xlfn.XLOOKUP($A40,TabCAT!$A:$A,TabCAT!BU:BU,"NaN")))</f>
        <v>8</v>
      </c>
      <c r="FK40" s="8">
        <f>IF(_xlfn.XLOOKUP($A40,TabCAT!$A:$A,TabCAT!BV:BV,"NaN")="","NaN",(_xlfn.XLOOKUP($A40,TabCAT!$A:$A,TabCAT!BV:BV,"NaN")))</f>
        <v>0.53333333333333299</v>
      </c>
      <c r="FL40" s="8">
        <f>IF(_xlfn.XLOOKUP($A40,TabCAT!$A:$A,TabCAT!BW:BW,"NaN")="","NaN",(_xlfn.XLOOKUP($A40,TabCAT!$A:$A,TabCAT!BW:BW,"NaN")))</f>
        <v>4.5</v>
      </c>
      <c r="FM40" s="8">
        <f>IF(_xlfn.XLOOKUP($A40,TabCAT!$A:$A,TabCAT!BX:BX,"NaN")="","NaN",(_xlfn.XLOOKUP($A40,TabCAT!$A:$A,TabCAT!BX:BX,"NaN")))</f>
        <v>31</v>
      </c>
      <c r="FN40" s="8">
        <f>IF(_xlfn.XLOOKUP($A40,TabCAT!$A:$A,TabCAT!BY:BY,"NaN")="","NaN",(_xlfn.XLOOKUP($A40,TabCAT!$A:$A,TabCAT!BY:BY,"NaN")))</f>
        <v>0.73809523809523803</v>
      </c>
      <c r="FO40" s="8">
        <f>IF(_xlfn.XLOOKUP($A40,TabCAT!$A:$A,TabCAT!BZ:BZ,"NaN")="","NaN",(_xlfn.XLOOKUP($A40,TabCAT!$A:$A,TabCAT!BZ:BZ,"NaN")))</f>
        <v>25.5</v>
      </c>
      <c r="FP40" s="8" t="str">
        <f>IF(_xlfn.XLOOKUP($A40,TabCAT!$A:$A,TabCAT!CA:CA,"NaN")="","NaN",(_xlfn.XLOOKUP($A40,TabCAT!$A:$A,TabCAT!CA:CA,"NaN")))</f>
        <v>3.0.0</v>
      </c>
      <c r="FQ40" s="8" t="str">
        <f>IF(_xlfn.XLOOKUP($A40,TabCAT!$A:$A,TabCAT!CB:CB,"NaN")="","NaN",(_xlfn.XLOOKUP($A40,TabCAT!$A:$A,TabCAT!CB:CB,"NaN")))</f>
        <v>English</v>
      </c>
      <c r="FR40" s="8">
        <f>IF(_xlfn.XLOOKUP($A40,TabCAT!$A:$A,TabCAT!CC:CC,"NaN")="","NaN",(_xlfn.XLOOKUP($A40,TabCAT!$A:$A,TabCAT!CC:CC,"NaN")))</f>
        <v>262</v>
      </c>
      <c r="FS40" s="8" t="b">
        <f>IF(_xlfn.XLOOKUP($A40,TabCAT!$A:$A,TabCAT!CD:CD,"NaN")="","NaN",(_xlfn.XLOOKUP($A40,TabCAT!$A:$A,TabCAT!CD:CD,"NaN")))</f>
        <v>1</v>
      </c>
      <c r="FT40" s="8">
        <f>IF(_xlfn.XLOOKUP($A40,TabCAT!$A:$A,TabCAT!CE:CE,"NaN")="","NaN",(_xlfn.XLOOKUP($A40,TabCAT!$A:$A,TabCAT!CE:CE,"NaN")))</f>
        <v>8</v>
      </c>
      <c r="FU40" s="8">
        <f>IF(_xlfn.XLOOKUP($A40,TabCAT!$A:$A,TabCAT!CF:CF,"NaN")="","NaN",(_xlfn.XLOOKUP($A40,TabCAT!$A:$A,TabCAT!CF:CF,"NaN")))</f>
        <v>0</v>
      </c>
      <c r="FV40" s="8">
        <f>IF(_xlfn.XLOOKUP($A40,TabCAT!$A:$A,TabCAT!CG:CG,"NaN")="","NaN",(_xlfn.XLOOKUP($A40,TabCAT!$A:$A,TabCAT!CG:CG,"NaN")))</f>
        <v>7.42</v>
      </c>
      <c r="FW40" s="8">
        <f>IF(_xlfn.XLOOKUP($A40,TabCAT!$A:$A,TabCAT!CH:CH,"NaN")="","NaN",(_xlfn.XLOOKUP($A40,TabCAT!$A:$A,TabCAT!CH:CH,"NaN")))</f>
        <v>13</v>
      </c>
      <c r="FX40" s="8">
        <f>IF(_xlfn.XLOOKUP($A40,TabCAT!$A:$A,TabCAT!CI:CI,"NaN")="","NaN",(_xlfn.XLOOKUP($A40,TabCAT!$A:$A,TabCAT!CI:CI,"NaN")))</f>
        <v>0.91285499999999997</v>
      </c>
      <c r="FY40" s="8">
        <f>IF(_xlfn.XLOOKUP($A40,TabCAT!$A:$A,TabCAT!CJ:CJ,"NaN")="","NaN",(_xlfn.XLOOKUP($A40,TabCAT!$A:$A,TabCAT!CJ:CJ,"NaN")))</f>
        <v>16</v>
      </c>
      <c r="FZ40" s="8">
        <f>IF(_xlfn.XLOOKUP($A40,TabCAT!$A:$A,TabCAT!CK:CK,"NaN")="","NaN",(_xlfn.XLOOKUP($A40,TabCAT!$A:$A,TabCAT!CK:CK,"NaN")))</f>
        <v>0.79212099999999996</v>
      </c>
      <c r="GA40" s="8">
        <f>IF(_xlfn.XLOOKUP($A40,TabCAT!$A:$A,TabCAT!CL:CL,"NaN")="","NaN",(_xlfn.XLOOKUP($A40,TabCAT!$A:$A,TabCAT!CL:CL,"NaN")))</f>
        <v>31</v>
      </c>
      <c r="GB40" s="8">
        <f>IF(_xlfn.XLOOKUP($A40,TabCAT!$A:$A,TabCAT!CM:CM,"NaN")="","NaN",(_xlfn.XLOOKUP($A40,TabCAT!$A:$A,TabCAT!CM:CM,"NaN")))</f>
        <v>0.93774800000000003</v>
      </c>
      <c r="GC40" s="8">
        <f>IF(_xlfn.XLOOKUP($A40,TabCAT!$A:$A,TabCAT!CN:CN,"NaN")="","NaN",(_xlfn.XLOOKUP($A40,TabCAT!$A:$A,TabCAT!CN:CN,"NaN")))</f>
        <v>21</v>
      </c>
      <c r="GD40" s="8">
        <f>IF(_xlfn.XLOOKUP($A40,TabCAT!$A:$A,TabCAT!CO:CO,"NaN")="","NaN",(_xlfn.XLOOKUP($A40,TabCAT!$A:$A,TabCAT!CO:CO,"NaN")))</f>
        <v>1.0297289999999999</v>
      </c>
      <c r="GE40" s="8">
        <f>IF(_xlfn.XLOOKUP($A40,TabCAT!$A:$A,TabCAT!CP:CP,"NaN")="","NaN",(_xlfn.XLOOKUP($A40,TabCAT!$A:$A,TabCAT!CP:CP,"NaN")))</f>
        <v>0.29175310203162302</v>
      </c>
      <c r="GF40" s="8">
        <f>IF(_xlfn.XLOOKUP($A40,TabCAT!$A:$A,TabCAT!CQ:CQ,"NaN")="","NaN",(_xlfn.XLOOKUP($A40,TabCAT!$A:$A,TabCAT!CQ:CQ,"NaN")))</f>
        <v>49</v>
      </c>
      <c r="GG40" s="8">
        <f>IF(_xlfn.XLOOKUP($A40,TabCAT!$A:$A,TabCAT!CR:CR,"NaN")="","NaN",(_xlfn.XLOOKUP($A40,TabCAT!$A:$A,TabCAT!CR:CR,"NaN")))</f>
        <v>0.82949300000000004</v>
      </c>
      <c r="GH40" s="8" t="str">
        <f>IF(_xlfn.XLOOKUP($A40,TabCAT!$A:$A,TabCAT!CS:CS,"NaN")="","NaN",(_xlfn.XLOOKUP($A40,TabCAT!$A:$A,TabCAT!CS:CS,"NaN")))</f>
        <v>NaN</v>
      </c>
    </row>
    <row r="41" spans="1:190" x14ac:dyDescent="0.2">
      <c r="A41">
        <v>10674</v>
      </c>
      <c r="B41">
        <f>_xlfn.XLOOKUP(bippity_poppity_boo!A41,rf1_data!A:A,rf1_data!B:B)</f>
        <v>11190</v>
      </c>
      <c r="C41" s="2">
        <f>(_xlfn.XLOOKUP($A41,trust!$A:$A,trust!B:B,"NaN"))</f>
        <v>5.2857139999999996</v>
      </c>
      <c r="D41" s="2">
        <f>(_xlfn.XLOOKUP($A41,trust!$A:$A,trust!C:C,"NaN"))</f>
        <v>6.9230770000000001</v>
      </c>
      <c r="E41" s="2">
        <f>(_xlfn.XLOOKUP($A41,trust!$A:$A,trust!D:D,"NaN"))</f>
        <v>6.8571429999999998</v>
      </c>
      <c r="F41" s="2">
        <f>(_xlfn.XLOOKUP($A41,trust!$A:$A,trust!E:E,"NaN"))</f>
        <v>5.3846150000000002</v>
      </c>
      <c r="G41" s="2">
        <f>(_xlfn.XLOOKUP($A41,trust!$A:$A,trust!F:F,"NaN"))</f>
        <v>5.6923079999999997</v>
      </c>
      <c r="H41" s="2">
        <f>(_xlfn.XLOOKUP($A41,trust!$A:$A,trust!G:G,"NaN"))</f>
        <v>6.1428570000000002</v>
      </c>
      <c r="I41" s="3">
        <f>IF(_xlfn.XLOOKUP($B41,island_data!$B:$B,island_data!C:C,"NaN")="","NaN",_xlfn.XLOOKUP($B41,island_data!$B:$B,island_data!C:C,"NaN"))</f>
        <v>45019</v>
      </c>
      <c r="J41" s="3">
        <f>IF(_xlfn.XLOOKUP($B41,island_data!$B:$B,island_data!D:D,"NaN")="","NaN",_xlfn.XLOOKUP($B41,island_data!$B:$B,island_data!D:D,"NaN"))</f>
        <v>32924</v>
      </c>
      <c r="K41" s="4">
        <f>IF(_xlfn.XLOOKUP($B41,island_data!$B:$B,island_data!E:E,"NaN")="","NaN",_xlfn.XLOOKUP($B41,island_data!$B:$B,island_data!E:E,"NaN"))</f>
        <v>33.11</v>
      </c>
      <c r="L41" s="5">
        <f>IF(_xlfn.XLOOKUP($B41,rf1_data!$B:$B,rf1_data!D:D,"NaN")="","NaN",(_xlfn.XLOOKUP($B41,rf1_data!$B:$B,rf1_data!D:D,"NaN")))</f>
        <v>33.200000000000003</v>
      </c>
      <c r="M41" s="5" t="str">
        <f>IF(_xlfn.XLOOKUP($B41,rf1_data!$B:$B,rf1_data!E:E,"NaN")="","NaN",(_xlfn.XLOOKUP($B41,rf1_data!$B:$B,rf1_data!E:E,"NaN")))</f>
        <v>Black or African American</v>
      </c>
      <c r="N41" s="5" t="str">
        <f>IF(_xlfn.XLOOKUP($B41,rf1_data!$B:$B,rf1_data!F:F,"NaN")="","NaN",(_xlfn.XLOOKUP($B41,rf1_data!$B:$B,rf1_data!F:F,"NaN")))</f>
        <v>Not Hispanic or Latino</v>
      </c>
      <c r="O41" s="5" t="str">
        <f>IF(_xlfn.XLOOKUP($B41,rf1_data!$B:$B,rf1_data!G:G,"NaN")="","NaN",(_xlfn.XLOOKUP($B41,rf1_data!$B:$B,rf1_data!G:G,"NaN")))</f>
        <v>Male</v>
      </c>
      <c r="P41" s="5">
        <f>IF(_xlfn.XLOOKUP($B41,rf1_data!$B:$B,rf1_data!H:H,"NaN")="","NaN",(_xlfn.XLOOKUP($B41,rf1_data!$B:$B,rf1_data!H:H,"NaN")))</f>
        <v>4.22</v>
      </c>
      <c r="Q41" s="5">
        <f>IF(_xlfn.XLOOKUP($B41,rf1_data!$B:$B,rf1_data!I:I,"NaN")="","NaN",(_xlfn.XLOOKUP($B41,rf1_data!$B:$B,rf1_data!I:I,"NaN")))</f>
        <v>4.2</v>
      </c>
      <c r="R41" s="5">
        <f>IF(_xlfn.XLOOKUP($B41,rf1_data!$B:$B,rf1_data!J:J,"NaN")="","NaN",(_xlfn.XLOOKUP($B41,rf1_data!$B:$B,rf1_data!J:J,"NaN")))</f>
        <v>1</v>
      </c>
      <c r="S41" s="5">
        <f>IF(_xlfn.XLOOKUP($B41,rf1_data!$B:$B,rf1_data!K:K,"NaN")="","NaN",(_xlfn.XLOOKUP($B41,rf1_data!$B:$B,rf1_data!K:K,"NaN")))</f>
        <v>0</v>
      </c>
      <c r="T41" s="5">
        <f>IF(_xlfn.XLOOKUP($B41,rf1_data!$B:$B,rf1_data!L:L,"NaN")="","NaN",(_xlfn.XLOOKUP($B41,rf1_data!$B:$B,rf1_data!L:L,"NaN")))</f>
        <v>0</v>
      </c>
      <c r="U41" s="5">
        <f>IF(_xlfn.XLOOKUP($B41,rf1_data!$B:$B,rf1_data!M:M,"NaN")="","NaN",(_xlfn.XLOOKUP($B41,rf1_data!$B:$B,rf1_data!M:M,"NaN")))</f>
        <v>6.17</v>
      </c>
      <c r="V41" s="5">
        <f>IF(_xlfn.XLOOKUP($B41,rf1_data!$B:$B,rf1_data!N:N,"NaN")="","NaN",(_xlfn.XLOOKUP($B41,rf1_data!$B:$B,rf1_data!N:N,"NaN")))</f>
        <v>6.33</v>
      </c>
      <c r="W41" s="5">
        <f>IF(_xlfn.XLOOKUP($B41,rf1_data!$B:$B,rf1_data!O:O,"NaN")="","NaN",(_xlfn.XLOOKUP($B41,rf1_data!$B:$B,rf1_data!O:O,"NaN")))</f>
        <v>6.5</v>
      </c>
      <c r="X41" s="5">
        <f>IF(_xlfn.XLOOKUP($B41,rf1_data!$B:$B,rf1_data!P:P,"NaN")="","NaN",(_xlfn.XLOOKUP($B41,rf1_data!$B:$B,rf1_data!P:P,"NaN")))</f>
        <v>6.33</v>
      </c>
      <c r="Y41" s="5">
        <f>IF(_xlfn.XLOOKUP($B41,rf1_data!$B:$B,rf1_data!Q:Q,"NaN")="","NaN",(_xlfn.XLOOKUP($B41,rf1_data!$B:$B,rf1_data!Q:Q,"NaN")))</f>
        <v>6.4</v>
      </c>
      <c r="Z41" s="5">
        <f>IF(_xlfn.XLOOKUP($B41,rf1_data!$B:$B,rf1_data!R:R,"NaN")="","NaN",(_xlfn.XLOOKUP($B41,rf1_data!$B:$B,rf1_data!R:R,"NaN")))</f>
        <v>3</v>
      </c>
      <c r="AA41" s="5">
        <f>IF(_xlfn.XLOOKUP($B41,rf1_data!$B:$B,rf1_data!S:S,"NaN")="","NaN",(_xlfn.XLOOKUP($B41,rf1_data!$B:$B,rf1_data!S:S,"NaN")))</f>
        <v>1</v>
      </c>
      <c r="AB41" s="5">
        <f>IF(_xlfn.XLOOKUP($B41,rf1_data!$B:$B,rf1_data!T:T,"NaN")="","NaN",(_xlfn.XLOOKUP($B41,rf1_data!$B:$B,rf1_data!T:T,"NaN")))</f>
        <v>0</v>
      </c>
      <c r="AC41" s="5">
        <f>IF(_xlfn.XLOOKUP($B41,rf1_data!$B:$B,rf1_data!U:U,"NaN")="","NaN",(_xlfn.XLOOKUP($B41,rf1_data!$B:$B,rf1_data!U:U,"NaN")))</f>
        <v>2</v>
      </c>
      <c r="AD41" s="5">
        <f>IF(_xlfn.XLOOKUP($B41,rf1_data!$B:$B,rf1_data!V:V,"NaN")="","NaN",(_xlfn.XLOOKUP($B41,rf1_data!$B:$B,rf1_data!V:V,"NaN")))</f>
        <v>0</v>
      </c>
      <c r="AE41" s="5">
        <f>IF(_xlfn.XLOOKUP($B41,rf1_data!$B:$B,rf1_data!W:W,"NaN")="","NaN",(_xlfn.XLOOKUP($B41,rf1_data!$B:$B,rf1_data!W:W,"NaN")))</f>
        <v>0</v>
      </c>
      <c r="AF41" s="5">
        <f>IF(_xlfn.XLOOKUP($B41,rf1_data!$B:$B,rf1_data!X:X,"NaN")="","NaN",(_xlfn.XLOOKUP($B41,rf1_data!$B:$B,rf1_data!X:X,"NaN")))</f>
        <v>2</v>
      </c>
      <c r="AG41" s="5">
        <f>IF(_xlfn.XLOOKUP($B41,rf1_data!$B:$B,rf1_data!Y:Y,"NaN")="","NaN",(_xlfn.XLOOKUP($B41,rf1_data!$B:$B,rf1_data!Y:Y,"NaN")))</f>
        <v>5</v>
      </c>
      <c r="AH41" s="5">
        <f>IF(_xlfn.XLOOKUP($B41,rf1_data!$B:$B,rf1_data!Z:Z,"NaN")="","NaN",(_xlfn.XLOOKUP($B41,rf1_data!$B:$B,rf1_data!Z:Z,"NaN")))</f>
        <v>1</v>
      </c>
      <c r="AI41" s="5">
        <f>IF(_xlfn.XLOOKUP($B41,rf1_data!$B:$B,rf1_data!AA:AA,"NaN")="","NaN",(_xlfn.XLOOKUP($B41,rf1_data!$B:$B,rf1_data!AA:AA,"NaN")))</f>
        <v>2</v>
      </c>
      <c r="AJ41" s="5">
        <f>IF(_xlfn.XLOOKUP($B41,rf1_data!$B:$B,rf1_data!AB:AB,"NaN")="","NaN",(_xlfn.XLOOKUP($B41,rf1_data!$B:$B,rf1_data!AB:AB,"NaN")))</f>
        <v>10</v>
      </c>
      <c r="AK41" s="5">
        <f>IF(_xlfn.XLOOKUP($B41,rf1_data!$B:$B,rf1_data!AC:AC,"NaN")="","NaN",(_xlfn.XLOOKUP($B41,rf1_data!$B:$B,rf1_data!AC:AC,"NaN")))</f>
        <v>37</v>
      </c>
      <c r="AL41" s="5">
        <f>IF(_xlfn.XLOOKUP($B41,rf1_data!$B:$B,rf1_data!AD:AD,"NaN")="","NaN",(_xlfn.XLOOKUP($B41,rf1_data!$B:$B,rf1_data!AD:AD,"NaN")))</f>
        <v>10</v>
      </c>
      <c r="AM41" s="5">
        <f>IF(_xlfn.XLOOKUP($B41,rf1_data!$B:$B,rf1_data!AE:AE,"NaN")="","NaN",(_xlfn.XLOOKUP($B41,rf1_data!$B:$B,rf1_data!AE:AE,"NaN")))</f>
        <v>0</v>
      </c>
      <c r="AN41" s="5">
        <f>IF(_xlfn.XLOOKUP($B41,rf1_data!$B:$B,rf1_data!AF:AF,"NaN")="","NaN",(_xlfn.XLOOKUP($B41,rf1_data!$B:$B,rf1_data!AF:AF,"NaN")))</f>
        <v>0</v>
      </c>
      <c r="AO41" s="5">
        <f>IF(_xlfn.XLOOKUP($B41,rf1_data!$B:$B,rf1_data!AG:AG,"NaN")="","NaN",(_xlfn.XLOOKUP($B41,rf1_data!$B:$B,rf1_data!AG:AG,"NaN")))</f>
        <v>6.83</v>
      </c>
      <c r="AP41" s="5">
        <f>IF(_xlfn.XLOOKUP($B41,rf1_data!$B:$B,rf1_data!AH:AH,"NaN")="","NaN",(_xlfn.XLOOKUP($B41,rf1_data!$B:$B,rf1_data!AH:AH,"NaN")))</f>
        <v>6.5</v>
      </c>
      <c r="AQ41" s="5">
        <f>IF(_xlfn.XLOOKUP($B41,rf1_data!$B:$B,rf1_data!AI:AI,"NaN")="","NaN",(_xlfn.XLOOKUP($B41,rf1_data!$B:$B,rf1_data!AI:AI,"NaN")))</f>
        <v>7</v>
      </c>
      <c r="AR41" s="5">
        <f>IF(_xlfn.XLOOKUP($B41,rf1_data!$B:$B,rf1_data!AJ:AJ,"NaN")="","NaN",(_xlfn.XLOOKUP($B41,rf1_data!$B:$B,rf1_data!AJ:AJ,"NaN")))</f>
        <v>7</v>
      </c>
      <c r="AS41" s="5">
        <f>IF(_xlfn.XLOOKUP($B41,rf1_data!$B:$B,rf1_data!AK:AK,"NaN")="","NaN",(_xlfn.XLOOKUP($B41,rf1_data!$B:$B,rf1_data!AK:AK,"NaN")))</f>
        <v>2.5</v>
      </c>
      <c r="AT41" s="5">
        <f>IF(_xlfn.XLOOKUP($B41,rf1_data!$B:$B,rf1_data!AL:AL,"NaN")="","NaN",(_xlfn.XLOOKUP($B41,rf1_data!$B:$B,rf1_data!AL:AL,"NaN")))</f>
        <v>6</v>
      </c>
      <c r="AU41" s="5">
        <f>IF(_xlfn.XLOOKUP($B41,rf1_data!$B:$B,rf1_data!AM:AM,"NaN")="","NaN",(_xlfn.XLOOKUP($B41,rf1_data!$B:$B,rf1_data!AM:AM,"NaN")))</f>
        <v>1.42</v>
      </c>
      <c r="AV41" s="5">
        <f>IF(_xlfn.XLOOKUP($B41,rf1_data!$B:$B,rf1_data!AN:AN,"NaN")="","NaN",(_xlfn.XLOOKUP($B41,rf1_data!$B:$B,rf1_data!AN:AN,"NaN")))</f>
        <v>0</v>
      </c>
      <c r="AW41" s="5">
        <f>IF(_xlfn.XLOOKUP($B41,rf1_data!$B:$B,rf1_data!AO:AO,"NaN")="","NaN",(_xlfn.XLOOKUP($B41,rf1_data!$B:$B,rf1_data!AO:AO,"NaN")))</f>
        <v>3</v>
      </c>
      <c r="AX41" s="5">
        <f>IF(_xlfn.XLOOKUP($B41,rf1_data!$B:$B,rf1_data!AP:AP,"NaN")="","NaN",(_xlfn.XLOOKUP($B41,rf1_data!$B:$B,rf1_data!AP:AP,"NaN")))</f>
        <v>2.46</v>
      </c>
      <c r="AY41" s="5">
        <f>IF(_xlfn.XLOOKUP($B41,rf1_data!$B:$B,rf1_data!AQ:AQ,"NaN")="","NaN",(_xlfn.XLOOKUP($B41,rf1_data!$B:$B,rf1_data!AQ:AQ,"NaN")))</f>
        <v>85</v>
      </c>
      <c r="AZ41" s="5" t="str">
        <f>IF(_xlfn.XLOOKUP($B41,rf1_data!$B:$B,rf1_data!AR:AR,"NaN")="","NaN",(_xlfn.XLOOKUP($B41,rf1_data!$B:$B,rf1_data!AR:AR,"NaN")))</f>
        <v>NaN</v>
      </c>
      <c r="BA41" s="5" t="str">
        <f>IF(_xlfn.XLOOKUP($B41,rf1_data!$B:$B,rf1_data!AS:AS,"NaN")="","NaN",(_xlfn.XLOOKUP($B41,rf1_data!$B:$B,rf1_data!AS:AS,"NaN")))</f>
        <v>NaN</v>
      </c>
      <c r="BB41" s="5" t="str">
        <f>IF(_xlfn.XLOOKUP($B41,rf1_data!$B:$B,rf1_data!AT:AT,"NaN")="","NaN",(_xlfn.XLOOKUP($B41,rf1_data!$B:$B,rf1_data!AT:AT,"NaN")))</f>
        <v>NaN</v>
      </c>
      <c r="BC41" s="5" t="str">
        <f>IF(_xlfn.XLOOKUP($B41,rf1_data!$B:$B,rf1_data!AU:AU,"NaN")="","NaN",(_xlfn.XLOOKUP($B41,rf1_data!$B:$B,rf1_data!AU:AU,"NaN")))</f>
        <v>NaN</v>
      </c>
      <c r="BD41" s="5" t="str">
        <f>IF(_xlfn.XLOOKUP($B41,rf1_data!$B:$B,rf1_data!AV:AV,"NaN")="","NaN",(_xlfn.XLOOKUP($B41,rf1_data!$B:$B,rf1_data!AV:AV,"NaN")))</f>
        <v>NaN</v>
      </c>
      <c r="BE41" s="5" t="str">
        <f>IF(_xlfn.XLOOKUP($B41,rf1_data!$B:$B,rf1_data!AW:AW,"NaN")="","NaN",(_xlfn.XLOOKUP($B41,rf1_data!$B:$B,rf1_data!AW:AW,"NaN")))</f>
        <v>NaN</v>
      </c>
      <c r="BF41" s="5" t="str">
        <f>IF(_xlfn.XLOOKUP($B41,rf1_data!$B:$B,rf1_data!AX:AX,"NaN")="","NaN",(_xlfn.XLOOKUP($B41,rf1_data!$B:$B,rf1_data!AX:AX,"NaN")))</f>
        <v>NaN</v>
      </c>
      <c r="BG41" s="5" t="str">
        <f>IF(_xlfn.XLOOKUP($B41,rf1_data!$B:$B,rf1_data!AY:AY,"NaN")="","NaN",(_xlfn.XLOOKUP($B41,rf1_data!$B:$B,rf1_data!AY:AY,"NaN")))</f>
        <v>NaN</v>
      </c>
      <c r="BH41" s="5" t="str">
        <f>IF(_xlfn.XLOOKUP($B41,rf1_data!$B:$B,rf1_data!AZ:AZ,"NaN")="","NaN",(_xlfn.XLOOKUP($B41,rf1_data!$B:$B,rf1_data!AZ:AZ,"NaN")))</f>
        <v>NaN</v>
      </c>
      <c r="BI41" s="5">
        <f>IF(_xlfn.XLOOKUP($B41,rf1_data!$B:$B,rf1_data!BA:BA,"NaN")="","NaN",(_xlfn.XLOOKUP($B41,rf1_data!$B:$B,rf1_data!BA:BA,"NaN")))</f>
        <v>20</v>
      </c>
      <c r="BJ41" s="5" t="str">
        <f>IF(_xlfn.XLOOKUP($B41,rf1_data!$B:$B,rf1_data!BB:BB,"NaN")="","NaN",(_xlfn.XLOOKUP($B41,rf1_data!$B:$B,rf1_data!BB:BB,"NaN")))</f>
        <v>NaN</v>
      </c>
      <c r="BK41" s="5" t="str">
        <f>IF(_xlfn.XLOOKUP($B41,rf1_data!$B:$B,rf1_data!BC:BC,"NaN")="","NaN",(_xlfn.XLOOKUP($B41,rf1_data!$B:$B,rf1_data!BC:BC,"NaN")))</f>
        <v>NaN</v>
      </c>
      <c r="BL41" s="5" t="str">
        <f>IF(_xlfn.XLOOKUP($B41,rf1_data!$B:$B,rf1_data!BD:BD,"NaN")="","NaN",(_xlfn.XLOOKUP($B41,rf1_data!$B:$B,rf1_data!BD:BD,"NaN")))</f>
        <v>NaN</v>
      </c>
      <c r="BM41" s="5" t="str">
        <f>IF(_xlfn.XLOOKUP($B41,rf1_data!$B:$B,rf1_data!BE:BE,"NaN")="","NaN",(_xlfn.XLOOKUP($B41,rf1_data!$B:$B,rf1_data!BE:BE,"NaN")))</f>
        <v>NaN</v>
      </c>
      <c r="BN41" s="5" t="str">
        <f>IF(_xlfn.XLOOKUP($B41,rf1_data!$B:$B,rf1_data!BF:BF,"NaN")="","NaN",(_xlfn.XLOOKUP($B41,rf1_data!$B:$B,rf1_data!BF:BF,"NaN")))</f>
        <v>NaN</v>
      </c>
      <c r="BO41" s="5" t="str">
        <f>IF(_xlfn.XLOOKUP($B41,rf1_data!$B:$B,rf1_data!BG:BG,"NaN")="","NaN",(_xlfn.XLOOKUP($B41,rf1_data!$B:$B,rf1_data!BG:BG,"NaN")))</f>
        <v>NaN</v>
      </c>
      <c r="BP41" s="5" t="str">
        <f>IF(_xlfn.XLOOKUP($B41,rf1_data!$B:$B,rf1_data!BH:BH,"NaN")="","NaN",(_xlfn.XLOOKUP($B41,rf1_data!$B:$B,rf1_data!BH:BH,"NaN")))</f>
        <v>NaN</v>
      </c>
      <c r="BQ41" s="5" t="str">
        <f>IF(_xlfn.XLOOKUP($B41,rf1_data!$B:$B,rf1_data!BI:BI,"NaN")="","NaN",(_xlfn.XLOOKUP($B41,rf1_data!$B:$B,rf1_data!BI:BI,"NaN")))</f>
        <v>NaN</v>
      </c>
      <c r="BR41" s="5">
        <f>IF(_xlfn.XLOOKUP($B41,rf1_data!$B:$B,rf1_data!BJ:BJ,"NaN")="","NaN",(_xlfn.XLOOKUP($B41,rf1_data!$B:$B,rf1_data!BJ:BJ,"NaN")))</f>
        <v>8991</v>
      </c>
      <c r="BS41" s="5" t="str">
        <f>IF(_xlfn.XLOOKUP($B41,rf1_data!$B:$B,rf1_data!BK:BK,"NaN")="","NaN",(_xlfn.XLOOKUP($B41,rf1_data!$B:$B,rf1_data!BK:BK,"NaN")))</f>
        <v>NaN</v>
      </c>
      <c r="BT41" s="5" t="str">
        <f>IF(_xlfn.XLOOKUP($B41,rf1_data!$B:$B,rf1_data!BL:BL,"NaN")="","NaN",(_xlfn.XLOOKUP($B41,rf1_data!$B:$B,rf1_data!BL:BL,"NaN")))</f>
        <v>NaN</v>
      </c>
      <c r="BU41" s="5" t="str">
        <f>IF(_xlfn.XLOOKUP($B41,rf1_data!$B:$B,rf1_data!BM:BM,"NaN")="","NaN",(_xlfn.XLOOKUP($B41,rf1_data!$B:$B,rf1_data!BM:BM,"NaN")))</f>
        <v>NaN</v>
      </c>
      <c r="BV41" s="5" t="str">
        <f>IF(_xlfn.XLOOKUP($B41,rf1_data!$B:$B,rf1_data!BN:BN,"NaN")="","NaN",(_xlfn.XLOOKUP($B41,rf1_data!$B:$B,rf1_data!BN:BN,"NaN")))</f>
        <v>NaN</v>
      </c>
      <c r="BW41" s="5">
        <f>IF(_xlfn.XLOOKUP($B41,rf1_data!$B:$B,rf1_data!BO:BO,"NaN")="","NaN",(_xlfn.XLOOKUP($B41,rf1_data!$B:$B,rf1_data!BO:BO,"NaN")))</f>
        <v>4.5</v>
      </c>
      <c r="BX41" s="5">
        <f>IF(_xlfn.XLOOKUP($B41,rf1_data!$B:$B,rf1_data!BP:BP,"NaN")="","NaN",(_xlfn.XLOOKUP($B41,rf1_data!$B:$B,rf1_data!BP:BP,"NaN")))</f>
        <v>4.5999999999999996</v>
      </c>
      <c r="BY41" s="5">
        <f>IF(_xlfn.XLOOKUP($B41,rf1_data!$B:$B,rf1_data!BQ:BQ,"NaN")="","NaN",(_xlfn.XLOOKUP($B41,rf1_data!$B:$B,rf1_data!BQ:BQ,"NaN")))</f>
        <v>4.4000000000000004</v>
      </c>
      <c r="BZ41" s="5">
        <f>IF(_xlfn.XLOOKUP($B41,rf1_data!$B:$B,rf1_data!BR:BR,"NaN")="","NaN",(_xlfn.XLOOKUP($B41,rf1_data!$B:$B,rf1_data!BR:BR,"NaN")))</f>
        <v>4.5</v>
      </c>
      <c r="CA41" s="5">
        <f>IF(_xlfn.XLOOKUP($B41,rf1_data!$B:$B,rf1_data!BS:BS,"NaN")="","NaN",(_xlfn.XLOOKUP($B41,rf1_data!$B:$B,rf1_data!BS:BS,"NaN")))</f>
        <v>6</v>
      </c>
      <c r="CB41" s="5">
        <f>IF(_xlfn.XLOOKUP($B41,rf1_data!$B:$B,rf1_data!BT:BT,"NaN")="","NaN",(_xlfn.XLOOKUP($B41,rf1_data!$B:$B,rf1_data!BT:BT,"NaN")))</f>
        <v>6</v>
      </c>
      <c r="CC41" s="5">
        <f>IF(_xlfn.XLOOKUP($B41,rf1_data!$B:$B,rf1_data!BU:BU,"NaN")="","NaN",(_xlfn.XLOOKUP($B41,rf1_data!$B:$B,rf1_data!BU:BU,"NaN")))</f>
        <v>6</v>
      </c>
      <c r="CD41" s="5">
        <f>IF(_xlfn.XLOOKUP($B41,rf1_data!$B:$B,rf1_data!BV:BV,"NaN")="","NaN",(_xlfn.XLOOKUP($B41,rf1_data!$B:$B,rf1_data!BV:BV,"NaN")))</f>
        <v>6</v>
      </c>
      <c r="CE41" s="5">
        <f>IF(_xlfn.XLOOKUP($B41,rf1_data!$B:$B,rf1_data!BW:BW,"NaN")="","NaN",(_xlfn.XLOOKUP($B41,rf1_data!$B:$B,rf1_data!BW:BW,"NaN")))</f>
        <v>0.3</v>
      </c>
      <c r="CF41" s="5">
        <f>IF(_xlfn.XLOOKUP($B41,rf1_data!$B:$B,rf1_data!BX:BX,"NaN")="","NaN",(_xlfn.XLOOKUP($B41,rf1_data!$B:$B,rf1_data!BX:BX,"NaN")))</f>
        <v>0</v>
      </c>
      <c r="CG41" s="5">
        <f>IF(_xlfn.XLOOKUP($B41,rf1_data!$B:$B,rf1_data!BY:BY,"NaN")="","NaN",(_xlfn.XLOOKUP($B41,rf1_data!$B:$B,rf1_data!BY:BY,"NaN")))</f>
        <v>0</v>
      </c>
      <c r="CH41" s="5">
        <f>IF(_xlfn.XLOOKUP($B41,rf1_data!$B:$B,rf1_data!BZ:BZ,"NaN")="","NaN",(_xlfn.XLOOKUP($B41,rf1_data!$B:$B,rf1_data!BZ:BZ,"NaN")))</f>
        <v>28</v>
      </c>
      <c r="CI41" s="5">
        <f>IF(_xlfn.XLOOKUP($B41,rf1_data!$B:$B,rf1_data!CA:CA,"NaN")="","NaN",(_xlfn.XLOOKUP($B41,rf1_data!$B:$B,rf1_data!CA:CA,"NaN")))</f>
        <v>20</v>
      </c>
      <c r="CJ41" s="5">
        <f>IF(_xlfn.XLOOKUP($B41,rf1_data!$B:$B,rf1_data!CB:CB,"NaN")="","NaN",(_xlfn.XLOOKUP($B41,rf1_data!$B:$B,rf1_data!CB:CB,"NaN")))</f>
        <v>9</v>
      </c>
      <c r="CK41" s="5">
        <f>IF(_xlfn.XLOOKUP($B41,rf1_data!$B:$B,rf1_data!CC:CC,"NaN")="","NaN",(_xlfn.XLOOKUP($B41,rf1_data!$B:$B,rf1_data!CC:CC,"NaN")))</f>
        <v>0.75</v>
      </c>
      <c r="CL41" s="5">
        <f>IF(_xlfn.XLOOKUP($B41,rf1_data!$B:$B,rf1_data!CD:CD,"NaN")=0,"NaN",(_xlfn.XLOOKUP($B41,rf1_data!$B:$B,rf1_data!CD:CD,"NaN")))</f>
        <v>35</v>
      </c>
      <c r="CM41" s="5">
        <f>IF(_xlfn.XLOOKUP($B41,rf1_data!$B:$B,rf1_data!CE:CE,"NaN")="","NaN",(_xlfn.XLOOKUP($B41,rf1_data!$B:$B,rf1_data!CE:CE,"NaN")))</f>
        <v>30</v>
      </c>
      <c r="CN41" s="5">
        <f>IF(_xlfn.XLOOKUP($B41,rf1_data!$B:$B,rf1_data!CF:CF,"NaN")="","NaN",(_xlfn.XLOOKUP($B41,rf1_data!$B:$B,rf1_data!CF:CF,"NaN")))</f>
        <v>41</v>
      </c>
      <c r="CO41" s="5">
        <f>IF(_xlfn.XLOOKUP($B41,rf1_data!$B:$B,rf1_data!CG:CG,"NaN")="","NaN",(_xlfn.XLOOKUP($B41,rf1_data!$B:$B,rf1_data!CG:CG,"NaN")))</f>
        <v>20</v>
      </c>
      <c r="CP41" s="5">
        <f>IF(_xlfn.XLOOKUP($B41,rf1_data!$B:$B,rf1_data!CH:CH,"NaN")=0,"NaN",(_xlfn.XLOOKUP($B41,rf1_data!$B:$B,rf1_data!CH:CH,"NaN")))</f>
        <v>32</v>
      </c>
      <c r="CQ41" s="5">
        <f>IF(_xlfn.XLOOKUP($B41,rf1_data!$B:$B,rf1_data!CI:CI,"NaN")="","NaN",(_xlfn.XLOOKUP($B41,rf1_data!$B:$B,rf1_data!CI:CI,"NaN")))</f>
        <v>48</v>
      </c>
      <c r="CR41" s="5">
        <f>IF(_xlfn.XLOOKUP($B41,rf1_data!$B:$B,rf1_data!CJ:CJ,"NaN")="","NaN",(_xlfn.XLOOKUP($B41,rf1_data!$B:$B,rf1_data!CJ:CJ,"NaN")))</f>
        <v>55</v>
      </c>
      <c r="CS41" s="5">
        <f>IF(_xlfn.XLOOKUP($B41,rf1_data!$B:$B,rf1_data!CK:CK,"NaN")="","NaN",(_xlfn.XLOOKUP($B41,rf1_data!$B:$B,rf1_data!CK:CK,"NaN")))</f>
        <v>38</v>
      </c>
      <c r="CT41" s="5">
        <f>IF(_xlfn.XLOOKUP($B41,rf1_data!$B:$B,rf1_data!CL:CL,"NaN")="","NaN",(_xlfn.XLOOKUP($B41,rf1_data!$B:$B,rf1_data!CL:CL,"NaN")))</f>
        <v>60</v>
      </c>
      <c r="CU41" s="5">
        <f>IF(_xlfn.XLOOKUP($B41,rf1_data!$B:$B,rf1_data!CM:CM,"NaN")="","NaN",(_xlfn.XLOOKUP($B41,rf1_data!$B:$B,rf1_data!CM:CM,"NaN")))</f>
        <v>28</v>
      </c>
      <c r="CV41" s="5">
        <f>IF(_xlfn.XLOOKUP($B41,rf1_data!$B:$B,rf1_data!CN:CN,"NaN")="","NaN",(_xlfn.XLOOKUP($B41,rf1_data!$B:$B,rf1_data!CN:CN,"NaN")))</f>
        <v>60</v>
      </c>
      <c r="CW41" s="5" t="str">
        <f>IF(_xlfn.XLOOKUP($B41,rf1_data!$B:$B,rf1_data!CO:CO,"NaN")="","NaN",(_xlfn.XLOOKUP($B41,rf1_data!$B:$B,rf1_data!CO:CO,"NaN")))</f>
        <v>NaN</v>
      </c>
      <c r="CX41" s="5" t="str">
        <f>IF(_xlfn.XLOOKUP($B41,rf1_data!$B:$B,rf1_data!CP:CP,"NaN")="","NaN",(_xlfn.XLOOKUP($B41,rf1_data!$B:$B,rf1_data!CP:CP,"NaN")))</f>
        <v>NaN</v>
      </c>
      <c r="CY41" s="5">
        <f>IF(_xlfn.XLOOKUP($B41,rf1_data!$B:$B,rf1_data!CQ:CQ,"NaN")="","NaN",(_xlfn.XLOOKUP($B41,rf1_data!$B:$B,rf1_data!CQ:CQ,"NaN")))</f>
        <v>7</v>
      </c>
      <c r="CZ41" s="5">
        <f>IF(_xlfn.XLOOKUP($B41,rf1_data!$B:$B,rf1_data!CR:CR,"NaN")="","NaN",(_xlfn.XLOOKUP($B41,rf1_data!$B:$B,rf1_data!CR:CR,"NaN")))</f>
        <v>2</v>
      </c>
      <c r="DA41" s="5">
        <f>IF(_xlfn.XLOOKUP($B41,rf1_data!$B:$B,rf1_data!CS:CS,"NaN")="","NaN",(_xlfn.XLOOKUP($B41,rf1_data!$B:$B,rf1_data!CS:CS,"NaN")))</f>
        <v>5</v>
      </c>
      <c r="DB41" s="4">
        <f>IF(_xlfn.XLOOKUP($B41,island_data!$B:$B,island_data!H:H,"NaN")="","NaN",_xlfn.XLOOKUP($B41,island_data!$B:$B,island_data!H:H,"NaN"))</f>
        <v>0</v>
      </c>
      <c r="DC41" s="4">
        <f>IF(_xlfn.XLOOKUP($B41,island_data!$B:$B,island_data!I:I,"NaN")="","NaN",_xlfn.XLOOKUP($B41,island_data!$B:$B,island_data!I:I,"NaN"))</f>
        <v>0</v>
      </c>
      <c r="DD41" s="4">
        <f>IF(_xlfn.XLOOKUP($B41,island_data!$B:$B,island_data!J:J,"NaN")="","NaN",_xlfn.XLOOKUP($B41,island_data!$B:$B,island_data!J:J,"NaN"))</f>
        <v>2</v>
      </c>
      <c r="DE41" s="4">
        <f>IF(_xlfn.XLOOKUP($B41,island_data!$B:$B,island_data!K:K,"NaN")="","NaN",_xlfn.XLOOKUP($B41,island_data!$B:$B,island_data!K:K,"NaN"))</f>
        <v>5</v>
      </c>
      <c r="DF41" s="4">
        <f>IF(_xlfn.XLOOKUP($B41,island_data!$B:$B,island_data!L:L,"NaN")="","NaN",_xlfn.XLOOKUP($B41,island_data!$B:$B,island_data!L:L,"NaN"))</f>
        <v>0</v>
      </c>
      <c r="DG41" s="4">
        <f>IF(_xlfn.XLOOKUP($B41,island_data!$B:$B,island_data!M:M,"NaN")="","NaN",_xlfn.XLOOKUP($B41,island_data!$B:$B,island_data!M:M,"NaN"))</f>
        <v>3.25</v>
      </c>
      <c r="DH41" s="4">
        <f>IF(_xlfn.XLOOKUP($B41,island_data!$B:$B,island_data!N:N,"NaN")="","NaN",_xlfn.XLOOKUP($B41,island_data!$B:$B,island_data!N:N,"NaN"))</f>
        <v>12</v>
      </c>
      <c r="DI41" s="4">
        <f>IF(_xlfn.XLOOKUP($B41,island_data!$B:$B,island_data!O:O,"NaN")=999,"NaN",_xlfn.XLOOKUP($B41,island_data!$B:$B,island_data!O:O,"NaN"))</f>
        <v>6</v>
      </c>
      <c r="DJ41" s="4">
        <f>IF(_xlfn.XLOOKUP($B41,island_data!$B:$B,island_data!P:P,"NaN")="","NaN",_xlfn.XLOOKUP($B41,island_data!$B:$B,island_data!P:P,"NaN"))</f>
        <v>12</v>
      </c>
      <c r="DK41" s="4">
        <f>IF(_xlfn.XLOOKUP($B41,island_data!$B:$B,island_data!Q:Q,"NaN")="","NaN",_xlfn.XLOOKUP($B41,island_data!$B:$B,island_data!Q:Q,"NaN"))</f>
        <v>2</v>
      </c>
      <c r="DL41" s="4">
        <f>IF(_xlfn.XLOOKUP($B41,island_data!$B:$B,island_data!R:R,"NaN")=999,"NaN",_xlfn.XLOOKUP($B41,island_data!$B:$B,island_data!R:R,"NaN"))</f>
        <v>15</v>
      </c>
      <c r="DM41" s="4">
        <f>IF(_xlfn.XLOOKUP($B41,island_data!$B:$B,island_data!S:S,"NaN")="","NaN",_xlfn.XLOOKUP($B41,island_data!$B:$B,island_data!S:S,"NaN"))</f>
        <v>5</v>
      </c>
      <c r="DN41" s="4">
        <f>IF(_xlfn.XLOOKUP($B41,island_data!$B:$B,island_data!T:T,"NaN")="","NaN",_xlfn.XLOOKUP($B41,island_data!$B:$B,island_data!T:T,"NaN"))</f>
        <v>5</v>
      </c>
      <c r="DO41" s="4">
        <f>IF(_xlfn.XLOOKUP($B41,island_data!$B:$B,island_data!U:U,"NaN")="","NaN",_xlfn.XLOOKUP($B41,island_data!$B:$B,island_data!U:U,"NaN"))</f>
        <v>6</v>
      </c>
      <c r="DP41" s="4">
        <f>IF(_xlfn.XLOOKUP($B41,island_data!$B:$B,island_data!V:V,"NaN")="","NaN",_xlfn.XLOOKUP($B41,island_data!$B:$B,island_data!V:V,"NaN"))</f>
        <v>2</v>
      </c>
      <c r="DQ41" s="4">
        <f>IF(_xlfn.XLOOKUP($B41,island_data!$B:$B,island_data!W:W,"NaN")="","NaN",_xlfn.XLOOKUP($B41,island_data!$B:$B,island_data!W:W,"NaN"))</f>
        <v>6</v>
      </c>
      <c r="DR41" s="4">
        <f>IF(_xlfn.XLOOKUP($B41,island_data!$B:$B,island_data!X:X,"NaN")="","NaN",_xlfn.XLOOKUP($B41,island_data!$B:$B,island_data!X:X,"NaN"))</f>
        <v>6</v>
      </c>
      <c r="DS41" s="4" t="str">
        <f>IF(_xlfn.XLOOKUP($B41,island_data!$B:$B,island_data!Y:Y,"NaN")="","NaN",_xlfn.XLOOKUP($B41,island_data!$B:$B,island_data!Y:Y,"NaN"))</f>
        <v>NaN</v>
      </c>
      <c r="DT41" s="4" t="str">
        <f>IF(_xlfn.XLOOKUP($B41,island_data!$B:$B,island_data!Z:Z,"NaN")="","NaN",_xlfn.XLOOKUP($B41,island_data!$B:$B,island_data!Z:Z,"NaN"))</f>
        <v>NaN</v>
      </c>
      <c r="DU41" s="4" t="str">
        <f>IF(_xlfn.XLOOKUP($B41,island_data!$B:$B,island_data!AA:AA,"NaN")="","NaN",_xlfn.XLOOKUP($B41,island_data!$B:$B,island_data!AA:AA,"NaN"))</f>
        <v>NaN</v>
      </c>
      <c r="DV41" s="4">
        <f>IF(_xlfn.XLOOKUP($B41,island_data!$B:$B,island_data!AB:AB,"NaN")="","NaN",_xlfn.XLOOKUP($B41,island_data!$B:$B,island_data!AB:AB,"NaN"))</f>
        <v>3</v>
      </c>
      <c r="DW41" s="4">
        <f>IF(_xlfn.XLOOKUP($B41,island_data!$B:$B,island_data!AC:AC,"NaN")="","NaN",_xlfn.XLOOKUP($B41,island_data!$B:$B,island_data!AC:AC,"NaN"))</f>
        <v>68136</v>
      </c>
      <c r="DX41" s="4">
        <f>IF(_xlfn.XLOOKUP($B41,island_data!$B:$B,island_data!AD:AD,"NaN")="","NaN",_xlfn.XLOOKUP($B41,island_data!$B:$B,island_data!AD:AD,"NaN"))</f>
        <v>6</v>
      </c>
      <c r="DY41" s="4">
        <f>IF(_xlfn.XLOOKUP($B41,island_data!$B:$B,island_data!AE:AE,"NaN")="","NaN",_xlfn.XLOOKUP($B41,island_data!$B:$B,island_data!AE:AE,"NaN"))</f>
        <v>0</v>
      </c>
      <c r="DZ41" s="4" t="str">
        <f>IF(_xlfn.XLOOKUP($B41,island_data!$B:$B,island_data!AF:AF,"NaN")="","NaN",_xlfn.XLOOKUP($B41,island_data!$B:$B,island_data!AF:AF,"NaN"))</f>
        <v>NaN</v>
      </c>
      <c r="EA41" s="4" t="str">
        <f>IF(_xlfn.XLOOKUP($B41,island_data!$B:$B,island_data!AG:AG,"NaN")="","NaN",_xlfn.XLOOKUP($B41,island_data!$B:$B,island_data!AG:AG,"NaN"))</f>
        <v>NaN</v>
      </c>
      <c r="EB41" s="4" t="str">
        <f>IF(_xlfn.XLOOKUP($B41,island_data!$B:$B,island_data!AH:AH,"NaN")="","NaN",_xlfn.XLOOKUP($B41,island_data!$B:$B,island_data!AH:AH,"NaN"))</f>
        <v>NaN</v>
      </c>
      <c r="EC41" s="4" t="str">
        <f>IF(_xlfn.XLOOKUP($B41,island_data!$B:$B,island_data!AI:AI,"NaN")="","NaN",_xlfn.XLOOKUP($B41,island_data!$B:$B,island_data!AI:AI,"NaN"))</f>
        <v>NaN</v>
      </c>
      <c r="ED41" s="4" t="str">
        <f>IF(_xlfn.XLOOKUP($B41,island_data!$B:$B,island_data!AJ:AJ,"NaN")="","NaN",_xlfn.XLOOKUP($B41,island_data!$B:$B,island_data!AJ:AJ,"NaN"))</f>
        <v>NaN</v>
      </c>
      <c r="EE41" s="4" t="str">
        <f>IF(_xlfn.XLOOKUP($B41,island_data!$B:$B,island_data!AK:AK,"NaN")="","NaN",_xlfn.XLOOKUP($B41,island_data!$B:$B,island_data!AK:AK,"NaN"))</f>
        <v>NaN</v>
      </c>
      <c r="EF41" s="4" t="str">
        <f>IF(_xlfn.XLOOKUP($B41,island_data!$B:$B,island_data!AL:AL,"NaN")="","NaN",_xlfn.XLOOKUP($B41,island_data!$B:$B,island_data!AL:AL,"NaN"))</f>
        <v>NaN</v>
      </c>
      <c r="EG41" s="4" t="str">
        <f>IF(_xlfn.XLOOKUP($B41,island_data!$B:$B,island_data!AM:AM,"NaN")="","NaN",_xlfn.XLOOKUP($B41,island_data!$B:$B,island_data!AM:AM,"NaN"))</f>
        <v>NaN</v>
      </c>
      <c r="EH41" s="4" t="str">
        <f>IF(_xlfn.XLOOKUP($B41,island_data!$B:$B,island_data!AN:AN,"NaN")="","NaN",_xlfn.XLOOKUP($B41,island_data!$B:$B,island_data!AN:AN,"NaN"))</f>
        <v>NaN</v>
      </c>
      <c r="EI41" s="4" t="str">
        <f>IF(_xlfn.XLOOKUP($B41,island_data!$B:$B,island_data!AO:AO,"NaN")="","NaN",_xlfn.XLOOKUP($B41,island_data!$B:$B,island_data!AO:AO,"NaN"))</f>
        <v>NaN</v>
      </c>
      <c r="EJ41" s="8">
        <f>IF(_xlfn.XLOOKUP($A41,TabCAT!$A:$A,TabCAT!AU:AU,"NaN")="","NaN",(_xlfn.XLOOKUP($A41,TabCAT!$A:$A,TabCAT!AU:AU,"NaN")))</f>
        <v>403</v>
      </c>
      <c r="EK41" s="8" t="b">
        <f>IF(_xlfn.XLOOKUP($A41,TabCAT!$A:$A,TabCAT!AV:AV,"NaN")="","NaN",(_xlfn.XLOOKUP($A41,TabCAT!$A:$A,TabCAT!AV:AV,"NaN")))</f>
        <v>1</v>
      </c>
      <c r="EL41" s="8">
        <f>IF(_xlfn.XLOOKUP($A41,TabCAT!$A:$A,TabCAT!AW:AW,"NaN")="","NaN",(_xlfn.XLOOKUP($A41,TabCAT!$A:$A,TabCAT!AW:AW,"NaN")))</f>
        <v>4</v>
      </c>
      <c r="EM41" s="8">
        <f>IF(_xlfn.XLOOKUP($A41,TabCAT!$A:$A,TabCAT!AX:AX,"NaN")="","NaN",(_xlfn.XLOOKUP($A41,TabCAT!$A:$A,TabCAT!AX:AX,"NaN")))</f>
        <v>6</v>
      </c>
      <c r="EN41" s="8">
        <f>IF(_xlfn.XLOOKUP($A41,TabCAT!$A:$A,TabCAT!AY:AY,"NaN")="","NaN",(_xlfn.XLOOKUP($A41,TabCAT!$A:$A,TabCAT!AY:AY,"NaN")))</f>
        <v>8.4700000000000006</v>
      </c>
      <c r="EO41" s="8">
        <f>IF(_xlfn.XLOOKUP($A41,TabCAT!$A:$A,TabCAT!AZ:AZ,"NaN")="","NaN",(_xlfn.XLOOKUP($A41,TabCAT!$A:$A,TabCAT!AZ:AZ,"NaN")))</f>
        <v>32</v>
      </c>
      <c r="EP41" s="8">
        <f>IF(_xlfn.XLOOKUP($A41,TabCAT!$A:$A,TabCAT!BA:BA,"NaN")="","NaN",(_xlfn.XLOOKUP($A41,TabCAT!$A:$A,TabCAT!BA:BA,"NaN")))</f>
        <v>0.77072949999999996</v>
      </c>
      <c r="EQ41" s="8">
        <f>IF(_xlfn.XLOOKUP($A41,TabCAT!$A:$A,TabCAT!BB:BB,"NaN")="","NaN",(_xlfn.XLOOKUP($A41,TabCAT!$A:$A,TabCAT!BB:BB,"NaN")))</f>
        <v>0.103476490064541</v>
      </c>
      <c r="ER41" s="8">
        <f>IF(_xlfn.XLOOKUP($A41,TabCAT!$A:$A,TabCAT!BC:BC,"NaN")="","NaN",(_xlfn.XLOOKUP($A41,TabCAT!$A:$A,TabCAT!BC:BC,"NaN")))</f>
        <v>16</v>
      </c>
      <c r="ES41" s="8">
        <f>IF(_xlfn.XLOOKUP($A41,TabCAT!$A:$A,TabCAT!BD:BD,"NaN")="","NaN",(_xlfn.XLOOKUP($A41,TabCAT!$A:$A,TabCAT!BD:BD,"NaN")))</f>
        <v>0.72075299999999998</v>
      </c>
      <c r="ET41" s="8">
        <f>IF(_xlfn.XLOOKUP($A41,TabCAT!$A:$A,TabCAT!BE:BE,"NaN")="","NaN",(_xlfn.XLOOKUP($A41,TabCAT!$A:$A,TabCAT!BE:BE,"NaN")))</f>
        <v>16</v>
      </c>
      <c r="EU41" s="8">
        <f>IF(_xlfn.XLOOKUP($A41,TabCAT!$A:$A,TabCAT!BF:BF,"NaN")="","NaN",(_xlfn.XLOOKUP($A41,TabCAT!$A:$A,TabCAT!BF:BF,"NaN")))</f>
        <v>0.82911650000000003</v>
      </c>
      <c r="EV41" s="8" t="str">
        <f>IF(_xlfn.XLOOKUP($A41,TabCAT!$A:$A,TabCAT!BG:BG,"NaN")="","NaN",(_xlfn.XLOOKUP($A41,TabCAT!$A:$A,TabCAT!BG:BG,"NaN")))</f>
        <v>NaN</v>
      </c>
      <c r="EW41" s="8" t="str">
        <f>IF(_xlfn.XLOOKUP($A41,TabCAT!$A:$A,TabCAT!BH:BH,"NaN")="","NaN",(_xlfn.XLOOKUP($A41,TabCAT!$A:$A,TabCAT!BH:BH,"NaN")))</f>
        <v>3.0.0</v>
      </c>
      <c r="EX41" s="8" t="str">
        <f>IF(_xlfn.XLOOKUP($A41,TabCAT!$A:$A,TabCAT!BI:BI,"NaN")="","NaN",(_xlfn.XLOOKUP($A41,TabCAT!$A:$A,TabCAT!BI:BI,"NaN")))</f>
        <v>English</v>
      </c>
      <c r="EY41" s="8">
        <f>IF(_xlfn.XLOOKUP($A41,TabCAT!$A:$A,TabCAT!BJ:BJ,"NaN")="","NaN",(_xlfn.XLOOKUP($A41,TabCAT!$A:$A,TabCAT!BJ:BJ,"NaN")))</f>
        <v>353</v>
      </c>
      <c r="EZ41" s="8">
        <f>IF(_xlfn.XLOOKUP($A41,TabCAT!$A:$A,TabCAT!BK:BK,"NaN")="","NaN",(_xlfn.XLOOKUP($A41,TabCAT!$A:$A,TabCAT!BK:BK,"NaN")))</f>
        <v>1</v>
      </c>
      <c r="FA41" s="8">
        <f>IF(_xlfn.XLOOKUP($A41,TabCAT!$A:$A,TabCAT!BL:BL,"NaN")="","NaN",(_xlfn.XLOOKUP($A41,TabCAT!$A:$A,TabCAT!BL:BL,"NaN")))</f>
        <v>6</v>
      </c>
      <c r="FB41" s="8">
        <f>IF(_xlfn.XLOOKUP($A41,TabCAT!$A:$A,TabCAT!BM:BM,"NaN")="","NaN",(_xlfn.XLOOKUP($A41,TabCAT!$A:$A,TabCAT!BM:BM,"NaN")))</f>
        <v>1</v>
      </c>
      <c r="FC41" s="8">
        <f>IF(_xlfn.XLOOKUP($A41,TabCAT!$A:$A,TabCAT!BN:BN,"NaN")="","NaN",(_xlfn.XLOOKUP($A41,TabCAT!$A:$A,TabCAT!BN:BN,"NaN")))</f>
        <v>6</v>
      </c>
      <c r="FD41" s="8">
        <f>IF(_xlfn.XLOOKUP($A41,TabCAT!$A:$A,TabCAT!BO:BO,"NaN")="","NaN",(_xlfn.XLOOKUP($A41,TabCAT!$A:$A,TabCAT!BO:BO,"NaN")))</f>
        <v>8</v>
      </c>
      <c r="FE41" s="8">
        <f>IF(_xlfn.XLOOKUP($A41,TabCAT!$A:$A,TabCAT!BP:BP,"NaN")="","NaN",(_xlfn.XLOOKUP($A41,TabCAT!$A:$A,TabCAT!BP:BP,"NaN")))</f>
        <v>0.88888888888888795</v>
      </c>
      <c r="FF41" s="8">
        <f>IF(_xlfn.XLOOKUP($A41,TabCAT!$A:$A,TabCAT!BQ:BQ,"NaN")="","NaN",(_xlfn.XLOOKUP($A41,TabCAT!$A:$A,TabCAT!BQ:BQ,"NaN")))</f>
        <v>7</v>
      </c>
      <c r="FG41" s="8">
        <f>IF(_xlfn.XLOOKUP($A41,TabCAT!$A:$A,TabCAT!BR:BR,"NaN")="","NaN",(_xlfn.XLOOKUP($A41,TabCAT!$A:$A,TabCAT!BR:BR,"NaN")))</f>
        <v>8</v>
      </c>
      <c r="FH41" s="8">
        <f>IF(_xlfn.XLOOKUP($A41,TabCAT!$A:$A,TabCAT!BS:BS,"NaN")="","NaN",(_xlfn.XLOOKUP($A41,TabCAT!$A:$A,TabCAT!BS:BS,"NaN")))</f>
        <v>0.66666666666666596</v>
      </c>
      <c r="FI41" s="8">
        <f>IF(_xlfn.XLOOKUP($A41,TabCAT!$A:$A,TabCAT!BT:BT,"NaN")="","NaN",(_xlfn.XLOOKUP($A41,TabCAT!$A:$A,TabCAT!BT:BT,"NaN")))</f>
        <v>7.5</v>
      </c>
      <c r="FJ41" s="8">
        <f>IF(_xlfn.XLOOKUP($A41,TabCAT!$A:$A,TabCAT!BU:BU,"NaN")="","NaN",(_xlfn.XLOOKUP($A41,TabCAT!$A:$A,TabCAT!BU:BU,"NaN")))</f>
        <v>13</v>
      </c>
      <c r="FK41" s="8">
        <f>IF(_xlfn.XLOOKUP($A41,TabCAT!$A:$A,TabCAT!BV:BV,"NaN")="","NaN",(_xlfn.XLOOKUP($A41,TabCAT!$A:$A,TabCAT!BV:BV,"NaN")))</f>
        <v>0.86666666666666603</v>
      </c>
      <c r="FL41" s="8">
        <f>IF(_xlfn.XLOOKUP($A41,TabCAT!$A:$A,TabCAT!BW:BW,"NaN")="","NaN",(_xlfn.XLOOKUP($A41,TabCAT!$A:$A,TabCAT!BW:BW,"NaN")))</f>
        <v>10</v>
      </c>
      <c r="FM41" s="8">
        <f>IF(_xlfn.XLOOKUP($A41,TabCAT!$A:$A,TabCAT!BX:BX,"NaN")="","NaN",(_xlfn.XLOOKUP($A41,TabCAT!$A:$A,TabCAT!BX:BX,"NaN")))</f>
        <v>35</v>
      </c>
      <c r="FN41" s="8">
        <f>IF(_xlfn.XLOOKUP($A41,TabCAT!$A:$A,TabCAT!BY:BY,"NaN")="","NaN",(_xlfn.XLOOKUP($A41,TabCAT!$A:$A,TabCAT!BY:BY,"NaN")))</f>
        <v>0.83333333333333304</v>
      </c>
      <c r="FO41" s="8">
        <f>IF(_xlfn.XLOOKUP($A41,TabCAT!$A:$A,TabCAT!BZ:BZ,"NaN")="","NaN",(_xlfn.XLOOKUP($A41,TabCAT!$A:$A,TabCAT!BZ:BZ,"NaN")))</f>
        <v>30.5</v>
      </c>
      <c r="FP41" s="8" t="str">
        <f>IF(_xlfn.XLOOKUP($A41,TabCAT!$A:$A,TabCAT!CA:CA,"NaN")="","NaN",(_xlfn.XLOOKUP($A41,TabCAT!$A:$A,TabCAT!CA:CA,"NaN")))</f>
        <v>3.0.0</v>
      </c>
      <c r="FQ41" s="8" t="str">
        <f>IF(_xlfn.XLOOKUP($A41,TabCAT!$A:$A,TabCAT!CB:CB,"NaN")="","NaN",(_xlfn.XLOOKUP($A41,TabCAT!$A:$A,TabCAT!CB:CB,"NaN")))</f>
        <v>English</v>
      </c>
      <c r="FR41" s="8">
        <f>IF(_xlfn.XLOOKUP($A41,TabCAT!$A:$A,TabCAT!CC:CC,"NaN")="","NaN",(_xlfn.XLOOKUP($A41,TabCAT!$A:$A,TabCAT!CC:CC,"NaN")))</f>
        <v>289</v>
      </c>
      <c r="FS41" s="8" t="b">
        <f>IF(_xlfn.XLOOKUP($A41,TabCAT!$A:$A,TabCAT!CD:CD,"NaN")="","NaN",(_xlfn.XLOOKUP($A41,TabCAT!$A:$A,TabCAT!CD:CD,"NaN")))</f>
        <v>1</v>
      </c>
      <c r="FT41" s="8">
        <f>IF(_xlfn.XLOOKUP($A41,TabCAT!$A:$A,TabCAT!CE:CE,"NaN")="","NaN",(_xlfn.XLOOKUP($A41,TabCAT!$A:$A,TabCAT!CE:CE,"NaN")))</f>
        <v>8</v>
      </c>
      <c r="FU41" s="8">
        <f>IF(_xlfn.XLOOKUP($A41,TabCAT!$A:$A,TabCAT!CF:CF,"NaN")="","NaN",(_xlfn.XLOOKUP($A41,TabCAT!$A:$A,TabCAT!CF:CF,"NaN")))</f>
        <v>0</v>
      </c>
      <c r="FV41" s="8">
        <f>IF(_xlfn.XLOOKUP($A41,TabCAT!$A:$A,TabCAT!CG:CG,"NaN")="","NaN",(_xlfn.XLOOKUP($A41,TabCAT!$A:$A,TabCAT!CG:CG,"NaN")))</f>
        <v>9.02</v>
      </c>
      <c r="FW41" s="8">
        <f>IF(_xlfn.XLOOKUP($A41,TabCAT!$A:$A,TabCAT!CH:CH,"NaN")="","NaN",(_xlfn.XLOOKUP($A41,TabCAT!$A:$A,TabCAT!CH:CH,"NaN")))</f>
        <v>16</v>
      </c>
      <c r="FX41" s="8">
        <f>IF(_xlfn.XLOOKUP($A41,TabCAT!$A:$A,TabCAT!CI:CI,"NaN")="","NaN",(_xlfn.XLOOKUP($A41,TabCAT!$A:$A,TabCAT!CI:CI,"NaN")))</f>
        <v>0.61696449999999903</v>
      </c>
      <c r="FY41" s="8">
        <f>IF(_xlfn.XLOOKUP($A41,TabCAT!$A:$A,TabCAT!CJ:CJ,"NaN")="","NaN",(_xlfn.XLOOKUP($A41,TabCAT!$A:$A,TabCAT!CJ:CJ,"NaN")))</f>
        <v>15</v>
      </c>
      <c r="FZ41" s="8">
        <f>IF(_xlfn.XLOOKUP($A41,TabCAT!$A:$A,TabCAT!CK:CK,"NaN")="","NaN",(_xlfn.XLOOKUP($A41,TabCAT!$A:$A,TabCAT!CK:CK,"NaN")))</f>
        <v>0.66297899999999998</v>
      </c>
      <c r="GA41" s="8">
        <f>IF(_xlfn.XLOOKUP($A41,TabCAT!$A:$A,TabCAT!CL:CL,"NaN")="","NaN",(_xlfn.XLOOKUP($A41,TabCAT!$A:$A,TabCAT!CL:CL,"NaN")))</f>
        <v>32</v>
      </c>
      <c r="GB41" s="8">
        <f>IF(_xlfn.XLOOKUP($A41,TabCAT!$A:$A,TabCAT!CM:CM,"NaN")="","NaN",(_xlfn.XLOOKUP($A41,TabCAT!$A:$A,TabCAT!CM:CM,"NaN")))</f>
        <v>0.61296949999999994</v>
      </c>
      <c r="GC41" s="8">
        <f>IF(_xlfn.XLOOKUP($A41,TabCAT!$A:$A,TabCAT!CN:CN,"NaN")="","NaN",(_xlfn.XLOOKUP($A41,TabCAT!$A:$A,TabCAT!CN:CN,"NaN")))</f>
        <v>18</v>
      </c>
      <c r="GD41" s="8">
        <f>IF(_xlfn.XLOOKUP($A41,TabCAT!$A:$A,TabCAT!CO:CO,"NaN")="","NaN",(_xlfn.XLOOKUP($A41,TabCAT!$A:$A,TabCAT!CO:CO,"NaN")))</f>
        <v>0.62949999999999995</v>
      </c>
      <c r="GE41" s="8">
        <f>IF(_xlfn.XLOOKUP($A41,TabCAT!$A:$A,TabCAT!CP:CP,"NaN")="","NaN",(_xlfn.XLOOKUP($A41,TabCAT!$A:$A,TabCAT!CP:CP,"NaN")))</f>
        <v>0.389983512480299</v>
      </c>
      <c r="GF41" s="8">
        <f>IF(_xlfn.XLOOKUP($A41,TabCAT!$A:$A,TabCAT!CQ:CQ,"NaN")="","NaN",(_xlfn.XLOOKUP($A41,TabCAT!$A:$A,TabCAT!CQ:CQ,"NaN")))</f>
        <v>55</v>
      </c>
      <c r="GG41" s="8">
        <f>IF(_xlfn.XLOOKUP($A41,TabCAT!$A:$A,TabCAT!CR:CR,"NaN")="","NaN",(_xlfn.XLOOKUP($A41,TabCAT!$A:$A,TabCAT!CR:CR,"NaN")))</f>
        <v>0.629776</v>
      </c>
      <c r="GH41" s="8" t="str">
        <f>IF(_xlfn.XLOOKUP($A41,TabCAT!$A:$A,TabCAT!CS:CS,"NaN")="","NaN",(_xlfn.XLOOKUP($A41,TabCAT!$A:$A,TabCAT!CS:CS,"NaN")))</f>
        <v>NaN</v>
      </c>
    </row>
    <row r="42" spans="1:190" x14ac:dyDescent="0.2">
      <c r="A42">
        <v>10677</v>
      </c>
      <c r="B42">
        <f>_xlfn.XLOOKUP(bippity_poppity_boo!A42,rf1_data!A:A,rf1_data!B:B)</f>
        <v>52089</v>
      </c>
      <c r="C42" s="2">
        <f>(_xlfn.XLOOKUP($A42,trust!$A:$A,trust!B:B,"NaN"))</f>
        <v>3.6363639999999999</v>
      </c>
      <c r="D42" s="2">
        <f>(_xlfn.XLOOKUP($A42,trust!$A:$A,trust!C:C,"NaN"))</f>
        <v>4.5999999999999996</v>
      </c>
      <c r="E42" s="2">
        <f>(_xlfn.XLOOKUP($A42,trust!$A:$A,trust!D:D,"NaN"))</f>
        <v>2.8333330000000001</v>
      </c>
      <c r="F42" s="2">
        <f>(_xlfn.XLOOKUP($A42,trust!$A:$A,trust!E:E,"NaN"))</f>
        <v>4.8</v>
      </c>
      <c r="G42" s="2">
        <f>(_xlfn.XLOOKUP($A42,trust!$A:$A,trust!F:F,"NaN"))</f>
        <v>5.0909089999999999</v>
      </c>
      <c r="H42" s="2">
        <f>(_xlfn.XLOOKUP($A42,trust!$A:$A,trust!G:G,"NaN"))</f>
        <v>4.6153849999999998</v>
      </c>
      <c r="I42" s="3">
        <f>IF(_xlfn.XLOOKUP($B42,island_data!$B:$B,island_data!C:C,"NaN")="","NaN",_xlfn.XLOOKUP($B42,island_data!$B:$B,island_data!C:C,"NaN"))</f>
        <v>45020</v>
      </c>
      <c r="J42" s="3">
        <f>IF(_xlfn.XLOOKUP($B42,island_data!$B:$B,island_data!D:D,"NaN")="","NaN",_xlfn.XLOOKUP($B42,island_data!$B:$B,island_data!D:D,"NaN"))</f>
        <v>32861</v>
      </c>
      <c r="K42" s="4">
        <f>IF(_xlfn.XLOOKUP($B42,island_data!$B:$B,island_data!E:E,"NaN")="","NaN",_xlfn.XLOOKUP($B42,island_data!$B:$B,island_data!E:E,"NaN"))</f>
        <v>33.29</v>
      </c>
      <c r="L42" s="5">
        <f>IF(_xlfn.XLOOKUP($B42,rf1_data!$B:$B,rf1_data!D:D,"NaN")="","NaN",(_xlfn.XLOOKUP($B42,rf1_data!$B:$B,rf1_data!D:D,"NaN")))</f>
        <v>33.369999999999997</v>
      </c>
      <c r="M42" s="5" t="str">
        <f>IF(_xlfn.XLOOKUP($B42,rf1_data!$B:$B,rf1_data!E:E,"NaN")="","NaN",(_xlfn.XLOOKUP($B42,rf1_data!$B:$B,rf1_data!E:E,"NaN")))</f>
        <v>Black or African American</v>
      </c>
      <c r="N42" s="5" t="str">
        <f>IF(_xlfn.XLOOKUP($B42,rf1_data!$B:$B,rf1_data!F:F,"NaN")="","NaN",(_xlfn.XLOOKUP($B42,rf1_data!$B:$B,rf1_data!F:F,"NaN")))</f>
        <v>Not Hispanic or Latino</v>
      </c>
      <c r="O42" s="5" t="str">
        <f>IF(_xlfn.XLOOKUP($B42,rf1_data!$B:$B,rf1_data!G:G,"NaN")="","NaN",(_xlfn.XLOOKUP($B42,rf1_data!$B:$B,rf1_data!G:G,"NaN")))</f>
        <v>Female</v>
      </c>
      <c r="P42" s="5">
        <f>IF(_xlfn.XLOOKUP($B42,rf1_data!$B:$B,rf1_data!H:H,"NaN")="","NaN",(_xlfn.XLOOKUP($B42,rf1_data!$B:$B,rf1_data!H:H,"NaN")))</f>
        <v>4.78</v>
      </c>
      <c r="Q42" s="5">
        <f>IF(_xlfn.XLOOKUP($B42,rf1_data!$B:$B,rf1_data!I:I,"NaN")="","NaN",(_xlfn.XLOOKUP($B42,rf1_data!$B:$B,rf1_data!I:I,"NaN")))</f>
        <v>4.5999999999999996</v>
      </c>
      <c r="R42" s="5">
        <f>IF(_xlfn.XLOOKUP($B42,rf1_data!$B:$B,rf1_data!J:J,"NaN")="","NaN",(_xlfn.XLOOKUP($B42,rf1_data!$B:$B,rf1_data!J:J,"NaN")))</f>
        <v>7</v>
      </c>
      <c r="S42" s="5">
        <f>IF(_xlfn.XLOOKUP($B42,rf1_data!$B:$B,rf1_data!K:K,"NaN")="","NaN",(_xlfn.XLOOKUP($B42,rf1_data!$B:$B,rf1_data!K:K,"NaN")))</f>
        <v>1</v>
      </c>
      <c r="T42" s="5">
        <f>IF(_xlfn.XLOOKUP($B42,rf1_data!$B:$B,rf1_data!L:L,"NaN")="","NaN",(_xlfn.XLOOKUP($B42,rf1_data!$B:$B,rf1_data!L:L,"NaN")))</f>
        <v>0</v>
      </c>
      <c r="U42" s="5" t="str">
        <f>IF(_xlfn.XLOOKUP($B42,rf1_data!$B:$B,rf1_data!M:M,"NaN")="","NaN",(_xlfn.XLOOKUP($B42,rf1_data!$B:$B,rf1_data!M:M,"NaN")))</f>
        <v>NaN</v>
      </c>
      <c r="V42" s="5" t="str">
        <f>IF(_xlfn.XLOOKUP($B42,rf1_data!$B:$B,rf1_data!N:N,"NaN")="","NaN",(_xlfn.XLOOKUP($B42,rf1_data!$B:$B,rf1_data!N:N,"NaN")))</f>
        <v>NaN</v>
      </c>
      <c r="W42" s="5" t="str">
        <f>IF(_xlfn.XLOOKUP($B42,rf1_data!$B:$B,rf1_data!O:O,"NaN")="","NaN",(_xlfn.XLOOKUP($B42,rf1_data!$B:$B,rf1_data!O:O,"NaN")))</f>
        <v>NaN</v>
      </c>
      <c r="X42" s="5" t="str">
        <f>IF(_xlfn.XLOOKUP($B42,rf1_data!$B:$B,rf1_data!P:P,"NaN")="","NaN",(_xlfn.XLOOKUP($B42,rf1_data!$B:$B,rf1_data!P:P,"NaN")))</f>
        <v>NaN</v>
      </c>
      <c r="Y42" s="5" t="str">
        <f>IF(_xlfn.XLOOKUP($B42,rf1_data!$B:$B,rf1_data!Q:Q,"NaN")="","NaN",(_xlfn.XLOOKUP($B42,rf1_data!$B:$B,rf1_data!Q:Q,"NaN")))</f>
        <v>NaN</v>
      </c>
      <c r="Z42" s="5">
        <f>IF(_xlfn.XLOOKUP($B42,rf1_data!$B:$B,rf1_data!R:R,"NaN")="","NaN",(_xlfn.XLOOKUP($B42,rf1_data!$B:$B,rf1_data!R:R,"NaN")))</f>
        <v>4</v>
      </c>
      <c r="AA42" s="5">
        <f>IF(_xlfn.XLOOKUP($B42,rf1_data!$B:$B,rf1_data!S:S,"NaN")="","NaN",(_xlfn.XLOOKUP($B42,rf1_data!$B:$B,rf1_data!S:S,"NaN")))</f>
        <v>0</v>
      </c>
      <c r="AB42" s="5">
        <f>IF(_xlfn.XLOOKUP($B42,rf1_data!$B:$B,rf1_data!T:T,"NaN")="","NaN",(_xlfn.XLOOKUP($B42,rf1_data!$B:$B,rf1_data!T:T,"NaN")))</f>
        <v>2</v>
      </c>
      <c r="AC42" s="5">
        <f>IF(_xlfn.XLOOKUP($B42,rf1_data!$B:$B,rf1_data!U:U,"NaN")="","NaN",(_xlfn.XLOOKUP($B42,rf1_data!$B:$B,rf1_data!U:U,"NaN")))</f>
        <v>0</v>
      </c>
      <c r="AD42" s="5">
        <f>IF(_xlfn.XLOOKUP($B42,rf1_data!$B:$B,rf1_data!V:V,"NaN")="","NaN",(_xlfn.XLOOKUP($B42,rf1_data!$B:$B,rf1_data!V:V,"NaN")))</f>
        <v>2</v>
      </c>
      <c r="AE42" s="5">
        <f>IF(_xlfn.XLOOKUP($B42,rf1_data!$B:$B,rf1_data!W:W,"NaN")="","NaN",(_xlfn.XLOOKUP($B42,rf1_data!$B:$B,rf1_data!W:W,"NaN")))</f>
        <v>0</v>
      </c>
      <c r="AF42" s="5">
        <f>IF(_xlfn.XLOOKUP($B42,rf1_data!$B:$B,rf1_data!X:X,"NaN")="","NaN",(_xlfn.XLOOKUP($B42,rf1_data!$B:$B,rf1_data!X:X,"NaN")))</f>
        <v>2</v>
      </c>
      <c r="AG42" s="5">
        <f>IF(_xlfn.XLOOKUP($B42,rf1_data!$B:$B,rf1_data!Y:Y,"NaN")="","NaN",(_xlfn.XLOOKUP($B42,rf1_data!$B:$B,rf1_data!Y:Y,"NaN")))</f>
        <v>5</v>
      </c>
      <c r="AH42" s="5">
        <f>IF(_xlfn.XLOOKUP($B42,rf1_data!$B:$B,rf1_data!Z:Z,"NaN")="","NaN",(_xlfn.XLOOKUP($B42,rf1_data!$B:$B,rf1_data!Z:Z,"NaN")))</f>
        <v>1</v>
      </c>
      <c r="AI42" s="5">
        <f>IF(_xlfn.XLOOKUP($B42,rf1_data!$B:$B,rf1_data!AA:AA,"NaN")="","NaN",(_xlfn.XLOOKUP($B42,rf1_data!$B:$B,rf1_data!AA:AA,"NaN")))</f>
        <v>2</v>
      </c>
      <c r="AJ42" s="5">
        <f>IF(_xlfn.XLOOKUP($B42,rf1_data!$B:$B,rf1_data!AB:AB,"NaN")="","NaN",(_xlfn.XLOOKUP($B42,rf1_data!$B:$B,rf1_data!AB:AB,"NaN")))</f>
        <v>10</v>
      </c>
      <c r="AK42" s="5">
        <f>IF(_xlfn.XLOOKUP($B42,rf1_data!$B:$B,rf1_data!AC:AC,"NaN")="","NaN",(_xlfn.XLOOKUP($B42,rf1_data!$B:$B,rf1_data!AC:AC,"NaN")))</f>
        <v>37</v>
      </c>
      <c r="AL42" s="5">
        <f>IF(_xlfn.XLOOKUP($B42,rf1_data!$B:$B,rf1_data!AD:AD,"NaN")="","NaN",(_xlfn.XLOOKUP($B42,rf1_data!$B:$B,rf1_data!AD:AD,"NaN")))</f>
        <v>13</v>
      </c>
      <c r="AM42" s="5">
        <f>IF(_xlfn.XLOOKUP($B42,rf1_data!$B:$B,rf1_data!AE:AE,"NaN")="","NaN",(_xlfn.XLOOKUP($B42,rf1_data!$B:$B,rf1_data!AE:AE,"NaN")))</f>
        <v>0</v>
      </c>
      <c r="AN42" s="5">
        <f>IF(_xlfn.XLOOKUP($B42,rf1_data!$B:$B,rf1_data!AF:AF,"NaN")="","NaN",(_xlfn.XLOOKUP($B42,rf1_data!$B:$B,rf1_data!AF:AF,"NaN")))</f>
        <v>0</v>
      </c>
      <c r="AO42" s="5">
        <f>IF(_xlfn.XLOOKUP($B42,rf1_data!$B:$B,rf1_data!AG:AG,"NaN")="","NaN",(_xlfn.XLOOKUP($B42,rf1_data!$B:$B,rf1_data!AG:AG,"NaN")))</f>
        <v>5.75</v>
      </c>
      <c r="AP42" s="5">
        <f>IF(_xlfn.XLOOKUP($B42,rf1_data!$B:$B,rf1_data!AH:AH,"NaN")="","NaN",(_xlfn.XLOOKUP($B42,rf1_data!$B:$B,rf1_data!AH:AH,"NaN")))</f>
        <v>7</v>
      </c>
      <c r="AQ42" s="5">
        <f>IF(_xlfn.XLOOKUP($B42,rf1_data!$B:$B,rf1_data!AI:AI,"NaN")="","NaN",(_xlfn.XLOOKUP($B42,rf1_data!$B:$B,rf1_data!AI:AI,"NaN")))</f>
        <v>3.25</v>
      </c>
      <c r="AR42" s="5">
        <f>IF(_xlfn.XLOOKUP($B42,rf1_data!$B:$B,rf1_data!AJ:AJ,"NaN")="","NaN",(_xlfn.XLOOKUP($B42,rf1_data!$B:$B,rf1_data!AJ:AJ,"NaN")))</f>
        <v>7</v>
      </c>
      <c r="AS42" s="5">
        <f>IF(_xlfn.XLOOKUP($B42,rf1_data!$B:$B,rf1_data!AK:AK,"NaN")="","NaN",(_xlfn.XLOOKUP($B42,rf1_data!$B:$B,rf1_data!AK:AK,"NaN")))</f>
        <v>2.4</v>
      </c>
      <c r="AT42" s="5">
        <f>IF(_xlfn.XLOOKUP($B42,rf1_data!$B:$B,rf1_data!AL:AL,"NaN")="","NaN",(_xlfn.XLOOKUP($B42,rf1_data!$B:$B,rf1_data!AL:AL,"NaN")))</f>
        <v>17</v>
      </c>
      <c r="AU42" s="5">
        <f>IF(_xlfn.XLOOKUP($B42,rf1_data!$B:$B,rf1_data!AM:AM,"NaN")="","NaN",(_xlfn.XLOOKUP($B42,rf1_data!$B:$B,rf1_data!AM:AM,"NaN")))</f>
        <v>3.25</v>
      </c>
      <c r="AV42" s="5">
        <f>IF(_xlfn.XLOOKUP($B42,rf1_data!$B:$B,rf1_data!AN:AN,"NaN")="","NaN",(_xlfn.XLOOKUP($B42,rf1_data!$B:$B,rf1_data!AN:AN,"NaN")))</f>
        <v>1</v>
      </c>
      <c r="AW42" s="5">
        <f>IF(_xlfn.XLOOKUP($B42,rf1_data!$B:$B,rf1_data!AO:AO,"NaN")="","NaN",(_xlfn.XLOOKUP($B42,rf1_data!$B:$B,rf1_data!AO:AO,"NaN")))</f>
        <v>2.67</v>
      </c>
      <c r="AX42" s="5">
        <f>IF(_xlfn.XLOOKUP($B42,rf1_data!$B:$B,rf1_data!AP:AP,"NaN")="","NaN",(_xlfn.XLOOKUP($B42,rf1_data!$B:$B,rf1_data!AP:AP,"NaN")))</f>
        <v>3.4</v>
      </c>
      <c r="AY42" s="5" t="str">
        <f>IF(_xlfn.XLOOKUP($B42,rf1_data!$B:$B,rf1_data!AQ:AQ,"NaN")="","NaN",(_xlfn.XLOOKUP($B42,rf1_data!$B:$B,rf1_data!AQ:AQ,"NaN")))</f>
        <v>NaN</v>
      </c>
      <c r="AZ42" s="5" t="str">
        <f>IF(_xlfn.XLOOKUP($B42,rf1_data!$B:$B,rf1_data!AR:AR,"NaN")="","NaN",(_xlfn.XLOOKUP($B42,rf1_data!$B:$B,rf1_data!AR:AR,"NaN")))</f>
        <v>NaN</v>
      </c>
      <c r="BA42" s="5" t="str">
        <f>IF(_xlfn.XLOOKUP($B42,rf1_data!$B:$B,rf1_data!AS:AS,"NaN")="","NaN",(_xlfn.XLOOKUP($B42,rf1_data!$B:$B,rf1_data!AS:AS,"NaN")))</f>
        <v>NaN</v>
      </c>
      <c r="BB42" s="5" t="str">
        <f>IF(_xlfn.XLOOKUP($B42,rf1_data!$B:$B,rf1_data!AT:AT,"NaN")="","NaN",(_xlfn.XLOOKUP($B42,rf1_data!$B:$B,rf1_data!AT:AT,"NaN")))</f>
        <v>NaN</v>
      </c>
      <c r="BC42" s="5" t="str">
        <f>IF(_xlfn.XLOOKUP($B42,rf1_data!$B:$B,rf1_data!AU:AU,"NaN")="","NaN",(_xlfn.XLOOKUP($B42,rf1_data!$B:$B,rf1_data!AU:AU,"NaN")))</f>
        <v>NaN</v>
      </c>
      <c r="BD42" s="5" t="str">
        <f>IF(_xlfn.XLOOKUP($B42,rf1_data!$B:$B,rf1_data!AV:AV,"NaN")="","NaN",(_xlfn.XLOOKUP($B42,rf1_data!$B:$B,rf1_data!AV:AV,"NaN")))</f>
        <v>NaN</v>
      </c>
      <c r="BE42" s="5" t="str">
        <f>IF(_xlfn.XLOOKUP($B42,rf1_data!$B:$B,rf1_data!AW:AW,"NaN")="","NaN",(_xlfn.XLOOKUP($B42,rf1_data!$B:$B,rf1_data!AW:AW,"NaN")))</f>
        <v>NaN</v>
      </c>
      <c r="BF42" s="5" t="str">
        <f>IF(_xlfn.XLOOKUP($B42,rf1_data!$B:$B,rf1_data!AX:AX,"NaN")="","NaN",(_xlfn.XLOOKUP($B42,rf1_data!$B:$B,rf1_data!AX:AX,"NaN")))</f>
        <v>NaN</v>
      </c>
      <c r="BG42" s="5" t="str">
        <f>IF(_xlfn.XLOOKUP($B42,rf1_data!$B:$B,rf1_data!AY:AY,"NaN")="","NaN",(_xlfn.XLOOKUP($B42,rf1_data!$B:$B,rf1_data!AY:AY,"NaN")))</f>
        <v>NaN</v>
      </c>
      <c r="BH42" s="5" t="str">
        <f>IF(_xlfn.XLOOKUP($B42,rf1_data!$B:$B,rf1_data!AZ:AZ,"NaN")="","NaN",(_xlfn.XLOOKUP($B42,rf1_data!$B:$B,rf1_data!AZ:AZ,"NaN")))</f>
        <v>NaN</v>
      </c>
      <c r="BI42" s="5">
        <f>IF(_xlfn.XLOOKUP($B42,rf1_data!$B:$B,rf1_data!BA:BA,"NaN")="","NaN",(_xlfn.XLOOKUP($B42,rf1_data!$B:$B,rf1_data!BA:BA,"NaN")))</f>
        <v>20</v>
      </c>
      <c r="BJ42" s="5" t="str">
        <f>IF(_xlfn.XLOOKUP($B42,rf1_data!$B:$B,rf1_data!BB:BB,"NaN")="","NaN",(_xlfn.XLOOKUP($B42,rf1_data!$B:$B,rf1_data!BB:BB,"NaN")))</f>
        <v>NaN</v>
      </c>
      <c r="BK42" s="5" t="str">
        <f>IF(_xlfn.XLOOKUP($B42,rf1_data!$B:$B,rf1_data!BC:BC,"NaN")="","NaN",(_xlfn.XLOOKUP($B42,rf1_data!$B:$B,rf1_data!BC:BC,"NaN")))</f>
        <v>NaN</v>
      </c>
      <c r="BL42" s="5" t="str">
        <f>IF(_xlfn.XLOOKUP($B42,rf1_data!$B:$B,rf1_data!BD:BD,"NaN")="","NaN",(_xlfn.XLOOKUP($B42,rf1_data!$B:$B,rf1_data!BD:BD,"NaN")))</f>
        <v>NaN</v>
      </c>
      <c r="BM42" s="5" t="str">
        <f>IF(_xlfn.XLOOKUP($B42,rf1_data!$B:$B,rf1_data!BE:BE,"NaN")="","NaN",(_xlfn.XLOOKUP($B42,rf1_data!$B:$B,rf1_data!BE:BE,"NaN")))</f>
        <v>NaN</v>
      </c>
      <c r="BN42" s="5" t="str">
        <f>IF(_xlfn.XLOOKUP($B42,rf1_data!$B:$B,rf1_data!BF:BF,"NaN")="","NaN",(_xlfn.XLOOKUP($B42,rf1_data!$B:$B,rf1_data!BF:BF,"NaN")))</f>
        <v>NaN</v>
      </c>
      <c r="BO42" s="5" t="str">
        <f>IF(_xlfn.XLOOKUP($B42,rf1_data!$B:$B,rf1_data!BG:BG,"NaN")="","NaN",(_xlfn.XLOOKUP($B42,rf1_data!$B:$B,rf1_data!BG:BG,"NaN")))</f>
        <v>NaN</v>
      </c>
      <c r="BP42" s="5" t="str">
        <f>IF(_xlfn.XLOOKUP($B42,rf1_data!$B:$B,rf1_data!BH:BH,"NaN")="","NaN",(_xlfn.XLOOKUP($B42,rf1_data!$B:$B,rf1_data!BH:BH,"NaN")))</f>
        <v>NaN</v>
      </c>
      <c r="BQ42" s="5" t="str">
        <f>IF(_xlfn.XLOOKUP($B42,rf1_data!$B:$B,rf1_data!BI:BI,"NaN")="","NaN",(_xlfn.XLOOKUP($B42,rf1_data!$B:$B,rf1_data!BI:BI,"NaN")))</f>
        <v>NaN</v>
      </c>
      <c r="BR42" s="5">
        <f>IF(_xlfn.XLOOKUP($B42,rf1_data!$B:$B,rf1_data!BJ:BJ,"NaN")="","NaN",(_xlfn.XLOOKUP($B42,rf1_data!$B:$B,rf1_data!BJ:BJ,"NaN")))</f>
        <v>8991</v>
      </c>
      <c r="BS42" s="5" t="str">
        <f>IF(_xlfn.XLOOKUP($B42,rf1_data!$B:$B,rf1_data!BK:BK,"NaN")="","NaN",(_xlfn.XLOOKUP($B42,rf1_data!$B:$B,rf1_data!BK:BK,"NaN")))</f>
        <v>NaN</v>
      </c>
      <c r="BT42" s="5" t="str">
        <f>IF(_xlfn.XLOOKUP($B42,rf1_data!$B:$B,rf1_data!BL:BL,"NaN")="","NaN",(_xlfn.XLOOKUP($B42,rf1_data!$B:$B,rf1_data!BL:BL,"NaN")))</f>
        <v>NaN</v>
      </c>
      <c r="BU42" s="5" t="str">
        <f>IF(_xlfn.XLOOKUP($B42,rf1_data!$B:$B,rf1_data!BM:BM,"NaN")="","NaN",(_xlfn.XLOOKUP($B42,rf1_data!$B:$B,rf1_data!BM:BM,"NaN")))</f>
        <v>NaN</v>
      </c>
      <c r="BV42" s="5" t="str">
        <f>IF(_xlfn.XLOOKUP($B42,rf1_data!$B:$B,rf1_data!BN:BN,"NaN")="","NaN",(_xlfn.XLOOKUP($B42,rf1_data!$B:$B,rf1_data!BN:BN,"NaN")))</f>
        <v>NaN</v>
      </c>
      <c r="BW42" s="5">
        <f>IF(_xlfn.XLOOKUP($B42,rf1_data!$B:$B,rf1_data!BO:BO,"NaN")="","NaN",(_xlfn.XLOOKUP($B42,rf1_data!$B:$B,rf1_data!BO:BO,"NaN")))</f>
        <v>4.2</v>
      </c>
      <c r="BX42" s="5">
        <f>IF(_xlfn.XLOOKUP($B42,rf1_data!$B:$B,rf1_data!BP:BP,"NaN")="","NaN",(_xlfn.XLOOKUP($B42,rf1_data!$B:$B,rf1_data!BP:BP,"NaN")))</f>
        <v>4.2</v>
      </c>
      <c r="BY42" s="5">
        <f>IF(_xlfn.XLOOKUP($B42,rf1_data!$B:$B,rf1_data!BQ:BQ,"NaN")="","NaN",(_xlfn.XLOOKUP($B42,rf1_data!$B:$B,rf1_data!BQ:BQ,"NaN")))</f>
        <v>4.2</v>
      </c>
      <c r="BZ42" s="5">
        <f>IF(_xlfn.XLOOKUP($B42,rf1_data!$B:$B,rf1_data!BR:BR,"NaN")="","NaN",(_xlfn.XLOOKUP($B42,rf1_data!$B:$B,rf1_data!BR:BR,"NaN")))</f>
        <v>4.2</v>
      </c>
      <c r="CA42" s="5">
        <f>IF(_xlfn.XLOOKUP($B42,rf1_data!$B:$B,rf1_data!BS:BS,"NaN")="","NaN",(_xlfn.XLOOKUP($B42,rf1_data!$B:$B,rf1_data!BS:BS,"NaN")))</f>
        <v>2.6666666666666599</v>
      </c>
      <c r="CB42" s="5">
        <f>IF(_xlfn.XLOOKUP($B42,rf1_data!$B:$B,rf1_data!BT:BT,"NaN")="","NaN",(_xlfn.XLOOKUP($B42,rf1_data!$B:$B,rf1_data!BT:BT,"NaN")))</f>
        <v>2.6666666666666599</v>
      </c>
      <c r="CC42" s="5">
        <f>IF(_xlfn.XLOOKUP($B42,rf1_data!$B:$B,rf1_data!BU:BU,"NaN")="","NaN",(_xlfn.XLOOKUP($B42,rf1_data!$B:$B,rf1_data!BU:BU,"NaN")))</f>
        <v>2.6666666666666599</v>
      </c>
      <c r="CD42" s="5">
        <f>IF(_xlfn.XLOOKUP($B42,rf1_data!$B:$B,rf1_data!BV:BV,"NaN")="","NaN",(_xlfn.XLOOKUP($B42,rf1_data!$B:$B,rf1_data!BV:BV,"NaN")))</f>
        <v>2.6666666666666599</v>
      </c>
      <c r="CE42" s="5">
        <f>IF(_xlfn.XLOOKUP($B42,rf1_data!$B:$B,rf1_data!BW:BW,"NaN")="","NaN",(_xlfn.XLOOKUP($B42,rf1_data!$B:$B,rf1_data!BW:BW,"NaN")))</f>
        <v>0.95</v>
      </c>
      <c r="CF42" s="5">
        <f>IF(_xlfn.XLOOKUP($B42,rf1_data!$B:$B,rf1_data!BX:BX,"NaN")="","NaN",(_xlfn.XLOOKUP($B42,rf1_data!$B:$B,rf1_data!BX:BX,"NaN")))</f>
        <v>0</v>
      </c>
      <c r="CG42" s="5">
        <f>IF(_xlfn.XLOOKUP($B42,rf1_data!$B:$B,rf1_data!BY:BY,"NaN")="","NaN",(_xlfn.XLOOKUP($B42,rf1_data!$B:$B,rf1_data!BY:BY,"NaN")))</f>
        <v>0</v>
      </c>
      <c r="CH42" s="5">
        <f>IF(_xlfn.XLOOKUP($B42,rf1_data!$B:$B,rf1_data!BZ:BZ,"NaN")="","NaN",(_xlfn.XLOOKUP($B42,rf1_data!$B:$B,rf1_data!BZ:BZ,"NaN")))</f>
        <v>22</v>
      </c>
      <c r="CI42" s="5" t="str">
        <f>IF(_xlfn.XLOOKUP($B42,rf1_data!$B:$B,rf1_data!CA:CA,"NaN")="","NaN",(_xlfn.XLOOKUP($B42,rf1_data!$B:$B,rf1_data!CA:CA,"NaN")))</f>
        <v>NaN</v>
      </c>
      <c r="CJ42" s="5">
        <f>IF(_xlfn.XLOOKUP($B42,rf1_data!$B:$B,rf1_data!CB:CB,"NaN")="","NaN",(_xlfn.XLOOKUP($B42,rf1_data!$B:$B,rf1_data!CB:CB,"NaN")))</f>
        <v>9</v>
      </c>
      <c r="CK42" s="5">
        <f>IF(_xlfn.XLOOKUP($B42,rf1_data!$B:$B,rf1_data!CC:CC,"NaN")="","NaN",(_xlfn.XLOOKUP($B42,rf1_data!$B:$B,rf1_data!CC:CC,"NaN")))</f>
        <v>1.125</v>
      </c>
      <c r="CL42" s="5">
        <f>IF(_xlfn.XLOOKUP($B42,rf1_data!$B:$B,rf1_data!CD:CD,"NaN")=0,"NaN",(_xlfn.XLOOKUP($B42,rf1_data!$B:$B,rf1_data!CD:CD,"NaN")))</f>
        <v>30</v>
      </c>
      <c r="CM42" s="5">
        <f>IF(_xlfn.XLOOKUP($B42,rf1_data!$B:$B,rf1_data!CE:CE,"NaN")="","NaN",(_xlfn.XLOOKUP($B42,rf1_data!$B:$B,rf1_data!CE:CE,"NaN")))</f>
        <v>30</v>
      </c>
      <c r="CN42" s="5">
        <f>IF(_xlfn.XLOOKUP($B42,rf1_data!$B:$B,rf1_data!CF:CF,"NaN")="","NaN",(_xlfn.XLOOKUP($B42,rf1_data!$B:$B,rf1_data!CF:CF,"NaN")))</f>
        <v>38</v>
      </c>
      <c r="CO42" s="5">
        <f>IF(_xlfn.XLOOKUP($B42,rf1_data!$B:$B,rf1_data!CG:CG,"NaN")="","NaN",(_xlfn.XLOOKUP($B42,rf1_data!$B:$B,rf1_data!CG:CG,"NaN")))</f>
        <v>29</v>
      </c>
      <c r="CP42" s="5">
        <f>IF(_xlfn.XLOOKUP($B42,rf1_data!$B:$B,rf1_data!CH:CH,"NaN")=0,"NaN",(_xlfn.XLOOKUP($B42,rf1_data!$B:$B,rf1_data!CH:CH,"NaN")))</f>
        <v>27</v>
      </c>
      <c r="CQ42" s="5">
        <f>IF(_xlfn.XLOOKUP($B42,rf1_data!$B:$B,rf1_data!CI:CI,"NaN")="","NaN",(_xlfn.XLOOKUP($B42,rf1_data!$B:$B,rf1_data!CI:CI,"NaN")))</f>
        <v>48</v>
      </c>
      <c r="CR42" s="5">
        <f>IF(_xlfn.XLOOKUP($B42,rf1_data!$B:$B,rf1_data!CJ:CJ,"NaN")="","NaN",(_xlfn.XLOOKUP($B42,rf1_data!$B:$B,rf1_data!CJ:CJ,"NaN")))</f>
        <v>46</v>
      </c>
      <c r="CS42" s="5">
        <f>IF(_xlfn.XLOOKUP($B42,rf1_data!$B:$B,rf1_data!CK:CK,"NaN")="","NaN",(_xlfn.XLOOKUP($B42,rf1_data!$B:$B,rf1_data!CK:CK,"NaN")))</f>
        <v>48</v>
      </c>
      <c r="CT42" s="5">
        <f>IF(_xlfn.XLOOKUP($B42,rf1_data!$B:$B,rf1_data!CL:CL,"NaN")="","NaN",(_xlfn.XLOOKUP($B42,rf1_data!$B:$B,rf1_data!CL:CL,"NaN")))</f>
        <v>58</v>
      </c>
      <c r="CU42" s="5">
        <f>IF(_xlfn.XLOOKUP($B42,rf1_data!$B:$B,rf1_data!CM:CM,"NaN")="","NaN",(_xlfn.XLOOKUP($B42,rf1_data!$B:$B,rf1_data!CM:CM,"NaN")))</f>
        <v>48</v>
      </c>
      <c r="CV42" s="5">
        <f>IF(_xlfn.XLOOKUP($B42,rf1_data!$B:$B,rf1_data!CN:CN,"NaN")="","NaN",(_xlfn.XLOOKUP($B42,rf1_data!$B:$B,rf1_data!CN:CN,"NaN")))</f>
        <v>54</v>
      </c>
      <c r="CW42" s="5" t="str">
        <f>IF(_xlfn.XLOOKUP($B42,rf1_data!$B:$B,rf1_data!CO:CO,"NaN")="","NaN",(_xlfn.XLOOKUP($B42,rf1_data!$B:$B,rf1_data!CO:CO,"NaN")))</f>
        <v>NaN</v>
      </c>
      <c r="CX42" s="5" t="str">
        <f>IF(_xlfn.XLOOKUP($B42,rf1_data!$B:$B,rf1_data!CP:CP,"NaN")="","NaN",(_xlfn.XLOOKUP($B42,rf1_data!$B:$B,rf1_data!CP:CP,"NaN")))</f>
        <v>NaN</v>
      </c>
      <c r="CY42" s="5">
        <f>IF(_xlfn.XLOOKUP($B42,rf1_data!$B:$B,rf1_data!CQ:CQ,"NaN")="","NaN",(_xlfn.XLOOKUP($B42,rf1_data!$B:$B,rf1_data!CQ:CQ,"NaN")))</f>
        <v>7</v>
      </c>
      <c r="CZ42" s="5">
        <f>IF(_xlfn.XLOOKUP($B42,rf1_data!$B:$B,rf1_data!CR:CR,"NaN")="","NaN",(_xlfn.XLOOKUP($B42,rf1_data!$B:$B,rf1_data!CR:CR,"NaN")))</f>
        <v>1</v>
      </c>
      <c r="DA42" s="5">
        <f>IF(_xlfn.XLOOKUP($B42,rf1_data!$B:$B,rf1_data!CS:CS,"NaN")="","NaN",(_xlfn.XLOOKUP($B42,rf1_data!$B:$B,rf1_data!CS:CS,"NaN")))</f>
        <v>1</v>
      </c>
      <c r="DB42" s="4">
        <f>IF(_xlfn.XLOOKUP($B42,island_data!$B:$B,island_data!H:H,"NaN")="","NaN",_xlfn.XLOOKUP($B42,island_data!$B:$B,island_data!H:H,"NaN"))</f>
        <v>1</v>
      </c>
      <c r="DC42" s="4">
        <f>IF(_xlfn.XLOOKUP($B42,island_data!$B:$B,island_data!I:I,"NaN")="","NaN",_xlfn.XLOOKUP($B42,island_data!$B:$B,island_data!I:I,"NaN"))</f>
        <v>0</v>
      </c>
      <c r="DD42" s="4">
        <f>IF(_xlfn.XLOOKUP($B42,island_data!$B:$B,island_data!J:J,"NaN")="","NaN",_xlfn.XLOOKUP($B42,island_data!$B:$B,island_data!J:J,"NaN"))</f>
        <v>1</v>
      </c>
      <c r="DE42" s="4">
        <f>IF(_xlfn.XLOOKUP($B42,island_data!$B:$B,island_data!K:K,"NaN")="","NaN",_xlfn.XLOOKUP($B42,island_data!$B:$B,island_data!K:K,"NaN"))</f>
        <v>3</v>
      </c>
      <c r="DF42" s="4">
        <f>IF(_xlfn.XLOOKUP($B42,island_data!$B:$B,island_data!L:L,"NaN")="","NaN",_xlfn.XLOOKUP($B42,island_data!$B:$B,island_data!L:L,"NaN"))</f>
        <v>28</v>
      </c>
      <c r="DG42" s="4">
        <f>IF(_xlfn.XLOOKUP($B42,island_data!$B:$B,island_data!M:M,"NaN")="","NaN",_xlfn.XLOOKUP($B42,island_data!$B:$B,island_data!M:M,"NaN"))</f>
        <v>3.6875</v>
      </c>
      <c r="DH42" s="4">
        <f>IF(_xlfn.XLOOKUP($B42,island_data!$B:$B,island_data!N:N,"NaN")="","NaN",_xlfn.XLOOKUP($B42,island_data!$B:$B,island_data!N:N,"NaN"))</f>
        <v>11</v>
      </c>
      <c r="DI42" s="4">
        <f>IF(_xlfn.XLOOKUP($B42,island_data!$B:$B,island_data!O:O,"NaN")=999,"NaN",_xlfn.XLOOKUP($B42,island_data!$B:$B,island_data!O:O,"NaN"))</f>
        <v>9</v>
      </c>
      <c r="DJ42" s="4">
        <f>IF(_xlfn.XLOOKUP($B42,island_data!$B:$B,island_data!P:P,"NaN")="","NaN",_xlfn.XLOOKUP($B42,island_data!$B:$B,island_data!P:P,"NaN"))</f>
        <v>9</v>
      </c>
      <c r="DK42" s="4">
        <f>IF(_xlfn.XLOOKUP($B42,island_data!$B:$B,island_data!Q:Q,"NaN")="","NaN",_xlfn.XLOOKUP($B42,island_data!$B:$B,island_data!Q:Q,"NaN"))</f>
        <v>5</v>
      </c>
      <c r="DL42" s="4">
        <f>IF(_xlfn.XLOOKUP($B42,island_data!$B:$B,island_data!R:R,"NaN")=999,"NaN",_xlfn.XLOOKUP($B42,island_data!$B:$B,island_data!R:R,"NaN"))</f>
        <v>15</v>
      </c>
      <c r="DM42" s="4">
        <f>IF(_xlfn.XLOOKUP($B42,island_data!$B:$B,island_data!S:S,"NaN")="","NaN",_xlfn.XLOOKUP($B42,island_data!$B:$B,island_data!S:S,"NaN"))</f>
        <v>10</v>
      </c>
      <c r="DN42" s="4">
        <f>IF(_xlfn.XLOOKUP($B42,island_data!$B:$B,island_data!T:T,"NaN")="","NaN",_xlfn.XLOOKUP($B42,island_data!$B:$B,island_data!T:T,"NaN"))</f>
        <v>4.5</v>
      </c>
      <c r="DO42" s="4">
        <f>IF(_xlfn.XLOOKUP($B42,island_data!$B:$B,island_data!U:U,"NaN")="","NaN",_xlfn.XLOOKUP($B42,island_data!$B:$B,island_data!U:U,"NaN"))</f>
        <v>4</v>
      </c>
      <c r="DP42" s="4">
        <f>IF(_xlfn.XLOOKUP($B42,island_data!$B:$B,island_data!V:V,"NaN")="","NaN",_xlfn.XLOOKUP($B42,island_data!$B:$B,island_data!V:V,"NaN"))</f>
        <v>2</v>
      </c>
      <c r="DQ42" s="4">
        <f>IF(_xlfn.XLOOKUP($B42,island_data!$B:$B,island_data!W:W,"NaN")="","NaN",_xlfn.XLOOKUP($B42,island_data!$B:$B,island_data!W:W,"NaN"))</f>
        <v>7</v>
      </c>
      <c r="DR42" s="4">
        <f>IF(_xlfn.XLOOKUP($B42,island_data!$B:$B,island_data!X:X,"NaN")="","NaN",_xlfn.XLOOKUP($B42,island_data!$B:$B,island_data!X:X,"NaN"))</f>
        <v>4</v>
      </c>
      <c r="DS42" s="4" t="str">
        <f>IF(_xlfn.XLOOKUP($B42,island_data!$B:$B,island_data!Y:Y,"NaN")="","NaN",_xlfn.XLOOKUP($B42,island_data!$B:$B,island_data!Y:Y,"NaN"))</f>
        <v>NaN</v>
      </c>
      <c r="DT42" s="4" t="str">
        <f>IF(_xlfn.XLOOKUP($B42,island_data!$B:$B,island_data!Z:Z,"NaN")="","NaN",_xlfn.XLOOKUP($B42,island_data!$B:$B,island_data!Z:Z,"NaN"))</f>
        <v>NaN</v>
      </c>
      <c r="DU42" s="4" t="str">
        <f>IF(_xlfn.XLOOKUP($B42,island_data!$B:$B,island_data!AA:AA,"NaN")="","NaN",_xlfn.XLOOKUP($B42,island_data!$B:$B,island_data!AA:AA,"NaN"))</f>
        <v>NaN</v>
      </c>
      <c r="DV42" s="4">
        <f>IF(_xlfn.XLOOKUP($B42,island_data!$B:$B,island_data!AB:AB,"NaN")="","NaN",_xlfn.XLOOKUP($B42,island_data!$B:$B,island_data!AB:AB,"NaN"))</f>
        <v>1</v>
      </c>
      <c r="DW42" s="4">
        <f>IF(_xlfn.XLOOKUP($B42,island_data!$B:$B,island_data!AC:AC,"NaN")="","NaN",_xlfn.XLOOKUP($B42,island_data!$B:$B,island_data!AC:AC,"NaN"))</f>
        <v>19151</v>
      </c>
      <c r="DX42" s="4">
        <f>IF(_xlfn.XLOOKUP($B42,island_data!$B:$B,island_data!AD:AD,"NaN")="","NaN",_xlfn.XLOOKUP($B42,island_data!$B:$B,island_data!AD:AD,"NaN"))</f>
        <v>7</v>
      </c>
      <c r="DY42" s="4">
        <f>IF(_xlfn.XLOOKUP($B42,island_data!$B:$B,island_data!AE:AE,"NaN")="","NaN",_xlfn.XLOOKUP($B42,island_data!$B:$B,island_data!AE:AE,"NaN"))</f>
        <v>0</v>
      </c>
      <c r="DZ42" s="4" t="str">
        <f>IF(_xlfn.XLOOKUP($B42,island_data!$B:$B,island_data!AF:AF,"NaN")="","NaN",_xlfn.XLOOKUP($B42,island_data!$B:$B,island_data!AF:AF,"NaN"))</f>
        <v>NaN</v>
      </c>
      <c r="EA42" s="4" t="str">
        <f>IF(_xlfn.XLOOKUP($B42,island_data!$B:$B,island_data!AG:AG,"NaN")="","NaN",_xlfn.XLOOKUP($B42,island_data!$B:$B,island_data!AG:AG,"NaN"))</f>
        <v>NaN</v>
      </c>
      <c r="EB42" s="4" t="str">
        <f>IF(_xlfn.XLOOKUP($B42,island_data!$B:$B,island_data!AH:AH,"NaN")="","NaN",_xlfn.XLOOKUP($B42,island_data!$B:$B,island_data!AH:AH,"NaN"))</f>
        <v>NaN</v>
      </c>
      <c r="EC42" s="4" t="str">
        <f>IF(_xlfn.XLOOKUP($B42,island_data!$B:$B,island_data!AI:AI,"NaN")="","NaN",_xlfn.XLOOKUP($B42,island_data!$B:$B,island_data!AI:AI,"NaN"))</f>
        <v>NaN</v>
      </c>
      <c r="ED42" s="4" t="str">
        <f>IF(_xlfn.XLOOKUP($B42,island_data!$B:$B,island_data!AJ:AJ,"NaN")="","NaN",_xlfn.XLOOKUP($B42,island_data!$B:$B,island_data!AJ:AJ,"NaN"))</f>
        <v>NaN</v>
      </c>
      <c r="EE42" s="4" t="str">
        <f>IF(_xlfn.XLOOKUP($B42,island_data!$B:$B,island_data!AK:AK,"NaN")="","NaN",_xlfn.XLOOKUP($B42,island_data!$B:$B,island_data!AK:AK,"NaN"))</f>
        <v>NaN</v>
      </c>
      <c r="EF42" s="4" t="str">
        <f>IF(_xlfn.XLOOKUP($B42,island_data!$B:$B,island_data!AL:AL,"NaN")="","NaN",_xlfn.XLOOKUP($B42,island_data!$B:$B,island_data!AL:AL,"NaN"))</f>
        <v>NaN</v>
      </c>
      <c r="EG42" s="4" t="str">
        <f>IF(_xlfn.XLOOKUP($B42,island_data!$B:$B,island_data!AM:AM,"NaN")="","NaN",_xlfn.XLOOKUP($B42,island_data!$B:$B,island_data!AM:AM,"NaN"))</f>
        <v>NaN</v>
      </c>
      <c r="EH42" s="4" t="str">
        <f>IF(_xlfn.XLOOKUP($B42,island_data!$B:$B,island_data!AN:AN,"NaN")="","NaN",_xlfn.XLOOKUP($B42,island_data!$B:$B,island_data!AN:AN,"NaN"))</f>
        <v>NaN</v>
      </c>
      <c r="EI42" s="4" t="str">
        <f>IF(_xlfn.XLOOKUP($B42,island_data!$B:$B,island_data!AO:AO,"NaN")="","NaN",_xlfn.XLOOKUP($B42,island_data!$B:$B,island_data!AO:AO,"NaN"))</f>
        <v>NaN</v>
      </c>
      <c r="EJ42" s="8">
        <f>IF(_xlfn.XLOOKUP($A42,TabCAT!$A:$A,TabCAT!AU:AU,"NaN")="","NaN",(_xlfn.XLOOKUP($A42,TabCAT!$A:$A,TabCAT!AU:AU,"NaN")))</f>
        <v>191</v>
      </c>
      <c r="EK42" s="8" t="b">
        <f>IF(_xlfn.XLOOKUP($A42,TabCAT!$A:$A,TabCAT!AV:AV,"NaN")="","NaN",(_xlfn.XLOOKUP($A42,TabCAT!$A:$A,TabCAT!AV:AV,"NaN")))</f>
        <v>1</v>
      </c>
      <c r="EL42" s="8">
        <f>IF(_xlfn.XLOOKUP($A42,TabCAT!$A:$A,TabCAT!AW:AW,"NaN")="","NaN",(_xlfn.XLOOKUP($A42,TabCAT!$A:$A,TabCAT!AW:AW,"NaN")))</f>
        <v>6</v>
      </c>
      <c r="EM42" s="8">
        <f>IF(_xlfn.XLOOKUP($A42,TabCAT!$A:$A,TabCAT!AX:AX,"NaN")="","NaN",(_xlfn.XLOOKUP($A42,TabCAT!$A:$A,TabCAT!AX:AX,"NaN")))</f>
        <v>0</v>
      </c>
      <c r="EN42" s="8">
        <f>IF(_xlfn.XLOOKUP($A42,TabCAT!$A:$A,TabCAT!AY:AY,"NaN")="","NaN",(_xlfn.XLOOKUP($A42,TabCAT!$A:$A,TabCAT!AY:AY,"NaN")))</f>
        <v>7.64</v>
      </c>
      <c r="EO42" s="8">
        <f>IF(_xlfn.XLOOKUP($A42,TabCAT!$A:$A,TabCAT!AZ:AZ,"NaN")="","NaN",(_xlfn.XLOOKUP($A42,TabCAT!$A:$A,TabCAT!AZ:AZ,"NaN")))</f>
        <v>32</v>
      </c>
      <c r="EP42" s="8">
        <f>IF(_xlfn.XLOOKUP($A42,TabCAT!$A:$A,TabCAT!BA:BA,"NaN")="","NaN",(_xlfn.XLOOKUP($A42,TabCAT!$A:$A,TabCAT!BA:BA,"NaN")))</f>
        <v>0.95505949999999995</v>
      </c>
      <c r="EQ42" s="8">
        <f>IF(_xlfn.XLOOKUP($A42,TabCAT!$A:$A,TabCAT!BB:BB,"NaN")="","NaN",(_xlfn.XLOOKUP($A42,TabCAT!$A:$A,TabCAT!BB:BB,"NaN")))</f>
        <v>0.113987464697586</v>
      </c>
      <c r="ER42" s="8">
        <f>IF(_xlfn.XLOOKUP($A42,TabCAT!$A:$A,TabCAT!BC:BC,"NaN")="","NaN",(_xlfn.XLOOKUP($A42,TabCAT!$A:$A,TabCAT!BC:BC,"NaN")))</f>
        <v>16</v>
      </c>
      <c r="ES42" s="8">
        <f>IF(_xlfn.XLOOKUP($A42,TabCAT!$A:$A,TabCAT!BD:BD,"NaN")="","NaN",(_xlfn.XLOOKUP($A42,TabCAT!$A:$A,TabCAT!BD:BD,"NaN")))</f>
        <v>0.90126099999999998</v>
      </c>
      <c r="ET42" s="8">
        <f>IF(_xlfn.XLOOKUP($A42,TabCAT!$A:$A,TabCAT!BE:BE,"NaN")="","NaN",(_xlfn.XLOOKUP($A42,TabCAT!$A:$A,TabCAT!BE:BE,"NaN")))</f>
        <v>16</v>
      </c>
      <c r="EU42" s="8">
        <f>IF(_xlfn.XLOOKUP($A42,TabCAT!$A:$A,TabCAT!BF:BF,"NaN")="","NaN",(_xlfn.XLOOKUP($A42,TabCAT!$A:$A,TabCAT!BF:BF,"NaN")))</f>
        <v>1.00972</v>
      </c>
      <c r="EV42" s="8" t="str">
        <f>IF(_xlfn.XLOOKUP($A42,TabCAT!$A:$A,TabCAT!BG:BG,"NaN")="","NaN",(_xlfn.XLOOKUP($A42,TabCAT!$A:$A,TabCAT!BG:BG,"NaN")))</f>
        <v>NaN</v>
      </c>
      <c r="EW42" s="8" t="str">
        <f>IF(_xlfn.XLOOKUP($A42,TabCAT!$A:$A,TabCAT!BH:BH,"NaN")="","NaN",(_xlfn.XLOOKUP($A42,TabCAT!$A:$A,TabCAT!BH:BH,"NaN")))</f>
        <v>3.0.0</v>
      </c>
      <c r="EX42" s="8" t="str">
        <f>IF(_xlfn.XLOOKUP($A42,TabCAT!$A:$A,TabCAT!BI:BI,"NaN")="","NaN",(_xlfn.XLOOKUP($A42,TabCAT!$A:$A,TabCAT!BI:BI,"NaN")))</f>
        <v>English</v>
      </c>
      <c r="EY42" s="8">
        <f>IF(_xlfn.XLOOKUP($A42,TabCAT!$A:$A,TabCAT!BJ:BJ,"NaN")="","NaN",(_xlfn.XLOOKUP($A42,TabCAT!$A:$A,TabCAT!BJ:BJ,"NaN")))</f>
        <v>281</v>
      </c>
      <c r="EZ42" s="8">
        <f>IF(_xlfn.XLOOKUP($A42,TabCAT!$A:$A,TabCAT!BK:BK,"NaN")="","NaN",(_xlfn.XLOOKUP($A42,TabCAT!$A:$A,TabCAT!BK:BK,"NaN")))</f>
        <v>1</v>
      </c>
      <c r="FA42" s="8">
        <f>IF(_xlfn.XLOOKUP($A42,TabCAT!$A:$A,TabCAT!BL:BL,"NaN")="","NaN",(_xlfn.XLOOKUP($A42,TabCAT!$A:$A,TabCAT!BL:BL,"NaN")))</f>
        <v>6</v>
      </c>
      <c r="FB42" s="8">
        <f>IF(_xlfn.XLOOKUP($A42,TabCAT!$A:$A,TabCAT!BM:BM,"NaN")="","NaN",(_xlfn.XLOOKUP($A42,TabCAT!$A:$A,TabCAT!BM:BM,"NaN")))</f>
        <v>1</v>
      </c>
      <c r="FC42" s="8">
        <f>IF(_xlfn.XLOOKUP($A42,TabCAT!$A:$A,TabCAT!BN:BN,"NaN")="","NaN",(_xlfn.XLOOKUP($A42,TabCAT!$A:$A,TabCAT!BN:BN,"NaN")))</f>
        <v>6</v>
      </c>
      <c r="FD42" s="8">
        <f>IF(_xlfn.XLOOKUP($A42,TabCAT!$A:$A,TabCAT!BO:BO,"NaN")="","NaN",(_xlfn.XLOOKUP($A42,TabCAT!$A:$A,TabCAT!BO:BO,"NaN")))</f>
        <v>6</v>
      </c>
      <c r="FE42" s="8">
        <f>IF(_xlfn.XLOOKUP($A42,TabCAT!$A:$A,TabCAT!BP:BP,"NaN")="","NaN",(_xlfn.XLOOKUP($A42,TabCAT!$A:$A,TabCAT!BP:BP,"NaN")))</f>
        <v>0.66666666666666596</v>
      </c>
      <c r="FF42" s="8">
        <f>IF(_xlfn.XLOOKUP($A42,TabCAT!$A:$A,TabCAT!BQ:BQ,"NaN")="","NaN",(_xlfn.XLOOKUP($A42,TabCAT!$A:$A,TabCAT!BQ:BQ,"NaN")))</f>
        <v>6</v>
      </c>
      <c r="FG42" s="8">
        <f>IF(_xlfn.XLOOKUP($A42,TabCAT!$A:$A,TabCAT!BR:BR,"NaN")="","NaN",(_xlfn.XLOOKUP($A42,TabCAT!$A:$A,TabCAT!BR:BR,"NaN")))</f>
        <v>8</v>
      </c>
      <c r="FH42" s="8">
        <f>IF(_xlfn.XLOOKUP($A42,TabCAT!$A:$A,TabCAT!BS:BS,"NaN")="","NaN",(_xlfn.XLOOKUP($A42,TabCAT!$A:$A,TabCAT!BS:BS,"NaN")))</f>
        <v>0.66666666666666596</v>
      </c>
      <c r="FI42" s="8">
        <f>IF(_xlfn.XLOOKUP($A42,TabCAT!$A:$A,TabCAT!BT:BT,"NaN")="","NaN",(_xlfn.XLOOKUP($A42,TabCAT!$A:$A,TabCAT!BT:BT,"NaN")))</f>
        <v>5</v>
      </c>
      <c r="FJ42" s="8">
        <f>IF(_xlfn.XLOOKUP($A42,TabCAT!$A:$A,TabCAT!BU:BU,"NaN")="","NaN",(_xlfn.XLOOKUP($A42,TabCAT!$A:$A,TabCAT!BU:BU,"NaN")))</f>
        <v>8</v>
      </c>
      <c r="FK42" s="8">
        <f>IF(_xlfn.XLOOKUP($A42,TabCAT!$A:$A,TabCAT!BV:BV,"NaN")="","NaN",(_xlfn.XLOOKUP($A42,TabCAT!$A:$A,TabCAT!BV:BV,"NaN")))</f>
        <v>0.53333333333333299</v>
      </c>
      <c r="FL42" s="8">
        <f>IF(_xlfn.XLOOKUP($A42,TabCAT!$A:$A,TabCAT!BW:BW,"NaN")="","NaN",(_xlfn.XLOOKUP($A42,TabCAT!$A:$A,TabCAT!BW:BW,"NaN")))</f>
        <v>6.5</v>
      </c>
      <c r="FM42" s="8">
        <f>IF(_xlfn.XLOOKUP($A42,TabCAT!$A:$A,TabCAT!BX:BX,"NaN")="","NaN",(_xlfn.XLOOKUP($A42,TabCAT!$A:$A,TabCAT!BX:BX,"NaN")))</f>
        <v>28</v>
      </c>
      <c r="FN42" s="8">
        <f>IF(_xlfn.XLOOKUP($A42,TabCAT!$A:$A,TabCAT!BY:BY,"NaN")="","NaN",(_xlfn.XLOOKUP($A42,TabCAT!$A:$A,TabCAT!BY:BY,"NaN")))</f>
        <v>0.66666666666666596</v>
      </c>
      <c r="FO42" s="8">
        <f>IF(_xlfn.XLOOKUP($A42,TabCAT!$A:$A,TabCAT!BZ:BZ,"NaN")="","NaN",(_xlfn.XLOOKUP($A42,TabCAT!$A:$A,TabCAT!BZ:BZ,"NaN")))</f>
        <v>23.5</v>
      </c>
      <c r="FP42" s="8" t="str">
        <f>IF(_xlfn.XLOOKUP($A42,TabCAT!$A:$A,TabCAT!CA:CA,"NaN")="","NaN",(_xlfn.XLOOKUP($A42,TabCAT!$A:$A,TabCAT!CA:CA,"NaN")))</f>
        <v>3.0.0</v>
      </c>
      <c r="FQ42" s="8" t="str">
        <f>IF(_xlfn.XLOOKUP($A42,TabCAT!$A:$A,TabCAT!CB:CB,"NaN")="","NaN",(_xlfn.XLOOKUP($A42,TabCAT!$A:$A,TabCAT!CB:CB,"NaN")))</f>
        <v>English</v>
      </c>
      <c r="FR42" s="8">
        <f>IF(_xlfn.XLOOKUP($A42,TabCAT!$A:$A,TabCAT!CC:CC,"NaN")="","NaN",(_xlfn.XLOOKUP($A42,TabCAT!$A:$A,TabCAT!CC:CC,"NaN")))</f>
        <v>236</v>
      </c>
      <c r="FS42" s="8" t="b">
        <f>IF(_xlfn.XLOOKUP($A42,TabCAT!$A:$A,TabCAT!CD:CD,"NaN")="","NaN",(_xlfn.XLOOKUP($A42,TabCAT!$A:$A,TabCAT!CD:CD,"NaN")))</f>
        <v>1</v>
      </c>
      <c r="FT42" s="8">
        <f>IF(_xlfn.XLOOKUP($A42,TabCAT!$A:$A,TabCAT!CE:CE,"NaN")="","NaN",(_xlfn.XLOOKUP($A42,TabCAT!$A:$A,TabCAT!CE:CE,"NaN")))</f>
        <v>8</v>
      </c>
      <c r="FU42" s="8">
        <f>IF(_xlfn.XLOOKUP($A42,TabCAT!$A:$A,TabCAT!CF:CF,"NaN")="","NaN",(_xlfn.XLOOKUP($A42,TabCAT!$A:$A,TabCAT!CF:CF,"NaN")))</f>
        <v>0</v>
      </c>
      <c r="FV42" s="8">
        <f>IF(_xlfn.XLOOKUP($A42,TabCAT!$A:$A,TabCAT!CG:CG,"NaN")="","NaN",(_xlfn.XLOOKUP($A42,TabCAT!$A:$A,TabCAT!CG:CG,"NaN")))</f>
        <v>8.19</v>
      </c>
      <c r="FW42" s="8">
        <f>IF(_xlfn.XLOOKUP($A42,TabCAT!$A:$A,TabCAT!CH:CH,"NaN")="","NaN",(_xlfn.XLOOKUP($A42,TabCAT!$A:$A,TabCAT!CH:CH,"NaN")))</f>
        <v>16</v>
      </c>
      <c r="FX42" s="8">
        <f>IF(_xlfn.XLOOKUP($A42,TabCAT!$A:$A,TabCAT!CI:CI,"NaN")="","NaN",(_xlfn.XLOOKUP($A42,TabCAT!$A:$A,TabCAT!CI:CI,"NaN")))</f>
        <v>0.77891100000000002</v>
      </c>
      <c r="FY42" s="8">
        <f>IF(_xlfn.XLOOKUP($A42,TabCAT!$A:$A,TabCAT!CJ:CJ,"NaN")="","NaN",(_xlfn.XLOOKUP($A42,TabCAT!$A:$A,TabCAT!CJ:CJ,"NaN")))</f>
        <v>16</v>
      </c>
      <c r="FZ42" s="8">
        <f>IF(_xlfn.XLOOKUP($A42,TabCAT!$A:$A,TabCAT!CK:CK,"NaN")="","NaN",(_xlfn.XLOOKUP($A42,TabCAT!$A:$A,TabCAT!CK:CK,"NaN")))</f>
        <v>0.81342150000000002</v>
      </c>
      <c r="GA42" s="8">
        <f>IF(_xlfn.XLOOKUP($A42,TabCAT!$A:$A,TabCAT!CL:CL,"NaN")="","NaN",(_xlfn.XLOOKUP($A42,TabCAT!$A:$A,TabCAT!CL:CL,"NaN")))</f>
        <v>32</v>
      </c>
      <c r="GB42" s="8">
        <f>IF(_xlfn.XLOOKUP($A42,TabCAT!$A:$A,TabCAT!CM:CM,"NaN")="","NaN",(_xlfn.XLOOKUP($A42,TabCAT!$A:$A,TabCAT!CM:CM,"NaN")))</f>
        <v>0.78355299999999894</v>
      </c>
      <c r="GC42" s="8">
        <f>IF(_xlfn.XLOOKUP($A42,TabCAT!$A:$A,TabCAT!CN:CN,"NaN")="","NaN",(_xlfn.XLOOKUP($A42,TabCAT!$A:$A,TabCAT!CN:CN,"NaN")))</f>
        <v>21</v>
      </c>
      <c r="GD42" s="8">
        <f>IF(_xlfn.XLOOKUP($A42,TabCAT!$A:$A,TabCAT!CO:CO,"NaN")="","NaN",(_xlfn.XLOOKUP($A42,TabCAT!$A:$A,TabCAT!CO:CO,"NaN")))</f>
        <v>0.789879</v>
      </c>
      <c r="GE42" s="8">
        <f>IF(_xlfn.XLOOKUP($A42,TabCAT!$A:$A,TabCAT!CP:CP,"NaN")="","NaN",(_xlfn.XLOOKUP($A42,TabCAT!$A:$A,TabCAT!CP:CP,"NaN")))</f>
        <v>0.169988482701174</v>
      </c>
      <c r="GF42" s="8">
        <f>IF(_xlfn.XLOOKUP($A42,TabCAT!$A:$A,TabCAT!CQ:CQ,"NaN")="","NaN",(_xlfn.XLOOKUP($A42,TabCAT!$A:$A,TabCAT!CQ:CQ,"NaN")))</f>
        <v>53</v>
      </c>
      <c r="GG42" s="8">
        <f>IF(_xlfn.XLOOKUP($A42,TabCAT!$A:$A,TabCAT!CR:CR,"NaN")="","NaN",(_xlfn.XLOOKUP($A42,TabCAT!$A:$A,TabCAT!CR:CR,"NaN")))</f>
        <v>0.80913599999999997</v>
      </c>
      <c r="GH42" s="8" t="str">
        <f>IF(_xlfn.XLOOKUP($A42,TabCAT!$A:$A,TabCAT!CS:CS,"NaN")="","NaN",(_xlfn.XLOOKUP($A42,TabCAT!$A:$A,TabCAT!CS:CS,"NaN")))</f>
        <v>NaN</v>
      </c>
    </row>
    <row r="43" spans="1:190" x14ac:dyDescent="0.2">
      <c r="A43">
        <v>10685</v>
      </c>
      <c r="B43">
        <f>_xlfn.XLOOKUP(bippity_poppity_boo!A43,rf1_data!A:A,rf1_data!B:B)</f>
        <v>101389</v>
      </c>
      <c r="C43" s="2">
        <f>(_xlfn.XLOOKUP($A43,trust!$A:$A,trust!B:B,"NaN"))</f>
        <v>2.75</v>
      </c>
      <c r="D43" s="2">
        <f>(_xlfn.XLOOKUP($A43,trust!$A:$A,trust!C:C,"NaN"))</f>
        <v>3.4285709999999998</v>
      </c>
      <c r="E43" s="2">
        <f>(_xlfn.XLOOKUP($A43,trust!$A:$A,trust!D:D,"NaN"))</f>
        <v>3.3333330000000001</v>
      </c>
      <c r="F43" s="2">
        <f>(_xlfn.XLOOKUP($A43,trust!$A:$A,trust!E:E,"NaN"))</f>
        <v>4.75</v>
      </c>
      <c r="G43" s="2">
        <f>(_xlfn.XLOOKUP($A43,trust!$A:$A,trust!F:F,"NaN"))</f>
        <v>6.1818179999999998</v>
      </c>
      <c r="H43" s="2">
        <f>(_xlfn.XLOOKUP($A43,trust!$A:$A,trust!G:G,"NaN"))</f>
        <v>6.1538459999999997</v>
      </c>
      <c r="I43" s="3">
        <f>IF(_xlfn.XLOOKUP($B43,island_data!$B:$B,island_data!C:C,"NaN")="","NaN",_xlfn.XLOOKUP($B43,island_data!$B:$B,island_data!C:C,"NaN"))</f>
        <v>45022</v>
      </c>
      <c r="J43" s="3">
        <f>IF(_xlfn.XLOOKUP($B43,island_data!$B:$B,island_data!D:D,"NaN")="","NaN",_xlfn.XLOOKUP($B43,island_data!$B:$B,island_data!D:D,"NaN"))</f>
        <v>32538</v>
      </c>
      <c r="K43" s="4">
        <f>IF(_xlfn.XLOOKUP($B43,island_data!$B:$B,island_data!E:E,"NaN")="","NaN",_xlfn.XLOOKUP($B43,island_data!$B:$B,island_data!E:E,"NaN"))</f>
        <v>34.18</v>
      </c>
      <c r="L43" s="5">
        <f>IF(_xlfn.XLOOKUP($B43,rf1_data!$B:$B,rf1_data!D:D,"NaN")="","NaN",(_xlfn.XLOOKUP($B43,rf1_data!$B:$B,rf1_data!D:D,"NaN")))</f>
        <v>34.43</v>
      </c>
      <c r="M43" s="5" t="str">
        <f>IF(_xlfn.XLOOKUP($B43,rf1_data!$B:$B,rf1_data!E:E,"NaN")="","NaN",(_xlfn.XLOOKUP($B43,rf1_data!$B:$B,rf1_data!E:E,"NaN")))</f>
        <v>Black or African American</v>
      </c>
      <c r="N43" s="5" t="str">
        <f>IF(_xlfn.XLOOKUP($B43,rf1_data!$B:$B,rf1_data!F:F,"NaN")="","NaN",(_xlfn.XLOOKUP($B43,rf1_data!$B:$B,rf1_data!F:F,"NaN")))</f>
        <v>Ethnicity not described (Other)</v>
      </c>
      <c r="O43" s="5" t="str">
        <f>IF(_xlfn.XLOOKUP($B43,rf1_data!$B:$B,rf1_data!G:G,"NaN")="","NaN",(_xlfn.XLOOKUP($B43,rf1_data!$B:$B,rf1_data!G:G,"NaN")))</f>
        <v>Male</v>
      </c>
      <c r="P43" s="5">
        <f>IF(_xlfn.XLOOKUP($B43,rf1_data!$B:$B,rf1_data!H:H,"NaN")="","NaN",(_xlfn.XLOOKUP($B43,rf1_data!$B:$B,rf1_data!H:H,"NaN")))</f>
        <v>3.67</v>
      </c>
      <c r="Q43" s="5">
        <f>IF(_xlfn.XLOOKUP($B43,rf1_data!$B:$B,rf1_data!I:I,"NaN")="","NaN",(_xlfn.XLOOKUP($B43,rf1_data!$B:$B,rf1_data!I:I,"NaN")))</f>
        <v>3.7</v>
      </c>
      <c r="R43" s="5">
        <f>IF(_xlfn.XLOOKUP($B43,rf1_data!$B:$B,rf1_data!J:J,"NaN")="","NaN",(_xlfn.XLOOKUP($B43,rf1_data!$B:$B,rf1_data!J:J,"NaN")))</f>
        <v>7</v>
      </c>
      <c r="S43" s="5">
        <f>IF(_xlfn.XLOOKUP($B43,rf1_data!$B:$B,rf1_data!K:K,"NaN")="","NaN",(_xlfn.XLOOKUP($B43,rf1_data!$B:$B,rf1_data!K:K,"NaN")))</f>
        <v>2</v>
      </c>
      <c r="T43" s="5">
        <f>IF(_xlfn.XLOOKUP($B43,rf1_data!$B:$B,rf1_data!L:L,"NaN")="","NaN",(_xlfn.XLOOKUP($B43,rf1_data!$B:$B,rf1_data!L:L,"NaN")))</f>
        <v>0</v>
      </c>
      <c r="U43" s="5">
        <f>IF(_xlfn.XLOOKUP($B43,rf1_data!$B:$B,rf1_data!M:M,"NaN")="","NaN",(_xlfn.XLOOKUP($B43,rf1_data!$B:$B,rf1_data!M:M,"NaN")))</f>
        <v>6.17</v>
      </c>
      <c r="V43" s="5">
        <f>IF(_xlfn.XLOOKUP($B43,rf1_data!$B:$B,rf1_data!N:N,"NaN")="","NaN",(_xlfn.XLOOKUP($B43,rf1_data!$B:$B,rf1_data!N:N,"NaN")))</f>
        <v>5.83</v>
      </c>
      <c r="W43" s="5">
        <f>IF(_xlfn.XLOOKUP($B43,rf1_data!$B:$B,rf1_data!O:O,"NaN")="","NaN",(_xlfn.XLOOKUP($B43,rf1_data!$B:$B,rf1_data!O:O,"NaN")))</f>
        <v>5.13</v>
      </c>
      <c r="X43" s="5">
        <f>IF(_xlfn.XLOOKUP($B43,rf1_data!$B:$B,rf1_data!P:P,"NaN")="","NaN",(_xlfn.XLOOKUP($B43,rf1_data!$B:$B,rf1_data!P:P,"NaN")))</f>
        <v>6</v>
      </c>
      <c r="Y43" s="5">
        <f>IF(_xlfn.XLOOKUP($B43,rf1_data!$B:$B,rf1_data!Q:Q,"NaN")="","NaN",(_xlfn.XLOOKUP($B43,rf1_data!$B:$B,rf1_data!Q:Q,"NaN")))</f>
        <v>5.6</v>
      </c>
      <c r="Z43" s="5">
        <f>IF(_xlfn.XLOOKUP($B43,rf1_data!$B:$B,rf1_data!R:R,"NaN")="","NaN",(_xlfn.XLOOKUP($B43,rf1_data!$B:$B,rf1_data!R:R,"NaN")))</f>
        <v>25</v>
      </c>
      <c r="AA43" s="5">
        <f>IF(_xlfn.XLOOKUP($B43,rf1_data!$B:$B,rf1_data!S:S,"NaN")="","NaN",(_xlfn.XLOOKUP($B43,rf1_data!$B:$B,rf1_data!S:S,"NaN")))</f>
        <v>2</v>
      </c>
      <c r="AB43" s="5">
        <f>IF(_xlfn.XLOOKUP($B43,rf1_data!$B:$B,rf1_data!T:T,"NaN")="","NaN",(_xlfn.XLOOKUP($B43,rf1_data!$B:$B,rf1_data!T:T,"NaN")))</f>
        <v>10</v>
      </c>
      <c r="AC43" s="5">
        <f>IF(_xlfn.XLOOKUP($B43,rf1_data!$B:$B,rf1_data!U:U,"NaN")="","NaN",(_xlfn.XLOOKUP($B43,rf1_data!$B:$B,rf1_data!U:U,"NaN")))</f>
        <v>5</v>
      </c>
      <c r="AD43" s="5">
        <f>IF(_xlfn.XLOOKUP($B43,rf1_data!$B:$B,rf1_data!V:V,"NaN")="","NaN",(_xlfn.XLOOKUP($B43,rf1_data!$B:$B,rf1_data!V:V,"NaN")))</f>
        <v>8</v>
      </c>
      <c r="AE43" s="5">
        <f>IF(_xlfn.XLOOKUP($B43,rf1_data!$B:$B,rf1_data!W:W,"NaN")="","NaN",(_xlfn.XLOOKUP($B43,rf1_data!$B:$B,rf1_data!W:W,"NaN")))</f>
        <v>2</v>
      </c>
      <c r="AF43" s="5">
        <f>IF(_xlfn.XLOOKUP($B43,rf1_data!$B:$B,rf1_data!X:X,"NaN")="","NaN",(_xlfn.XLOOKUP($B43,rf1_data!$B:$B,rf1_data!X:X,"NaN")))</f>
        <v>5</v>
      </c>
      <c r="AG43" s="5">
        <f>IF(_xlfn.XLOOKUP($B43,rf1_data!$B:$B,rf1_data!Y:Y,"NaN")="","NaN",(_xlfn.XLOOKUP($B43,rf1_data!$B:$B,rf1_data!Y:Y,"NaN")))</f>
        <v>4</v>
      </c>
      <c r="AH43" s="5">
        <f>IF(_xlfn.XLOOKUP($B43,rf1_data!$B:$B,rf1_data!Z:Z,"NaN")="","NaN",(_xlfn.XLOOKUP($B43,rf1_data!$B:$B,rf1_data!Z:Z,"NaN")))</f>
        <v>4</v>
      </c>
      <c r="AI43" s="5">
        <f>IF(_xlfn.XLOOKUP($B43,rf1_data!$B:$B,rf1_data!AA:AA,"NaN")="","NaN",(_xlfn.XLOOKUP($B43,rf1_data!$B:$B,rf1_data!AA:AA,"NaN")))</f>
        <v>3</v>
      </c>
      <c r="AJ43" s="5">
        <f>IF(_xlfn.XLOOKUP($B43,rf1_data!$B:$B,rf1_data!AB:AB,"NaN")="","NaN",(_xlfn.XLOOKUP($B43,rf1_data!$B:$B,rf1_data!AB:AB,"NaN")))</f>
        <v>18</v>
      </c>
      <c r="AK43" s="5">
        <f>IF(_xlfn.XLOOKUP($B43,rf1_data!$B:$B,rf1_data!AC:AC,"NaN")="","NaN",(_xlfn.XLOOKUP($B43,rf1_data!$B:$B,rf1_data!AC:AC,"NaN")))</f>
        <v>35</v>
      </c>
      <c r="AL43" s="5">
        <f>IF(_xlfn.XLOOKUP($B43,rf1_data!$B:$B,rf1_data!AD:AD,"NaN")="","NaN",(_xlfn.XLOOKUP($B43,rf1_data!$B:$B,rf1_data!AD:AD,"NaN")))</f>
        <v>13</v>
      </c>
      <c r="AM43" s="5">
        <f>IF(_xlfn.XLOOKUP($B43,rf1_data!$B:$B,rf1_data!AE:AE,"NaN")="","NaN",(_xlfn.XLOOKUP($B43,rf1_data!$B:$B,rf1_data!AE:AE,"NaN")))</f>
        <v>0</v>
      </c>
      <c r="AN43" s="5">
        <f>IF(_xlfn.XLOOKUP($B43,rf1_data!$B:$B,rf1_data!AF:AF,"NaN")="","NaN",(_xlfn.XLOOKUP($B43,rf1_data!$B:$B,rf1_data!AF:AF,"NaN")))</f>
        <v>0</v>
      </c>
      <c r="AO43" s="5">
        <f>IF(_xlfn.XLOOKUP($B43,rf1_data!$B:$B,rf1_data!AG:AG,"NaN")="","NaN",(_xlfn.XLOOKUP($B43,rf1_data!$B:$B,rf1_data!AG:AG,"NaN")))</f>
        <v>5.67</v>
      </c>
      <c r="AP43" s="5">
        <f>IF(_xlfn.XLOOKUP($B43,rf1_data!$B:$B,rf1_data!AH:AH,"NaN")="","NaN",(_xlfn.XLOOKUP($B43,rf1_data!$B:$B,rf1_data!AH:AH,"NaN")))</f>
        <v>6</v>
      </c>
      <c r="AQ43" s="5">
        <f>IF(_xlfn.XLOOKUP($B43,rf1_data!$B:$B,rf1_data!AI:AI,"NaN")="","NaN",(_xlfn.XLOOKUP($B43,rf1_data!$B:$B,rf1_data!AI:AI,"NaN")))</f>
        <v>4.75</v>
      </c>
      <c r="AR43" s="5">
        <f>IF(_xlfn.XLOOKUP($B43,rf1_data!$B:$B,rf1_data!AJ:AJ,"NaN")="","NaN",(_xlfn.XLOOKUP($B43,rf1_data!$B:$B,rf1_data!AJ:AJ,"NaN")))</f>
        <v>6.25</v>
      </c>
      <c r="AS43" s="5">
        <f>IF(_xlfn.XLOOKUP($B43,rf1_data!$B:$B,rf1_data!AK:AK,"NaN")="","NaN",(_xlfn.XLOOKUP($B43,rf1_data!$B:$B,rf1_data!AK:AK,"NaN")))</f>
        <v>3.4</v>
      </c>
      <c r="AT43" s="5">
        <f>IF(_xlfn.XLOOKUP($B43,rf1_data!$B:$B,rf1_data!AL:AL,"NaN")="","NaN",(_xlfn.XLOOKUP($B43,rf1_data!$B:$B,rf1_data!AL:AL,"NaN")))</f>
        <v>16</v>
      </c>
      <c r="AU43" s="5">
        <f>IF(_xlfn.XLOOKUP($B43,rf1_data!$B:$B,rf1_data!AM:AM,"NaN")="","NaN",(_xlfn.XLOOKUP($B43,rf1_data!$B:$B,rf1_data!AM:AM,"NaN")))</f>
        <v>1.75</v>
      </c>
      <c r="AV43" s="5">
        <f>IF(_xlfn.XLOOKUP($B43,rf1_data!$B:$B,rf1_data!AN:AN,"NaN")="","NaN",(_xlfn.XLOOKUP($B43,rf1_data!$B:$B,rf1_data!AN:AN,"NaN")))</f>
        <v>2</v>
      </c>
      <c r="AW43" s="5">
        <f>IF(_xlfn.XLOOKUP($B43,rf1_data!$B:$B,rf1_data!AO:AO,"NaN")="","NaN",(_xlfn.XLOOKUP($B43,rf1_data!$B:$B,rf1_data!AO:AO,"NaN")))</f>
        <v>2.83</v>
      </c>
      <c r="AX43" s="5">
        <f>IF(_xlfn.XLOOKUP($B43,rf1_data!$B:$B,rf1_data!AP:AP,"NaN")="","NaN",(_xlfn.XLOOKUP($B43,rf1_data!$B:$B,rf1_data!AP:AP,"NaN")))</f>
        <v>9999</v>
      </c>
      <c r="AY43" s="5" t="str">
        <f>IF(_xlfn.XLOOKUP($B43,rf1_data!$B:$B,rf1_data!AQ:AQ,"NaN")="","NaN",(_xlfn.XLOOKUP($B43,rf1_data!$B:$B,rf1_data!AQ:AQ,"NaN")))</f>
        <v>NaN</v>
      </c>
      <c r="AZ43" s="5">
        <f>IF(_xlfn.XLOOKUP($B43,rf1_data!$B:$B,rf1_data!AR:AR,"NaN")="","NaN",(_xlfn.XLOOKUP($B43,rf1_data!$B:$B,rf1_data!AR:AR,"NaN")))</f>
        <v>39</v>
      </c>
      <c r="BA43" s="5" t="str">
        <f>IF(_xlfn.XLOOKUP($B43,rf1_data!$B:$B,rf1_data!AS:AS,"NaN")="","NaN",(_xlfn.XLOOKUP($B43,rf1_data!$B:$B,rf1_data!AS:AS,"NaN")))</f>
        <v>NaN</v>
      </c>
      <c r="BB43" s="5" t="str">
        <f>IF(_xlfn.XLOOKUP($B43,rf1_data!$B:$B,rf1_data!AT:AT,"NaN")="","NaN",(_xlfn.XLOOKUP($B43,rf1_data!$B:$B,rf1_data!AT:AT,"NaN")))</f>
        <v>NaN</v>
      </c>
      <c r="BC43" s="5" t="str">
        <f>IF(_xlfn.XLOOKUP($B43,rf1_data!$B:$B,rf1_data!AU:AU,"NaN")="","NaN",(_xlfn.XLOOKUP($B43,rf1_data!$B:$B,rf1_data!AU:AU,"NaN")))</f>
        <v>NaN</v>
      </c>
      <c r="BD43" s="5" t="str">
        <f>IF(_xlfn.XLOOKUP($B43,rf1_data!$B:$B,rf1_data!AV:AV,"NaN")="","NaN",(_xlfn.XLOOKUP($B43,rf1_data!$B:$B,rf1_data!AV:AV,"NaN")))</f>
        <v>NaN</v>
      </c>
      <c r="BE43" s="5" t="str">
        <f>IF(_xlfn.XLOOKUP($B43,rf1_data!$B:$B,rf1_data!AW:AW,"NaN")="","NaN",(_xlfn.XLOOKUP($B43,rf1_data!$B:$B,rf1_data!AW:AW,"NaN")))</f>
        <v>NaN</v>
      </c>
      <c r="BF43" s="5" t="str">
        <f>IF(_xlfn.XLOOKUP($B43,rf1_data!$B:$B,rf1_data!AX:AX,"NaN")="","NaN",(_xlfn.XLOOKUP($B43,rf1_data!$B:$B,rf1_data!AX:AX,"NaN")))</f>
        <v>NaN</v>
      </c>
      <c r="BG43" s="5" t="str">
        <f>IF(_xlfn.XLOOKUP($B43,rf1_data!$B:$B,rf1_data!AY:AY,"NaN")="","NaN",(_xlfn.XLOOKUP($B43,rf1_data!$B:$B,rf1_data!AY:AY,"NaN")))</f>
        <v>NaN</v>
      </c>
      <c r="BH43" s="5" t="str">
        <f>IF(_xlfn.XLOOKUP($B43,rf1_data!$B:$B,rf1_data!AZ:AZ,"NaN")="","NaN",(_xlfn.XLOOKUP($B43,rf1_data!$B:$B,rf1_data!AZ:AZ,"NaN")))</f>
        <v>NaN</v>
      </c>
      <c r="BI43" s="5">
        <f>IF(_xlfn.XLOOKUP($B43,rf1_data!$B:$B,rf1_data!BA:BA,"NaN")="","NaN",(_xlfn.XLOOKUP($B43,rf1_data!$B:$B,rf1_data!BA:BA,"NaN")))</f>
        <v>95</v>
      </c>
      <c r="BJ43" s="5">
        <f>IF(_xlfn.XLOOKUP($B43,rf1_data!$B:$B,rf1_data!BB:BB,"NaN")="","NaN",(_xlfn.XLOOKUP($B43,rf1_data!$B:$B,rf1_data!BB:BB,"NaN")))</f>
        <v>75</v>
      </c>
      <c r="BK43" s="5" t="str">
        <f>IF(_xlfn.XLOOKUP($B43,rf1_data!$B:$B,rf1_data!BC:BC,"NaN")="","NaN",(_xlfn.XLOOKUP($B43,rf1_data!$B:$B,rf1_data!BC:BC,"NaN")))</f>
        <v>NaN</v>
      </c>
      <c r="BL43" s="5" t="str">
        <f>IF(_xlfn.XLOOKUP($B43,rf1_data!$B:$B,rf1_data!BD:BD,"NaN")="","NaN",(_xlfn.XLOOKUP($B43,rf1_data!$B:$B,rf1_data!BD:BD,"NaN")))</f>
        <v>NaN</v>
      </c>
      <c r="BM43" s="5" t="str">
        <f>IF(_xlfn.XLOOKUP($B43,rf1_data!$B:$B,rf1_data!BE:BE,"NaN")="","NaN",(_xlfn.XLOOKUP($B43,rf1_data!$B:$B,rf1_data!BE:BE,"NaN")))</f>
        <v>NaN</v>
      </c>
      <c r="BN43" s="5" t="str">
        <f>IF(_xlfn.XLOOKUP($B43,rf1_data!$B:$B,rf1_data!BF:BF,"NaN")="","NaN",(_xlfn.XLOOKUP($B43,rf1_data!$B:$B,rf1_data!BF:BF,"NaN")))</f>
        <v>NaN</v>
      </c>
      <c r="BO43" s="5" t="str">
        <f>IF(_xlfn.XLOOKUP($B43,rf1_data!$B:$B,rf1_data!BG:BG,"NaN")="","NaN",(_xlfn.XLOOKUP($B43,rf1_data!$B:$B,rf1_data!BG:BG,"NaN")))</f>
        <v>NaN</v>
      </c>
      <c r="BP43" s="5" t="str">
        <f>IF(_xlfn.XLOOKUP($B43,rf1_data!$B:$B,rf1_data!BH:BH,"NaN")="","NaN",(_xlfn.XLOOKUP($B43,rf1_data!$B:$B,rf1_data!BH:BH,"NaN")))</f>
        <v>NaN</v>
      </c>
      <c r="BQ43" s="5" t="str">
        <f>IF(_xlfn.XLOOKUP($B43,rf1_data!$B:$B,rf1_data!BI:BI,"NaN")="","NaN",(_xlfn.XLOOKUP($B43,rf1_data!$B:$B,rf1_data!BI:BI,"NaN")))</f>
        <v>NaN</v>
      </c>
      <c r="BR43" s="5">
        <f>IF(_xlfn.XLOOKUP($B43,rf1_data!$B:$B,rf1_data!BJ:BJ,"NaN")="","NaN",(_xlfn.XLOOKUP($B43,rf1_data!$B:$B,rf1_data!BJ:BJ,"NaN")))</f>
        <v>8991</v>
      </c>
      <c r="BS43" s="5" t="str">
        <f>IF(_xlfn.XLOOKUP($B43,rf1_data!$B:$B,rf1_data!BK:BK,"NaN")="","NaN",(_xlfn.XLOOKUP($B43,rf1_data!$B:$B,rf1_data!BK:BK,"NaN")))</f>
        <v>NaN</v>
      </c>
      <c r="BT43" s="5" t="str">
        <f>IF(_xlfn.XLOOKUP($B43,rf1_data!$B:$B,rf1_data!BL:BL,"NaN")="","NaN",(_xlfn.XLOOKUP($B43,rf1_data!$B:$B,rf1_data!BL:BL,"NaN")))</f>
        <v>NaN</v>
      </c>
      <c r="BU43" s="5" t="str">
        <f>IF(_xlfn.XLOOKUP($B43,rf1_data!$B:$B,rf1_data!BM:BM,"NaN")="","NaN",(_xlfn.XLOOKUP($B43,rf1_data!$B:$B,rf1_data!BM:BM,"NaN")))</f>
        <v>NaN</v>
      </c>
      <c r="BV43" s="5" t="str">
        <f>IF(_xlfn.XLOOKUP($B43,rf1_data!$B:$B,rf1_data!BN:BN,"NaN")="","NaN",(_xlfn.XLOOKUP($B43,rf1_data!$B:$B,rf1_data!BN:BN,"NaN")))</f>
        <v>NaN</v>
      </c>
      <c r="BW43" s="5">
        <f>IF(_xlfn.XLOOKUP($B43,rf1_data!$B:$B,rf1_data!BO:BO,"NaN")="","NaN",(_xlfn.XLOOKUP($B43,rf1_data!$B:$B,rf1_data!BO:BO,"NaN")))</f>
        <v>2.9</v>
      </c>
      <c r="BX43" s="5">
        <f>IF(_xlfn.XLOOKUP($B43,rf1_data!$B:$B,rf1_data!BP:BP,"NaN")="","NaN",(_xlfn.XLOOKUP($B43,rf1_data!$B:$B,rf1_data!BP:BP,"NaN")))</f>
        <v>4.0999999999999996</v>
      </c>
      <c r="BY43" s="5">
        <f>IF(_xlfn.XLOOKUP($B43,rf1_data!$B:$B,rf1_data!BQ:BQ,"NaN")="","NaN",(_xlfn.XLOOKUP($B43,rf1_data!$B:$B,rf1_data!BQ:BQ,"NaN")))</f>
        <v>4.3</v>
      </c>
      <c r="BZ43" s="5">
        <f>IF(_xlfn.XLOOKUP($B43,rf1_data!$B:$B,rf1_data!BR:BR,"NaN")="","NaN",(_xlfn.XLOOKUP($B43,rf1_data!$B:$B,rf1_data!BR:BR,"NaN")))</f>
        <v>3.77</v>
      </c>
      <c r="CA43" s="5">
        <f>IF(_xlfn.XLOOKUP($B43,rf1_data!$B:$B,rf1_data!BS:BS,"NaN")="","NaN",(_xlfn.XLOOKUP($B43,rf1_data!$B:$B,rf1_data!BS:BS,"NaN")))</f>
        <v>6</v>
      </c>
      <c r="CB43" s="5">
        <f>IF(_xlfn.XLOOKUP($B43,rf1_data!$B:$B,rf1_data!BT:BT,"NaN")="","NaN",(_xlfn.XLOOKUP($B43,rf1_data!$B:$B,rf1_data!BT:BT,"NaN")))</f>
        <v>5.1666666666666599</v>
      </c>
      <c r="CC43" s="5">
        <f>IF(_xlfn.XLOOKUP($B43,rf1_data!$B:$B,rf1_data!BU:BU,"NaN")="","NaN",(_xlfn.XLOOKUP($B43,rf1_data!$B:$B,rf1_data!BU:BU,"NaN")))</f>
        <v>6</v>
      </c>
      <c r="CD43" s="5">
        <f>IF(_xlfn.XLOOKUP($B43,rf1_data!$B:$B,rf1_data!BV:BV,"NaN")="","NaN",(_xlfn.XLOOKUP($B43,rf1_data!$B:$B,rf1_data!BV:BV,"NaN")))</f>
        <v>5.1666666666666599</v>
      </c>
      <c r="CE43" s="5">
        <f>IF(_xlfn.XLOOKUP($B43,rf1_data!$B:$B,rf1_data!BW:BW,"NaN")="","NaN",(_xlfn.XLOOKUP($B43,rf1_data!$B:$B,rf1_data!BW:BW,"NaN")))</f>
        <v>0.95</v>
      </c>
      <c r="CF43" s="5">
        <f>IF(_xlfn.XLOOKUP($B43,rf1_data!$B:$B,rf1_data!BX:BX,"NaN")="","NaN",(_xlfn.XLOOKUP($B43,rf1_data!$B:$B,rf1_data!BX:BX,"NaN")))</f>
        <v>0</v>
      </c>
      <c r="CG43" s="5">
        <f>IF(_xlfn.XLOOKUP($B43,rf1_data!$B:$B,rf1_data!BY:BY,"NaN")="","NaN",(_xlfn.XLOOKUP($B43,rf1_data!$B:$B,rf1_data!BY:BY,"NaN")))</f>
        <v>0</v>
      </c>
      <c r="CH43" s="5">
        <f>IF(_xlfn.XLOOKUP($B43,rf1_data!$B:$B,rf1_data!BZ:BZ,"NaN")="","NaN",(_xlfn.XLOOKUP($B43,rf1_data!$B:$B,rf1_data!BZ:BZ,"NaN")))</f>
        <v>25</v>
      </c>
      <c r="CI43" s="5">
        <f>IF(_xlfn.XLOOKUP($B43,rf1_data!$B:$B,rf1_data!CA:CA,"NaN")="","NaN",(_xlfn.XLOOKUP($B43,rf1_data!$B:$B,rf1_data!CA:CA,"NaN")))</f>
        <v>25</v>
      </c>
      <c r="CJ43" s="5">
        <f>IF(_xlfn.XLOOKUP($B43,rf1_data!$B:$B,rf1_data!CB:CB,"NaN")="","NaN",(_xlfn.XLOOKUP($B43,rf1_data!$B:$B,rf1_data!CB:CB,"NaN")))</f>
        <v>11</v>
      </c>
      <c r="CK43" s="5">
        <f>IF(_xlfn.XLOOKUP($B43,rf1_data!$B:$B,rf1_data!CC:CC,"NaN")="","NaN",(_xlfn.XLOOKUP($B43,rf1_data!$B:$B,rf1_data!CC:CC,"NaN")))</f>
        <v>1.1000000000000001</v>
      </c>
      <c r="CL43" s="5">
        <f>IF(_xlfn.XLOOKUP($B43,rf1_data!$B:$B,rf1_data!CD:CD,"NaN")=0,"NaN",(_xlfn.XLOOKUP($B43,rf1_data!$B:$B,rf1_data!CD:CD,"NaN")))</f>
        <v>33</v>
      </c>
      <c r="CM43" s="5">
        <f>IF(_xlfn.XLOOKUP($B43,rf1_data!$B:$B,rf1_data!CE:CE,"NaN")="","NaN",(_xlfn.XLOOKUP($B43,rf1_data!$B:$B,rf1_data!CE:CE,"NaN")))</f>
        <v>34</v>
      </c>
      <c r="CN43" s="5">
        <f>IF(_xlfn.XLOOKUP($B43,rf1_data!$B:$B,rf1_data!CF:CF,"NaN")="","NaN",(_xlfn.XLOOKUP($B43,rf1_data!$B:$B,rf1_data!CF:CF,"NaN")))</f>
        <v>46</v>
      </c>
      <c r="CO43" s="5">
        <f>IF(_xlfn.XLOOKUP($B43,rf1_data!$B:$B,rf1_data!CG:CG,"NaN")="","NaN",(_xlfn.XLOOKUP($B43,rf1_data!$B:$B,rf1_data!CG:CG,"NaN")))</f>
        <v>28</v>
      </c>
      <c r="CP43" s="5">
        <f>IF(_xlfn.XLOOKUP($B43,rf1_data!$B:$B,rf1_data!CH:CH,"NaN")=0,"NaN",(_xlfn.XLOOKUP($B43,rf1_data!$B:$B,rf1_data!CH:CH,"NaN")))</f>
        <v>35</v>
      </c>
      <c r="CQ43" s="5">
        <f>IF(_xlfn.XLOOKUP($B43,rf1_data!$B:$B,rf1_data!CI:CI,"NaN")="","NaN",(_xlfn.XLOOKUP($B43,rf1_data!$B:$B,rf1_data!CI:CI,"NaN")))</f>
        <v>48</v>
      </c>
      <c r="CR43" s="5">
        <f>IF(_xlfn.XLOOKUP($B43,rf1_data!$B:$B,rf1_data!CJ:CJ,"NaN")="","NaN",(_xlfn.XLOOKUP($B43,rf1_data!$B:$B,rf1_data!CJ:CJ,"NaN")))</f>
        <v>46</v>
      </c>
      <c r="CS43" s="5">
        <f>IF(_xlfn.XLOOKUP($B43,rf1_data!$B:$B,rf1_data!CK:CK,"NaN")="","NaN",(_xlfn.XLOOKUP($B43,rf1_data!$B:$B,rf1_data!CK:CK,"NaN")))</f>
        <v>48</v>
      </c>
      <c r="CT43" s="5">
        <f>IF(_xlfn.XLOOKUP($B43,rf1_data!$B:$B,rf1_data!CL:CL,"NaN")="","NaN",(_xlfn.XLOOKUP($B43,rf1_data!$B:$B,rf1_data!CL:CL,"NaN")))</f>
        <v>53</v>
      </c>
      <c r="CU43" s="5">
        <f>IF(_xlfn.XLOOKUP($B43,rf1_data!$B:$B,rf1_data!CM:CM,"NaN")="","NaN",(_xlfn.XLOOKUP($B43,rf1_data!$B:$B,rf1_data!CM:CM,"NaN")))</f>
        <v>48</v>
      </c>
      <c r="CV43" s="5">
        <f>IF(_xlfn.XLOOKUP($B43,rf1_data!$B:$B,rf1_data!CN:CN,"NaN")="","NaN",(_xlfn.XLOOKUP($B43,rf1_data!$B:$B,rf1_data!CN:CN,"NaN")))</f>
        <v>60</v>
      </c>
      <c r="CW43" s="5" t="str">
        <f>IF(_xlfn.XLOOKUP($B43,rf1_data!$B:$B,rf1_data!CO:CO,"NaN")="","NaN",(_xlfn.XLOOKUP($B43,rf1_data!$B:$B,rf1_data!CO:CO,"NaN")))</f>
        <v>NaN</v>
      </c>
      <c r="CX43" s="5" t="str">
        <f>IF(_xlfn.XLOOKUP($B43,rf1_data!$B:$B,rf1_data!CP:CP,"NaN")="","NaN",(_xlfn.XLOOKUP($B43,rf1_data!$B:$B,rf1_data!CP:CP,"NaN")))</f>
        <v>NaN</v>
      </c>
      <c r="CY43" s="5">
        <f>IF(_xlfn.XLOOKUP($B43,rf1_data!$B:$B,rf1_data!CQ:CQ,"NaN")="","NaN",(_xlfn.XLOOKUP($B43,rf1_data!$B:$B,rf1_data!CQ:CQ,"NaN")))</f>
        <v>2</v>
      </c>
      <c r="CZ43" s="5">
        <f>IF(_xlfn.XLOOKUP($B43,rf1_data!$B:$B,rf1_data!CR:CR,"NaN")="","NaN",(_xlfn.XLOOKUP($B43,rf1_data!$B:$B,rf1_data!CR:CR,"NaN")))</f>
        <v>1</v>
      </c>
      <c r="DA43" s="5">
        <f>IF(_xlfn.XLOOKUP($B43,rf1_data!$B:$B,rf1_data!CS:CS,"NaN")="","NaN",(_xlfn.XLOOKUP($B43,rf1_data!$B:$B,rf1_data!CS:CS,"NaN")))</f>
        <v>1</v>
      </c>
      <c r="DB43" s="4">
        <f>IF(_xlfn.XLOOKUP($B43,island_data!$B:$B,island_data!H:H,"NaN")="","NaN",_xlfn.XLOOKUP($B43,island_data!$B:$B,island_data!H:H,"NaN"))</f>
        <v>3</v>
      </c>
      <c r="DC43" s="4">
        <f>IF(_xlfn.XLOOKUP($B43,island_data!$B:$B,island_data!I:I,"NaN")="","NaN",_xlfn.XLOOKUP($B43,island_data!$B:$B,island_data!I:I,"NaN"))</f>
        <v>17</v>
      </c>
      <c r="DD43" s="4">
        <f>IF(_xlfn.XLOOKUP($B43,island_data!$B:$B,island_data!J:J,"NaN")="","NaN",_xlfn.XLOOKUP($B43,island_data!$B:$B,island_data!J:J,"NaN"))</f>
        <v>0</v>
      </c>
      <c r="DE43" s="4">
        <f>IF(_xlfn.XLOOKUP($B43,island_data!$B:$B,island_data!K:K,"NaN")="","NaN",_xlfn.XLOOKUP($B43,island_data!$B:$B,island_data!K:K,"NaN"))</f>
        <v>6</v>
      </c>
      <c r="DF43" s="4">
        <f>IF(_xlfn.XLOOKUP($B43,island_data!$B:$B,island_data!L:L,"NaN")="","NaN",_xlfn.XLOOKUP($B43,island_data!$B:$B,island_data!L:L,"NaN"))</f>
        <v>0</v>
      </c>
      <c r="DG43" s="4">
        <f>IF(_xlfn.XLOOKUP($B43,island_data!$B:$B,island_data!M:M,"NaN")="","NaN",_xlfn.XLOOKUP($B43,island_data!$B:$B,island_data!M:M,"NaN"))</f>
        <v>3.125</v>
      </c>
      <c r="DH43" s="4">
        <f>IF(_xlfn.XLOOKUP($B43,island_data!$B:$B,island_data!N:N,"NaN")="","NaN",_xlfn.XLOOKUP($B43,island_data!$B:$B,island_data!N:N,"NaN"))</f>
        <v>10</v>
      </c>
      <c r="DI43" s="4">
        <f>IF(_xlfn.XLOOKUP($B43,island_data!$B:$B,island_data!O:O,"NaN")=999,"NaN",_xlfn.XLOOKUP($B43,island_data!$B:$B,island_data!O:O,"NaN"))</f>
        <v>2</v>
      </c>
      <c r="DJ43" s="4">
        <f>IF(_xlfn.XLOOKUP($B43,island_data!$B:$B,island_data!P:P,"NaN")="","NaN",_xlfn.XLOOKUP($B43,island_data!$B:$B,island_data!P:P,"NaN"))</f>
        <v>9</v>
      </c>
      <c r="DK43" s="4">
        <f>IF(_xlfn.XLOOKUP($B43,island_data!$B:$B,island_data!Q:Q,"NaN")="","NaN",_xlfn.XLOOKUP($B43,island_data!$B:$B,island_data!Q:Q,"NaN"))</f>
        <v>4</v>
      </c>
      <c r="DL43" s="4">
        <f>IF(_xlfn.XLOOKUP($B43,island_data!$B:$B,island_data!R:R,"NaN")=999,"NaN",_xlfn.XLOOKUP($B43,island_data!$B:$B,island_data!R:R,"NaN"))</f>
        <v>14</v>
      </c>
      <c r="DM43" s="4">
        <f>IF(_xlfn.XLOOKUP($B43,island_data!$B:$B,island_data!S:S,"NaN")="","NaN",_xlfn.XLOOKUP($B43,island_data!$B:$B,island_data!S:S,"NaN"))</f>
        <v>11</v>
      </c>
      <c r="DN43" s="4">
        <f>IF(_xlfn.XLOOKUP($B43,island_data!$B:$B,island_data!T:T,"NaN")="","NaN",_xlfn.XLOOKUP($B43,island_data!$B:$B,island_data!T:T,"NaN"))</f>
        <v>5.9166666666666599</v>
      </c>
      <c r="DO43" s="4">
        <f>IF(_xlfn.XLOOKUP($B43,island_data!$B:$B,island_data!U:U,"NaN")="","NaN",_xlfn.XLOOKUP($B43,island_data!$B:$B,island_data!U:U,"NaN"))</f>
        <v>5</v>
      </c>
      <c r="DP43" s="4">
        <f>IF(_xlfn.XLOOKUP($B43,island_data!$B:$B,island_data!V:V,"NaN")="","NaN",_xlfn.XLOOKUP($B43,island_data!$B:$B,island_data!V:V,"NaN"))</f>
        <v>1</v>
      </c>
      <c r="DQ43" s="4">
        <f>IF(_xlfn.XLOOKUP($B43,island_data!$B:$B,island_data!W:W,"NaN")="","NaN",_xlfn.XLOOKUP($B43,island_data!$B:$B,island_data!W:W,"NaN"))</f>
        <v>6</v>
      </c>
      <c r="DR43" s="4">
        <f>IF(_xlfn.XLOOKUP($B43,island_data!$B:$B,island_data!X:X,"NaN")="","NaN",_xlfn.XLOOKUP($B43,island_data!$B:$B,island_data!X:X,"NaN"))</f>
        <v>5</v>
      </c>
      <c r="DS43" s="4" t="str">
        <f>IF(_xlfn.XLOOKUP($B43,island_data!$B:$B,island_data!Y:Y,"NaN")="","NaN",_xlfn.XLOOKUP($B43,island_data!$B:$B,island_data!Y:Y,"NaN"))</f>
        <v>NaN</v>
      </c>
      <c r="DT43" s="4" t="str">
        <f>IF(_xlfn.XLOOKUP($B43,island_data!$B:$B,island_data!Z:Z,"NaN")="","NaN",_xlfn.XLOOKUP($B43,island_data!$B:$B,island_data!Z:Z,"NaN"))</f>
        <v>NaN</v>
      </c>
      <c r="DU43" s="4" t="str">
        <f>IF(_xlfn.XLOOKUP($B43,island_data!$B:$B,island_data!AA:AA,"NaN")="","NaN",_xlfn.XLOOKUP($B43,island_data!$B:$B,island_data!AA:AA,"NaN"))</f>
        <v>NaN</v>
      </c>
      <c r="DV43" s="4" t="str">
        <f>IF(_xlfn.XLOOKUP($B43,island_data!$B:$B,island_data!AB:AB,"NaN")="","NaN",_xlfn.XLOOKUP($B43,island_data!$B:$B,island_data!AB:AB,"NaN"))</f>
        <v>NaN</v>
      </c>
      <c r="DW43" s="4">
        <f>IF(_xlfn.XLOOKUP($B43,island_data!$B:$B,island_data!AC:AC,"NaN")="","NaN",_xlfn.XLOOKUP($B43,island_data!$B:$B,island_data!AC:AC,"NaN"))</f>
        <v>18106</v>
      </c>
      <c r="DX43" s="4">
        <f>IF(_xlfn.XLOOKUP($B43,island_data!$B:$B,island_data!AD:AD,"NaN")="","NaN",_xlfn.XLOOKUP($B43,island_data!$B:$B,island_data!AD:AD,"NaN"))</f>
        <v>6</v>
      </c>
      <c r="DY43" s="4">
        <f>IF(_xlfn.XLOOKUP($B43,island_data!$B:$B,island_data!AE:AE,"NaN")="","NaN",_xlfn.XLOOKUP($B43,island_data!$B:$B,island_data!AE:AE,"NaN"))</f>
        <v>0</v>
      </c>
      <c r="DZ43" s="4" t="str">
        <f>IF(_xlfn.XLOOKUP($B43,island_data!$B:$B,island_data!AF:AF,"NaN")="","NaN",_xlfn.XLOOKUP($B43,island_data!$B:$B,island_data!AF:AF,"NaN"))</f>
        <v>NaN</v>
      </c>
      <c r="EA43" s="4" t="str">
        <f>IF(_xlfn.XLOOKUP($B43,island_data!$B:$B,island_data!AG:AG,"NaN")="","NaN",_xlfn.XLOOKUP($B43,island_data!$B:$B,island_data!AG:AG,"NaN"))</f>
        <v>NaN</v>
      </c>
      <c r="EB43" s="4" t="str">
        <f>IF(_xlfn.XLOOKUP($B43,island_data!$B:$B,island_data!AH:AH,"NaN")="","NaN",_xlfn.XLOOKUP($B43,island_data!$B:$B,island_data!AH:AH,"NaN"))</f>
        <v>NaN</v>
      </c>
      <c r="EC43" s="4" t="str">
        <f>IF(_xlfn.XLOOKUP($B43,island_data!$B:$B,island_data!AI:AI,"NaN")="","NaN",_xlfn.XLOOKUP($B43,island_data!$B:$B,island_data!AI:AI,"NaN"))</f>
        <v>NaN</v>
      </c>
      <c r="ED43" s="4" t="str">
        <f>IF(_xlfn.XLOOKUP($B43,island_data!$B:$B,island_data!AJ:AJ,"NaN")="","NaN",_xlfn.XLOOKUP($B43,island_data!$B:$B,island_data!AJ:AJ,"NaN"))</f>
        <v>NaN</v>
      </c>
      <c r="EE43" s="4" t="str">
        <f>IF(_xlfn.XLOOKUP($B43,island_data!$B:$B,island_data!AK:AK,"NaN")="","NaN",_xlfn.XLOOKUP($B43,island_data!$B:$B,island_data!AK:AK,"NaN"))</f>
        <v>NaN</v>
      </c>
      <c r="EF43" s="4" t="str">
        <f>IF(_xlfn.XLOOKUP($B43,island_data!$B:$B,island_data!AL:AL,"NaN")="","NaN",_xlfn.XLOOKUP($B43,island_data!$B:$B,island_data!AL:AL,"NaN"))</f>
        <v>NaN</v>
      </c>
      <c r="EG43" s="4" t="str">
        <f>IF(_xlfn.XLOOKUP($B43,island_data!$B:$B,island_data!AM:AM,"NaN")="","NaN",_xlfn.XLOOKUP($B43,island_data!$B:$B,island_data!AM:AM,"NaN"))</f>
        <v>NaN</v>
      </c>
      <c r="EH43" s="4" t="str">
        <f>IF(_xlfn.XLOOKUP($B43,island_data!$B:$B,island_data!AN:AN,"NaN")="","NaN",_xlfn.XLOOKUP($B43,island_data!$B:$B,island_data!AN:AN,"NaN"))</f>
        <v>NaN</v>
      </c>
      <c r="EI43" s="4" t="str">
        <f>IF(_xlfn.XLOOKUP($B43,island_data!$B:$B,island_data!AO:AO,"NaN")="","NaN",_xlfn.XLOOKUP($B43,island_data!$B:$B,island_data!AO:AO,"NaN"))</f>
        <v>NaN</v>
      </c>
      <c r="EJ43" s="8">
        <f>IF(_xlfn.XLOOKUP($A43,TabCAT!$A:$A,TabCAT!AU:AU,"NaN")="","NaN",(_xlfn.XLOOKUP($A43,TabCAT!$A:$A,TabCAT!AU:AU,"NaN")))</f>
        <v>149</v>
      </c>
      <c r="EK43" s="8" t="b">
        <f>IF(_xlfn.XLOOKUP($A43,TabCAT!$A:$A,TabCAT!AV:AV,"NaN")="","NaN",(_xlfn.XLOOKUP($A43,TabCAT!$A:$A,TabCAT!AV:AV,"NaN")))</f>
        <v>1</v>
      </c>
      <c r="EL43" s="8">
        <f>IF(_xlfn.XLOOKUP($A43,TabCAT!$A:$A,TabCAT!AW:AW,"NaN")="","NaN",(_xlfn.XLOOKUP($A43,TabCAT!$A:$A,TabCAT!AW:AW,"NaN")))</f>
        <v>6</v>
      </c>
      <c r="EM43" s="8">
        <f>IF(_xlfn.XLOOKUP($A43,TabCAT!$A:$A,TabCAT!AX:AX,"NaN")="","NaN",(_xlfn.XLOOKUP($A43,TabCAT!$A:$A,TabCAT!AX:AX,"NaN")))</f>
        <v>0</v>
      </c>
      <c r="EN43" s="8">
        <f>IF(_xlfn.XLOOKUP($A43,TabCAT!$A:$A,TabCAT!AY:AY,"NaN")="","NaN",(_xlfn.XLOOKUP($A43,TabCAT!$A:$A,TabCAT!AY:AY,"NaN")))</f>
        <v>9.7200000000000006</v>
      </c>
      <c r="EO43" s="8">
        <f>IF(_xlfn.XLOOKUP($A43,TabCAT!$A:$A,TabCAT!AZ:AZ,"NaN")="","NaN",(_xlfn.XLOOKUP($A43,TabCAT!$A:$A,TabCAT!AZ:AZ,"NaN")))</f>
        <v>32</v>
      </c>
      <c r="EP43" s="8">
        <f>IF(_xlfn.XLOOKUP($A43,TabCAT!$A:$A,TabCAT!BA:BA,"NaN")="","NaN",(_xlfn.XLOOKUP($A43,TabCAT!$A:$A,TabCAT!BA:BA,"NaN")))</f>
        <v>0.60765249999999904</v>
      </c>
      <c r="EQ43" s="8">
        <f>IF(_xlfn.XLOOKUP($A43,TabCAT!$A:$A,TabCAT!BB:BB,"NaN")="","NaN",(_xlfn.XLOOKUP($A43,TabCAT!$A:$A,TabCAT!BB:BB,"NaN")))</f>
        <v>6.5888875836628502E-2</v>
      </c>
      <c r="ER43" s="8">
        <f>IF(_xlfn.XLOOKUP($A43,TabCAT!$A:$A,TabCAT!BC:BC,"NaN")="","NaN",(_xlfn.XLOOKUP($A43,TabCAT!$A:$A,TabCAT!BC:BC,"NaN")))</f>
        <v>16</v>
      </c>
      <c r="ES43" s="8">
        <f>IF(_xlfn.XLOOKUP($A43,TabCAT!$A:$A,TabCAT!BD:BD,"NaN")="","NaN",(_xlfn.XLOOKUP($A43,TabCAT!$A:$A,TabCAT!BD:BD,"NaN")))</f>
        <v>0.60637049999999904</v>
      </c>
      <c r="ET43" s="8">
        <f>IF(_xlfn.XLOOKUP($A43,TabCAT!$A:$A,TabCAT!BE:BE,"NaN")="","NaN",(_xlfn.XLOOKUP($A43,TabCAT!$A:$A,TabCAT!BE:BE,"NaN")))</f>
        <v>16</v>
      </c>
      <c r="EU43" s="8">
        <f>IF(_xlfn.XLOOKUP($A43,TabCAT!$A:$A,TabCAT!BF:BF,"NaN")="","NaN",(_xlfn.XLOOKUP($A43,TabCAT!$A:$A,TabCAT!BF:BF,"NaN")))</f>
        <v>0.61470549999999902</v>
      </c>
      <c r="EV43" s="8" t="str">
        <f>IF(_xlfn.XLOOKUP($A43,TabCAT!$A:$A,TabCAT!BG:BG,"NaN")="","NaN",(_xlfn.XLOOKUP($A43,TabCAT!$A:$A,TabCAT!BG:BG,"NaN")))</f>
        <v>NaN</v>
      </c>
      <c r="EW43" s="8" t="str">
        <f>IF(_xlfn.XLOOKUP($A43,TabCAT!$A:$A,TabCAT!BH:BH,"NaN")="","NaN",(_xlfn.XLOOKUP($A43,TabCAT!$A:$A,TabCAT!BH:BH,"NaN")))</f>
        <v>3.0.0</v>
      </c>
      <c r="EX43" s="8" t="str">
        <f>IF(_xlfn.XLOOKUP($A43,TabCAT!$A:$A,TabCAT!BI:BI,"NaN")="","NaN",(_xlfn.XLOOKUP($A43,TabCAT!$A:$A,TabCAT!BI:BI,"NaN")))</f>
        <v>English</v>
      </c>
      <c r="EY43" s="8">
        <f>IF(_xlfn.XLOOKUP($A43,TabCAT!$A:$A,TabCAT!BJ:BJ,"NaN")="","NaN",(_xlfn.XLOOKUP($A43,TabCAT!$A:$A,TabCAT!BJ:BJ,"NaN")))</f>
        <v>231</v>
      </c>
      <c r="EZ43" s="8">
        <f>IF(_xlfn.XLOOKUP($A43,TabCAT!$A:$A,TabCAT!BK:BK,"NaN")="","NaN",(_xlfn.XLOOKUP($A43,TabCAT!$A:$A,TabCAT!BK:BK,"NaN")))</f>
        <v>1</v>
      </c>
      <c r="FA43" s="8">
        <f>IF(_xlfn.XLOOKUP($A43,TabCAT!$A:$A,TabCAT!BL:BL,"NaN")="","NaN",(_xlfn.XLOOKUP($A43,TabCAT!$A:$A,TabCAT!BL:BL,"NaN")))</f>
        <v>6</v>
      </c>
      <c r="FB43" s="8">
        <f>IF(_xlfn.XLOOKUP($A43,TabCAT!$A:$A,TabCAT!BM:BM,"NaN")="","NaN",(_xlfn.XLOOKUP($A43,TabCAT!$A:$A,TabCAT!BM:BM,"NaN")))</f>
        <v>1</v>
      </c>
      <c r="FC43" s="8">
        <f>IF(_xlfn.XLOOKUP($A43,TabCAT!$A:$A,TabCAT!BN:BN,"NaN")="","NaN",(_xlfn.XLOOKUP($A43,TabCAT!$A:$A,TabCAT!BN:BN,"NaN")))</f>
        <v>6</v>
      </c>
      <c r="FD43" s="8">
        <f>IF(_xlfn.XLOOKUP($A43,TabCAT!$A:$A,TabCAT!BO:BO,"NaN")="","NaN",(_xlfn.XLOOKUP($A43,TabCAT!$A:$A,TabCAT!BO:BO,"NaN")))</f>
        <v>9</v>
      </c>
      <c r="FE43" s="8">
        <f>IF(_xlfn.XLOOKUP($A43,TabCAT!$A:$A,TabCAT!BP:BP,"NaN")="","NaN",(_xlfn.XLOOKUP($A43,TabCAT!$A:$A,TabCAT!BP:BP,"NaN")))</f>
        <v>1</v>
      </c>
      <c r="FF43" s="8">
        <f>IF(_xlfn.XLOOKUP($A43,TabCAT!$A:$A,TabCAT!BQ:BQ,"NaN")="","NaN",(_xlfn.XLOOKUP($A43,TabCAT!$A:$A,TabCAT!BQ:BQ,"NaN")))</f>
        <v>9</v>
      </c>
      <c r="FG43" s="8">
        <f>IF(_xlfn.XLOOKUP($A43,TabCAT!$A:$A,TabCAT!BR:BR,"NaN")="","NaN",(_xlfn.XLOOKUP($A43,TabCAT!$A:$A,TabCAT!BR:BR,"NaN")))</f>
        <v>10</v>
      </c>
      <c r="FH43" s="8">
        <f>IF(_xlfn.XLOOKUP($A43,TabCAT!$A:$A,TabCAT!BS:BS,"NaN")="","NaN",(_xlfn.XLOOKUP($A43,TabCAT!$A:$A,TabCAT!BS:BS,"NaN")))</f>
        <v>0.83333333333333304</v>
      </c>
      <c r="FI43" s="8">
        <f>IF(_xlfn.XLOOKUP($A43,TabCAT!$A:$A,TabCAT!BT:BT,"NaN")="","NaN",(_xlfn.XLOOKUP($A43,TabCAT!$A:$A,TabCAT!BT:BT,"NaN")))</f>
        <v>10</v>
      </c>
      <c r="FJ43" s="8">
        <f>IF(_xlfn.XLOOKUP($A43,TabCAT!$A:$A,TabCAT!BU:BU,"NaN")="","NaN",(_xlfn.XLOOKUP($A43,TabCAT!$A:$A,TabCAT!BU:BU,"NaN")))</f>
        <v>11</v>
      </c>
      <c r="FK43" s="8">
        <f>IF(_xlfn.XLOOKUP($A43,TabCAT!$A:$A,TabCAT!BV:BV,"NaN")="","NaN",(_xlfn.XLOOKUP($A43,TabCAT!$A:$A,TabCAT!BV:BV,"NaN")))</f>
        <v>0.73333333333333295</v>
      </c>
      <c r="FL43" s="8">
        <f>IF(_xlfn.XLOOKUP($A43,TabCAT!$A:$A,TabCAT!BW:BW,"NaN")="","NaN",(_xlfn.XLOOKUP($A43,TabCAT!$A:$A,TabCAT!BW:BW,"NaN")))</f>
        <v>8.5</v>
      </c>
      <c r="FM43" s="8">
        <f>IF(_xlfn.XLOOKUP($A43,TabCAT!$A:$A,TabCAT!BX:BX,"NaN")="","NaN",(_xlfn.XLOOKUP($A43,TabCAT!$A:$A,TabCAT!BX:BX,"NaN")))</f>
        <v>36</v>
      </c>
      <c r="FN43" s="8">
        <f>IF(_xlfn.XLOOKUP($A43,TabCAT!$A:$A,TabCAT!BY:BY,"NaN")="","NaN",(_xlfn.XLOOKUP($A43,TabCAT!$A:$A,TabCAT!BY:BY,"NaN")))</f>
        <v>0.85714285714285698</v>
      </c>
      <c r="FO43" s="8">
        <f>IF(_xlfn.XLOOKUP($A43,TabCAT!$A:$A,TabCAT!BZ:BZ,"NaN")="","NaN",(_xlfn.XLOOKUP($A43,TabCAT!$A:$A,TabCAT!BZ:BZ,"NaN")))</f>
        <v>33.5</v>
      </c>
      <c r="FP43" s="8" t="str">
        <f>IF(_xlfn.XLOOKUP($A43,TabCAT!$A:$A,TabCAT!CA:CA,"NaN")="","NaN",(_xlfn.XLOOKUP($A43,TabCAT!$A:$A,TabCAT!CA:CA,"NaN")))</f>
        <v>3.0.0</v>
      </c>
      <c r="FQ43" s="8" t="str">
        <f>IF(_xlfn.XLOOKUP($A43,TabCAT!$A:$A,TabCAT!CB:CB,"NaN")="","NaN",(_xlfn.XLOOKUP($A43,TabCAT!$A:$A,TabCAT!CB:CB,"NaN")))</f>
        <v>English</v>
      </c>
      <c r="FR43" s="8">
        <f>IF(_xlfn.XLOOKUP($A43,TabCAT!$A:$A,TabCAT!CC:CC,"NaN")="","NaN",(_xlfn.XLOOKUP($A43,TabCAT!$A:$A,TabCAT!CC:CC,"NaN")))</f>
        <v>232</v>
      </c>
      <c r="FS43" s="8" t="b">
        <f>IF(_xlfn.XLOOKUP($A43,TabCAT!$A:$A,TabCAT!CD:CD,"NaN")="","NaN",(_xlfn.XLOOKUP($A43,TabCAT!$A:$A,TabCAT!CD:CD,"NaN")))</f>
        <v>1</v>
      </c>
      <c r="FT43" s="8">
        <f>IF(_xlfn.XLOOKUP($A43,TabCAT!$A:$A,TabCAT!CE:CE,"NaN")="","NaN",(_xlfn.XLOOKUP($A43,TabCAT!$A:$A,TabCAT!CE:CE,"NaN")))</f>
        <v>8</v>
      </c>
      <c r="FU43" s="8">
        <f>IF(_xlfn.XLOOKUP($A43,TabCAT!$A:$A,TabCAT!CF:CF,"NaN")="","NaN",(_xlfn.XLOOKUP($A43,TabCAT!$A:$A,TabCAT!CF:CF,"NaN")))</f>
        <v>0</v>
      </c>
      <c r="FV43" s="8">
        <f>IF(_xlfn.XLOOKUP($A43,TabCAT!$A:$A,TabCAT!CG:CG,"NaN")="","NaN",(_xlfn.XLOOKUP($A43,TabCAT!$A:$A,TabCAT!CG:CG,"NaN")))</f>
        <v>7.73</v>
      </c>
      <c r="FW43" s="8">
        <f>IF(_xlfn.XLOOKUP($A43,TabCAT!$A:$A,TabCAT!CH:CH,"NaN")="","NaN",(_xlfn.XLOOKUP($A43,TabCAT!$A:$A,TabCAT!CH:CH,"NaN")))</f>
        <v>16</v>
      </c>
      <c r="FX43" s="8">
        <f>IF(_xlfn.XLOOKUP($A43,TabCAT!$A:$A,TabCAT!CI:CI,"NaN")="","NaN",(_xlfn.XLOOKUP($A43,TabCAT!$A:$A,TabCAT!CI:CI,"NaN")))</f>
        <v>0.75741099999999995</v>
      </c>
      <c r="FY43" s="8">
        <f>IF(_xlfn.XLOOKUP($A43,TabCAT!$A:$A,TabCAT!CJ:CJ,"NaN")="","NaN",(_xlfn.XLOOKUP($A43,TabCAT!$A:$A,TabCAT!CJ:CJ,"NaN")))</f>
        <v>15</v>
      </c>
      <c r="FZ43" s="8">
        <f>IF(_xlfn.XLOOKUP($A43,TabCAT!$A:$A,TabCAT!CK:CK,"NaN")="","NaN",(_xlfn.XLOOKUP($A43,TabCAT!$A:$A,TabCAT!CK:CK,"NaN")))</f>
        <v>0.74560000000000004</v>
      </c>
      <c r="GA43" s="8">
        <f>IF(_xlfn.XLOOKUP($A43,TabCAT!$A:$A,TabCAT!CL:CL,"NaN")="","NaN",(_xlfn.XLOOKUP($A43,TabCAT!$A:$A,TabCAT!CL:CL,"NaN")))</f>
        <v>31</v>
      </c>
      <c r="GB43" s="8">
        <f>IF(_xlfn.XLOOKUP($A43,TabCAT!$A:$A,TabCAT!CM:CM,"NaN")="","NaN",(_xlfn.XLOOKUP($A43,TabCAT!$A:$A,TabCAT!CM:CM,"NaN")))</f>
        <v>0.85649600000000004</v>
      </c>
      <c r="GC43" s="8">
        <f>IF(_xlfn.XLOOKUP($A43,TabCAT!$A:$A,TabCAT!CN:CN,"NaN")="","NaN",(_xlfn.XLOOKUP($A43,TabCAT!$A:$A,TabCAT!CN:CN,"NaN")))</f>
        <v>19</v>
      </c>
      <c r="GD43" s="8">
        <f>IF(_xlfn.XLOOKUP($A43,TabCAT!$A:$A,TabCAT!CO:CO,"NaN")="","NaN",(_xlfn.XLOOKUP($A43,TabCAT!$A:$A,TabCAT!CO:CO,"NaN")))</f>
        <v>0.85649600000000004</v>
      </c>
      <c r="GE43" s="8">
        <f>IF(_xlfn.XLOOKUP($A43,TabCAT!$A:$A,TabCAT!CP:CP,"NaN")="","NaN",(_xlfn.XLOOKUP($A43,TabCAT!$A:$A,TabCAT!CP:CP,"NaN")))</f>
        <v>0.19155542924677599</v>
      </c>
      <c r="GF43" s="8">
        <f>IF(_xlfn.XLOOKUP($A43,TabCAT!$A:$A,TabCAT!CQ:CQ,"NaN")="","NaN",(_xlfn.XLOOKUP($A43,TabCAT!$A:$A,TabCAT!CQ:CQ,"NaN")))</f>
        <v>53</v>
      </c>
      <c r="GG43" s="8">
        <f>IF(_xlfn.XLOOKUP($A43,TabCAT!$A:$A,TabCAT!CR:CR,"NaN")="","NaN",(_xlfn.XLOOKUP($A43,TabCAT!$A:$A,TabCAT!CR:CR,"NaN")))</f>
        <v>0.77890099999999995</v>
      </c>
      <c r="GH43" s="8" t="str">
        <f>IF(_xlfn.XLOOKUP($A43,TabCAT!$A:$A,TabCAT!CS:CS,"NaN")="","NaN",(_xlfn.XLOOKUP($A43,TabCAT!$A:$A,TabCAT!CS:CS,"NaN")))</f>
        <v>NaN</v>
      </c>
    </row>
    <row r="44" spans="1:190" x14ac:dyDescent="0.2">
      <c r="A44">
        <v>10690</v>
      </c>
      <c r="B44">
        <f>_xlfn.XLOOKUP(bippity_poppity_boo!A44,rf1_data!A:A,rf1_data!B:B)</f>
        <v>101967</v>
      </c>
      <c r="C44" s="2">
        <f>(_xlfn.XLOOKUP($A44,trust!$A:$A,trust!B:B,"NaN"))</f>
        <v>3.2</v>
      </c>
      <c r="D44" s="2">
        <f>(_xlfn.XLOOKUP($A44,trust!$A:$A,trust!C:C,"NaN"))</f>
        <v>4</v>
      </c>
      <c r="E44" s="2">
        <f>(_xlfn.XLOOKUP($A44,trust!$A:$A,trust!D:D,"NaN"))</f>
        <v>4.8</v>
      </c>
      <c r="F44" s="2">
        <f>(_xlfn.XLOOKUP($A44,trust!$A:$A,trust!E:E,"NaN"))</f>
        <v>4.3333329999999997</v>
      </c>
      <c r="G44" s="2">
        <f>(_xlfn.XLOOKUP($A44,trust!$A:$A,trust!F:F,"NaN"))</f>
        <v>5</v>
      </c>
      <c r="H44" s="2">
        <f>(_xlfn.XLOOKUP($A44,trust!$A:$A,trust!G:G,"NaN"))</f>
        <v>5.3333329999999997</v>
      </c>
      <c r="I44" s="3">
        <f>IF(_xlfn.XLOOKUP($B44,island_data!$B:$B,island_data!C:C,"NaN")="","NaN",_xlfn.XLOOKUP($B44,island_data!$B:$B,island_data!C:C,"NaN"))</f>
        <v>45025</v>
      </c>
      <c r="J44" s="3">
        <f>IF(_xlfn.XLOOKUP($B44,island_data!$B:$B,island_data!D:D,"NaN")="","NaN",_xlfn.XLOOKUP($B44,island_data!$B:$B,island_data!D:D,"NaN"))</f>
        <v>24665</v>
      </c>
      <c r="K44" s="4">
        <f>IF(_xlfn.XLOOKUP($B44,island_data!$B:$B,island_data!E:E,"NaN")="","NaN",_xlfn.XLOOKUP($B44,island_data!$B:$B,island_data!E:E,"NaN"))</f>
        <v>55.74</v>
      </c>
      <c r="L44" s="5">
        <f>IF(_xlfn.XLOOKUP($B44,rf1_data!$B:$B,rf1_data!D:D,"NaN")="","NaN",(_xlfn.XLOOKUP($B44,rf1_data!$B:$B,rf1_data!D:D,"NaN")))</f>
        <v>56.16</v>
      </c>
      <c r="M44" s="5" t="str">
        <f>IF(_xlfn.XLOOKUP($B44,rf1_data!$B:$B,rf1_data!E:E,"NaN")="","NaN",(_xlfn.XLOOKUP($B44,rf1_data!$B:$B,rf1_data!E:E,"NaN")))</f>
        <v>Two or more races</v>
      </c>
      <c r="N44" s="5" t="str">
        <f>IF(_xlfn.XLOOKUP($B44,rf1_data!$B:$B,rf1_data!F:F,"NaN")="","NaN",(_xlfn.XLOOKUP($B44,rf1_data!$B:$B,rf1_data!F:F,"NaN")))</f>
        <v>Not Hispanic or Latino</v>
      </c>
      <c r="O44" s="5" t="str">
        <f>IF(_xlfn.XLOOKUP($B44,rf1_data!$B:$B,rf1_data!G:G,"NaN")="","NaN",(_xlfn.XLOOKUP($B44,rf1_data!$B:$B,rf1_data!G:G,"NaN")))</f>
        <v>Female</v>
      </c>
      <c r="P44" s="5">
        <f>IF(_xlfn.XLOOKUP($B44,rf1_data!$B:$B,rf1_data!H:H,"NaN")="","NaN",(_xlfn.XLOOKUP($B44,rf1_data!$B:$B,rf1_data!H:H,"NaN")))</f>
        <v>4.4400000000000004</v>
      </c>
      <c r="Q44" s="5">
        <f>IF(_xlfn.XLOOKUP($B44,rf1_data!$B:$B,rf1_data!I:I,"NaN")="","NaN",(_xlfn.XLOOKUP($B44,rf1_data!$B:$B,rf1_data!I:I,"NaN")))</f>
        <v>4</v>
      </c>
      <c r="R44" s="5">
        <f>IF(_xlfn.XLOOKUP($B44,rf1_data!$B:$B,rf1_data!J:J,"NaN")="","NaN",(_xlfn.XLOOKUP($B44,rf1_data!$B:$B,rf1_data!J:J,"NaN")))</f>
        <v>2</v>
      </c>
      <c r="S44" s="5">
        <f>IF(_xlfn.XLOOKUP($B44,rf1_data!$B:$B,rf1_data!K:K,"NaN")="","NaN",(_xlfn.XLOOKUP($B44,rf1_data!$B:$B,rf1_data!K:K,"NaN")))</f>
        <v>9</v>
      </c>
      <c r="T44" s="5">
        <f>IF(_xlfn.XLOOKUP($B44,rf1_data!$B:$B,rf1_data!L:L,"NaN")="","NaN",(_xlfn.XLOOKUP($B44,rf1_data!$B:$B,rf1_data!L:L,"NaN")))</f>
        <v>0</v>
      </c>
      <c r="U44" s="5">
        <f>IF(_xlfn.XLOOKUP($B44,rf1_data!$B:$B,rf1_data!M:M,"NaN")="","NaN",(_xlfn.XLOOKUP($B44,rf1_data!$B:$B,rf1_data!M:M,"NaN")))</f>
        <v>6.17</v>
      </c>
      <c r="V44" s="5">
        <f>IF(_xlfn.XLOOKUP($B44,rf1_data!$B:$B,rf1_data!N:N,"NaN")="","NaN",(_xlfn.XLOOKUP($B44,rf1_data!$B:$B,rf1_data!N:N,"NaN")))</f>
        <v>5.17</v>
      </c>
      <c r="W44" s="5">
        <f>IF(_xlfn.XLOOKUP($B44,rf1_data!$B:$B,rf1_data!O:O,"NaN")="","NaN",(_xlfn.XLOOKUP($B44,rf1_data!$B:$B,rf1_data!O:O,"NaN")))</f>
        <v>6</v>
      </c>
      <c r="X44" s="5">
        <f>IF(_xlfn.XLOOKUP($B44,rf1_data!$B:$B,rf1_data!P:P,"NaN")="","NaN",(_xlfn.XLOOKUP($B44,rf1_data!$B:$B,rf1_data!P:P,"NaN")))</f>
        <v>4.83</v>
      </c>
      <c r="Y44" s="5">
        <f>IF(_xlfn.XLOOKUP($B44,rf1_data!$B:$B,rf1_data!Q:Q,"NaN")="","NaN",(_xlfn.XLOOKUP($B44,rf1_data!$B:$B,rf1_data!Q:Q,"NaN")))</f>
        <v>5.5</v>
      </c>
      <c r="Z44" s="5">
        <f>IF(_xlfn.XLOOKUP($B44,rf1_data!$B:$B,rf1_data!R:R,"NaN")="","NaN",(_xlfn.XLOOKUP($B44,rf1_data!$B:$B,rf1_data!R:R,"NaN")))</f>
        <v>24</v>
      </c>
      <c r="AA44" s="5">
        <f>IF(_xlfn.XLOOKUP($B44,rf1_data!$B:$B,rf1_data!S:S,"NaN")="","NaN",(_xlfn.XLOOKUP($B44,rf1_data!$B:$B,rf1_data!S:S,"NaN")))</f>
        <v>7</v>
      </c>
      <c r="AB44" s="5">
        <f>IF(_xlfn.XLOOKUP($B44,rf1_data!$B:$B,rf1_data!T:T,"NaN")="","NaN",(_xlfn.XLOOKUP($B44,rf1_data!$B:$B,rf1_data!T:T,"NaN")))</f>
        <v>12</v>
      </c>
      <c r="AC44" s="5">
        <f>IF(_xlfn.XLOOKUP($B44,rf1_data!$B:$B,rf1_data!U:U,"NaN")="","NaN",(_xlfn.XLOOKUP($B44,rf1_data!$B:$B,rf1_data!U:U,"NaN")))</f>
        <v>2</v>
      </c>
      <c r="AD44" s="5">
        <f>IF(_xlfn.XLOOKUP($B44,rf1_data!$B:$B,rf1_data!V:V,"NaN")="","NaN",(_xlfn.XLOOKUP($B44,rf1_data!$B:$B,rf1_data!V:V,"NaN")))</f>
        <v>3</v>
      </c>
      <c r="AE44" s="5">
        <f>IF(_xlfn.XLOOKUP($B44,rf1_data!$B:$B,rf1_data!W:W,"NaN")="","NaN",(_xlfn.XLOOKUP($B44,rf1_data!$B:$B,rf1_data!W:W,"NaN")))</f>
        <v>6</v>
      </c>
      <c r="AF44" s="5">
        <f>IF(_xlfn.XLOOKUP($B44,rf1_data!$B:$B,rf1_data!X:X,"NaN")="","NaN",(_xlfn.XLOOKUP($B44,rf1_data!$B:$B,rf1_data!X:X,"NaN")))</f>
        <v>2</v>
      </c>
      <c r="AG44" s="5">
        <f>IF(_xlfn.XLOOKUP($B44,rf1_data!$B:$B,rf1_data!Y:Y,"NaN")="","NaN",(_xlfn.XLOOKUP($B44,rf1_data!$B:$B,rf1_data!Y:Y,"NaN")))</f>
        <v>7</v>
      </c>
      <c r="AH44" s="5">
        <f>IF(_xlfn.XLOOKUP($B44,rf1_data!$B:$B,rf1_data!Z:Z,"NaN")="","NaN",(_xlfn.XLOOKUP($B44,rf1_data!$B:$B,rf1_data!Z:Z,"NaN")))</f>
        <v>4</v>
      </c>
      <c r="AI44" s="5">
        <f>IF(_xlfn.XLOOKUP($B44,rf1_data!$B:$B,rf1_data!AA:AA,"NaN")="","NaN",(_xlfn.XLOOKUP($B44,rf1_data!$B:$B,rf1_data!AA:AA,"NaN")))</f>
        <v>2</v>
      </c>
      <c r="AJ44" s="5">
        <f>IF(_xlfn.XLOOKUP($B44,rf1_data!$B:$B,rf1_data!AB:AB,"NaN")="","NaN",(_xlfn.XLOOKUP($B44,rf1_data!$B:$B,rf1_data!AB:AB,"NaN")))</f>
        <v>21</v>
      </c>
      <c r="AK44" s="5">
        <f>IF(_xlfn.XLOOKUP($B44,rf1_data!$B:$B,rf1_data!AC:AC,"NaN")="","NaN",(_xlfn.XLOOKUP($B44,rf1_data!$B:$B,rf1_data!AC:AC,"NaN")))</f>
        <v>21</v>
      </c>
      <c r="AL44" s="5">
        <f>IF(_xlfn.XLOOKUP($B44,rf1_data!$B:$B,rf1_data!AD:AD,"NaN")="","NaN",(_xlfn.XLOOKUP($B44,rf1_data!$B:$B,rf1_data!AD:AD,"NaN")))</f>
        <v>16</v>
      </c>
      <c r="AM44" s="5">
        <f>IF(_xlfn.XLOOKUP($B44,rf1_data!$B:$B,rf1_data!AE:AE,"NaN")="","NaN",(_xlfn.XLOOKUP($B44,rf1_data!$B:$B,rf1_data!AE:AE,"NaN")))</f>
        <v>0</v>
      </c>
      <c r="AN44" s="5">
        <f>IF(_xlfn.XLOOKUP($B44,rf1_data!$B:$B,rf1_data!AF:AF,"NaN")="","NaN",(_xlfn.XLOOKUP($B44,rf1_data!$B:$B,rf1_data!AF:AF,"NaN")))</f>
        <v>0</v>
      </c>
      <c r="AO44" s="5">
        <f>IF(_xlfn.XLOOKUP($B44,rf1_data!$B:$B,rf1_data!AG:AG,"NaN")="","NaN",(_xlfn.XLOOKUP($B44,rf1_data!$B:$B,rf1_data!AG:AG,"NaN")))</f>
        <v>6.5</v>
      </c>
      <c r="AP44" s="5">
        <f>IF(_xlfn.XLOOKUP($B44,rf1_data!$B:$B,rf1_data!AH:AH,"NaN")="","NaN",(_xlfn.XLOOKUP($B44,rf1_data!$B:$B,rf1_data!AH:AH,"NaN")))</f>
        <v>7</v>
      </c>
      <c r="AQ44" s="5">
        <f>IF(_xlfn.XLOOKUP($B44,rf1_data!$B:$B,rf1_data!AI:AI,"NaN")="","NaN",(_xlfn.XLOOKUP($B44,rf1_data!$B:$B,rf1_data!AI:AI,"NaN")))</f>
        <v>6.25</v>
      </c>
      <c r="AR44" s="5">
        <f>IF(_xlfn.XLOOKUP($B44,rf1_data!$B:$B,rf1_data!AJ:AJ,"NaN")="","NaN",(_xlfn.XLOOKUP($B44,rf1_data!$B:$B,rf1_data!AJ:AJ,"NaN")))</f>
        <v>6.25</v>
      </c>
      <c r="AS44" s="5">
        <f>IF(_xlfn.XLOOKUP($B44,rf1_data!$B:$B,rf1_data!AK:AK,"NaN")="","NaN",(_xlfn.XLOOKUP($B44,rf1_data!$B:$B,rf1_data!AK:AK,"NaN")))</f>
        <v>3</v>
      </c>
      <c r="AT44" s="5">
        <f>IF(_xlfn.XLOOKUP($B44,rf1_data!$B:$B,rf1_data!AL:AL,"NaN")="","NaN",(_xlfn.XLOOKUP($B44,rf1_data!$B:$B,rf1_data!AL:AL,"NaN")))</f>
        <v>16</v>
      </c>
      <c r="AU44" s="5">
        <f>IF(_xlfn.XLOOKUP($B44,rf1_data!$B:$B,rf1_data!AM:AM,"NaN")="","NaN",(_xlfn.XLOOKUP($B44,rf1_data!$B:$B,rf1_data!AM:AM,"NaN")))</f>
        <v>2.33</v>
      </c>
      <c r="AV44" s="5">
        <f>IF(_xlfn.XLOOKUP($B44,rf1_data!$B:$B,rf1_data!AN:AN,"NaN")="","NaN",(_xlfn.XLOOKUP($B44,rf1_data!$B:$B,rf1_data!AN:AN,"NaN")))</f>
        <v>28</v>
      </c>
      <c r="AW44" s="5">
        <f>IF(_xlfn.XLOOKUP($B44,rf1_data!$B:$B,rf1_data!AO:AO,"NaN")="","NaN",(_xlfn.XLOOKUP($B44,rf1_data!$B:$B,rf1_data!AO:AO,"NaN")))</f>
        <v>2.17</v>
      </c>
      <c r="AX44" s="5">
        <f>IF(_xlfn.XLOOKUP($B44,rf1_data!$B:$B,rf1_data!AP:AP,"NaN")="","NaN",(_xlfn.XLOOKUP($B44,rf1_data!$B:$B,rf1_data!AP:AP,"NaN")))</f>
        <v>9999</v>
      </c>
      <c r="AY44" s="5" t="str">
        <f>IF(_xlfn.XLOOKUP($B44,rf1_data!$B:$B,rf1_data!AQ:AQ,"NaN")="","NaN",(_xlfn.XLOOKUP($B44,rf1_data!$B:$B,rf1_data!AQ:AQ,"NaN")))</f>
        <v>NaN</v>
      </c>
      <c r="AZ44" s="5" t="str">
        <f>IF(_xlfn.XLOOKUP($B44,rf1_data!$B:$B,rf1_data!AR:AR,"NaN")="","NaN",(_xlfn.XLOOKUP($B44,rf1_data!$B:$B,rf1_data!AR:AR,"NaN")))</f>
        <v>NaN</v>
      </c>
      <c r="BA44" s="5" t="str">
        <f>IF(_xlfn.XLOOKUP($B44,rf1_data!$B:$B,rf1_data!AS:AS,"NaN")="","NaN",(_xlfn.XLOOKUP($B44,rf1_data!$B:$B,rf1_data!AS:AS,"NaN")))</f>
        <v>NaN</v>
      </c>
      <c r="BB44" s="5" t="str">
        <f>IF(_xlfn.XLOOKUP($B44,rf1_data!$B:$B,rf1_data!AT:AT,"NaN")="","NaN",(_xlfn.XLOOKUP($B44,rf1_data!$B:$B,rf1_data!AT:AT,"NaN")))</f>
        <v>NaN</v>
      </c>
      <c r="BC44" s="5" t="str">
        <f>IF(_xlfn.XLOOKUP($B44,rf1_data!$B:$B,rf1_data!AU:AU,"NaN")="","NaN",(_xlfn.XLOOKUP($B44,rf1_data!$B:$B,rf1_data!AU:AU,"NaN")))</f>
        <v>NaN</v>
      </c>
      <c r="BD44" s="5" t="str">
        <f>IF(_xlfn.XLOOKUP($B44,rf1_data!$B:$B,rf1_data!AV:AV,"NaN")="","NaN",(_xlfn.XLOOKUP($B44,rf1_data!$B:$B,rf1_data!AV:AV,"NaN")))</f>
        <v>NaN</v>
      </c>
      <c r="BE44" s="5" t="str">
        <f>IF(_xlfn.XLOOKUP($B44,rf1_data!$B:$B,rf1_data!AW:AW,"NaN")="","NaN",(_xlfn.XLOOKUP($B44,rf1_data!$B:$B,rf1_data!AW:AW,"NaN")))</f>
        <v>NaN</v>
      </c>
      <c r="BF44" s="5" t="str">
        <f>IF(_xlfn.XLOOKUP($B44,rf1_data!$B:$B,rf1_data!AX:AX,"NaN")="","NaN",(_xlfn.XLOOKUP($B44,rf1_data!$B:$B,rf1_data!AX:AX,"NaN")))</f>
        <v>NaN</v>
      </c>
      <c r="BG44" s="5" t="str">
        <f>IF(_xlfn.XLOOKUP($B44,rf1_data!$B:$B,rf1_data!AY:AY,"NaN")="","NaN",(_xlfn.XLOOKUP($B44,rf1_data!$B:$B,rf1_data!AY:AY,"NaN")))</f>
        <v>NaN</v>
      </c>
      <c r="BH44" s="5" t="str">
        <f>IF(_xlfn.XLOOKUP($B44,rf1_data!$B:$B,rf1_data!AZ:AZ,"NaN")="","NaN",(_xlfn.XLOOKUP($B44,rf1_data!$B:$B,rf1_data!AZ:AZ,"NaN")))</f>
        <v>NaN</v>
      </c>
      <c r="BI44" s="5">
        <f>IF(_xlfn.XLOOKUP($B44,rf1_data!$B:$B,rf1_data!BA:BA,"NaN")="","NaN",(_xlfn.XLOOKUP($B44,rf1_data!$B:$B,rf1_data!BA:BA,"NaN")))</f>
        <v>20</v>
      </c>
      <c r="BJ44" s="5" t="str">
        <f>IF(_xlfn.XLOOKUP($B44,rf1_data!$B:$B,rf1_data!BB:BB,"NaN")="","NaN",(_xlfn.XLOOKUP($B44,rf1_data!$B:$B,rf1_data!BB:BB,"NaN")))</f>
        <v>NaN</v>
      </c>
      <c r="BK44" s="5" t="str">
        <f>IF(_xlfn.XLOOKUP($B44,rf1_data!$B:$B,rf1_data!BC:BC,"NaN")="","NaN",(_xlfn.XLOOKUP($B44,rf1_data!$B:$B,rf1_data!BC:BC,"NaN")))</f>
        <v>NaN</v>
      </c>
      <c r="BL44" s="5" t="str">
        <f>IF(_xlfn.XLOOKUP($B44,rf1_data!$B:$B,rf1_data!BD:BD,"NaN")="","NaN",(_xlfn.XLOOKUP($B44,rf1_data!$B:$B,rf1_data!BD:BD,"NaN")))</f>
        <v>NaN</v>
      </c>
      <c r="BM44" s="5" t="str">
        <f>IF(_xlfn.XLOOKUP($B44,rf1_data!$B:$B,rf1_data!BE:BE,"NaN")="","NaN",(_xlfn.XLOOKUP($B44,rf1_data!$B:$B,rf1_data!BE:BE,"NaN")))</f>
        <v>NaN</v>
      </c>
      <c r="BN44" s="5" t="str">
        <f>IF(_xlfn.XLOOKUP($B44,rf1_data!$B:$B,rf1_data!BF:BF,"NaN")="","NaN",(_xlfn.XLOOKUP($B44,rf1_data!$B:$B,rf1_data!BF:BF,"NaN")))</f>
        <v>NaN</v>
      </c>
      <c r="BO44" s="5" t="str">
        <f>IF(_xlfn.XLOOKUP($B44,rf1_data!$B:$B,rf1_data!BG:BG,"NaN")="","NaN",(_xlfn.XLOOKUP($B44,rf1_data!$B:$B,rf1_data!BG:BG,"NaN")))</f>
        <v>NaN</v>
      </c>
      <c r="BP44" s="5" t="str">
        <f>IF(_xlfn.XLOOKUP($B44,rf1_data!$B:$B,rf1_data!BH:BH,"NaN")="","NaN",(_xlfn.XLOOKUP($B44,rf1_data!$B:$B,rf1_data!BH:BH,"NaN")))</f>
        <v>NaN</v>
      </c>
      <c r="BQ44" s="5" t="str">
        <f>IF(_xlfn.XLOOKUP($B44,rf1_data!$B:$B,rf1_data!BI:BI,"NaN")="","NaN",(_xlfn.XLOOKUP($B44,rf1_data!$B:$B,rf1_data!BI:BI,"NaN")))</f>
        <v>NaN</v>
      </c>
      <c r="BR44" s="5">
        <f>IF(_xlfn.XLOOKUP($B44,rf1_data!$B:$B,rf1_data!BJ:BJ,"NaN")="","NaN",(_xlfn.XLOOKUP($B44,rf1_data!$B:$B,rf1_data!BJ:BJ,"NaN")))</f>
        <v>8991</v>
      </c>
      <c r="BS44" s="5" t="str">
        <f>IF(_xlfn.XLOOKUP($B44,rf1_data!$B:$B,rf1_data!BK:BK,"NaN")="","NaN",(_xlfn.XLOOKUP($B44,rf1_data!$B:$B,rf1_data!BK:BK,"NaN")))</f>
        <v>NaN</v>
      </c>
      <c r="BT44" s="5" t="str">
        <f>IF(_xlfn.XLOOKUP($B44,rf1_data!$B:$B,rf1_data!BL:BL,"NaN")="","NaN",(_xlfn.XLOOKUP($B44,rf1_data!$B:$B,rf1_data!BL:BL,"NaN")))</f>
        <v>NaN</v>
      </c>
      <c r="BU44" s="5" t="str">
        <f>IF(_xlfn.XLOOKUP($B44,rf1_data!$B:$B,rf1_data!BM:BM,"NaN")="","NaN",(_xlfn.XLOOKUP($B44,rf1_data!$B:$B,rf1_data!BM:BM,"NaN")))</f>
        <v>NaN</v>
      </c>
      <c r="BV44" s="5" t="str">
        <f>IF(_xlfn.XLOOKUP($B44,rf1_data!$B:$B,rf1_data!BN:BN,"NaN")="","NaN",(_xlfn.XLOOKUP($B44,rf1_data!$B:$B,rf1_data!BN:BN,"NaN")))</f>
        <v>NaN</v>
      </c>
      <c r="BW44" s="5">
        <f>IF(_xlfn.XLOOKUP($B44,rf1_data!$B:$B,rf1_data!BO:BO,"NaN")="","NaN",(_xlfn.XLOOKUP($B44,rf1_data!$B:$B,rf1_data!BO:BO,"NaN")))</f>
        <v>3.2</v>
      </c>
      <c r="BX44" s="5">
        <f>IF(_xlfn.XLOOKUP($B44,rf1_data!$B:$B,rf1_data!BP:BP,"NaN")="","NaN",(_xlfn.XLOOKUP($B44,rf1_data!$B:$B,rf1_data!BP:BP,"NaN")))</f>
        <v>3.4</v>
      </c>
      <c r="BY44" s="5">
        <f>IF(_xlfn.XLOOKUP($B44,rf1_data!$B:$B,rf1_data!BQ:BQ,"NaN")="","NaN",(_xlfn.XLOOKUP($B44,rf1_data!$B:$B,rf1_data!BQ:BQ,"NaN")))</f>
        <v>3.5</v>
      </c>
      <c r="BZ44" s="5">
        <f>IF(_xlfn.XLOOKUP($B44,rf1_data!$B:$B,rf1_data!BR:BR,"NaN")="","NaN",(_xlfn.XLOOKUP($B44,rf1_data!$B:$B,rf1_data!BR:BR,"NaN")))</f>
        <v>3.37</v>
      </c>
      <c r="CA44" s="5">
        <f>IF(_xlfn.XLOOKUP($B44,rf1_data!$B:$B,rf1_data!BS:BS,"NaN")="","NaN",(_xlfn.XLOOKUP($B44,rf1_data!$B:$B,rf1_data!BS:BS,"NaN")))</f>
        <v>6</v>
      </c>
      <c r="CB44" s="5">
        <f>IF(_xlfn.XLOOKUP($B44,rf1_data!$B:$B,rf1_data!BT:BT,"NaN")="","NaN",(_xlfn.XLOOKUP($B44,rf1_data!$B:$B,rf1_data!BT:BT,"NaN")))</f>
        <v>5.1666666666666599</v>
      </c>
      <c r="CC44" s="5">
        <f>IF(_xlfn.XLOOKUP($B44,rf1_data!$B:$B,rf1_data!BU:BU,"NaN")="","NaN",(_xlfn.XLOOKUP($B44,rf1_data!$B:$B,rf1_data!BU:BU,"NaN")))</f>
        <v>6</v>
      </c>
      <c r="CD44" s="5">
        <f>IF(_xlfn.XLOOKUP($B44,rf1_data!$B:$B,rf1_data!BV:BV,"NaN")="","NaN",(_xlfn.XLOOKUP($B44,rf1_data!$B:$B,rf1_data!BV:BV,"NaN")))</f>
        <v>5.1666666666666599</v>
      </c>
      <c r="CE44" s="5">
        <f>IF(_xlfn.XLOOKUP($B44,rf1_data!$B:$B,rf1_data!BW:BW,"NaN")="","NaN",(_xlfn.XLOOKUP($B44,rf1_data!$B:$B,rf1_data!BW:BW,"NaN")))</f>
        <v>1.35</v>
      </c>
      <c r="CF44" s="5">
        <f>IF(_xlfn.XLOOKUP($B44,rf1_data!$B:$B,rf1_data!BX:BX,"NaN")="","NaN",(_xlfn.XLOOKUP($B44,rf1_data!$B:$B,rf1_data!BX:BX,"NaN")))</f>
        <v>0</v>
      </c>
      <c r="CG44" s="5">
        <f>IF(_xlfn.XLOOKUP($B44,rf1_data!$B:$B,rf1_data!BY:BY,"NaN")="","NaN",(_xlfn.XLOOKUP($B44,rf1_data!$B:$B,rf1_data!BY:BY,"NaN")))</f>
        <v>0</v>
      </c>
      <c r="CH44" s="5">
        <f>IF(_xlfn.XLOOKUP($B44,rf1_data!$B:$B,rf1_data!BZ:BZ,"NaN")="","NaN",(_xlfn.XLOOKUP($B44,rf1_data!$B:$B,rf1_data!BZ:BZ,"NaN")))</f>
        <v>25</v>
      </c>
      <c r="CI44" s="5">
        <f>IF(_xlfn.XLOOKUP($B44,rf1_data!$B:$B,rf1_data!CA:CA,"NaN")="","NaN",(_xlfn.XLOOKUP($B44,rf1_data!$B:$B,rf1_data!CA:CA,"NaN")))</f>
        <v>31</v>
      </c>
      <c r="CJ44" s="5">
        <f>IF(_xlfn.XLOOKUP($B44,rf1_data!$B:$B,rf1_data!CB:CB,"NaN")="","NaN",(_xlfn.XLOOKUP($B44,rf1_data!$B:$B,rf1_data!CB:CB,"NaN")))</f>
        <v>8</v>
      </c>
      <c r="CK44" s="5">
        <f>IF(_xlfn.XLOOKUP($B44,rf1_data!$B:$B,rf1_data!CC:CC,"NaN")="","NaN",(_xlfn.XLOOKUP($B44,rf1_data!$B:$B,rf1_data!CC:CC,"NaN")))</f>
        <v>0.88888888888888795</v>
      </c>
      <c r="CL44" s="5">
        <f>IF(_xlfn.XLOOKUP($B44,rf1_data!$B:$B,rf1_data!CD:CD,"NaN")=0,"NaN",(_xlfn.XLOOKUP($B44,rf1_data!$B:$B,rf1_data!CD:CD,"NaN")))</f>
        <v>31</v>
      </c>
      <c r="CM44" s="5">
        <f>IF(_xlfn.XLOOKUP($B44,rf1_data!$B:$B,rf1_data!CE:CE,"NaN")="","NaN",(_xlfn.XLOOKUP($B44,rf1_data!$B:$B,rf1_data!CE:CE,"NaN")))</f>
        <v>49</v>
      </c>
      <c r="CN44" s="5">
        <f>IF(_xlfn.XLOOKUP($B44,rf1_data!$B:$B,rf1_data!CF:CF,"NaN")="","NaN",(_xlfn.XLOOKUP($B44,rf1_data!$B:$B,rf1_data!CF:CF,"NaN")))</f>
        <v>53</v>
      </c>
      <c r="CO44" s="5">
        <f>IF(_xlfn.XLOOKUP($B44,rf1_data!$B:$B,rf1_data!CG:CG,"NaN")="","NaN",(_xlfn.XLOOKUP($B44,rf1_data!$B:$B,rf1_data!CG:CG,"NaN")))</f>
        <v>33</v>
      </c>
      <c r="CP44" s="5">
        <f>IF(_xlfn.XLOOKUP($B44,rf1_data!$B:$B,rf1_data!CH:CH,"NaN")=0,"NaN",(_xlfn.XLOOKUP($B44,rf1_data!$B:$B,rf1_data!CH:CH,"NaN")))</f>
        <v>32</v>
      </c>
      <c r="CQ44" s="5">
        <f>IF(_xlfn.XLOOKUP($B44,rf1_data!$B:$B,rf1_data!CI:CI,"NaN")="","NaN",(_xlfn.XLOOKUP($B44,rf1_data!$B:$B,rf1_data!CI:CI,"NaN")))</f>
        <v>47</v>
      </c>
      <c r="CR44" s="5">
        <f>IF(_xlfn.XLOOKUP($B44,rf1_data!$B:$B,rf1_data!CJ:CJ,"NaN")="","NaN",(_xlfn.XLOOKUP($B44,rf1_data!$B:$B,rf1_data!CJ:CJ,"NaN")))</f>
        <v>60</v>
      </c>
      <c r="CS44" s="5">
        <f>IF(_xlfn.XLOOKUP($B44,rf1_data!$B:$B,rf1_data!CK:CK,"NaN")="","NaN",(_xlfn.XLOOKUP($B44,rf1_data!$B:$B,rf1_data!CK:CK,"NaN")))</f>
        <v>42</v>
      </c>
      <c r="CT44" s="5">
        <f>IF(_xlfn.XLOOKUP($B44,rf1_data!$B:$B,rf1_data!CL:CL,"NaN")="","NaN",(_xlfn.XLOOKUP($B44,rf1_data!$B:$B,rf1_data!CL:CL,"NaN")))</f>
        <v>60</v>
      </c>
      <c r="CU44" s="5">
        <f>IF(_xlfn.XLOOKUP($B44,rf1_data!$B:$B,rf1_data!CM:CM,"NaN")="","NaN",(_xlfn.XLOOKUP($B44,rf1_data!$B:$B,rf1_data!CM:CM,"NaN")))</f>
        <v>45</v>
      </c>
      <c r="CV44" s="5">
        <f>IF(_xlfn.XLOOKUP($B44,rf1_data!$B:$B,rf1_data!CN:CN,"NaN")="","NaN",(_xlfn.XLOOKUP($B44,rf1_data!$B:$B,rf1_data!CN:CN,"NaN")))</f>
        <v>59</v>
      </c>
      <c r="CW44" s="5" t="str">
        <f>IF(_xlfn.XLOOKUP($B44,rf1_data!$B:$B,rf1_data!CO:CO,"NaN")="","NaN",(_xlfn.XLOOKUP($B44,rf1_data!$B:$B,rf1_data!CO:CO,"NaN")))</f>
        <v>NaN</v>
      </c>
      <c r="CX44" s="5" t="str">
        <f>IF(_xlfn.XLOOKUP($B44,rf1_data!$B:$B,rf1_data!CP:CP,"NaN")="","NaN",(_xlfn.XLOOKUP($B44,rf1_data!$B:$B,rf1_data!CP:CP,"NaN")))</f>
        <v>NaN</v>
      </c>
      <c r="CY44" s="5">
        <f>IF(_xlfn.XLOOKUP($B44,rf1_data!$B:$B,rf1_data!CQ:CQ,"NaN")="","NaN",(_xlfn.XLOOKUP($B44,rf1_data!$B:$B,rf1_data!CQ:CQ,"NaN")))</f>
        <v>2</v>
      </c>
      <c r="CZ44" s="5">
        <f>IF(_xlfn.XLOOKUP($B44,rf1_data!$B:$B,rf1_data!CR:CR,"NaN")="","NaN",(_xlfn.XLOOKUP($B44,rf1_data!$B:$B,rf1_data!CR:CR,"NaN")))</f>
        <v>1</v>
      </c>
      <c r="DA44" s="5">
        <f>IF(_xlfn.XLOOKUP($B44,rf1_data!$B:$B,rf1_data!CS:CS,"NaN")="","NaN",(_xlfn.XLOOKUP($B44,rf1_data!$B:$B,rf1_data!CS:CS,"NaN")))</f>
        <v>1</v>
      </c>
      <c r="DB44" s="4">
        <f>IF(_xlfn.XLOOKUP($B44,island_data!$B:$B,island_data!H:H,"NaN")="","NaN",_xlfn.XLOOKUP($B44,island_data!$B:$B,island_data!H:H,"NaN"))</f>
        <v>0</v>
      </c>
      <c r="DC44" s="4">
        <f>IF(_xlfn.XLOOKUP($B44,island_data!$B:$B,island_data!I:I,"NaN")="","NaN",_xlfn.XLOOKUP($B44,island_data!$B:$B,island_data!I:I,"NaN"))</f>
        <v>0</v>
      </c>
      <c r="DD44" s="4">
        <f>IF(_xlfn.XLOOKUP($B44,island_data!$B:$B,island_data!J:J,"NaN")="","NaN",_xlfn.XLOOKUP($B44,island_data!$B:$B,island_data!J:J,"NaN"))</f>
        <v>2</v>
      </c>
      <c r="DE44" s="4">
        <f>IF(_xlfn.XLOOKUP($B44,island_data!$B:$B,island_data!K:K,"NaN")="","NaN",_xlfn.XLOOKUP($B44,island_data!$B:$B,island_data!K:K,"NaN"))</f>
        <v>12</v>
      </c>
      <c r="DF44" s="4">
        <f>IF(_xlfn.XLOOKUP($B44,island_data!$B:$B,island_data!L:L,"NaN")="","NaN",_xlfn.XLOOKUP($B44,island_data!$B:$B,island_data!L:L,"NaN"))</f>
        <v>23</v>
      </c>
      <c r="DG44" s="4">
        <f>IF(_xlfn.XLOOKUP($B44,island_data!$B:$B,island_data!M:M,"NaN")="","NaN",_xlfn.XLOOKUP($B44,island_data!$B:$B,island_data!M:M,"NaN"))</f>
        <v>3.4375</v>
      </c>
      <c r="DH44" s="4">
        <f>IF(_xlfn.XLOOKUP($B44,island_data!$B:$B,island_data!N:N,"NaN")="","NaN",_xlfn.XLOOKUP($B44,island_data!$B:$B,island_data!N:N,"NaN"))</f>
        <v>12</v>
      </c>
      <c r="DI44" s="4">
        <f>IF(_xlfn.XLOOKUP($B44,island_data!$B:$B,island_data!O:O,"NaN")=999,"NaN",_xlfn.XLOOKUP($B44,island_data!$B:$B,island_data!O:O,"NaN"))</f>
        <v>1</v>
      </c>
      <c r="DJ44" s="4">
        <f>IF(_xlfn.XLOOKUP($B44,island_data!$B:$B,island_data!P:P,"NaN")="","NaN",_xlfn.XLOOKUP($B44,island_data!$B:$B,island_data!P:P,"NaN"))</f>
        <v>10</v>
      </c>
      <c r="DK44" s="4">
        <f>IF(_xlfn.XLOOKUP($B44,island_data!$B:$B,island_data!Q:Q,"NaN")="","NaN",_xlfn.XLOOKUP($B44,island_data!$B:$B,island_data!Q:Q,"NaN"))</f>
        <v>4</v>
      </c>
      <c r="DL44" s="4">
        <f>IF(_xlfn.XLOOKUP($B44,island_data!$B:$B,island_data!R:R,"NaN")=999,"NaN",_xlfn.XLOOKUP($B44,island_data!$B:$B,island_data!R:R,"NaN"))</f>
        <v>17</v>
      </c>
      <c r="DM44" s="4">
        <f>IF(_xlfn.XLOOKUP($B44,island_data!$B:$B,island_data!S:S,"NaN")="","NaN",_xlfn.XLOOKUP($B44,island_data!$B:$B,island_data!S:S,"NaN"))</f>
        <v>11</v>
      </c>
      <c r="DN44" s="4">
        <f>IF(_xlfn.XLOOKUP($B44,island_data!$B:$B,island_data!T:T,"NaN")="","NaN",_xlfn.XLOOKUP($B44,island_data!$B:$B,island_data!T:T,"NaN"))</f>
        <v>4.75</v>
      </c>
      <c r="DO44" s="4">
        <f>IF(_xlfn.XLOOKUP($B44,island_data!$B:$B,island_data!U:U,"NaN")="","NaN",_xlfn.XLOOKUP($B44,island_data!$B:$B,island_data!U:U,"NaN"))</f>
        <v>5</v>
      </c>
      <c r="DP44" s="4">
        <f>IF(_xlfn.XLOOKUP($B44,island_data!$B:$B,island_data!V:V,"NaN")="","NaN",_xlfn.XLOOKUP($B44,island_data!$B:$B,island_data!V:V,"NaN"))</f>
        <v>5</v>
      </c>
      <c r="DQ44" s="4">
        <f>IF(_xlfn.XLOOKUP($B44,island_data!$B:$B,island_data!W:W,"NaN")="","NaN",_xlfn.XLOOKUP($B44,island_data!$B:$B,island_data!W:W,"NaN"))</f>
        <v>7</v>
      </c>
      <c r="DR44" s="4">
        <f>IF(_xlfn.XLOOKUP($B44,island_data!$B:$B,island_data!X:X,"NaN")="","NaN",_xlfn.XLOOKUP($B44,island_data!$B:$B,island_data!X:X,"NaN"))</f>
        <v>5</v>
      </c>
      <c r="DS44" s="4" t="str">
        <f>IF(_xlfn.XLOOKUP($B44,island_data!$B:$B,island_data!Y:Y,"NaN")="","NaN",_xlfn.XLOOKUP($B44,island_data!$B:$B,island_data!Y:Y,"NaN"))</f>
        <v>NaN</v>
      </c>
      <c r="DT44" s="4" t="str">
        <f>IF(_xlfn.XLOOKUP($B44,island_data!$B:$B,island_data!Z:Z,"NaN")="","NaN",_xlfn.XLOOKUP($B44,island_data!$B:$B,island_data!Z:Z,"NaN"))</f>
        <v>NaN</v>
      </c>
      <c r="DU44" s="4" t="str">
        <f>IF(_xlfn.XLOOKUP($B44,island_data!$B:$B,island_data!AA:AA,"NaN")="","NaN",_xlfn.XLOOKUP($B44,island_data!$B:$B,island_data!AA:AA,"NaN"))</f>
        <v>NaN</v>
      </c>
      <c r="DV44" s="4">
        <f>IF(_xlfn.XLOOKUP($B44,island_data!$B:$B,island_data!AB:AB,"NaN")="","NaN",_xlfn.XLOOKUP($B44,island_data!$B:$B,island_data!AB:AB,"NaN"))</f>
        <v>2</v>
      </c>
      <c r="DW44" s="4">
        <f>IF(_xlfn.XLOOKUP($B44,island_data!$B:$B,island_data!AC:AC,"NaN")="","NaN",_xlfn.XLOOKUP($B44,island_data!$B:$B,island_data!AC:AC,"NaN"))</f>
        <v>8003</v>
      </c>
      <c r="DX44" s="4">
        <f>IF(_xlfn.XLOOKUP($B44,island_data!$B:$B,island_data!AD:AD,"NaN")="","NaN",_xlfn.XLOOKUP($B44,island_data!$B:$B,island_data!AD:AD,"NaN"))</f>
        <v>7</v>
      </c>
      <c r="DY44" s="4">
        <f>IF(_xlfn.XLOOKUP($B44,island_data!$B:$B,island_data!AE:AE,"NaN")="","NaN",_xlfn.XLOOKUP($B44,island_data!$B:$B,island_data!AE:AE,"NaN"))</f>
        <v>1</v>
      </c>
      <c r="DZ44" s="4" t="str">
        <f>IF(_xlfn.XLOOKUP($B44,island_data!$B:$B,island_data!AF:AF,"NaN")="","NaN",_xlfn.XLOOKUP($B44,island_data!$B:$B,island_data!AF:AF,"NaN"))</f>
        <v>NaN</v>
      </c>
      <c r="EA44" s="4" t="str">
        <f>IF(_xlfn.XLOOKUP($B44,island_data!$B:$B,island_data!AG:AG,"NaN")="","NaN",_xlfn.XLOOKUP($B44,island_data!$B:$B,island_data!AG:AG,"NaN"))</f>
        <v>NaN</v>
      </c>
      <c r="EB44" s="4" t="str">
        <f>IF(_xlfn.XLOOKUP($B44,island_data!$B:$B,island_data!AH:AH,"NaN")="","NaN",_xlfn.XLOOKUP($B44,island_data!$B:$B,island_data!AH:AH,"NaN"))</f>
        <v>NaN</v>
      </c>
      <c r="EC44" s="4" t="str">
        <f>IF(_xlfn.XLOOKUP($B44,island_data!$B:$B,island_data!AI:AI,"NaN")="","NaN",_xlfn.XLOOKUP($B44,island_data!$B:$B,island_data!AI:AI,"NaN"))</f>
        <v>NaN</v>
      </c>
      <c r="ED44" s="4" t="str">
        <f>IF(_xlfn.XLOOKUP($B44,island_data!$B:$B,island_data!AJ:AJ,"NaN")="","NaN",_xlfn.XLOOKUP($B44,island_data!$B:$B,island_data!AJ:AJ,"NaN"))</f>
        <v>NaN</v>
      </c>
      <c r="EE44" s="4" t="str">
        <f>IF(_xlfn.XLOOKUP($B44,island_data!$B:$B,island_data!AK:AK,"NaN")="","NaN",_xlfn.XLOOKUP($B44,island_data!$B:$B,island_data!AK:AK,"NaN"))</f>
        <v>NaN</v>
      </c>
      <c r="EF44" s="4" t="str">
        <f>IF(_xlfn.XLOOKUP($B44,island_data!$B:$B,island_data!AL:AL,"NaN")="","NaN",_xlfn.XLOOKUP($B44,island_data!$B:$B,island_data!AL:AL,"NaN"))</f>
        <v>NaN</v>
      </c>
      <c r="EG44" s="4" t="str">
        <f>IF(_xlfn.XLOOKUP($B44,island_data!$B:$B,island_data!AM:AM,"NaN")="","NaN",_xlfn.XLOOKUP($B44,island_data!$B:$B,island_data!AM:AM,"NaN"))</f>
        <v>NaN</v>
      </c>
      <c r="EH44" s="4">
        <f>IF(_xlfn.XLOOKUP($B44,island_data!$B:$B,island_data!AN:AN,"NaN")="","NaN",_xlfn.XLOOKUP($B44,island_data!$B:$B,island_data!AN:AN,"NaN"))</f>
        <v>3</v>
      </c>
      <c r="EI44" s="4" t="str">
        <f>IF(_xlfn.XLOOKUP($B44,island_data!$B:$B,island_data!AO:AO,"NaN")="","NaN",_xlfn.XLOOKUP($B44,island_data!$B:$B,island_data!AO:AO,"NaN"))</f>
        <v>NaN</v>
      </c>
      <c r="EJ44" s="8">
        <f>IF(_xlfn.XLOOKUP($A44,TabCAT!$A:$A,TabCAT!AU:AU,"NaN")="","NaN",(_xlfn.XLOOKUP($A44,TabCAT!$A:$A,TabCAT!AU:AU,"NaN")))</f>
        <v>178</v>
      </c>
      <c r="EK44" s="8" t="b">
        <f>IF(_xlfn.XLOOKUP($A44,TabCAT!$A:$A,TabCAT!AV:AV,"NaN")="","NaN",(_xlfn.XLOOKUP($A44,TabCAT!$A:$A,TabCAT!AV:AV,"NaN")))</f>
        <v>1</v>
      </c>
      <c r="EL44" s="8">
        <f>IF(_xlfn.XLOOKUP($A44,TabCAT!$A:$A,TabCAT!AW:AW,"NaN")="","NaN",(_xlfn.XLOOKUP($A44,TabCAT!$A:$A,TabCAT!AW:AW,"NaN")))</f>
        <v>6</v>
      </c>
      <c r="EM44" s="8">
        <f>IF(_xlfn.XLOOKUP($A44,TabCAT!$A:$A,TabCAT!AX:AX,"NaN")="","NaN",(_xlfn.XLOOKUP($A44,TabCAT!$A:$A,TabCAT!AX:AX,"NaN")))</f>
        <v>0</v>
      </c>
      <c r="EN44" s="8">
        <f>IF(_xlfn.XLOOKUP($A44,TabCAT!$A:$A,TabCAT!AY:AY,"NaN")="","NaN",(_xlfn.XLOOKUP($A44,TabCAT!$A:$A,TabCAT!AY:AY,"NaN")))</f>
        <v>8.24</v>
      </c>
      <c r="EO44" s="8">
        <f>IF(_xlfn.XLOOKUP($A44,TabCAT!$A:$A,TabCAT!AZ:AZ,"NaN")="","NaN",(_xlfn.XLOOKUP($A44,TabCAT!$A:$A,TabCAT!AZ:AZ,"NaN")))</f>
        <v>32</v>
      </c>
      <c r="EP44" s="8">
        <f>IF(_xlfn.XLOOKUP($A44,TabCAT!$A:$A,TabCAT!BA:BA,"NaN")="","NaN",(_xlfn.XLOOKUP($A44,TabCAT!$A:$A,TabCAT!BA:BA,"NaN")))</f>
        <v>0.833287</v>
      </c>
      <c r="EQ44" s="8">
        <f>IF(_xlfn.XLOOKUP($A44,TabCAT!$A:$A,TabCAT!BB:BB,"NaN")="","NaN",(_xlfn.XLOOKUP($A44,TabCAT!$A:$A,TabCAT!BB:BB,"NaN")))</f>
        <v>8.6956647864210299E-2</v>
      </c>
      <c r="ER44" s="8">
        <f>IF(_xlfn.XLOOKUP($A44,TabCAT!$A:$A,TabCAT!BC:BC,"NaN")="","NaN",(_xlfn.XLOOKUP($A44,TabCAT!$A:$A,TabCAT!BC:BC,"NaN")))</f>
        <v>16</v>
      </c>
      <c r="ES44" s="8">
        <f>IF(_xlfn.XLOOKUP($A44,TabCAT!$A:$A,TabCAT!BD:BD,"NaN")="","NaN",(_xlfn.XLOOKUP($A44,TabCAT!$A:$A,TabCAT!BD:BD,"NaN")))</f>
        <v>0.79417800000000005</v>
      </c>
      <c r="ET44" s="8">
        <f>IF(_xlfn.XLOOKUP($A44,TabCAT!$A:$A,TabCAT!BE:BE,"NaN")="","NaN",(_xlfn.XLOOKUP($A44,TabCAT!$A:$A,TabCAT!BE:BE,"NaN")))</f>
        <v>16</v>
      </c>
      <c r="EU44" s="8">
        <f>IF(_xlfn.XLOOKUP($A44,TabCAT!$A:$A,TabCAT!BF:BF,"NaN")="","NaN",(_xlfn.XLOOKUP($A44,TabCAT!$A:$A,TabCAT!BF:BF,"NaN")))</f>
        <v>0.874969</v>
      </c>
      <c r="EV44" s="8">
        <f>IF(_xlfn.XLOOKUP($A44,TabCAT!$A:$A,TabCAT!BG:BG,"NaN")="","NaN",(_xlfn.XLOOKUP($A44,TabCAT!$A:$A,TabCAT!BG:BG,"NaN")))</f>
        <v>-0.39622600000000002</v>
      </c>
      <c r="EW44" s="8" t="str">
        <f>IF(_xlfn.XLOOKUP($A44,TabCAT!$A:$A,TabCAT!BH:BH,"NaN")="","NaN",(_xlfn.XLOOKUP($A44,TabCAT!$A:$A,TabCAT!BH:BH,"NaN")))</f>
        <v>3.0.0</v>
      </c>
      <c r="EX44" s="8" t="str">
        <f>IF(_xlfn.XLOOKUP($A44,TabCAT!$A:$A,TabCAT!BI:BI,"NaN")="","NaN",(_xlfn.XLOOKUP($A44,TabCAT!$A:$A,TabCAT!BI:BI,"NaN")))</f>
        <v>English</v>
      </c>
      <c r="EY44" s="8">
        <f>IF(_xlfn.XLOOKUP($A44,TabCAT!$A:$A,TabCAT!BJ:BJ,"NaN")="","NaN",(_xlfn.XLOOKUP($A44,TabCAT!$A:$A,TabCAT!BJ:BJ,"NaN")))</f>
        <v>285</v>
      </c>
      <c r="EZ44" s="8">
        <f>IF(_xlfn.XLOOKUP($A44,TabCAT!$A:$A,TabCAT!BK:BK,"NaN")="","NaN",(_xlfn.XLOOKUP($A44,TabCAT!$A:$A,TabCAT!BK:BK,"NaN")))</f>
        <v>1</v>
      </c>
      <c r="FA44" s="8">
        <f>IF(_xlfn.XLOOKUP($A44,TabCAT!$A:$A,TabCAT!BL:BL,"NaN")="","NaN",(_xlfn.XLOOKUP($A44,TabCAT!$A:$A,TabCAT!BL:BL,"NaN")))</f>
        <v>5</v>
      </c>
      <c r="FB44" s="8">
        <f>IF(_xlfn.XLOOKUP($A44,TabCAT!$A:$A,TabCAT!BM:BM,"NaN")="","NaN",(_xlfn.XLOOKUP($A44,TabCAT!$A:$A,TabCAT!BM:BM,"NaN")))</f>
        <v>0.83333333333333304</v>
      </c>
      <c r="FC44" s="8">
        <f>IF(_xlfn.XLOOKUP($A44,TabCAT!$A:$A,TabCAT!BN:BN,"NaN")="","NaN",(_xlfn.XLOOKUP($A44,TabCAT!$A:$A,TabCAT!BN:BN,"NaN")))</f>
        <v>5</v>
      </c>
      <c r="FD44" s="8">
        <f>IF(_xlfn.XLOOKUP($A44,TabCAT!$A:$A,TabCAT!BO:BO,"NaN")="","NaN",(_xlfn.XLOOKUP($A44,TabCAT!$A:$A,TabCAT!BO:BO,"NaN")))</f>
        <v>8</v>
      </c>
      <c r="FE44" s="8">
        <f>IF(_xlfn.XLOOKUP($A44,TabCAT!$A:$A,TabCAT!BP:BP,"NaN")="","NaN",(_xlfn.XLOOKUP($A44,TabCAT!$A:$A,TabCAT!BP:BP,"NaN")))</f>
        <v>0.88888888888888795</v>
      </c>
      <c r="FF44" s="8">
        <f>IF(_xlfn.XLOOKUP($A44,TabCAT!$A:$A,TabCAT!BQ:BQ,"NaN")="","NaN",(_xlfn.XLOOKUP($A44,TabCAT!$A:$A,TabCAT!BQ:BQ,"NaN")))</f>
        <v>7</v>
      </c>
      <c r="FG44" s="8">
        <f>IF(_xlfn.XLOOKUP($A44,TabCAT!$A:$A,TabCAT!BR:BR,"NaN")="","NaN",(_xlfn.XLOOKUP($A44,TabCAT!$A:$A,TabCAT!BR:BR,"NaN")))</f>
        <v>10</v>
      </c>
      <c r="FH44" s="8">
        <f>IF(_xlfn.XLOOKUP($A44,TabCAT!$A:$A,TabCAT!BS:BS,"NaN")="","NaN",(_xlfn.XLOOKUP($A44,TabCAT!$A:$A,TabCAT!BS:BS,"NaN")))</f>
        <v>0.83333333333333304</v>
      </c>
      <c r="FI44" s="8">
        <f>IF(_xlfn.XLOOKUP($A44,TabCAT!$A:$A,TabCAT!BT:BT,"NaN")="","NaN",(_xlfn.XLOOKUP($A44,TabCAT!$A:$A,TabCAT!BT:BT,"NaN")))</f>
        <v>9</v>
      </c>
      <c r="FJ44" s="8">
        <f>IF(_xlfn.XLOOKUP($A44,TabCAT!$A:$A,TabCAT!BU:BU,"NaN")="","NaN",(_xlfn.XLOOKUP($A44,TabCAT!$A:$A,TabCAT!BU:BU,"NaN")))</f>
        <v>13</v>
      </c>
      <c r="FK44" s="8">
        <f>IF(_xlfn.XLOOKUP($A44,TabCAT!$A:$A,TabCAT!BV:BV,"NaN")="","NaN",(_xlfn.XLOOKUP($A44,TabCAT!$A:$A,TabCAT!BV:BV,"NaN")))</f>
        <v>0.86666666666666603</v>
      </c>
      <c r="FL44" s="8">
        <f>IF(_xlfn.XLOOKUP($A44,TabCAT!$A:$A,TabCAT!BW:BW,"NaN")="","NaN",(_xlfn.XLOOKUP($A44,TabCAT!$A:$A,TabCAT!BW:BW,"NaN")))</f>
        <v>10</v>
      </c>
      <c r="FM44" s="8">
        <f>IF(_xlfn.XLOOKUP($A44,TabCAT!$A:$A,TabCAT!BX:BX,"NaN")="","NaN",(_xlfn.XLOOKUP($A44,TabCAT!$A:$A,TabCAT!BX:BX,"NaN")))</f>
        <v>36</v>
      </c>
      <c r="FN44" s="8">
        <f>IF(_xlfn.XLOOKUP($A44,TabCAT!$A:$A,TabCAT!BY:BY,"NaN")="","NaN",(_xlfn.XLOOKUP($A44,TabCAT!$A:$A,TabCAT!BY:BY,"NaN")))</f>
        <v>0.85714285714285698</v>
      </c>
      <c r="FO44" s="8">
        <f>IF(_xlfn.XLOOKUP($A44,TabCAT!$A:$A,TabCAT!BZ:BZ,"NaN")="","NaN",(_xlfn.XLOOKUP($A44,TabCAT!$A:$A,TabCAT!BZ:BZ,"NaN")))</f>
        <v>31</v>
      </c>
      <c r="FP44" s="8" t="str">
        <f>IF(_xlfn.XLOOKUP($A44,TabCAT!$A:$A,TabCAT!CA:CA,"NaN")="","NaN",(_xlfn.XLOOKUP($A44,TabCAT!$A:$A,TabCAT!CA:CA,"NaN")))</f>
        <v>3.0.0</v>
      </c>
      <c r="FQ44" s="8" t="str">
        <f>IF(_xlfn.XLOOKUP($A44,TabCAT!$A:$A,TabCAT!CB:CB,"NaN")="","NaN",(_xlfn.XLOOKUP($A44,TabCAT!$A:$A,TabCAT!CB:CB,"NaN")))</f>
        <v>English</v>
      </c>
      <c r="FR44" s="8">
        <f>IF(_xlfn.XLOOKUP($A44,TabCAT!$A:$A,TabCAT!CC:CC,"NaN")="","NaN",(_xlfn.XLOOKUP($A44,TabCAT!$A:$A,TabCAT!CC:CC,"NaN")))</f>
        <v>244</v>
      </c>
      <c r="FS44" s="8" t="b">
        <f>IF(_xlfn.XLOOKUP($A44,TabCAT!$A:$A,TabCAT!CD:CD,"NaN")="","NaN",(_xlfn.XLOOKUP($A44,TabCAT!$A:$A,TabCAT!CD:CD,"NaN")))</f>
        <v>1</v>
      </c>
      <c r="FT44" s="8">
        <f>IF(_xlfn.XLOOKUP($A44,TabCAT!$A:$A,TabCAT!CE:CE,"NaN")="","NaN",(_xlfn.XLOOKUP($A44,TabCAT!$A:$A,TabCAT!CE:CE,"NaN")))</f>
        <v>8</v>
      </c>
      <c r="FU44" s="8">
        <f>IF(_xlfn.XLOOKUP($A44,TabCAT!$A:$A,TabCAT!CF:CF,"NaN")="","NaN",(_xlfn.XLOOKUP($A44,TabCAT!$A:$A,TabCAT!CF:CF,"NaN")))</f>
        <v>0</v>
      </c>
      <c r="FV44" s="8">
        <f>IF(_xlfn.XLOOKUP($A44,TabCAT!$A:$A,TabCAT!CG:CG,"NaN")="","NaN",(_xlfn.XLOOKUP($A44,TabCAT!$A:$A,TabCAT!CG:CG,"NaN")))</f>
        <v>8.3800000000000008</v>
      </c>
      <c r="FW44" s="8">
        <f>IF(_xlfn.XLOOKUP($A44,TabCAT!$A:$A,TabCAT!CH:CH,"NaN")="","NaN",(_xlfn.XLOOKUP($A44,TabCAT!$A:$A,TabCAT!CH:CH,"NaN")))</f>
        <v>16</v>
      </c>
      <c r="FX44" s="8">
        <f>IF(_xlfn.XLOOKUP($A44,TabCAT!$A:$A,TabCAT!CI:CI,"NaN")="","NaN",(_xlfn.XLOOKUP($A44,TabCAT!$A:$A,TabCAT!CI:CI,"NaN")))</f>
        <v>0.68796449999999998</v>
      </c>
      <c r="FY44" s="8">
        <f>IF(_xlfn.XLOOKUP($A44,TabCAT!$A:$A,TabCAT!CJ:CJ,"NaN")="","NaN",(_xlfn.XLOOKUP($A44,TabCAT!$A:$A,TabCAT!CJ:CJ,"NaN")))</f>
        <v>16</v>
      </c>
      <c r="FZ44" s="8">
        <f>IF(_xlfn.XLOOKUP($A44,TabCAT!$A:$A,TabCAT!CK:CK,"NaN")="","NaN",(_xlfn.XLOOKUP($A44,TabCAT!$A:$A,TabCAT!CK:CK,"NaN")))</f>
        <v>0.59646699999999997</v>
      </c>
      <c r="GA44" s="8">
        <f>IF(_xlfn.XLOOKUP($A44,TabCAT!$A:$A,TabCAT!CL:CL,"NaN")="","NaN",(_xlfn.XLOOKUP($A44,TabCAT!$A:$A,TabCAT!CL:CL,"NaN")))</f>
        <v>30</v>
      </c>
      <c r="GB44" s="8">
        <f>IF(_xlfn.XLOOKUP($A44,TabCAT!$A:$A,TabCAT!CM:CM,"NaN")="","NaN",(_xlfn.XLOOKUP($A44,TabCAT!$A:$A,TabCAT!CM:CM,"NaN")))</f>
        <v>0.67553750000000001</v>
      </c>
      <c r="GC44" s="8">
        <f>IF(_xlfn.XLOOKUP($A44,TabCAT!$A:$A,TabCAT!CN:CN,"NaN")="","NaN",(_xlfn.XLOOKUP($A44,TabCAT!$A:$A,TabCAT!CN:CN,"NaN")))</f>
        <v>20</v>
      </c>
      <c r="GD44" s="8">
        <f>IF(_xlfn.XLOOKUP($A44,TabCAT!$A:$A,TabCAT!CO:CO,"NaN")="","NaN",(_xlfn.XLOOKUP($A44,TabCAT!$A:$A,TabCAT!CO:CO,"NaN")))</f>
        <v>0.679786</v>
      </c>
      <c r="GE44" s="8">
        <f>IF(_xlfn.XLOOKUP($A44,TabCAT!$A:$A,TabCAT!CP:CP,"NaN")="","NaN",(_xlfn.XLOOKUP($A44,TabCAT!$A:$A,TabCAT!CP:CP,"NaN")))</f>
        <v>0.21364533003358599</v>
      </c>
      <c r="GF44" s="8">
        <f>IF(_xlfn.XLOOKUP($A44,TabCAT!$A:$A,TabCAT!CQ:CQ,"NaN")="","NaN",(_xlfn.XLOOKUP($A44,TabCAT!$A:$A,TabCAT!CQ:CQ,"NaN")))</f>
        <v>52</v>
      </c>
      <c r="GG44" s="8">
        <f>IF(_xlfn.XLOOKUP($A44,TabCAT!$A:$A,TabCAT!CR:CR,"NaN")="","NaN",(_xlfn.XLOOKUP($A44,TabCAT!$A:$A,TabCAT!CR:CR,"NaN")))</f>
        <v>0.67572600000000005</v>
      </c>
      <c r="GH44" s="8">
        <f>IF(_xlfn.XLOOKUP($A44,TabCAT!$A:$A,TabCAT!CS:CS,"NaN")="","NaN",(_xlfn.XLOOKUP($A44,TabCAT!$A:$A,TabCAT!CS:CS,"NaN")))</f>
        <v>0.79710099999999995</v>
      </c>
    </row>
    <row r="45" spans="1:190" x14ac:dyDescent="0.2">
      <c r="A45">
        <v>10691</v>
      </c>
      <c r="B45">
        <f>_xlfn.XLOOKUP(bippity_poppity_boo!A45,rf1_data!A:A,rf1_data!B:B)</f>
        <v>130765</v>
      </c>
      <c r="C45" s="2">
        <f>(_xlfn.XLOOKUP($A45,trust!$A:$A,trust!B:B,"NaN"))</f>
        <v>5.5714290000000002</v>
      </c>
      <c r="D45" s="2">
        <f>(_xlfn.XLOOKUP($A45,trust!$A:$A,trust!C:C,"NaN"))</f>
        <v>6.5</v>
      </c>
      <c r="E45" s="2">
        <f>(_xlfn.XLOOKUP($A45,trust!$A:$A,trust!D:D,"NaN"))</f>
        <v>6.8571429999999998</v>
      </c>
      <c r="F45" s="2">
        <f>(_xlfn.XLOOKUP($A45,trust!$A:$A,trust!E:E,"NaN"))</f>
        <v>5.3333329999999997</v>
      </c>
      <c r="G45" s="2">
        <f>(_xlfn.XLOOKUP($A45,trust!$A:$A,trust!F:F,"NaN"))</f>
        <v>5.6923079999999997</v>
      </c>
      <c r="H45" s="2">
        <f>(_xlfn.XLOOKUP($A45,trust!$A:$A,trust!G:G,"NaN"))</f>
        <v>5.7142860000000004</v>
      </c>
      <c r="I45" s="3">
        <f>IF(_xlfn.XLOOKUP($B45,island_data!$B:$B,island_data!C:C,"NaN")="","NaN",_xlfn.XLOOKUP($B45,island_data!$B:$B,island_data!C:C,"NaN"))</f>
        <v>45026</v>
      </c>
      <c r="J45" s="3">
        <f>IF(_xlfn.XLOOKUP($B45,island_data!$B:$B,island_data!D:D,"NaN")="","NaN",_xlfn.XLOOKUP($B45,island_data!$B:$B,island_data!D:D,"NaN"))</f>
        <v>23779</v>
      </c>
      <c r="K45" s="4">
        <f>IF(_xlfn.XLOOKUP($B45,island_data!$B:$B,island_data!E:E,"NaN")="","NaN",_xlfn.XLOOKUP($B45,island_data!$B:$B,island_data!E:E,"NaN"))</f>
        <v>58.17</v>
      </c>
      <c r="L45" s="5">
        <f>IF(_xlfn.XLOOKUP($B45,rf1_data!$B:$B,rf1_data!D:D,"NaN")="","NaN",(_xlfn.XLOOKUP($B45,rf1_data!$B:$B,rf1_data!D:D,"NaN")))</f>
        <v>58.27</v>
      </c>
      <c r="M45" s="5" t="str">
        <f>IF(_xlfn.XLOOKUP($B45,rf1_data!$B:$B,rf1_data!E:E,"NaN")="","NaN",(_xlfn.XLOOKUP($B45,rf1_data!$B:$B,rf1_data!E:E,"NaN")))</f>
        <v>White</v>
      </c>
      <c r="N45" s="5" t="str">
        <f>IF(_xlfn.XLOOKUP($B45,rf1_data!$B:$B,rf1_data!F:F,"NaN")="","NaN",(_xlfn.XLOOKUP($B45,rf1_data!$B:$B,rf1_data!F:F,"NaN")))</f>
        <v>Not Hispanic or Latino</v>
      </c>
      <c r="O45" s="5" t="str">
        <f>IF(_xlfn.XLOOKUP($B45,rf1_data!$B:$B,rf1_data!G:G,"NaN")="","NaN",(_xlfn.XLOOKUP($B45,rf1_data!$B:$B,rf1_data!G:G,"NaN")))</f>
        <v>Female</v>
      </c>
      <c r="P45" s="5">
        <f>IF(_xlfn.XLOOKUP($B45,rf1_data!$B:$B,rf1_data!H:H,"NaN")="","NaN",(_xlfn.XLOOKUP($B45,rf1_data!$B:$B,rf1_data!H:H,"NaN")))</f>
        <v>4</v>
      </c>
      <c r="Q45" s="5">
        <f>IF(_xlfn.XLOOKUP($B45,rf1_data!$B:$B,rf1_data!I:I,"NaN")="","NaN",(_xlfn.XLOOKUP($B45,rf1_data!$B:$B,rf1_data!I:I,"NaN")))</f>
        <v>3.2</v>
      </c>
      <c r="R45" s="5">
        <f>IF(_xlfn.XLOOKUP($B45,rf1_data!$B:$B,rf1_data!J:J,"NaN")="","NaN",(_xlfn.XLOOKUP($B45,rf1_data!$B:$B,rf1_data!J:J,"NaN")))</f>
        <v>1</v>
      </c>
      <c r="S45" s="5">
        <f>IF(_xlfn.XLOOKUP($B45,rf1_data!$B:$B,rf1_data!K:K,"NaN")="","NaN",(_xlfn.XLOOKUP($B45,rf1_data!$B:$B,rf1_data!K:K,"NaN")))</f>
        <v>7</v>
      </c>
      <c r="T45" s="5">
        <f>IF(_xlfn.XLOOKUP($B45,rf1_data!$B:$B,rf1_data!L:L,"NaN")="","NaN",(_xlfn.XLOOKUP($B45,rf1_data!$B:$B,rf1_data!L:L,"NaN")))</f>
        <v>0</v>
      </c>
      <c r="U45" s="5">
        <f>IF(_xlfn.XLOOKUP($B45,rf1_data!$B:$B,rf1_data!M:M,"NaN")="","NaN",(_xlfn.XLOOKUP($B45,rf1_data!$B:$B,rf1_data!M:M,"NaN")))</f>
        <v>4.33</v>
      </c>
      <c r="V45" s="5">
        <f>IF(_xlfn.XLOOKUP($B45,rf1_data!$B:$B,rf1_data!N:N,"NaN")="","NaN",(_xlfn.XLOOKUP($B45,rf1_data!$B:$B,rf1_data!N:N,"NaN")))</f>
        <v>4</v>
      </c>
      <c r="W45" s="5">
        <f>IF(_xlfn.XLOOKUP($B45,rf1_data!$B:$B,rf1_data!O:O,"NaN")="","NaN",(_xlfn.XLOOKUP($B45,rf1_data!$B:$B,rf1_data!O:O,"NaN")))</f>
        <v>4.13</v>
      </c>
      <c r="X45" s="5">
        <f>IF(_xlfn.XLOOKUP($B45,rf1_data!$B:$B,rf1_data!P:P,"NaN")="","NaN",(_xlfn.XLOOKUP($B45,rf1_data!$B:$B,rf1_data!P:P,"NaN")))</f>
        <v>2.83</v>
      </c>
      <c r="Y45" s="5">
        <f>IF(_xlfn.XLOOKUP($B45,rf1_data!$B:$B,rf1_data!Q:Q,"NaN")="","NaN",(_xlfn.XLOOKUP($B45,rf1_data!$B:$B,rf1_data!Q:Q,"NaN")))</f>
        <v>3.8</v>
      </c>
      <c r="Z45" s="5">
        <f>IF(_xlfn.XLOOKUP($B45,rf1_data!$B:$B,rf1_data!R:R,"NaN")="","NaN",(_xlfn.XLOOKUP($B45,rf1_data!$B:$B,rf1_data!R:R,"NaN")))</f>
        <v>35</v>
      </c>
      <c r="AA45" s="5">
        <f>IF(_xlfn.XLOOKUP($B45,rf1_data!$B:$B,rf1_data!S:S,"NaN")="","NaN",(_xlfn.XLOOKUP($B45,rf1_data!$B:$B,rf1_data!S:S,"NaN")))</f>
        <v>8</v>
      </c>
      <c r="AB45" s="5">
        <f>IF(_xlfn.XLOOKUP($B45,rf1_data!$B:$B,rf1_data!T:T,"NaN")="","NaN",(_xlfn.XLOOKUP($B45,rf1_data!$B:$B,rf1_data!T:T,"NaN")))</f>
        <v>15</v>
      </c>
      <c r="AC45" s="5">
        <f>IF(_xlfn.XLOOKUP($B45,rf1_data!$B:$B,rf1_data!U:U,"NaN")="","NaN",(_xlfn.XLOOKUP($B45,rf1_data!$B:$B,rf1_data!U:U,"NaN")))</f>
        <v>4</v>
      </c>
      <c r="AD45" s="5">
        <f>IF(_xlfn.XLOOKUP($B45,rf1_data!$B:$B,rf1_data!V:V,"NaN")="","NaN",(_xlfn.XLOOKUP($B45,rf1_data!$B:$B,rf1_data!V:V,"NaN")))</f>
        <v>8</v>
      </c>
      <c r="AE45" s="5">
        <f>IF(_xlfn.XLOOKUP($B45,rf1_data!$B:$B,rf1_data!W:W,"NaN")="","NaN",(_xlfn.XLOOKUP($B45,rf1_data!$B:$B,rf1_data!W:W,"NaN")))</f>
        <v>7</v>
      </c>
      <c r="AF45" s="5">
        <f>IF(_xlfn.XLOOKUP($B45,rf1_data!$B:$B,rf1_data!X:X,"NaN")="","NaN",(_xlfn.XLOOKUP($B45,rf1_data!$B:$B,rf1_data!X:X,"NaN")))</f>
        <v>5</v>
      </c>
      <c r="AG45" s="5">
        <f>IF(_xlfn.XLOOKUP($B45,rf1_data!$B:$B,rf1_data!Y:Y,"NaN")="","NaN",(_xlfn.XLOOKUP($B45,rf1_data!$B:$B,rf1_data!Y:Y,"NaN")))</f>
        <v>2</v>
      </c>
      <c r="AH45" s="5">
        <f>IF(_xlfn.XLOOKUP($B45,rf1_data!$B:$B,rf1_data!Z:Z,"NaN")="","NaN",(_xlfn.XLOOKUP($B45,rf1_data!$B:$B,rf1_data!Z:Z,"NaN")))</f>
        <v>4</v>
      </c>
      <c r="AI45" s="5">
        <f>IF(_xlfn.XLOOKUP($B45,rf1_data!$B:$B,rf1_data!AA:AA,"NaN")="","NaN",(_xlfn.XLOOKUP($B45,rf1_data!$B:$B,rf1_data!AA:AA,"NaN")))</f>
        <v>6</v>
      </c>
      <c r="AJ45" s="5">
        <f>IF(_xlfn.XLOOKUP($B45,rf1_data!$B:$B,rf1_data!AB:AB,"NaN")="","NaN",(_xlfn.XLOOKUP($B45,rf1_data!$B:$B,rf1_data!AB:AB,"NaN")))</f>
        <v>24</v>
      </c>
      <c r="AK45" s="5">
        <f>IF(_xlfn.XLOOKUP($B45,rf1_data!$B:$B,rf1_data!AC:AC,"NaN")="","NaN",(_xlfn.XLOOKUP($B45,rf1_data!$B:$B,rf1_data!AC:AC,"NaN")))</f>
        <v>33</v>
      </c>
      <c r="AL45" s="5">
        <f>IF(_xlfn.XLOOKUP($B45,rf1_data!$B:$B,rf1_data!AD:AD,"NaN")="","NaN",(_xlfn.XLOOKUP($B45,rf1_data!$B:$B,rf1_data!AD:AD,"NaN")))</f>
        <v>12</v>
      </c>
      <c r="AM45" s="5">
        <f>IF(_xlfn.XLOOKUP($B45,rf1_data!$B:$B,rf1_data!AE:AE,"NaN")="","NaN",(_xlfn.XLOOKUP($B45,rf1_data!$B:$B,rf1_data!AE:AE,"NaN")))</f>
        <v>0</v>
      </c>
      <c r="AN45" s="5">
        <f>IF(_xlfn.XLOOKUP($B45,rf1_data!$B:$B,rf1_data!AF:AF,"NaN")="","NaN",(_xlfn.XLOOKUP($B45,rf1_data!$B:$B,rf1_data!AF:AF,"NaN")))</f>
        <v>0</v>
      </c>
      <c r="AO45" s="5">
        <f>IF(_xlfn.XLOOKUP($B45,rf1_data!$B:$B,rf1_data!AG:AG,"NaN")="","NaN",(_xlfn.XLOOKUP($B45,rf1_data!$B:$B,rf1_data!AG:AG,"NaN")))</f>
        <v>4.5</v>
      </c>
      <c r="AP45" s="5">
        <f>IF(_xlfn.XLOOKUP($B45,rf1_data!$B:$B,rf1_data!AH:AH,"NaN")="","NaN",(_xlfn.XLOOKUP($B45,rf1_data!$B:$B,rf1_data!AH:AH,"NaN")))</f>
        <v>4.75</v>
      </c>
      <c r="AQ45" s="5">
        <f>IF(_xlfn.XLOOKUP($B45,rf1_data!$B:$B,rf1_data!AI:AI,"NaN")="","NaN",(_xlfn.XLOOKUP($B45,rf1_data!$B:$B,rf1_data!AI:AI,"NaN")))</f>
        <v>4</v>
      </c>
      <c r="AR45" s="5">
        <f>IF(_xlfn.XLOOKUP($B45,rf1_data!$B:$B,rf1_data!AJ:AJ,"NaN")="","NaN",(_xlfn.XLOOKUP($B45,rf1_data!$B:$B,rf1_data!AJ:AJ,"NaN")))</f>
        <v>4.75</v>
      </c>
      <c r="AS45" s="5">
        <f>IF(_xlfn.XLOOKUP($B45,rf1_data!$B:$B,rf1_data!AK:AK,"NaN")="","NaN",(_xlfn.XLOOKUP($B45,rf1_data!$B:$B,rf1_data!AK:AK,"NaN")))</f>
        <v>3.3</v>
      </c>
      <c r="AT45" s="5">
        <f>IF(_xlfn.XLOOKUP($B45,rf1_data!$B:$B,rf1_data!AL:AL,"NaN")="","NaN",(_xlfn.XLOOKUP($B45,rf1_data!$B:$B,rf1_data!AL:AL,"NaN")))</f>
        <v>14</v>
      </c>
      <c r="AU45" s="5">
        <f>IF(_xlfn.XLOOKUP($B45,rf1_data!$B:$B,rf1_data!AM:AM,"NaN")="","NaN",(_xlfn.XLOOKUP($B45,rf1_data!$B:$B,rf1_data!AM:AM,"NaN")))</f>
        <v>3.58</v>
      </c>
      <c r="AV45" s="5">
        <f>IF(_xlfn.XLOOKUP($B45,rf1_data!$B:$B,rf1_data!AN:AN,"NaN")="","NaN",(_xlfn.XLOOKUP($B45,rf1_data!$B:$B,rf1_data!AN:AN,"NaN")))</f>
        <v>13</v>
      </c>
      <c r="AW45" s="5">
        <f>IF(_xlfn.XLOOKUP($B45,rf1_data!$B:$B,rf1_data!AO:AO,"NaN")="","NaN",(_xlfn.XLOOKUP($B45,rf1_data!$B:$B,rf1_data!AO:AO,"NaN")))</f>
        <v>2.33</v>
      </c>
      <c r="AX45" s="5">
        <f>IF(_xlfn.XLOOKUP($B45,rf1_data!$B:$B,rf1_data!AP:AP,"NaN")="","NaN",(_xlfn.XLOOKUP($B45,rf1_data!$B:$B,rf1_data!AP:AP,"NaN")))</f>
        <v>3.94</v>
      </c>
      <c r="AY45" s="5">
        <f>IF(_xlfn.XLOOKUP($B45,rf1_data!$B:$B,rf1_data!AQ:AQ,"NaN")="","NaN",(_xlfn.XLOOKUP($B45,rf1_data!$B:$B,rf1_data!AQ:AQ,"NaN")))</f>
        <v>62.1</v>
      </c>
      <c r="AZ45" s="5" t="str">
        <f>IF(_xlfn.XLOOKUP($B45,rf1_data!$B:$B,rf1_data!AR:AR,"NaN")="","NaN",(_xlfn.XLOOKUP($B45,rf1_data!$B:$B,rf1_data!AR:AR,"NaN")))</f>
        <v>NaN</v>
      </c>
      <c r="BA45" s="5" t="str">
        <f>IF(_xlfn.XLOOKUP($B45,rf1_data!$B:$B,rf1_data!AS:AS,"NaN")="","NaN",(_xlfn.XLOOKUP($B45,rf1_data!$B:$B,rf1_data!AS:AS,"NaN")))</f>
        <v>NaN</v>
      </c>
      <c r="BB45" s="5" t="str">
        <f>IF(_xlfn.XLOOKUP($B45,rf1_data!$B:$B,rf1_data!AT:AT,"NaN")="","NaN",(_xlfn.XLOOKUP($B45,rf1_data!$B:$B,rf1_data!AT:AT,"NaN")))</f>
        <v>NaN</v>
      </c>
      <c r="BC45" s="5" t="str">
        <f>IF(_xlfn.XLOOKUP($B45,rf1_data!$B:$B,rf1_data!AU:AU,"NaN")="","NaN",(_xlfn.XLOOKUP($B45,rf1_data!$B:$B,rf1_data!AU:AU,"NaN")))</f>
        <v>NaN</v>
      </c>
      <c r="BD45" s="5" t="str">
        <f>IF(_xlfn.XLOOKUP($B45,rf1_data!$B:$B,rf1_data!AV:AV,"NaN")="","NaN",(_xlfn.XLOOKUP($B45,rf1_data!$B:$B,rf1_data!AV:AV,"NaN")))</f>
        <v>NaN</v>
      </c>
      <c r="BE45" s="5" t="str">
        <f>IF(_xlfn.XLOOKUP($B45,rf1_data!$B:$B,rf1_data!AW:AW,"NaN")="","NaN",(_xlfn.XLOOKUP($B45,rf1_data!$B:$B,rf1_data!AW:AW,"NaN")))</f>
        <v>NaN</v>
      </c>
      <c r="BF45" s="5" t="str">
        <f>IF(_xlfn.XLOOKUP($B45,rf1_data!$B:$B,rf1_data!AX:AX,"NaN")="","NaN",(_xlfn.XLOOKUP($B45,rf1_data!$B:$B,rf1_data!AX:AX,"NaN")))</f>
        <v>NaN</v>
      </c>
      <c r="BG45" s="5" t="str">
        <f>IF(_xlfn.XLOOKUP($B45,rf1_data!$B:$B,rf1_data!AY:AY,"NaN")="","NaN",(_xlfn.XLOOKUP($B45,rf1_data!$B:$B,rf1_data!AY:AY,"NaN")))</f>
        <v>NaN</v>
      </c>
      <c r="BH45" s="5" t="str">
        <f>IF(_xlfn.XLOOKUP($B45,rf1_data!$B:$B,rf1_data!AZ:AZ,"NaN")="","NaN",(_xlfn.XLOOKUP($B45,rf1_data!$B:$B,rf1_data!AZ:AZ,"NaN")))</f>
        <v>NaN</v>
      </c>
      <c r="BI45" s="5">
        <f>IF(_xlfn.XLOOKUP($B45,rf1_data!$B:$B,rf1_data!BA:BA,"NaN")="","NaN",(_xlfn.XLOOKUP($B45,rf1_data!$B:$B,rf1_data!BA:BA,"NaN")))</f>
        <v>90</v>
      </c>
      <c r="BJ45" s="5">
        <f>IF(_xlfn.XLOOKUP($B45,rf1_data!$B:$B,rf1_data!BB:BB,"NaN")="","NaN",(_xlfn.XLOOKUP($B45,rf1_data!$B:$B,rf1_data!BB:BB,"NaN")))</f>
        <v>70</v>
      </c>
      <c r="BK45" s="5" t="str">
        <f>IF(_xlfn.XLOOKUP($B45,rf1_data!$B:$B,rf1_data!BC:BC,"NaN")="","NaN",(_xlfn.XLOOKUP($B45,rf1_data!$B:$B,rf1_data!BC:BC,"NaN")))</f>
        <v>NaN</v>
      </c>
      <c r="BL45" s="5" t="str">
        <f>IF(_xlfn.XLOOKUP($B45,rf1_data!$B:$B,rf1_data!BD:BD,"NaN")="","NaN",(_xlfn.XLOOKUP($B45,rf1_data!$B:$B,rf1_data!BD:BD,"NaN")))</f>
        <v>NaN</v>
      </c>
      <c r="BM45" s="5" t="str">
        <f>IF(_xlfn.XLOOKUP($B45,rf1_data!$B:$B,rf1_data!BE:BE,"NaN")="","NaN",(_xlfn.XLOOKUP($B45,rf1_data!$B:$B,rf1_data!BE:BE,"NaN")))</f>
        <v>NaN</v>
      </c>
      <c r="BN45" s="5" t="str">
        <f>IF(_xlfn.XLOOKUP($B45,rf1_data!$B:$B,rf1_data!BF:BF,"NaN")="","NaN",(_xlfn.XLOOKUP($B45,rf1_data!$B:$B,rf1_data!BF:BF,"NaN")))</f>
        <v>NaN</v>
      </c>
      <c r="BO45" s="5" t="str">
        <f>IF(_xlfn.XLOOKUP($B45,rf1_data!$B:$B,rf1_data!BG:BG,"NaN")="","NaN",(_xlfn.XLOOKUP($B45,rf1_data!$B:$B,rf1_data!BG:BG,"NaN")))</f>
        <v>NaN</v>
      </c>
      <c r="BP45" s="5" t="str">
        <f>IF(_xlfn.XLOOKUP($B45,rf1_data!$B:$B,rf1_data!BH:BH,"NaN")="","NaN",(_xlfn.XLOOKUP($B45,rf1_data!$B:$B,rf1_data!BH:BH,"NaN")))</f>
        <v>NaN</v>
      </c>
      <c r="BQ45" s="5" t="str">
        <f>IF(_xlfn.XLOOKUP($B45,rf1_data!$B:$B,rf1_data!BI:BI,"NaN")="","NaN",(_xlfn.XLOOKUP($B45,rf1_data!$B:$B,rf1_data!BI:BI,"NaN")))</f>
        <v>NaN</v>
      </c>
      <c r="BR45" s="5">
        <f>IF(_xlfn.XLOOKUP($B45,rf1_data!$B:$B,rf1_data!BJ:BJ,"NaN")="","NaN",(_xlfn.XLOOKUP($B45,rf1_data!$B:$B,rf1_data!BJ:BJ,"NaN")))</f>
        <v>8991</v>
      </c>
      <c r="BS45" s="5" t="str">
        <f>IF(_xlfn.XLOOKUP($B45,rf1_data!$B:$B,rf1_data!BK:BK,"NaN")="","NaN",(_xlfn.XLOOKUP($B45,rf1_data!$B:$B,rf1_data!BK:BK,"NaN")))</f>
        <v>NaN</v>
      </c>
      <c r="BT45" s="5" t="str">
        <f>IF(_xlfn.XLOOKUP($B45,rf1_data!$B:$B,rf1_data!BL:BL,"NaN")="","NaN",(_xlfn.XLOOKUP($B45,rf1_data!$B:$B,rf1_data!BL:BL,"NaN")))</f>
        <v>NaN</v>
      </c>
      <c r="BU45" s="5" t="str">
        <f>IF(_xlfn.XLOOKUP($B45,rf1_data!$B:$B,rf1_data!BM:BM,"NaN")="","NaN",(_xlfn.XLOOKUP($B45,rf1_data!$B:$B,rf1_data!BM:BM,"NaN")))</f>
        <v>NaN</v>
      </c>
      <c r="BV45" s="5" t="str">
        <f>IF(_xlfn.XLOOKUP($B45,rf1_data!$B:$B,rf1_data!BN:BN,"NaN")="","NaN",(_xlfn.XLOOKUP($B45,rf1_data!$B:$B,rf1_data!BN:BN,"NaN")))</f>
        <v>NaN</v>
      </c>
      <c r="BW45" s="5">
        <f>IF(_xlfn.XLOOKUP($B45,rf1_data!$B:$B,rf1_data!BO:BO,"NaN")="","NaN",(_xlfn.XLOOKUP($B45,rf1_data!$B:$B,rf1_data!BO:BO,"NaN")))</f>
        <v>3</v>
      </c>
      <c r="BX45" s="5">
        <f>IF(_xlfn.XLOOKUP($B45,rf1_data!$B:$B,rf1_data!BP:BP,"NaN")="","NaN",(_xlfn.XLOOKUP($B45,rf1_data!$B:$B,rf1_data!BP:BP,"NaN")))</f>
        <v>3</v>
      </c>
      <c r="BY45" s="5">
        <f>IF(_xlfn.XLOOKUP($B45,rf1_data!$B:$B,rf1_data!BQ:BQ,"NaN")="","NaN",(_xlfn.XLOOKUP($B45,rf1_data!$B:$B,rf1_data!BQ:BQ,"NaN")))</f>
        <v>3.4</v>
      </c>
      <c r="BZ45" s="5">
        <f>IF(_xlfn.XLOOKUP($B45,rf1_data!$B:$B,rf1_data!BR:BR,"NaN")="","NaN",(_xlfn.XLOOKUP($B45,rf1_data!$B:$B,rf1_data!BR:BR,"NaN")))</f>
        <v>3.13</v>
      </c>
      <c r="CA45" s="5">
        <f>IF(_xlfn.XLOOKUP($B45,rf1_data!$B:$B,rf1_data!BS:BS,"NaN")="","NaN",(_xlfn.XLOOKUP($B45,rf1_data!$B:$B,rf1_data!BS:BS,"NaN")))</f>
        <v>6</v>
      </c>
      <c r="CB45" s="5">
        <f>IF(_xlfn.XLOOKUP($B45,rf1_data!$B:$B,rf1_data!BT:BT,"NaN")="","NaN",(_xlfn.XLOOKUP($B45,rf1_data!$B:$B,rf1_data!BT:BT,"NaN")))</f>
        <v>4.3333333333333304</v>
      </c>
      <c r="CC45" s="5">
        <f>IF(_xlfn.XLOOKUP($B45,rf1_data!$B:$B,rf1_data!BU:BU,"NaN")="","NaN",(_xlfn.XLOOKUP($B45,rf1_data!$B:$B,rf1_data!BU:BU,"NaN")))</f>
        <v>4.3333333333333304</v>
      </c>
      <c r="CD45" s="5">
        <f>IF(_xlfn.XLOOKUP($B45,rf1_data!$B:$B,rf1_data!BV:BV,"NaN")="","NaN",(_xlfn.XLOOKUP($B45,rf1_data!$B:$B,rf1_data!BV:BV,"NaN")))</f>
        <v>3.5</v>
      </c>
      <c r="CE45" s="5">
        <f>IF(_xlfn.XLOOKUP($B45,rf1_data!$B:$B,rf1_data!BW:BW,"NaN")="","NaN",(_xlfn.XLOOKUP($B45,rf1_data!$B:$B,rf1_data!BW:BW,"NaN")))</f>
        <v>1.4</v>
      </c>
      <c r="CF45" s="5">
        <f>IF(_xlfn.XLOOKUP($B45,rf1_data!$B:$B,rf1_data!BX:BX,"NaN")="","NaN",(_xlfn.XLOOKUP($B45,rf1_data!$B:$B,rf1_data!BX:BX,"NaN")))</f>
        <v>0</v>
      </c>
      <c r="CG45" s="5">
        <f>IF(_xlfn.XLOOKUP($B45,rf1_data!$B:$B,rf1_data!BY:BY,"NaN")="","NaN",(_xlfn.XLOOKUP($B45,rf1_data!$B:$B,rf1_data!BY:BY,"NaN")))</f>
        <v>0</v>
      </c>
      <c r="CH45" s="5">
        <f>IF(_xlfn.XLOOKUP($B45,rf1_data!$B:$B,rf1_data!BZ:BZ,"NaN")="","NaN",(_xlfn.XLOOKUP($B45,rf1_data!$B:$B,rf1_data!BZ:BZ,"NaN")))</f>
        <v>21</v>
      </c>
      <c r="CI45" s="5">
        <f>IF(_xlfn.XLOOKUP($B45,rf1_data!$B:$B,rf1_data!CA:CA,"NaN")="","NaN",(_xlfn.XLOOKUP($B45,rf1_data!$B:$B,rf1_data!CA:CA,"NaN")))</f>
        <v>23</v>
      </c>
      <c r="CJ45" s="5">
        <f>IF(_xlfn.XLOOKUP($B45,rf1_data!$B:$B,rf1_data!CB:CB,"NaN")="","NaN",(_xlfn.XLOOKUP($B45,rf1_data!$B:$B,rf1_data!CB:CB,"NaN")))</f>
        <v>7</v>
      </c>
      <c r="CK45" s="5">
        <f>IF(_xlfn.XLOOKUP($B45,rf1_data!$B:$B,rf1_data!CC:CC,"NaN")="","NaN",(_xlfn.XLOOKUP($B45,rf1_data!$B:$B,rf1_data!CC:CC,"NaN")))</f>
        <v>0.875</v>
      </c>
      <c r="CL45" s="5">
        <f>IF(_xlfn.XLOOKUP($B45,rf1_data!$B:$B,rf1_data!CD:CD,"NaN")=0,"NaN",(_xlfn.XLOOKUP($B45,rf1_data!$B:$B,rf1_data!CD:CD,"NaN")))</f>
        <v>27</v>
      </c>
      <c r="CM45" s="5">
        <f>IF(_xlfn.XLOOKUP($B45,rf1_data!$B:$B,rf1_data!CE:CE,"NaN")="","NaN",(_xlfn.XLOOKUP($B45,rf1_data!$B:$B,rf1_data!CE:CE,"NaN")))</f>
        <v>25</v>
      </c>
      <c r="CN45" s="5">
        <f>IF(_xlfn.XLOOKUP($B45,rf1_data!$B:$B,rf1_data!CF:CF,"NaN")="","NaN",(_xlfn.XLOOKUP($B45,rf1_data!$B:$B,rf1_data!CF:CF,"NaN")))</f>
        <v>40</v>
      </c>
      <c r="CO45" s="5">
        <f>IF(_xlfn.XLOOKUP($B45,rf1_data!$B:$B,rf1_data!CG:CG,"NaN")="","NaN",(_xlfn.XLOOKUP($B45,rf1_data!$B:$B,rf1_data!CG:CG,"NaN")))</f>
        <v>20</v>
      </c>
      <c r="CP45" s="5">
        <f>IF(_xlfn.XLOOKUP($B45,rf1_data!$B:$B,rf1_data!CH:CH,"NaN")=0,"NaN",(_xlfn.XLOOKUP($B45,rf1_data!$B:$B,rf1_data!CH:CH,"NaN")))</f>
        <v>29</v>
      </c>
      <c r="CQ45" s="5">
        <f>IF(_xlfn.XLOOKUP($B45,rf1_data!$B:$B,rf1_data!CI:CI,"NaN")="","NaN",(_xlfn.XLOOKUP($B45,rf1_data!$B:$B,rf1_data!CI:CI,"NaN")))</f>
        <v>41</v>
      </c>
      <c r="CR45" s="5">
        <f>IF(_xlfn.XLOOKUP($B45,rf1_data!$B:$B,rf1_data!CJ:CJ,"NaN")="","NaN",(_xlfn.XLOOKUP($B45,rf1_data!$B:$B,rf1_data!CJ:CJ,"NaN")))</f>
        <v>60</v>
      </c>
      <c r="CS45" s="5">
        <f>IF(_xlfn.XLOOKUP($B45,rf1_data!$B:$B,rf1_data!CK:CK,"NaN")="","NaN",(_xlfn.XLOOKUP($B45,rf1_data!$B:$B,rf1_data!CK:CK,"NaN")))</f>
        <v>35</v>
      </c>
      <c r="CT45" s="5">
        <f>IF(_xlfn.XLOOKUP($B45,rf1_data!$B:$B,rf1_data!CL:CL,"NaN")="","NaN",(_xlfn.XLOOKUP($B45,rf1_data!$B:$B,rf1_data!CL:CL,"NaN")))</f>
        <v>60</v>
      </c>
      <c r="CU45" s="5">
        <f>IF(_xlfn.XLOOKUP($B45,rf1_data!$B:$B,rf1_data!CM:CM,"NaN")="","NaN",(_xlfn.XLOOKUP($B45,rf1_data!$B:$B,rf1_data!CM:CM,"NaN")))</f>
        <v>27</v>
      </c>
      <c r="CV45" s="5">
        <f>IF(_xlfn.XLOOKUP($B45,rf1_data!$B:$B,rf1_data!CN:CN,"NaN")="","NaN",(_xlfn.XLOOKUP($B45,rf1_data!$B:$B,rf1_data!CN:CN,"NaN")))</f>
        <v>60</v>
      </c>
      <c r="CW45" s="5" t="str">
        <f>IF(_xlfn.XLOOKUP($B45,rf1_data!$B:$B,rf1_data!CO:CO,"NaN")="","NaN",(_xlfn.XLOOKUP($B45,rf1_data!$B:$B,rf1_data!CO:CO,"NaN")))</f>
        <v>NaN</v>
      </c>
      <c r="CX45" s="5" t="str">
        <f>IF(_xlfn.XLOOKUP($B45,rf1_data!$B:$B,rf1_data!CP:CP,"NaN")="","NaN",(_xlfn.XLOOKUP($B45,rf1_data!$B:$B,rf1_data!CP:CP,"NaN")))</f>
        <v>NaN</v>
      </c>
      <c r="CY45" s="5">
        <f>IF(_xlfn.XLOOKUP($B45,rf1_data!$B:$B,rf1_data!CQ:CQ,"NaN")="","NaN",(_xlfn.XLOOKUP($B45,rf1_data!$B:$B,rf1_data!CQ:CQ,"NaN")))</f>
        <v>6</v>
      </c>
      <c r="CZ45" s="5">
        <f>IF(_xlfn.XLOOKUP($B45,rf1_data!$B:$B,rf1_data!CR:CR,"NaN")="","NaN",(_xlfn.XLOOKUP($B45,rf1_data!$B:$B,rf1_data!CR:CR,"NaN")))</f>
        <v>1</v>
      </c>
      <c r="DA45" s="5">
        <f>IF(_xlfn.XLOOKUP($B45,rf1_data!$B:$B,rf1_data!CS:CS,"NaN")="","NaN",(_xlfn.XLOOKUP($B45,rf1_data!$B:$B,rf1_data!CS:CS,"NaN")))</f>
        <v>1</v>
      </c>
      <c r="DB45" s="4">
        <f>IF(_xlfn.XLOOKUP($B45,island_data!$B:$B,island_data!H:H,"NaN")="","NaN",_xlfn.XLOOKUP($B45,island_data!$B:$B,island_data!H:H,"NaN"))</f>
        <v>3</v>
      </c>
      <c r="DC45" s="4">
        <f>IF(_xlfn.XLOOKUP($B45,island_data!$B:$B,island_data!I:I,"NaN")="","NaN",_xlfn.XLOOKUP($B45,island_data!$B:$B,island_data!I:I,"NaN"))</f>
        <v>0</v>
      </c>
      <c r="DD45" s="4">
        <f>IF(_xlfn.XLOOKUP($B45,island_data!$B:$B,island_data!J:J,"NaN")="","NaN",_xlfn.XLOOKUP($B45,island_data!$B:$B,island_data!J:J,"NaN"))</f>
        <v>4</v>
      </c>
      <c r="DE45" s="4">
        <f>IF(_xlfn.XLOOKUP($B45,island_data!$B:$B,island_data!K:K,"NaN")="","NaN",_xlfn.XLOOKUP($B45,island_data!$B:$B,island_data!K:K,"NaN"))</f>
        <v>11</v>
      </c>
      <c r="DF45" s="4">
        <f>IF(_xlfn.XLOOKUP($B45,island_data!$B:$B,island_data!L:L,"NaN")="","NaN",_xlfn.XLOOKUP($B45,island_data!$B:$B,island_data!L:L,"NaN"))</f>
        <v>24</v>
      </c>
      <c r="DG45" s="4">
        <f>IF(_xlfn.XLOOKUP($B45,island_data!$B:$B,island_data!M:M,"NaN")="","NaN",_xlfn.XLOOKUP($B45,island_data!$B:$B,island_data!M:M,"NaN"))</f>
        <v>3.125</v>
      </c>
      <c r="DH45" s="4">
        <f>IF(_xlfn.XLOOKUP($B45,island_data!$B:$B,island_data!N:N,"NaN")="","NaN",_xlfn.XLOOKUP($B45,island_data!$B:$B,island_data!N:N,"NaN"))</f>
        <v>9</v>
      </c>
      <c r="DI45" s="4">
        <f>IF(_xlfn.XLOOKUP($B45,island_data!$B:$B,island_data!O:O,"NaN")=999,"NaN",_xlfn.XLOOKUP($B45,island_data!$B:$B,island_data!O:O,"NaN"))</f>
        <v>9</v>
      </c>
      <c r="DJ45" s="4">
        <f>IF(_xlfn.XLOOKUP($B45,island_data!$B:$B,island_data!P:P,"NaN")="","NaN",_xlfn.XLOOKUP($B45,island_data!$B:$B,island_data!P:P,"NaN"))</f>
        <v>7</v>
      </c>
      <c r="DK45" s="4">
        <f>IF(_xlfn.XLOOKUP($B45,island_data!$B:$B,island_data!Q:Q,"NaN")="","NaN",_xlfn.XLOOKUP($B45,island_data!$B:$B,island_data!Q:Q,"NaN"))</f>
        <v>1</v>
      </c>
      <c r="DL45" s="4">
        <f>IF(_xlfn.XLOOKUP($B45,island_data!$B:$B,island_data!R:R,"NaN")=999,"NaN",_xlfn.XLOOKUP($B45,island_data!$B:$B,island_data!R:R,"NaN"))</f>
        <v>15</v>
      </c>
      <c r="DM45" s="4">
        <f>IF(_xlfn.XLOOKUP($B45,island_data!$B:$B,island_data!S:S,"NaN")="","NaN",_xlfn.XLOOKUP($B45,island_data!$B:$B,island_data!S:S,"NaN"))</f>
        <v>9</v>
      </c>
      <c r="DN45" s="4">
        <f>IF(_xlfn.XLOOKUP($B45,island_data!$B:$B,island_data!T:T,"NaN")="","NaN",_xlfn.XLOOKUP($B45,island_data!$B:$B,island_data!T:T,"NaN"))</f>
        <v>2.4166666666666599</v>
      </c>
      <c r="DO45" s="4">
        <f>IF(_xlfn.XLOOKUP($B45,island_data!$B:$B,island_data!U:U,"NaN")="","NaN",_xlfn.XLOOKUP($B45,island_data!$B:$B,island_data!U:U,"NaN"))</f>
        <v>5</v>
      </c>
      <c r="DP45" s="4">
        <f>IF(_xlfn.XLOOKUP($B45,island_data!$B:$B,island_data!V:V,"NaN")="","NaN",_xlfn.XLOOKUP($B45,island_data!$B:$B,island_data!V:V,"NaN"))</f>
        <v>0</v>
      </c>
      <c r="DQ45" s="4">
        <f>IF(_xlfn.XLOOKUP($B45,island_data!$B:$B,island_data!W:W,"NaN")="","NaN",_xlfn.XLOOKUP($B45,island_data!$B:$B,island_data!W:W,"NaN"))</f>
        <v>5</v>
      </c>
      <c r="DR45" s="4">
        <f>IF(_xlfn.XLOOKUP($B45,island_data!$B:$B,island_data!X:X,"NaN")="","NaN",_xlfn.XLOOKUP($B45,island_data!$B:$B,island_data!X:X,"NaN"))</f>
        <v>5</v>
      </c>
      <c r="DS45" s="4" t="str">
        <f>IF(_xlfn.XLOOKUP($B45,island_data!$B:$B,island_data!Y:Y,"NaN")="","NaN",_xlfn.XLOOKUP($B45,island_data!$B:$B,island_data!Y:Y,"NaN"))</f>
        <v>NaN</v>
      </c>
      <c r="DT45" s="4" t="str">
        <f>IF(_xlfn.XLOOKUP($B45,island_data!$B:$B,island_data!Z:Z,"NaN")="","NaN",_xlfn.XLOOKUP($B45,island_data!$B:$B,island_data!Z:Z,"NaN"))</f>
        <v>NaN</v>
      </c>
      <c r="DU45" s="4" t="str">
        <f>IF(_xlfn.XLOOKUP($B45,island_data!$B:$B,island_data!AA:AA,"NaN")="","NaN",_xlfn.XLOOKUP($B45,island_data!$B:$B,island_data!AA:AA,"NaN"))</f>
        <v>NaN</v>
      </c>
      <c r="DV45" s="4">
        <f>IF(_xlfn.XLOOKUP($B45,island_data!$B:$B,island_data!AB:AB,"NaN")="","NaN",_xlfn.XLOOKUP($B45,island_data!$B:$B,island_data!AB:AB,"NaN"))</f>
        <v>0</v>
      </c>
      <c r="DW45" s="4">
        <f>IF(_xlfn.XLOOKUP($B45,island_data!$B:$B,island_data!AC:AC,"NaN")="","NaN",_xlfn.XLOOKUP($B45,island_data!$B:$B,island_data!AC:AC,"NaN"))</f>
        <v>19147</v>
      </c>
      <c r="DX45" s="4">
        <f>IF(_xlfn.XLOOKUP($B45,island_data!$B:$B,island_data!AD:AD,"NaN")="","NaN",_xlfn.XLOOKUP($B45,island_data!$B:$B,island_data!AD:AD,"NaN"))</f>
        <v>5</v>
      </c>
      <c r="DY45" s="4">
        <f>IF(_xlfn.XLOOKUP($B45,island_data!$B:$B,island_data!AE:AE,"NaN")="","NaN",_xlfn.XLOOKUP($B45,island_data!$B:$B,island_data!AE:AE,"NaN"))</f>
        <v>0</v>
      </c>
      <c r="DZ45" s="4" t="str">
        <f>IF(_xlfn.XLOOKUP($B45,island_data!$B:$B,island_data!AF:AF,"NaN")="","NaN",_xlfn.XLOOKUP($B45,island_data!$B:$B,island_data!AF:AF,"NaN"))</f>
        <v>NaN</v>
      </c>
      <c r="EA45" s="4" t="str">
        <f>IF(_xlfn.XLOOKUP($B45,island_data!$B:$B,island_data!AG:AG,"NaN")="","NaN",_xlfn.XLOOKUP($B45,island_data!$B:$B,island_data!AG:AG,"NaN"))</f>
        <v>NaN</v>
      </c>
      <c r="EB45" s="4" t="str">
        <f>IF(_xlfn.XLOOKUP($B45,island_data!$B:$B,island_data!AH:AH,"NaN")="","NaN",_xlfn.XLOOKUP($B45,island_data!$B:$B,island_data!AH:AH,"NaN"))</f>
        <v>NaN</v>
      </c>
      <c r="EC45" s="4" t="str">
        <f>IF(_xlfn.XLOOKUP($B45,island_data!$B:$B,island_data!AI:AI,"NaN")="","NaN",_xlfn.XLOOKUP($B45,island_data!$B:$B,island_data!AI:AI,"NaN"))</f>
        <v>NaN</v>
      </c>
      <c r="ED45" s="4" t="str">
        <f>IF(_xlfn.XLOOKUP($B45,island_data!$B:$B,island_data!AJ:AJ,"NaN")="","NaN",_xlfn.XLOOKUP($B45,island_data!$B:$B,island_data!AJ:AJ,"NaN"))</f>
        <v>NaN</v>
      </c>
      <c r="EE45" s="4" t="str">
        <f>IF(_xlfn.XLOOKUP($B45,island_data!$B:$B,island_data!AK:AK,"NaN")="","NaN",_xlfn.XLOOKUP($B45,island_data!$B:$B,island_data!AK:AK,"NaN"))</f>
        <v>NaN</v>
      </c>
      <c r="EF45" s="4" t="str">
        <f>IF(_xlfn.XLOOKUP($B45,island_data!$B:$B,island_data!AL:AL,"NaN")="","NaN",_xlfn.XLOOKUP($B45,island_data!$B:$B,island_data!AL:AL,"NaN"))</f>
        <v>NaN</v>
      </c>
      <c r="EG45" s="4" t="str">
        <f>IF(_xlfn.XLOOKUP($B45,island_data!$B:$B,island_data!AM:AM,"NaN")="","NaN",_xlfn.XLOOKUP($B45,island_data!$B:$B,island_data!AM:AM,"NaN"))</f>
        <v>NaN</v>
      </c>
      <c r="EH45" s="4">
        <f>IF(_xlfn.XLOOKUP($B45,island_data!$B:$B,island_data!AN:AN,"NaN")="","NaN",_xlfn.XLOOKUP($B45,island_data!$B:$B,island_data!AN:AN,"NaN"))</f>
        <v>0</v>
      </c>
      <c r="EI45" s="4" t="str">
        <f>IF(_xlfn.XLOOKUP($B45,island_data!$B:$B,island_data!AO:AO,"NaN")="","NaN",_xlfn.XLOOKUP($B45,island_data!$B:$B,island_data!AO:AO,"NaN"))</f>
        <v>NaN</v>
      </c>
      <c r="EJ45" s="8">
        <f>IF(_xlfn.XLOOKUP($A45,TabCAT!$A:$A,TabCAT!AU:AU,"NaN")="","NaN",(_xlfn.XLOOKUP($A45,TabCAT!$A:$A,TabCAT!AU:AU,"NaN")))</f>
        <v>174</v>
      </c>
      <c r="EK45" s="8" t="b">
        <f>IF(_xlfn.XLOOKUP($A45,TabCAT!$A:$A,TabCAT!AV:AV,"NaN")="","NaN",(_xlfn.XLOOKUP($A45,TabCAT!$A:$A,TabCAT!AV:AV,"NaN")))</f>
        <v>1</v>
      </c>
      <c r="EL45" s="8">
        <f>IF(_xlfn.XLOOKUP($A45,TabCAT!$A:$A,TabCAT!AW:AW,"NaN")="","NaN",(_xlfn.XLOOKUP($A45,TabCAT!$A:$A,TabCAT!AW:AW,"NaN")))</f>
        <v>5</v>
      </c>
      <c r="EM45" s="8">
        <f>IF(_xlfn.XLOOKUP($A45,TabCAT!$A:$A,TabCAT!AX:AX,"NaN")="","NaN",(_xlfn.XLOOKUP($A45,TabCAT!$A:$A,TabCAT!AX:AX,"NaN")))</f>
        <v>0</v>
      </c>
      <c r="EN45" s="8">
        <f>IF(_xlfn.XLOOKUP($A45,TabCAT!$A:$A,TabCAT!AY:AY,"NaN")="","NaN",(_xlfn.XLOOKUP($A45,TabCAT!$A:$A,TabCAT!AY:AY,"NaN")))</f>
        <v>7.67</v>
      </c>
      <c r="EO45" s="8">
        <f>IF(_xlfn.XLOOKUP($A45,TabCAT!$A:$A,TabCAT!AZ:AZ,"NaN")="","NaN",(_xlfn.XLOOKUP($A45,TabCAT!$A:$A,TabCAT!AZ:AZ,"NaN")))</f>
        <v>32</v>
      </c>
      <c r="EP45" s="8">
        <f>IF(_xlfn.XLOOKUP($A45,TabCAT!$A:$A,TabCAT!BA:BA,"NaN")="","NaN",(_xlfn.XLOOKUP($A45,TabCAT!$A:$A,TabCAT!BA:BA,"NaN")))</f>
        <v>1.0001275000000001</v>
      </c>
      <c r="EQ45" s="8">
        <f>IF(_xlfn.XLOOKUP($A45,TabCAT!$A:$A,TabCAT!BB:BB,"NaN")="","NaN",(_xlfn.XLOOKUP($A45,TabCAT!$A:$A,TabCAT!BB:BB,"NaN")))</f>
        <v>0.11730420430171799</v>
      </c>
      <c r="ER45" s="8">
        <f>IF(_xlfn.XLOOKUP($A45,TabCAT!$A:$A,TabCAT!BC:BC,"NaN")="","NaN",(_xlfn.XLOOKUP($A45,TabCAT!$A:$A,TabCAT!BC:BC,"NaN")))</f>
        <v>16</v>
      </c>
      <c r="ES45" s="8">
        <f>IF(_xlfn.XLOOKUP($A45,TabCAT!$A:$A,TabCAT!BD:BD,"NaN")="","NaN",(_xlfn.XLOOKUP($A45,TabCAT!$A:$A,TabCAT!BD:BD,"NaN")))</f>
        <v>0.90409849999999903</v>
      </c>
      <c r="ET45" s="8">
        <f>IF(_xlfn.XLOOKUP($A45,TabCAT!$A:$A,TabCAT!BE:BE,"NaN")="","NaN",(_xlfn.XLOOKUP($A45,TabCAT!$A:$A,TabCAT!BE:BE,"NaN")))</f>
        <v>16</v>
      </c>
      <c r="EU45" s="8">
        <f>IF(_xlfn.XLOOKUP($A45,TabCAT!$A:$A,TabCAT!BF:BF,"NaN")="","NaN",(_xlfn.XLOOKUP($A45,TabCAT!$A:$A,TabCAT!BF:BF,"NaN")))</f>
        <v>1.0042614999999999</v>
      </c>
      <c r="EV45" s="8" t="str">
        <f>IF(_xlfn.XLOOKUP($A45,TabCAT!$A:$A,TabCAT!BG:BG,"NaN")="","NaN",(_xlfn.XLOOKUP($A45,TabCAT!$A:$A,TabCAT!BG:BG,"NaN")))</f>
        <v>NaN</v>
      </c>
      <c r="EW45" s="8" t="str">
        <f>IF(_xlfn.XLOOKUP($A45,TabCAT!$A:$A,TabCAT!BH:BH,"NaN")="","NaN",(_xlfn.XLOOKUP($A45,TabCAT!$A:$A,TabCAT!BH:BH,"NaN")))</f>
        <v>3.0.0</v>
      </c>
      <c r="EX45" s="8" t="str">
        <f>IF(_xlfn.XLOOKUP($A45,TabCAT!$A:$A,TabCAT!BI:BI,"NaN")="","NaN",(_xlfn.XLOOKUP($A45,TabCAT!$A:$A,TabCAT!BI:BI,"NaN")))</f>
        <v>English</v>
      </c>
      <c r="EY45" s="8">
        <f>IF(_xlfn.XLOOKUP($A45,TabCAT!$A:$A,TabCAT!BJ:BJ,"NaN")="","NaN",(_xlfn.XLOOKUP($A45,TabCAT!$A:$A,TabCAT!BJ:BJ,"NaN")))</f>
        <v>270</v>
      </c>
      <c r="EZ45" s="8">
        <f>IF(_xlfn.XLOOKUP($A45,TabCAT!$A:$A,TabCAT!BK:BK,"NaN")="","NaN",(_xlfn.XLOOKUP($A45,TabCAT!$A:$A,TabCAT!BK:BK,"NaN")))</f>
        <v>1</v>
      </c>
      <c r="FA45" s="8">
        <f>IF(_xlfn.XLOOKUP($A45,TabCAT!$A:$A,TabCAT!BL:BL,"NaN")="","NaN",(_xlfn.XLOOKUP($A45,TabCAT!$A:$A,TabCAT!BL:BL,"NaN")))</f>
        <v>6</v>
      </c>
      <c r="FB45" s="8">
        <f>IF(_xlfn.XLOOKUP($A45,TabCAT!$A:$A,TabCAT!BM:BM,"NaN")="","NaN",(_xlfn.XLOOKUP($A45,TabCAT!$A:$A,TabCAT!BM:BM,"NaN")))</f>
        <v>1</v>
      </c>
      <c r="FC45" s="8">
        <f>IF(_xlfn.XLOOKUP($A45,TabCAT!$A:$A,TabCAT!BN:BN,"NaN")="","NaN",(_xlfn.XLOOKUP($A45,TabCAT!$A:$A,TabCAT!BN:BN,"NaN")))</f>
        <v>5</v>
      </c>
      <c r="FD45" s="8">
        <f>IF(_xlfn.XLOOKUP($A45,TabCAT!$A:$A,TabCAT!BO:BO,"NaN")="","NaN",(_xlfn.XLOOKUP($A45,TabCAT!$A:$A,TabCAT!BO:BO,"NaN")))</f>
        <v>8</v>
      </c>
      <c r="FE45" s="8">
        <f>IF(_xlfn.XLOOKUP($A45,TabCAT!$A:$A,TabCAT!BP:BP,"NaN")="","NaN",(_xlfn.XLOOKUP($A45,TabCAT!$A:$A,TabCAT!BP:BP,"NaN")))</f>
        <v>0.88888888888888795</v>
      </c>
      <c r="FF45" s="8">
        <f>IF(_xlfn.XLOOKUP($A45,TabCAT!$A:$A,TabCAT!BQ:BQ,"NaN")="","NaN",(_xlfn.XLOOKUP($A45,TabCAT!$A:$A,TabCAT!BQ:BQ,"NaN")))</f>
        <v>5</v>
      </c>
      <c r="FG45" s="8">
        <f>IF(_xlfn.XLOOKUP($A45,TabCAT!$A:$A,TabCAT!BR:BR,"NaN")="","NaN",(_xlfn.XLOOKUP($A45,TabCAT!$A:$A,TabCAT!BR:BR,"NaN")))</f>
        <v>9</v>
      </c>
      <c r="FH45" s="8">
        <f>IF(_xlfn.XLOOKUP($A45,TabCAT!$A:$A,TabCAT!BS:BS,"NaN")="","NaN",(_xlfn.XLOOKUP($A45,TabCAT!$A:$A,TabCAT!BS:BS,"NaN")))</f>
        <v>0.75</v>
      </c>
      <c r="FI45" s="8">
        <f>IF(_xlfn.XLOOKUP($A45,TabCAT!$A:$A,TabCAT!BT:BT,"NaN")="","NaN",(_xlfn.XLOOKUP($A45,TabCAT!$A:$A,TabCAT!BT:BT,"NaN")))</f>
        <v>4.5</v>
      </c>
      <c r="FJ45" s="8">
        <f>IF(_xlfn.XLOOKUP($A45,TabCAT!$A:$A,TabCAT!BU:BU,"NaN")="","NaN",(_xlfn.XLOOKUP($A45,TabCAT!$A:$A,TabCAT!BU:BU,"NaN")))</f>
        <v>12</v>
      </c>
      <c r="FK45" s="8">
        <f>IF(_xlfn.XLOOKUP($A45,TabCAT!$A:$A,TabCAT!BV:BV,"NaN")="","NaN",(_xlfn.XLOOKUP($A45,TabCAT!$A:$A,TabCAT!BV:BV,"NaN")))</f>
        <v>0.8</v>
      </c>
      <c r="FL45" s="8">
        <f>IF(_xlfn.XLOOKUP($A45,TabCAT!$A:$A,TabCAT!BW:BW,"NaN")="","NaN",(_xlfn.XLOOKUP($A45,TabCAT!$A:$A,TabCAT!BW:BW,"NaN")))</f>
        <v>7</v>
      </c>
      <c r="FM45" s="8">
        <f>IF(_xlfn.XLOOKUP($A45,TabCAT!$A:$A,TabCAT!BX:BX,"NaN")="","NaN",(_xlfn.XLOOKUP($A45,TabCAT!$A:$A,TabCAT!BX:BX,"NaN")))</f>
        <v>35</v>
      </c>
      <c r="FN45" s="8">
        <f>IF(_xlfn.XLOOKUP($A45,TabCAT!$A:$A,TabCAT!BY:BY,"NaN")="","NaN",(_xlfn.XLOOKUP($A45,TabCAT!$A:$A,TabCAT!BY:BY,"NaN")))</f>
        <v>0.83333333333333304</v>
      </c>
      <c r="FO45" s="8">
        <f>IF(_xlfn.XLOOKUP($A45,TabCAT!$A:$A,TabCAT!BZ:BZ,"NaN")="","NaN",(_xlfn.XLOOKUP($A45,TabCAT!$A:$A,TabCAT!BZ:BZ,"NaN")))</f>
        <v>21.5</v>
      </c>
      <c r="FP45" s="8" t="str">
        <f>IF(_xlfn.XLOOKUP($A45,TabCAT!$A:$A,TabCAT!CA:CA,"NaN")="","NaN",(_xlfn.XLOOKUP($A45,TabCAT!$A:$A,TabCAT!CA:CA,"NaN")))</f>
        <v>3.0.0</v>
      </c>
      <c r="FQ45" s="8" t="str">
        <f>IF(_xlfn.XLOOKUP($A45,TabCAT!$A:$A,TabCAT!CB:CB,"NaN")="","NaN",(_xlfn.XLOOKUP($A45,TabCAT!$A:$A,TabCAT!CB:CB,"NaN")))</f>
        <v>English</v>
      </c>
      <c r="FR45" s="8">
        <f>IF(_xlfn.XLOOKUP($A45,TabCAT!$A:$A,TabCAT!CC:CC,"NaN")="","NaN",(_xlfn.XLOOKUP($A45,TabCAT!$A:$A,TabCAT!CC:CC,"NaN")))</f>
        <v>257</v>
      </c>
      <c r="FS45" s="8" t="b">
        <f>IF(_xlfn.XLOOKUP($A45,TabCAT!$A:$A,TabCAT!CD:CD,"NaN")="","NaN",(_xlfn.XLOOKUP($A45,TabCAT!$A:$A,TabCAT!CD:CD,"NaN")))</f>
        <v>1</v>
      </c>
      <c r="FT45" s="8">
        <f>IF(_xlfn.XLOOKUP($A45,TabCAT!$A:$A,TabCAT!CE:CE,"NaN")="","NaN",(_xlfn.XLOOKUP($A45,TabCAT!$A:$A,TabCAT!CE:CE,"NaN")))</f>
        <v>8</v>
      </c>
      <c r="FU45" s="8">
        <f>IF(_xlfn.XLOOKUP($A45,TabCAT!$A:$A,TabCAT!CF:CF,"NaN")="","NaN",(_xlfn.XLOOKUP($A45,TabCAT!$A:$A,TabCAT!CF:CF,"NaN")))</f>
        <v>0</v>
      </c>
      <c r="FV45" s="8">
        <f>IF(_xlfn.XLOOKUP($A45,TabCAT!$A:$A,TabCAT!CG:CG,"NaN")="","NaN",(_xlfn.XLOOKUP($A45,TabCAT!$A:$A,TabCAT!CG:CG,"NaN")))</f>
        <v>7.1</v>
      </c>
      <c r="FW45" s="8">
        <f>IF(_xlfn.XLOOKUP($A45,TabCAT!$A:$A,TabCAT!CH:CH,"NaN")="","NaN",(_xlfn.XLOOKUP($A45,TabCAT!$A:$A,TabCAT!CH:CH,"NaN")))</f>
        <v>16</v>
      </c>
      <c r="FX45" s="8">
        <f>IF(_xlfn.XLOOKUP($A45,TabCAT!$A:$A,TabCAT!CI:CI,"NaN")="","NaN",(_xlfn.XLOOKUP($A45,TabCAT!$A:$A,TabCAT!CI:CI,"NaN")))</f>
        <v>0.95624399999999998</v>
      </c>
      <c r="FY45" s="8">
        <f>IF(_xlfn.XLOOKUP($A45,TabCAT!$A:$A,TabCAT!CJ:CJ,"NaN")="","NaN",(_xlfn.XLOOKUP($A45,TabCAT!$A:$A,TabCAT!CJ:CJ,"NaN")))</f>
        <v>16</v>
      </c>
      <c r="FZ45" s="8">
        <f>IF(_xlfn.XLOOKUP($A45,TabCAT!$A:$A,TabCAT!CK:CK,"NaN")="","NaN",(_xlfn.XLOOKUP($A45,TabCAT!$A:$A,TabCAT!CK:CK,"NaN")))</f>
        <v>1.0254645</v>
      </c>
      <c r="GA45" s="8">
        <f>IF(_xlfn.XLOOKUP($A45,TabCAT!$A:$A,TabCAT!CL:CL,"NaN")="","NaN",(_xlfn.XLOOKUP($A45,TabCAT!$A:$A,TabCAT!CL:CL,"NaN")))</f>
        <v>32</v>
      </c>
      <c r="GB45" s="8">
        <f>IF(_xlfn.XLOOKUP($A45,TabCAT!$A:$A,TabCAT!CM:CM,"NaN")="","NaN",(_xlfn.XLOOKUP($A45,TabCAT!$A:$A,TabCAT!CM:CM,"NaN")))</f>
        <v>1.0796515</v>
      </c>
      <c r="GC45" s="8">
        <f>IF(_xlfn.XLOOKUP($A45,TabCAT!$A:$A,TabCAT!CN:CN,"NaN")="","NaN",(_xlfn.XLOOKUP($A45,TabCAT!$A:$A,TabCAT!CN:CN,"NaN")))</f>
        <v>17</v>
      </c>
      <c r="GD45" s="8">
        <f>IF(_xlfn.XLOOKUP($A45,TabCAT!$A:$A,TabCAT!CO:CO,"NaN")="","NaN",(_xlfn.XLOOKUP($A45,TabCAT!$A:$A,TabCAT!CO:CO,"NaN")))</f>
        <v>1.054438</v>
      </c>
      <c r="GE45" s="8">
        <f>IF(_xlfn.XLOOKUP($A45,TabCAT!$A:$A,TabCAT!CP:CP,"NaN")="","NaN",(_xlfn.XLOOKUP($A45,TabCAT!$A:$A,TabCAT!CP:CP,"NaN")))</f>
        <v>0.29437671301920698</v>
      </c>
      <c r="GF45" s="8">
        <f>IF(_xlfn.XLOOKUP($A45,TabCAT!$A:$A,TabCAT!CQ:CQ,"NaN")="","NaN",(_xlfn.XLOOKUP($A45,TabCAT!$A:$A,TabCAT!CQ:CQ,"NaN")))</f>
        <v>57</v>
      </c>
      <c r="GG45" s="8">
        <f>IF(_xlfn.XLOOKUP($A45,TabCAT!$A:$A,TabCAT!CR:CR,"NaN")="","NaN",(_xlfn.XLOOKUP($A45,TabCAT!$A:$A,TabCAT!CR:CR,"NaN")))</f>
        <v>0.99957300000000004</v>
      </c>
      <c r="GH45" s="8" t="str">
        <f>IF(_xlfn.XLOOKUP($A45,TabCAT!$A:$A,TabCAT!CS:CS,"NaN")="","NaN",(_xlfn.XLOOKUP($A45,TabCAT!$A:$A,TabCAT!CS:CS,"NaN")))</f>
        <v>NaN</v>
      </c>
    </row>
    <row r="46" spans="1:190" x14ac:dyDescent="0.2">
      <c r="A46">
        <v>10700</v>
      </c>
      <c r="B46">
        <f>_xlfn.XLOOKUP(bippity_poppity_boo!A46,rf1_data!A:A,rf1_data!B:B)</f>
        <v>192599</v>
      </c>
      <c r="C46" s="2">
        <f>(_xlfn.XLOOKUP($A46,trust!$A:$A,trust!B:B,"NaN"))</f>
        <v>4.2222220000000004</v>
      </c>
      <c r="D46" s="2">
        <f>(_xlfn.XLOOKUP($A46,trust!$A:$A,trust!C:C,"NaN"))</f>
        <v>2.285714</v>
      </c>
      <c r="E46" s="2">
        <f>(_xlfn.XLOOKUP($A46,trust!$A:$A,trust!D:D,"NaN"))</f>
        <v>2.5</v>
      </c>
      <c r="F46" s="2">
        <f>(_xlfn.XLOOKUP($A46,trust!$A:$A,trust!E:E,"NaN"))</f>
        <v>4</v>
      </c>
      <c r="G46" s="2">
        <f>(_xlfn.XLOOKUP($A46,trust!$A:$A,trust!F:F,"NaN"))</f>
        <v>5.6666670000000003</v>
      </c>
      <c r="H46" s="2">
        <f>(_xlfn.XLOOKUP($A46,trust!$A:$A,trust!G:G,"NaN"))</f>
        <v>6.5</v>
      </c>
      <c r="I46" s="3">
        <f>IF(_xlfn.XLOOKUP($B46,island_data!$B:$B,island_data!C:C,"NaN")="","NaN",_xlfn.XLOOKUP($B46,island_data!$B:$B,island_data!C:C,"NaN"))</f>
        <v>45028</v>
      </c>
      <c r="J46" s="3">
        <f>IF(_xlfn.XLOOKUP($B46,island_data!$B:$B,island_data!D:D,"NaN")="","NaN",_xlfn.XLOOKUP($B46,island_data!$B:$B,island_data!D:D,"NaN"))</f>
        <v>36448</v>
      </c>
      <c r="K46" s="4">
        <f>IF(_xlfn.XLOOKUP($B46,island_data!$B:$B,island_data!E:E,"NaN")="","NaN",_xlfn.XLOOKUP($B46,island_data!$B:$B,island_data!E:E,"NaN"))</f>
        <v>23.49</v>
      </c>
      <c r="L46" s="5">
        <f>IF(_xlfn.XLOOKUP($B46,rf1_data!$B:$B,rf1_data!D:D,"NaN")="","NaN",(_xlfn.XLOOKUP($B46,rf1_data!$B:$B,rf1_data!D:D,"NaN")))</f>
        <v>23.61</v>
      </c>
      <c r="M46" s="5" t="str">
        <f>IF(_xlfn.XLOOKUP($B46,rf1_data!$B:$B,rf1_data!E:E,"NaN")="","NaN",(_xlfn.XLOOKUP($B46,rf1_data!$B:$B,rf1_data!E:E,"NaN")))</f>
        <v>Asian</v>
      </c>
      <c r="N46" s="5" t="str">
        <f>IF(_xlfn.XLOOKUP($B46,rf1_data!$B:$B,rf1_data!F:F,"NaN")="","NaN",(_xlfn.XLOOKUP($B46,rf1_data!$B:$B,rf1_data!F:F,"NaN")))</f>
        <v>Not Hispanic or Latino</v>
      </c>
      <c r="O46" s="5" t="str">
        <f>IF(_xlfn.XLOOKUP($B46,rf1_data!$B:$B,rf1_data!G:G,"NaN")="","NaN",(_xlfn.XLOOKUP($B46,rf1_data!$B:$B,rf1_data!G:G,"NaN")))</f>
        <v>Female</v>
      </c>
      <c r="P46" s="5">
        <f>IF(_xlfn.XLOOKUP($B46,rf1_data!$B:$B,rf1_data!H:H,"NaN")="","NaN",(_xlfn.XLOOKUP($B46,rf1_data!$B:$B,rf1_data!H:H,"NaN")))</f>
        <v>4.67</v>
      </c>
      <c r="Q46" s="5">
        <f>IF(_xlfn.XLOOKUP($B46,rf1_data!$B:$B,rf1_data!I:I,"NaN")="","NaN",(_xlfn.XLOOKUP($B46,rf1_data!$B:$B,rf1_data!I:I,"NaN")))</f>
        <v>4.7</v>
      </c>
      <c r="R46" s="5">
        <f>IF(_xlfn.XLOOKUP($B46,rf1_data!$B:$B,rf1_data!J:J,"NaN")="","NaN",(_xlfn.XLOOKUP($B46,rf1_data!$B:$B,rf1_data!J:J,"NaN")))</f>
        <v>1</v>
      </c>
      <c r="S46" s="5">
        <f>IF(_xlfn.XLOOKUP($B46,rf1_data!$B:$B,rf1_data!K:K,"NaN")="","NaN",(_xlfn.XLOOKUP($B46,rf1_data!$B:$B,rf1_data!K:K,"NaN")))</f>
        <v>0</v>
      </c>
      <c r="T46" s="5">
        <f>IF(_xlfn.XLOOKUP($B46,rf1_data!$B:$B,rf1_data!L:L,"NaN")="","NaN",(_xlfn.XLOOKUP($B46,rf1_data!$B:$B,rf1_data!L:L,"NaN")))</f>
        <v>0</v>
      </c>
      <c r="U46" s="5">
        <f>IF(_xlfn.XLOOKUP($B46,rf1_data!$B:$B,rf1_data!M:M,"NaN")="","NaN",(_xlfn.XLOOKUP($B46,rf1_data!$B:$B,rf1_data!M:M,"NaN")))</f>
        <v>6.67</v>
      </c>
      <c r="V46" s="5">
        <f>IF(_xlfn.XLOOKUP($B46,rf1_data!$B:$B,rf1_data!N:N,"NaN")="","NaN",(_xlfn.XLOOKUP($B46,rf1_data!$B:$B,rf1_data!N:N,"NaN")))</f>
        <v>5.33</v>
      </c>
      <c r="W46" s="5">
        <f>IF(_xlfn.XLOOKUP($B46,rf1_data!$B:$B,rf1_data!O:O,"NaN")="","NaN",(_xlfn.XLOOKUP($B46,rf1_data!$B:$B,rf1_data!O:O,"NaN")))</f>
        <v>5.5</v>
      </c>
      <c r="X46" s="5">
        <f>IF(_xlfn.XLOOKUP($B46,rf1_data!$B:$B,rf1_data!P:P,"NaN")="","NaN",(_xlfn.XLOOKUP($B46,rf1_data!$B:$B,rf1_data!P:P,"NaN")))</f>
        <v>5</v>
      </c>
      <c r="Y46" s="5">
        <f>IF(_xlfn.XLOOKUP($B46,rf1_data!$B:$B,rf1_data!Q:Q,"NaN")="","NaN",(_xlfn.XLOOKUP($B46,rf1_data!$B:$B,rf1_data!Q:Q,"NaN")))</f>
        <v>5.7</v>
      </c>
      <c r="Z46" s="5">
        <f>IF(_xlfn.XLOOKUP($B46,rf1_data!$B:$B,rf1_data!R:R,"NaN")="","NaN",(_xlfn.XLOOKUP($B46,rf1_data!$B:$B,rf1_data!R:R,"NaN")))</f>
        <v>15</v>
      </c>
      <c r="AA46" s="5">
        <f>IF(_xlfn.XLOOKUP($B46,rf1_data!$B:$B,rf1_data!S:S,"NaN")="","NaN",(_xlfn.XLOOKUP($B46,rf1_data!$B:$B,rf1_data!S:S,"NaN")))</f>
        <v>3</v>
      </c>
      <c r="AB46" s="5">
        <f>IF(_xlfn.XLOOKUP($B46,rf1_data!$B:$B,rf1_data!T:T,"NaN")="","NaN",(_xlfn.XLOOKUP($B46,rf1_data!$B:$B,rf1_data!T:T,"NaN")))</f>
        <v>6</v>
      </c>
      <c r="AC46" s="5">
        <f>IF(_xlfn.XLOOKUP($B46,rf1_data!$B:$B,rf1_data!U:U,"NaN")="","NaN",(_xlfn.XLOOKUP($B46,rf1_data!$B:$B,rf1_data!U:U,"NaN")))</f>
        <v>0</v>
      </c>
      <c r="AD46" s="5">
        <f>IF(_xlfn.XLOOKUP($B46,rf1_data!$B:$B,rf1_data!V:V,"NaN")="","NaN",(_xlfn.XLOOKUP($B46,rf1_data!$B:$B,rf1_data!V:V,"NaN")))</f>
        <v>6</v>
      </c>
      <c r="AE46" s="5">
        <f>IF(_xlfn.XLOOKUP($B46,rf1_data!$B:$B,rf1_data!W:W,"NaN")="","NaN",(_xlfn.XLOOKUP($B46,rf1_data!$B:$B,rf1_data!W:W,"NaN")))</f>
        <v>2</v>
      </c>
      <c r="AF46" s="5">
        <f>IF(_xlfn.XLOOKUP($B46,rf1_data!$B:$B,rf1_data!X:X,"NaN")="","NaN",(_xlfn.XLOOKUP($B46,rf1_data!$B:$B,rf1_data!X:X,"NaN")))</f>
        <v>9</v>
      </c>
      <c r="AG46" s="5">
        <f>IF(_xlfn.XLOOKUP($B46,rf1_data!$B:$B,rf1_data!Y:Y,"NaN")="","NaN",(_xlfn.XLOOKUP($B46,rf1_data!$B:$B,rf1_data!Y:Y,"NaN")))</f>
        <v>5</v>
      </c>
      <c r="AH46" s="5">
        <f>IF(_xlfn.XLOOKUP($B46,rf1_data!$B:$B,rf1_data!Z:Z,"NaN")="","NaN",(_xlfn.XLOOKUP($B46,rf1_data!$B:$B,rf1_data!Z:Z,"NaN")))</f>
        <v>2</v>
      </c>
      <c r="AI46" s="5">
        <f>IF(_xlfn.XLOOKUP($B46,rf1_data!$B:$B,rf1_data!AA:AA,"NaN")="","NaN",(_xlfn.XLOOKUP($B46,rf1_data!$B:$B,rf1_data!AA:AA,"NaN")))</f>
        <v>1</v>
      </c>
      <c r="AJ46" s="5">
        <f>IF(_xlfn.XLOOKUP($B46,rf1_data!$B:$B,rf1_data!AB:AB,"NaN")="","NaN",(_xlfn.XLOOKUP($B46,rf1_data!$B:$B,rf1_data!AB:AB,"NaN")))</f>
        <v>19</v>
      </c>
      <c r="AK46" s="5">
        <f>IF(_xlfn.XLOOKUP($B46,rf1_data!$B:$B,rf1_data!AC:AC,"NaN")="","NaN",(_xlfn.XLOOKUP($B46,rf1_data!$B:$B,rf1_data!AC:AC,"NaN")))</f>
        <v>26</v>
      </c>
      <c r="AL46" s="5">
        <f>IF(_xlfn.XLOOKUP($B46,rf1_data!$B:$B,rf1_data!AD:AD,"NaN")="","NaN",(_xlfn.XLOOKUP($B46,rf1_data!$B:$B,rf1_data!AD:AD,"NaN")))</f>
        <v>15</v>
      </c>
      <c r="AM46" s="5">
        <f>IF(_xlfn.XLOOKUP($B46,rf1_data!$B:$B,rf1_data!AE:AE,"NaN")="","NaN",(_xlfn.XLOOKUP($B46,rf1_data!$B:$B,rf1_data!AE:AE,"NaN")))</f>
        <v>0</v>
      </c>
      <c r="AN46" s="5">
        <f>IF(_xlfn.XLOOKUP($B46,rf1_data!$B:$B,rf1_data!AF:AF,"NaN")="","NaN",(_xlfn.XLOOKUP($B46,rf1_data!$B:$B,rf1_data!AF:AF,"NaN")))</f>
        <v>0</v>
      </c>
      <c r="AO46" s="5">
        <f>IF(_xlfn.XLOOKUP($B46,rf1_data!$B:$B,rf1_data!AG:AG,"NaN")="","NaN",(_xlfn.XLOOKUP($B46,rf1_data!$B:$B,rf1_data!AG:AG,"NaN")))</f>
        <v>6.42</v>
      </c>
      <c r="AP46" s="5">
        <f>IF(_xlfn.XLOOKUP($B46,rf1_data!$B:$B,rf1_data!AH:AH,"NaN")="","NaN",(_xlfn.XLOOKUP($B46,rf1_data!$B:$B,rf1_data!AH:AH,"NaN")))</f>
        <v>6.75</v>
      </c>
      <c r="AQ46" s="5">
        <f>IF(_xlfn.XLOOKUP($B46,rf1_data!$B:$B,rf1_data!AI:AI,"NaN")="","NaN",(_xlfn.XLOOKUP($B46,rf1_data!$B:$B,rf1_data!AI:AI,"NaN")))</f>
        <v>5.75</v>
      </c>
      <c r="AR46" s="5">
        <f>IF(_xlfn.XLOOKUP($B46,rf1_data!$B:$B,rf1_data!AJ:AJ,"NaN")="","NaN",(_xlfn.XLOOKUP($B46,rf1_data!$B:$B,rf1_data!AJ:AJ,"NaN")))</f>
        <v>6.75</v>
      </c>
      <c r="AS46" s="5">
        <f>IF(_xlfn.XLOOKUP($B46,rf1_data!$B:$B,rf1_data!AK:AK,"NaN")="","NaN",(_xlfn.XLOOKUP($B46,rf1_data!$B:$B,rf1_data!AK:AK,"NaN")))</f>
        <v>3.5</v>
      </c>
      <c r="AT46" s="5">
        <f>IF(_xlfn.XLOOKUP($B46,rf1_data!$B:$B,rf1_data!AL:AL,"NaN")="","NaN",(_xlfn.XLOOKUP($B46,rf1_data!$B:$B,rf1_data!AL:AL,"NaN")))</f>
        <v>13</v>
      </c>
      <c r="AU46" s="5">
        <f>IF(_xlfn.XLOOKUP($B46,rf1_data!$B:$B,rf1_data!AM:AM,"NaN")="","NaN",(_xlfn.XLOOKUP($B46,rf1_data!$B:$B,rf1_data!AM:AM,"NaN")))</f>
        <v>3.42</v>
      </c>
      <c r="AV46" s="5">
        <f>IF(_xlfn.XLOOKUP($B46,rf1_data!$B:$B,rf1_data!AN:AN,"NaN")="","NaN",(_xlfn.XLOOKUP($B46,rf1_data!$B:$B,rf1_data!AN:AN,"NaN")))</f>
        <v>6</v>
      </c>
      <c r="AW46" s="5">
        <f>IF(_xlfn.XLOOKUP($B46,rf1_data!$B:$B,rf1_data!AO:AO,"NaN")="","NaN",(_xlfn.XLOOKUP($B46,rf1_data!$B:$B,rf1_data!AO:AO,"NaN")))</f>
        <v>2.5</v>
      </c>
      <c r="AX46" s="5">
        <f>IF(_xlfn.XLOOKUP($B46,rf1_data!$B:$B,rf1_data!AP:AP,"NaN")="","NaN",(_xlfn.XLOOKUP($B46,rf1_data!$B:$B,rf1_data!AP:AP,"NaN")))</f>
        <v>3.69</v>
      </c>
      <c r="AY46" s="5" t="str">
        <f>IF(_xlfn.XLOOKUP($B46,rf1_data!$B:$B,rf1_data!AQ:AQ,"NaN")="","NaN",(_xlfn.XLOOKUP($B46,rf1_data!$B:$B,rf1_data!AQ:AQ,"NaN")))</f>
        <v>NaN</v>
      </c>
      <c r="AZ46" s="5" t="str">
        <f>IF(_xlfn.XLOOKUP($B46,rf1_data!$B:$B,rf1_data!AR:AR,"NaN")="","NaN",(_xlfn.XLOOKUP($B46,rf1_data!$B:$B,rf1_data!AR:AR,"NaN")))</f>
        <v>NaN</v>
      </c>
      <c r="BA46" s="5" t="str">
        <f>IF(_xlfn.XLOOKUP($B46,rf1_data!$B:$B,rf1_data!AS:AS,"NaN")="","NaN",(_xlfn.XLOOKUP($B46,rf1_data!$B:$B,rf1_data!AS:AS,"NaN")))</f>
        <v>NaN</v>
      </c>
      <c r="BB46" s="5" t="str">
        <f>IF(_xlfn.XLOOKUP($B46,rf1_data!$B:$B,rf1_data!AT:AT,"NaN")="","NaN",(_xlfn.XLOOKUP($B46,rf1_data!$B:$B,rf1_data!AT:AT,"NaN")))</f>
        <v>NaN</v>
      </c>
      <c r="BC46" s="5" t="str">
        <f>IF(_xlfn.XLOOKUP($B46,rf1_data!$B:$B,rf1_data!AU:AU,"NaN")="","NaN",(_xlfn.XLOOKUP($B46,rf1_data!$B:$B,rf1_data!AU:AU,"NaN")))</f>
        <v>NaN</v>
      </c>
      <c r="BD46" s="5" t="str">
        <f>IF(_xlfn.XLOOKUP($B46,rf1_data!$B:$B,rf1_data!AV:AV,"NaN")="","NaN",(_xlfn.XLOOKUP($B46,rf1_data!$B:$B,rf1_data!AV:AV,"NaN")))</f>
        <v>NaN</v>
      </c>
      <c r="BE46" s="5" t="str">
        <f>IF(_xlfn.XLOOKUP($B46,rf1_data!$B:$B,rf1_data!AW:AW,"NaN")="","NaN",(_xlfn.XLOOKUP($B46,rf1_data!$B:$B,rf1_data!AW:AW,"NaN")))</f>
        <v>NaN</v>
      </c>
      <c r="BF46" s="5" t="str">
        <f>IF(_xlfn.XLOOKUP($B46,rf1_data!$B:$B,rf1_data!AX:AX,"NaN")="","NaN",(_xlfn.XLOOKUP($B46,rf1_data!$B:$B,rf1_data!AX:AX,"NaN")))</f>
        <v>NaN</v>
      </c>
      <c r="BG46" s="5" t="str">
        <f>IF(_xlfn.XLOOKUP($B46,rf1_data!$B:$B,rf1_data!AY:AY,"NaN")="","NaN",(_xlfn.XLOOKUP($B46,rf1_data!$B:$B,rf1_data!AY:AY,"NaN")))</f>
        <v>NaN</v>
      </c>
      <c r="BH46" s="5" t="str">
        <f>IF(_xlfn.XLOOKUP($B46,rf1_data!$B:$B,rf1_data!AZ:AZ,"NaN")="","NaN",(_xlfn.XLOOKUP($B46,rf1_data!$B:$B,rf1_data!AZ:AZ,"NaN")))</f>
        <v>NaN</v>
      </c>
      <c r="BI46" s="5">
        <f>IF(_xlfn.XLOOKUP($B46,rf1_data!$B:$B,rf1_data!BA:BA,"NaN")="","NaN",(_xlfn.XLOOKUP($B46,rf1_data!$B:$B,rf1_data!BA:BA,"NaN")))</f>
        <v>20</v>
      </c>
      <c r="BJ46" s="5" t="str">
        <f>IF(_xlfn.XLOOKUP($B46,rf1_data!$B:$B,rf1_data!BB:BB,"NaN")="","NaN",(_xlfn.XLOOKUP($B46,rf1_data!$B:$B,rf1_data!BB:BB,"NaN")))</f>
        <v>NaN</v>
      </c>
      <c r="BK46" s="5" t="str">
        <f>IF(_xlfn.XLOOKUP($B46,rf1_data!$B:$B,rf1_data!BC:BC,"NaN")="","NaN",(_xlfn.XLOOKUP($B46,rf1_data!$B:$B,rf1_data!BC:BC,"NaN")))</f>
        <v>NaN</v>
      </c>
      <c r="BL46" s="5" t="str">
        <f>IF(_xlfn.XLOOKUP($B46,rf1_data!$B:$B,rf1_data!BD:BD,"NaN")="","NaN",(_xlfn.XLOOKUP($B46,rf1_data!$B:$B,rf1_data!BD:BD,"NaN")))</f>
        <v>NaN</v>
      </c>
      <c r="BM46" s="5" t="str">
        <f>IF(_xlfn.XLOOKUP($B46,rf1_data!$B:$B,rf1_data!BE:BE,"NaN")="","NaN",(_xlfn.XLOOKUP($B46,rf1_data!$B:$B,rf1_data!BE:BE,"NaN")))</f>
        <v>NaN</v>
      </c>
      <c r="BN46" s="5" t="str">
        <f>IF(_xlfn.XLOOKUP($B46,rf1_data!$B:$B,rf1_data!BF:BF,"NaN")="","NaN",(_xlfn.XLOOKUP($B46,rf1_data!$B:$B,rf1_data!BF:BF,"NaN")))</f>
        <v>NaN</v>
      </c>
      <c r="BO46" s="5" t="str">
        <f>IF(_xlfn.XLOOKUP($B46,rf1_data!$B:$B,rf1_data!BG:BG,"NaN")="","NaN",(_xlfn.XLOOKUP($B46,rf1_data!$B:$B,rf1_data!BG:BG,"NaN")))</f>
        <v>NaN</v>
      </c>
      <c r="BP46" s="5" t="str">
        <f>IF(_xlfn.XLOOKUP($B46,rf1_data!$B:$B,rf1_data!BH:BH,"NaN")="","NaN",(_xlfn.XLOOKUP($B46,rf1_data!$B:$B,rf1_data!BH:BH,"NaN")))</f>
        <v>NaN</v>
      </c>
      <c r="BQ46" s="5" t="str">
        <f>IF(_xlfn.XLOOKUP($B46,rf1_data!$B:$B,rf1_data!BI:BI,"NaN")="","NaN",(_xlfn.XLOOKUP($B46,rf1_data!$B:$B,rf1_data!BI:BI,"NaN")))</f>
        <v>NaN</v>
      </c>
      <c r="BR46" s="5">
        <f>IF(_xlfn.XLOOKUP($B46,rf1_data!$B:$B,rf1_data!BJ:BJ,"NaN")="","NaN",(_xlfn.XLOOKUP($B46,rf1_data!$B:$B,rf1_data!BJ:BJ,"NaN")))</f>
        <v>8991</v>
      </c>
      <c r="BS46" s="5" t="str">
        <f>IF(_xlfn.XLOOKUP($B46,rf1_data!$B:$B,rf1_data!BK:BK,"NaN")="","NaN",(_xlfn.XLOOKUP($B46,rf1_data!$B:$B,rf1_data!BK:BK,"NaN")))</f>
        <v>NaN</v>
      </c>
      <c r="BT46" s="5" t="str">
        <f>IF(_xlfn.XLOOKUP($B46,rf1_data!$B:$B,rf1_data!BL:BL,"NaN")="","NaN",(_xlfn.XLOOKUP($B46,rf1_data!$B:$B,rf1_data!BL:BL,"NaN")))</f>
        <v>NaN</v>
      </c>
      <c r="BU46" s="5" t="str">
        <f>IF(_xlfn.XLOOKUP($B46,rf1_data!$B:$B,rf1_data!BM:BM,"NaN")="","NaN",(_xlfn.XLOOKUP($B46,rf1_data!$B:$B,rf1_data!BM:BM,"NaN")))</f>
        <v>NaN</v>
      </c>
      <c r="BV46" s="5" t="str">
        <f>IF(_xlfn.XLOOKUP($B46,rf1_data!$B:$B,rf1_data!BN:BN,"NaN")="","NaN",(_xlfn.XLOOKUP($B46,rf1_data!$B:$B,rf1_data!BN:BN,"NaN")))</f>
        <v>NaN</v>
      </c>
      <c r="BW46" s="5">
        <f>IF(_xlfn.XLOOKUP($B46,rf1_data!$B:$B,rf1_data!BO:BO,"NaN")="","NaN",(_xlfn.XLOOKUP($B46,rf1_data!$B:$B,rf1_data!BO:BO,"NaN")))</f>
        <v>3.3</v>
      </c>
      <c r="BX46" s="5">
        <f>IF(_xlfn.XLOOKUP($B46,rf1_data!$B:$B,rf1_data!BP:BP,"NaN")="","NaN",(_xlfn.XLOOKUP($B46,rf1_data!$B:$B,rf1_data!BP:BP,"NaN")))</f>
        <v>3.7</v>
      </c>
      <c r="BY46" s="5">
        <f>IF(_xlfn.XLOOKUP($B46,rf1_data!$B:$B,rf1_data!BQ:BQ,"NaN")="","NaN",(_xlfn.XLOOKUP($B46,rf1_data!$B:$B,rf1_data!BQ:BQ,"NaN")))</f>
        <v>3.9</v>
      </c>
      <c r="BZ46" s="5">
        <f>IF(_xlfn.XLOOKUP($B46,rf1_data!$B:$B,rf1_data!BR:BR,"NaN")="","NaN",(_xlfn.XLOOKUP($B46,rf1_data!$B:$B,rf1_data!BR:BR,"NaN")))</f>
        <v>3.63</v>
      </c>
      <c r="CA46" s="5">
        <f>IF(_xlfn.XLOOKUP($B46,rf1_data!$B:$B,rf1_data!BS:BS,"NaN")="","NaN",(_xlfn.XLOOKUP($B46,rf1_data!$B:$B,rf1_data!BS:BS,"NaN")))</f>
        <v>3.8333333333333299</v>
      </c>
      <c r="CB46" s="5">
        <f>IF(_xlfn.XLOOKUP($B46,rf1_data!$B:$B,rf1_data!BT:BT,"NaN")="","NaN",(_xlfn.XLOOKUP($B46,rf1_data!$B:$B,rf1_data!BT:BT,"NaN")))</f>
        <v>4</v>
      </c>
      <c r="CC46" s="5">
        <f>IF(_xlfn.XLOOKUP($B46,rf1_data!$B:$B,rf1_data!BU:BU,"NaN")="","NaN",(_xlfn.XLOOKUP($B46,rf1_data!$B:$B,rf1_data!BU:BU,"NaN")))</f>
        <v>6</v>
      </c>
      <c r="CD46" s="5">
        <f>IF(_xlfn.XLOOKUP($B46,rf1_data!$B:$B,rf1_data!BV:BV,"NaN")="","NaN",(_xlfn.XLOOKUP($B46,rf1_data!$B:$B,rf1_data!BV:BV,"NaN")))</f>
        <v>6</v>
      </c>
      <c r="CE46" s="5">
        <f>IF(_xlfn.XLOOKUP($B46,rf1_data!$B:$B,rf1_data!BW:BW,"NaN")="","NaN",(_xlfn.XLOOKUP($B46,rf1_data!$B:$B,rf1_data!BW:BW,"NaN")))</f>
        <v>1.2</v>
      </c>
      <c r="CF46" s="5">
        <f>IF(_xlfn.XLOOKUP($B46,rf1_data!$B:$B,rf1_data!BX:BX,"NaN")="","NaN",(_xlfn.XLOOKUP($B46,rf1_data!$B:$B,rf1_data!BX:BX,"NaN")))</f>
        <v>0</v>
      </c>
      <c r="CG46" s="5">
        <f>IF(_xlfn.XLOOKUP($B46,rf1_data!$B:$B,rf1_data!BY:BY,"NaN")="","NaN",(_xlfn.XLOOKUP($B46,rf1_data!$B:$B,rf1_data!BY:BY,"NaN")))</f>
        <v>0</v>
      </c>
      <c r="CH46" s="5">
        <f>IF(_xlfn.XLOOKUP($B46,rf1_data!$B:$B,rf1_data!BZ:BZ,"NaN")="","NaN",(_xlfn.XLOOKUP($B46,rf1_data!$B:$B,rf1_data!BZ:BZ,"NaN")))</f>
        <v>25</v>
      </c>
      <c r="CI46" s="5" t="str">
        <f>IF(_xlfn.XLOOKUP($B46,rf1_data!$B:$B,rf1_data!CA:CA,"NaN")="","NaN",(_xlfn.XLOOKUP($B46,rf1_data!$B:$B,rf1_data!CA:CA,"NaN")))</f>
        <v>NaN</v>
      </c>
      <c r="CJ46" s="5">
        <f>IF(_xlfn.XLOOKUP($B46,rf1_data!$B:$B,rf1_data!CB:CB,"NaN")="","NaN",(_xlfn.XLOOKUP($B46,rf1_data!$B:$B,rf1_data!CB:CB,"NaN")))</f>
        <v>11</v>
      </c>
      <c r="CK46" s="5">
        <f>IF(_xlfn.XLOOKUP($B46,rf1_data!$B:$B,rf1_data!CC:CC,"NaN")="","NaN",(_xlfn.XLOOKUP($B46,rf1_data!$B:$B,rf1_data!CC:CC,"NaN")))</f>
        <v>1.1000000000000001</v>
      </c>
      <c r="CL46" s="5">
        <f>IF(_xlfn.XLOOKUP($B46,rf1_data!$B:$B,rf1_data!CD:CD,"NaN")=0,"NaN",(_xlfn.XLOOKUP($B46,rf1_data!$B:$B,rf1_data!CD:CD,"NaN")))</f>
        <v>34</v>
      </c>
      <c r="CM46" s="5">
        <f>IF(_xlfn.XLOOKUP($B46,rf1_data!$B:$B,rf1_data!CE:CE,"NaN")="","NaN",(_xlfn.XLOOKUP($B46,rf1_data!$B:$B,rf1_data!CE:CE,"NaN")))</f>
        <v>41</v>
      </c>
      <c r="CN46" s="5">
        <f>IF(_xlfn.XLOOKUP($B46,rf1_data!$B:$B,rf1_data!CF:CF,"NaN")="","NaN",(_xlfn.XLOOKUP($B46,rf1_data!$B:$B,rf1_data!CF:CF,"NaN")))</f>
        <v>60</v>
      </c>
      <c r="CO46" s="5">
        <f>IF(_xlfn.XLOOKUP($B46,rf1_data!$B:$B,rf1_data!CG:CG,"NaN")="","NaN",(_xlfn.XLOOKUP($B46,rf1_data!$B:$B,rf1_data!CG:CG,"NaN")))</f>
        <v>25</v>
      </c>
      <c r="CP46" s="5">
        <f>IF(_xlfn.XLOOKUP($B46,rf1_data!$B:$B,rf1_data!CH:CH,"NaN")=0,"NaN",(_xlfn.XLOOKUP($B46,rf1_data!$B:$B,rf1_data!CH:CH,"NaN")))</f>
        <v>36</v>
      </c>
      <c r="CQ46" s="5">
        <f>IF(_xlfn.XLOOKUP($B46,rf1_data!$B:$B,rf1_data!CI:CI,"NaN")="","NaN",(_xlfn.XLOOKUP($B46,rf1_data!$B:$B,rf1_data!CI:CI,"NaN")))</f>
        <v>48</v>
      </c>
      <c r="CR46" s="5">
        <f>IF(_xlfn.XLOOKUP($B46,rf1_data!$B:$B,rf1_data!CJ:CJ,"NaN")="","NaN",(_xlfn.XLOOKUP($B46,rf1_data!$B:$B,rf1_data!CJ:CJ,"NaN")))</f>
        <v>60</v>
      </c>
      <c r="CS46" s="5">
        <f>IF(_xlfn.XLOOKUP($B46,rf1_data!$B:$B,rf1_data!CK:CK,"NaN")="","NaN",(_xlfn.XLOOKUP($B46,rf1_data!$B:$B,rf1_data!CK:CK,"NaN")))</f>
        <v>47</v>
      </c>
      <c r="CT46" s="5">
        <f>IF(_xlfn.XLOOKUP($B46,rf1_data!$B:$B,rf1_data!CL:CL,"NaN")="","NaN",(_xlfn.XLOOKUP($B46,rf1_data!$B:$B,rf1_data!CL:CL,"NaN")))</f>
        <v>60</v>
      </c>
      <c r="CU46" s="5">
        <f>IF(_xlfn.XLOOKUP($B46,rf1_data!$B:$B,rf1_data!CM:CM,"NaN")="","NaN",(_xlfn.XLOOKUP($B46,rf1_data!$B:$B,rf1_data!CM:CM,"NaN")))</f>
        <v>46</v>
      </c>
      <c r="CV46" s="5">
        <f>IF(_xlfn.XLOOKUP($B46,rf1_data!$B:$B,rf1_data!CN:CN,"NaN")="","NaN",(_xlfn.XLOOKUP($B46,rf1_data!$B:$B,rf1_data!CN:CN,"NaN")))</f>
        <v>60</v>
      </c>
      <c r="CW46" s="5" t="str">
        <f>IF(_xlfn.XLOOKUP($B46,rf1_data!$B:$B,rf1_data!CO:CO,"NaN")="","NaN",(_xlfn.XLOOKUP($B46,rf1_data!$B:$B,rf1_data!CO:CO,"NaN")))</f>
        <v>NaN</v>
      </c>
      <c r="CX46" s="5" t="str">
        <f>IF(_xlfn.XLOOKUP($B46,rf1_data!$B:$B,rf1_data!CP:CP,"NaN")="","NaN",(_xlfn.XLOOKUP($B46,rf1_data!$B:$B,rf1_data!CP:CP,"NaN")))</f>
        <v>NaN</v>
      </c>
      <c r="CY46" s="5">
        <f>IF(_xlfn.XLOOKUP($B46,rf1_data!$B:$B,rf1_data!CQ:CQ,"NaN")="","NaN",(_xlfn.XLOOKUP($B46,rf1_data!$B:$B,rf1_data!CQ:CQ,"NaN")))</f>
        <v>6</v>
      </c>
      <c r="CZ46" s="5">
        <f>IF(_xlfn.XLOOKUP($B46,rf1_data!$B:$B,rf1_data!CR:CR,"NaN")="","NaN",(_xlfn.XLOOKUP($B46,rf1_data!$B:$B,rf1_data!CR:CR,"NaN")))</f>
        <v>2</v>
      </c>
      <c r="DA46" s="5">
        <f>IF(_xlfn.XLOOKUP($B46,rf1_data!$B:$B,rf1_data!CS:CS,"NaN")="","NaN",(_xlfn.XLOOKUP($B46,rf1_data!$B:$B,rf1_data!CS:CS,"NaN")))</f>
        <v>3</v>
      </c>
      <c r="DB46" s="4">
        <f>IF(_xlfn.XLOOKUP($B46,island_data!$B:$B,island_data!H:H,"NaN")="","NaN",_xlfn.XLOOKUP($B46,island_data!$B:$B,island_data!H:H,"NaN"))</f>
        <v>2</v>
      </c>
      <c r="DC46" s="4">
        <f>IF(_xlfn.XLOOKUP($B46,island_data!$B:$B,island_data!I:I,"NaN")="","NaN",_xlfn.XLOOKUP($B46,island_data!$B:$B,island_data!I:I,"NaN"))</f>
        <v>0</v>
      </c>
      <c r="DD46" s="4">
        <f>IF(_xlfn.XLOOKUP($B46,island_data!$B:$B,island_data!J:J,"NaN")="","NaN",_xlfn.XLOOKUP($B46,island_data!$B:$B,island_data!J:J,"NaN"))</f>
        <v>2</v>
      </c>
      <c r="DE46" s="4">
        <f>IF(_xlfn.XLOOKUP($B46,island_data!$B:$B,island_data!K:K,"NaN")="","NaN",_xlfn.XLOOKUP($B46,island_data!$B:$B,island_data!K:K,"NaN"))</f>
        <v>11</v>
      </c>
      <c r="DF46" s="4">
        <f>IF(_xlfn.XLOOKUP($B46,island_data!$B:$B,island_data!L:L,"NaN")="","NaN",_xlfn.XLOOKUP($B46,island_data!$B:$B,island_data!L:L,"NaN"))</f>
        <v>0</v>
      </c>
      <c r="DG46" s="4">
        <f>IF(_xlfn.XLOOKUP($B46,island_data!$B:$B,island_data!M:M,"NaN")="","NaN",_xlfn.XLOOKUP($B46,island_data!$B:$B,island_data!M:M,"NaN"))</f>
        <v>3.25</v>
      </c>
      <c r="DH46" s="4">
        <f>IF(_xlfn.XLOOKUP($B46,island_data!$B:$B,island_data!N:N,"NaN")="","NaN",_xlfn.XLOOKUP($B46,island_data!$B:$B,island_data!N:N,"NaN"))</f>
        <v>1</v>
      </c>
      <c r="DI46" s="4">
        <f>IF(_xlfn.XLOOKUP($B46,island_data!$B:$B,island_data!O:O,"NaN")=999,"NaN",_xlfn.XLOOKUP($B46,island_data!$B:$B,island_data!O:O,"NaN"))</f>
        <v>11</v>
      </c>
      <c r="DJ46" s="4">
        <f>IF(_xlfn.XLOOKUP($B46,island_data!$B:$B,island_data!P:P,"NaN")="","NaN",_xlfn.XLOOKUP($B46,island_data!$B:$B,island_data!P:P,"NaN"))</f>
        <v>10</v>
      </c>
      <c r="DK46" s="4">
        <f>IF(_xlfn.XLOOKUP($B46,island_data!$B:$B,island_data!Q:Q,"NaN")="","NaN",_xlfn.XLOOKUP($B46,island_data!$B:$B,island_data!Q:Q,"NaN"))</f>
        <v>5</v>
      </c>
      <c r="DL46" s="4">
        <f>IF(_xlfn.XLOOKUP($B46,island_data!$B:$B,island_data!R:R,"NaN")=999,"NaN",_xlfn.XLOOKUP($B46,island_data!$B:$B,island_data!R:R,"NaN"))</f>
        <v>15</v>
      </c>
      <c r="DM46" s="4">
        <f>IF(_xlfn.XLOOKUP($B46,island_data!$B:$B,island_data!S:S,"NaN")="","NaN",_xlfn.XLOOKUP($B46,island_data!$B:$B,island_data!S:S,"NaN"))</f>
        <v>10</v>
      </c>
      <c r="DN46" s="4">
        <f>IF(_xlfn.XLOOKUP($B46,island_data!$B:$B,island_data!T:T,"NaN")="","NaN",_xlfn.XLOOKUP($B46,island_data!$B:$B,island_data!T:T,"NaN"))</f>
        <v>5.25</v>
      </c>
      <c r="DO46" s="4">
        <f>IF(_xlfn.XLOOKUP($B46,island_data!$B:$B,island_data!U:U,"NaN")="","NaN",_xlfn.XLOOKUP($B46,island_data!$B:$B,island_data!U:U,"NaN"))</f>
        <v>5</v>
      </c>
      <c r="DP46" s="4">
        <f>IF(_xlfn.XLOOKUP($B46,island_data!$B:$B,island_data!V:V,"NaN")="","NaN",_xlfn.XLOOKUP($B46,island_data!$B:$B,island_data!V:V,"NaN"))</f>
        <v>0</v>
      </c>
      <c r="DQ46" s="4">
        <f>IF(_xlfn.XLOOKUP($B46,island_data!$B:$B,island_data!W:W,"NaN")="","NaN",_xlfn.XLOOKUP($B46,island_data!$B:$B,island_data!W:W,"NaN"))</f>
        <v>7</v>
      </c>
      <c r="DR46" s="4">
        <f>IF(_xlfn.XLOOKUP($B46,island_data!$B:$B,island_data!X:X,"NaN")="","NaN",_xlfn.XLOOKUP($B46,island_data!$B:$B,island_data!X:X,"NaN"))</f>
        <v>5</v>
      </c>
      <c r="DS46" s="4" t="str">
        <f>IF(_xlfn.XLOOKUP($B46,island_data!$B:$B,island_data!Y:Y,"NaN")="","NaN",_xlfn.XLOOKUP($B46,island_data!$B:$B,island_data!Y:Y,"NaN"))</f>
        <v>NaN</v>
      </c>
      <c r="DT46" s="4" t="str">
        <f>IF(_xlfn.XLOOKUP($B46,island_data!$B:$B,island_data!Z:Z,"NaN")="","NaN",_xlfn.XLOOKUP($B46,island_data!$B:$B,island_data!Z:Z,"NaN"))</f>
        <v>NaN</v>
      </c>
      <c r="DU46" s="4" t="str">
        <f>IF(_xlfn.XLOOKUP($B46,island_data!$B:$B,island_data!AA:AA,"NaN")="","NaN",_xlfn.XLOOKUP($B46,island_data!$B:$B,island_data!AA:AA,"NaN"))</f>
        <v>NaN</v>
      </c>
      <c r="DV46" s="4">
        <f>IF(_xlfn.XLOOKUP($B46,island_data!$B:$B,island_data!AB:AB,"NaN")="","NaN",_xlfn.XLOOKUP($B46,island_data!$B:$B,island_data!AB:AB,"NaN"))</f>
        <v>0</v>
      </c>
      <c r="DW46" s="4">
        <f>IF(_xlfn.XLOOKUP($B46,island_data!$B:$B,island_data!AC:AC,"NaN")="","NaN",_xlfn.XLOOKUP($B46,island_data!$B:$B,island_data!AC:AC,"NaN"))</f>
        <v>2129</v>
      </c>
      <c r="DX46" s="4">
        <f>IF(_xlfn.XLOOKUP($B46,island_data!$B:$B,island_data!AD:AD,"NaN")="","NaN",_xlfn.XLOOKUP($B46,island_data!$B:$B,island_data!AD:AD,"NaN"))</f>
        <v>7</v>
      </c>
      <c r="DY46" s="4">
        <f>IF(_xlfn.XLOOKUP($B46,island_data!$B:$B,island_data!AE:AE,"NaN")="","NaN",_xlfn.XLOOKUP($B46,island_data!$B:$B,island_data!AE:AE,"NaN"))</f>
        <v>0</v>
      </c>
      <c r="DZ46" s="4" t="str">
        <f>IF(_xlfn.XLOOKUP($B46,island_data!$B:$B,island_data!AF:AF,"NaN")="","NaN",_xlfn.XLOOKUP($B46,island_data!$B:$B,island_data!AF:AF,"NaN"))</f>
        <v>NaN</v>
      </c>
      <c r="EA46" s="4" t="str">
        <f>IF(_xlfn.XLOOKUP($B46,island_data!$B:$B,island_data!AG:AG,"NaN")="","NaN",_xlfn.XLOOKUP($B46,island_data!$B:$B,island_data!AG:AG,"NaN"))</f>
        <v>NaN</v>
      </c>
      <c r="EB46" s="4" t="str">
        <f>IF(_xlfn.XLOOKUP($B46,island_data!$B:$B,island_data!AH:AH,"NaN")="","NaN",_xlfn.XLOOKUP($B46,island_data!$B:$B,island_data!AH:AH,"NaN"))</f>
        <v>NaN</v>
      </c>
      <c r="EC46" s="4" t="str">
        <f>IF(_xlfn.XLOOKUP($B46,island_data!$B:$B,island_data!AI:AI,"NaN")="","NaN",_xlfn.XLOOKUP($B46,island_data!$B:$B,island_data!AI:AI,"NaN"))</f>
        <v>NaN</v>
      </c>
      <c r="ED46" s="4" t="str">
        <f>IF(_xlfn.XLOOKUP($B46,island_data!$B:$B,island_data!AJ:AJ,"NaN")="","NaN",_xlfn.XLOOKUP($B46,island_data!$B:$B,island_data!AJ:AJ,"NaN"))</f>
        <v>NaN</v>
      </c>
      <c r="EE46" s="4" t="str">
        <f>IF(_xlfn.XLOOKUP($B46,island_data!$B:$B,island_data!AK:AK,"NaN")="","NaN",_xlfn.XLOOKUP($B46,island_data!$B:$B,island_data!AK:AK,"NaN"))</f>
        <v>NaN</v>
      </c>
      <c r="EF46" s="4" t="str">
        <f>IF(_xlfn.XLOOKUP($B46,island_data!$B:$B,island_data!AL:AL,"NaN")="","NaN",_xlfn.XLOOKUP($B46,island_data!$B:$B,island_data!AL:AL,"NaN"))</f>
        <v>NaN</v>
      </c>
      <c r="EG46" s="4" t="str">
        <f>IF(_xlfn.XLOOKUP($B46,island_data!$B:$B,island_data!AM:AM,"NaN")="","NaN",_xlfn.XLOOKUP($B46,island_data!$B:$B,island_data!AM:AM,"NaN"))</f>
        <v>NaN</v>
      </c>
      <c r="EH46" s="4" t="str">
        <f>IF(_xlfn.XLOOKUP($B46,island_data!$B:$B,island_data!AN:AN,"NaN")="","NaN",_xlfn.XLOOKUP($B46,island_data!$B:$B,island_data!AN:AN,"NaN"))</f>
        <v>NaN</v>
      </c>
      <c r="EI46" s="4" t="str">
        <f>IF(_xlfn.XLOOKUP($B46,island_data!$B:$B,island_data!AO:AO,"NaN")="","NaN",_xlfn.XLOOKUP($B46,island_data!$B:$B,island_data!AO:AO,"NaN"))</f>
        <v>NaN</v>
      </c>
      <c r="EJ46" s="8">
        <f>IF(_xlfn.XLOOKUP($A46,TabCAT!$A:$A,TabCAT!AU:AU,"NaN")="","NaN",(_xlfn.XLOOKUP($A46,TabCAT!$A:$A,TabCAT!AU:AU,"NaN")))</f>
        <v>151</v>
      </c>
      <c r="EK46" s="8" t="b">
        <f>IF(_xlfn.XLOOKUP($A46,TabCAT!$A:$A,TabCAT!AV:AV,"NaN")="","NaN",(_xlfn.XLOOKUP($A46,TabCAT!$A:$A,TabCAT!AV:AV,"NaN")))</f>
        <v>1</v>
      </c>
      <c r="EL46" s="8">
        <f>IF(_xlfn.XLOOKUP($A46,TabCAT!$A:$A,TabCAT!AW:AW,"NaN")="","NaN",(_xlfn.XLOOKUP($A46,TabCAT!$A:$A,TabCAT!AW:AW,"NaN")))</f>
        <v>6</v>
      </c>
      <c r="EM46" s="8">
        <f>IF(_xlfn.XLOOKUP($A46,TabCAT!$A:$A,TabCAT!AX:AX,"NaN")="","NaN",(_xlfn.XLOOKUP($A46,TabCAT!$A:$A,TabCAT!AX:AX,"NaN")))</f>
        <v>0</v>
      </c>
      <c r="EN46" s="8">
        <f>IF(_xlfn.XLOOKUP($A46,TabCAT!$A:$A,TabCAT!AY:AY,"NaN")="","NaN",(_xlfn.XLOOKUP($A46,TabCAT!$A:$A,TabCAT!AY:AY,"NaN")))</f>
        <v>9.6199999999999992</v>
      </c>
      <c r="EO46" s="8">
        <f>IF(_xlfn.XLOOKUP($A46,TabCAT!$A:$A,TabCAT!AZ:AZ,"NaN")="","NaN",(_xlfn.XLOOKUP($A46,TabCAT!$A:$A,TabCAT!AZ:AZ,"NaN")))</f>
        <v>32</v>
      </c>
      <c r="EP46" s="8">
        <f>IF(_xlfn.XLOOKUP($A46,TabCAT!$A:$A,TabCAT!BA:BA,"NaN")="","NaN",(_xlfn.XLOOKUP($A46,TabCAT!$A:$A,TabCAT!BA:BA,"NaN")))</f>
        <v>0.60821000000000003</v>
      </c>
      <c r="EQ46" s="8">
        <f>IF(_xlfn.XLOOKUP($A46,TabCAT!$A:$A,TabCAT!BB:BB,"NaN")="","NaN",(_xlfn.XLOOKUP($A46,TabCAT!$A:$A,TabCAT!BB:BB,"NaN")))</f>
        <v>0.31455267080597299</v>
      </c>
      <c r="ER46" s="8">
        <f>IF(_xlfn.XLOOKUP($A46,TabCAT!$A:$A,TabCAT!BC:BC,"NaN")="","NaN",(_xlfn.XLOOKUP($A46,TabCAT!$A:$A,TabCAT!BC:BC,"NaN")))</f>
        <v>16</v>
      </c>
      <c r="ES46" s="8">
        <f>IF(_xlfn.XLOOKUP($A46,TabCAT!$A:$A,TabCAT!BD:BD,"NaN")="","NaN",(_xlfn.XLOOKUP($A46,TabCAT!$A:$A,TabCAT!BD:BD,"NaN")))</f>
        <v>0.59153049999999996</v>
      </c>
      <c r="ET46" s="8">
        <f>IF(_xlfn.XLOOKUP($A46,TabCAT!$A:$A,TabCAT!BE:BE,"NaN")="","NaN",(_xlfn.XLOOKUP($A46,TabCAT!$A:$A,TabCAT!BE:BE,"NaN")))</f>
        <v>16</v>
      </c>
      <c r="EU46" s="8">
        <f>IF(_xlfn.XLOOKUP($A46,TabCAT!$A:$A,TabCAT!BF:BF,"NaN")="","NaN",(_xlfn.XLOOKUP($A46,TabCAT!$A:$A,TabCAT!BF:BF,"NaN")))</f>
        <v>0.62904450000000001</v>
      </c>
      <c r="EV46" s="8">
        <f>IF(_xlfn.XLOOKUP($A46,TabCAT!$A:$A,TabCAT!BG:BG,"NaN")="","NaN",(_xlfn.XLOOKUP($A46,TabCAT!$A:$A,TabCAT!BG:BG,"NaN")))</f>
        <v>2.2075469999999999</v>
      </c>
      <c r="EW46" s="8" t="str">
        <f>IF(_xlfn.XLOOKUP($A46,TabCAT!$A:$A,TabCAT!BH:BH,"NaN")="","NaN",(_xlfn.XLOOKUP($A46,TabCAT!$A:$A,TabCAT!BH:BH,"NaN")))</f>
        <v>3.0.0</v>
      </c>
      <c r="EX46" s="8" t="str">
        <f>IF(_xlfn.XLOOKUP($A46,TabCAT!$A:$A,TabCAT!BI:BI,"NaN")="","NaN",(_xlfn.XLOOKUP($A46,TabCAT!$A:$A,TabCAT!BI:BI,"NaN")))</f>
        <v>English</v>
      </c>
      <c r="EY46" s="8">
        <f>IF(_xlfn.XLOOKUP($A46,TabCAT!$A:$A,TabCAT!BJ:BJ,"NaN")="","NaN",(_xlfn.XLOOKUP($A46,TabCAT!$A:$A,TabCAT!BJ:BJ,"NaN")))</f>
        <v>242</v>
      </c>
      <c r="EZ46" s="8">
        <f>IF(_xlfn.XLOOKUP($A46,TabCAT!$A:$A,TabCAT!BK:BK,"NaN")="","NaN",(_xlfn.XLOOKUP($A46,TabCAT!$A:$A,TabCAT!BK:BK,"NaN")))</f>
        <v>1</v>
      </c>
      <c r="FA46" s="8">
        <f>IF(_xlfn.XLOOKUP($A46,TabCAT!$A:$A,TabCAT!BL:BL,"NaN")="","NaN",(_xlfn.XLOOKUP($A46,TabCAT!$A:$A,TabCAT!BL:BL,"NaN")))</f>
        <v>6</v>
      </c>
      <c r="FB46" s="8">
        <f>IF(_xlfn.XLOOKUP($A46,TabCAT!$A:$A,TabCAT!BM:BM,"NaN")="","NaN",(_xlfn.XLOOKUP($A46,TabCAT!$A:$A,TabCAT!BM:BM,"NaN")))</f>
        <v>1</v>
      </c>
      <c r="FC46" s="8">
        <f>IF(_xlfn.XLOOKUP($A46,TabCAT!$A:$A,TabCAT!BN:BN,"NaN")="","NaN",(_xlfn.XLOOKUP($A46,TabCAT!$A:$A,TabCAT!BN:BN,"NaN")))</f>
        <v>6</v>
      </c>
      <c r="FD46" s="8">
        <f>IF(_xlfn.XLOOKUP($A46,TabCAT!$A:$A,TabCAT!BO:BO,"NaN")="","NaN",(_xlfn.XLOOKUP($A46,TabCAT!$A:$A,TabCAT!BO:BO,"NaN")))</f>
        <v>9</v>
      </c>
      <c r="FE46" s="8">
        <f>IF(_xlfn.XLOOKUP($A46,TabCAT!$A:$A,TabCAT!BP:BP,"NaN")="","NaN",(_xlfn.XLOOKUP($A46,TabCAT!$A:$A,TabCAT!BP:BP,"NaN")))</f>
        <v>1</v>
      </c>
      <c r="FF46" s="8">
        <f>IF(_xlfn.XLOOKUP($A46,TabCAT!$A:$A,TabCAT!BQ:BQ,"NaN")="","NaN",(_xlfn.XLOOKUP($A46,TabCAT!$A:$A,TabCAT!BQ:BQ,"NaN")))</f>
        <v>9</v>
      </c>
      <c r="FG46" s="8">
        <f>IF(_xlfn.XLOOKUP($A46,TabCAT!$A:$A,TabCAT!BR:BR,"NaN")="","NaN",(_xlfn.XLOOKUP($A46,TabCAT!$A:$A,TabCAT!BR:BR,"NaN")))</f>
        <v>10</v>
      </c>
      <c r="FH46" s="8">
        <f>IF(_xlfn.XLOOKUP($A46,TabCAT!$A:$A,TabCAT!BS:BS,"NaN")="","NaN",(_xlfn.XLOOKUP($A46,TabCAT!$A:$A,TabCAT!BS:BS,"NaN")))</f>
        <v>0.83333333333333304</v>
      </c>
      <c r="FI46" s="8">
        <f>IF(_xlfn.XLOOKUP($A46,TabCAT!$A:$A,TabCAT!BT:BT,"NaN")="","NaN",(_xlfn.XLOOKUP($A46,TabCAT!$A:$A,TabCAT!BT:BT,"NaN")))</f>
        <v>7</v>
      </c>
      <c r="FJ46" s="8">
        <f>IF(_xlfn.XLOOKUP($A46,TabCAT!$A:$A,TabCAT!BU:BU,"NaN")="","NaN",(_xlfn.XLOOKUP($A46,TabCAT!$A:$A,TabCAT!BU:BU,"NaN")))</f>
        <v>12</v>
      </c>
      <c r="FK46" s="8">
        <f>IF(_xlfn.XLOOKUP($A46,TabCAT!$A:$A,TabCAT!BV:BV,"NaN")="","NaN",(_xlfn.XLOOKUP($A46,TabCAT!$A:$A,TabCAT!BV:BV,"NaN")))</f>
        <v>0.8</v>
      </c>
      <c r="FL46" s="8">
        <f>IF(_xlfn.XLOOKUP($A46,TabCAT!$A:$A,TabCAT!BW:BW,"NaN")="","NaN",(_xlfn.XLOOKUP($A46,TabCAT!$A:$A,TabCAT!BW:BW,"NaN")))</f>
        <v>10.5</v>
      </c>
      <c r="FM46" s="8">
        <f>IF(_xlfn.XLOOKUP($A46,TabCAT!$A:$A,TabCAT!BX:BX,"NaN")="","NaN",(_xlfn.XLOOKUP($A46,TabCAT!$A:$A,TabCAT!BX:BX,"NaN")))</f>
        <v>37</v>
      </c>
      <c r="FN46" s="8">
        <f>IF(_xlfn.XLOOKUP($A46,TabCAT!$A:$A,TabCAT!BY:BY,"NaN")="","NaN",(_xlfn.XLOOKUP($A46,TabCAT!$A:$A,TabCAT!BY:BY,"NaN")))</f>
        <v>0.88095238095238004</v>
      </c>
      <c r="FO46" s="8">
        <f>IF(_xlfn.XLOOKUP($A46,TabCAT!$A:$A,TabCAT!BZ:BZ,"NaN")="","NaN",(_xlfn.XLOOKUP($A46,TabCAT!$A:$A,TabCAT!BZ:BZ,"NaN")))</f>
        <v>32.5</v>
      </c>
      <c r="FP46" s="8" t="str">
        <f>IF(_xlfn.XLOOKUP($A46,TabCAT!$A:$A,TabCAT!CA:CA,"NaN")="","NaN",(_xlfn.XLOOKUP($A46,TabCAT!$A:$A,TabCAT!CA:CA,"NaN")))</f>
        <v>3.0.0</v>
      </c>
      <c r="FQ46" s="8" t="str">
        <f>IF(_xlfn.XLOOKUP($A46,TabCAT!$A:$A,TabCAT!CB:CB,"NaN")="","NaN",(_xlfn.XLOOKUP($A46,TabCAT!$A:$A,TabCAT!CB:CB,"NaN")))</f>
        <v>English</v>
      </c>
      <c r="FR46" s="8">
        <f>IF(_xlfn.XLOOKUP($A46,TabCAT!$A:$A,TabCAT!CC:CC,"NaN")="","NaN",(_xlfn.XLOOKUP($A46,TabCAT!$A:$A,TabCAT!CC:CC,"NaN")))</f>
        <v>197</v>
      </c>
      <c r="FS46" s="8" t="b">
        <f>IF(_xlfn.XLOOKUP($A46,TabCAT!$A:$A,TabCAT!CD:CD,"NaN")="","NaN",(_xlfn.XLOOKUP($A46,TabCAT!$A:$A,TabCAT!CD:CD,"NaN")))</f>
        <v>1</v>
      </c>
      <c r="FT46" s="8">
        <f>IF(_xlfn.XLOOKUP($A46,TabCAT!$A:$A,TabCAT!CE:CE,"NaN")="","NaN",(_xlfn.XLOOKUP($A46,TabCAT!$A:$A,TabCAT!CE:CE,"NaN")))</f>
        <v>8</v>
      </c>
      <c r="FU46" s="8">
        <f>IF(_xlfn.XLOOKUP($A46,TabCAT!$A:$A,TabCAT!CF:CF,"NaN")="","NaN",(_xlfn.XLOOKUP($A46,TabCAT!$A:$A,TabCAT!CF:CF,"NaN")))</f>
        <v>0</v>
      </c>
      <c r="FV46" s="8">
        <f>IF(_xlfn.XLOOKUP($A46,TabCAT!$A:$A,TabCAT!CG:CG,"NaN")="","NaN",(_xlfn.XLOOKUP($A46,TabCAT!$A:$A,TabCAT!CG:CG,"NaN")))</f>
        <v>9.84</v>
      </c>
      <c r="FW46" s="8">
        <f>IF(_xlfn.XLOOKUP($A46,TabCAT!$A:$A,TabCAT!CH:CH,"NaN")="","NaN",(_xlfn.XLOOKUP($A46,TabCAT!$A:$A,TabCAT!CH:CH,"NaN")))</f>
        <v>15</v>
      </c>
      <c r="FX46" s="8">
        <f>IF(_xlfn.XLOOKUP($A46,TabCAT!$A:$A,TabCAT!CI:CI,"NaN")="","NaN",(_xlfn.XLOOKUP($A46,TabCAT!$A:$A,TabCAT!CI:CI,"NaN")))</f>
        <v>0.43805300000000003</v>
      </c>
      <c r="FY46" s="8">
        <f>IF(_xlfn.XLOOKUP($A46,TabCAT!$A:$A,TabCAT!CJ:CJ,"NaN")="","NaN",(_xlfn.XLOOKUP($A46,TabCAT!$A:$A,TabCAT!CJ:CJ,"NaN")))</f>
        <v>16</v>
      </c>
      <c r="FZ46" s="8">
        <f>IF(_xlfn.XLOOKUP($A46,TabCAT!$A:$A,TabCAT!CK:CK,"NaN")="","NaN",(_xlfn.XLOOKUP($A46,TabCAT!$A:$A,TabCAT!CK:CK,"NaN")))</f>
        <v>0.5131095</v>
      </c>
      <c r="GA46" s="8">
        <f>IF(_xlfn.XLOOKUP($A46,TabCAT!$A:$A,TabCAT!CL:CL,"NaN")="","NaN",(_xlfn.XLOOKUP($A46,TabCAT!$A:$A,TabCAT!CL:CL,"NaN")))</f>
        <v>31</v>
      </c>
      <c r="GB46" s="8">
        <f>IF(_xlfn.XLOOKUP($A46,TabCAT!$A:$A,TabCAT!CM:CM,"NaN")="","NaN",(_xlfn.XLOOKUP($A46,TabCAT!$A:$A,TabCAT!CM:CM,"NaN")))</f>
        <v>0.44614100000000001</v>
      </c>
      <c r="GC46" s="8">
        <f>IF(_xlfn.XLOOKUP($A46,TabCAT!$A:$A,TabCAT!CN:CN,"NaN")="","NaN",(_xlfn.XLOOKUP($A46,TabCAT!$A:$A,TabCAT!CN:CN,"NaN")))</f>
        <v>18</v>
      </c>
      <c r="GD46" s="8">
        <f>IF(_xlfn.XLOOKUP($A46,TabCAT!$A:$A,TabCAT!CO:CO,"NaN")="","NaN",(_xlfn.XLOOKUP($A46,TabCAT!$A:$A,TabCAT!CO:CO,"NaN")))</f>
        <v>0.44194800000000001</v>
      </c>
      <c r="GE46" s="8">
        <f>IF(_xlfn.XLOOKUP($A46,TabCAT!$A:$A,TabCAT!CP:CP,"NaN")="","NaN",(_xlfn.XLOOKUP($A46,TabCAT!$A:$A,TabCAT!CP:CP,"NaN")))</f>
        <v>9.2177482932082902E-2</v>
      </c>
      <c r="GF46" s="8">
        <f>IF(_xlfn.XLOOKUP($A46,TabCAT!$A:$A,TabCAT!CQ:CQ,"NaN")="","NaN",(_xlfn.XLOOKUP($A46,TabCAT!$A:$A,TabCAT!CQ:CQ,"NaN")))</f>
        <v>54</v>
      </c>
      <c r="GG46" s="8">
        <f>IF(_xlfn.XLOOKUP($A46,TabCAT!$A:$A,TabCAT!CR:CR,"NaN")="","NaN",(_xlfn.XLOOKUP($A46,TabCAT!$A:$A,TabCAT!CR:CR,"NaN")))</f>
        <v>0.47568899999999997</v>
      </c>
      <c r="GH46" s="8">
        <f>IF(_xlfn.XLOOKUP($A46,TabCAT!$A:$A,TabCAT!CS:CS,"NaN")="","NaN",(_xlfn.XLOOKUP($A46,TabCAT!$A:$A,TabCAT!CS:CS,"NaN")))</f>
        <v>2.913043</v>
      </c>
    </row>
    <row r="47" spans="1:190" x14ac:dyDescent="0.2">
      <c r="A47">
        <v>10701</v>
      </c>
      <c r="B47">
        <f>_xlfn.XLOOKUP(bippity_poppity_boo!A47,rf1_data!A:A,rf1_data!B:B)</f>
        <v>131396</v>
      </c>
      <c r="C47" s="2">
        <f>(_xlfn.XLOOKUP($A47,trust!$A:$A,trust!B:B,"NaN"))</f>
        <v>4.5</v>
      </c>
      <c r="D47" s="2">
        <f>(_xlfn.XLOOKUP($A47,trust!$A:$A,trust!C:C,"NaN"))</f>
        <v>2.75</v>
      </c>
      <c r="E47" s="2">
        <f>(_xlfn.XLOOKUP($A47,trust!$A:$A,trust!D:D,"NaN"))</f>
        <v>3.5555560000000002</v>
      </c>
      <c r="F47" s="2">
        <f>(_xlfn.XLOOKUP($A47,trust!$A:$A,trust!E:E,"NaN"))</f>
        <v>3.2727270000000002</v>
      </c>
      <c r="G47" s="2">
        <f>(_xlfn.XLOOKUP($A47,trust!$A:$A,trust!F:F,"NaN"))</f>
        <v>3</v>
      </c>
      <c r="H47" s="2">
        <f>(_xlfn.XLOOKUP($A47,trust!$A:$A,trust!G:G,"NaN"))</f>
        <v>4</v>
      </c>
      <c r="I47" s="3">
        <f>IF(_xlfn.XLOOKUP($B47,island_data!$B:$B,island_data!C:C,"NaN")="","NaN",_xlfn.XLOOKUP($B47,island_data!$B:$B,island_data!C:C,"NaN"))</f>
        <v>45028</v>
      </c>
      <c r="J47" s="3">
        <f>IF(_xlfn.XLOOKUP($B47,island_data!$B:$B,island_data!D:D,"NaN")="","NaN",_xlfn.XLOOKUP($B47,island_data!$B:$B,island_data!D:D,"NaN"))</f>
        <v>35195</v>
      </c>
      <c r="K47" s="4">
        <f>IF(_xlfn.XLOOKUP($B47,island_data!$B:$B,island_data!E:E,"NaN")="","NaN",_xlfn.XLOOKUP($B47,island_data!$B:$B,island_data!E:E,"NaN"))</f>
        <v>26.92</v>
      </c>
      <c r="L47" s="5">
        <f>IF(_xlfn.XLOOKUP($B47,rf1_data!$B:$B,rf1_data!D:D,"NaN")="","NaN",(_xlfn.XLOOKUP($B47,rf1_data!$B:$B,rf1_data!D:D,"NaN")))</f>
        <v>27.02</v>
      </c>
      <c r="M47" s="5" t="str">
        <f>IF(_xlfn.XLOOKUP($B47,rf1_data!$B:$B,rf1_data!E:E,"NaN")="","NaN",(_xlfn.XLOOKUP($B47,rf1_data!$B:$B,rf1_data!E:E,"NaN")))</f>
        <v>White</v>
      </c>
      <c r="N47" s="5" t="str">
        <f>IF(_xlfn.XLOOKUP($B47,rf1_data!$B:$B,rf1_data!F:F,"NaN")="","NaN",(_xlfn.XLOOKUP($B47,rf1_data!$B:$B,rf1_data!F:F,"NaN")))</f>
        <v>Not Hispanic or Latino</v>
      </c>
      <c r="O47" s="5" t="str">
        <f>IF(_xlfn.XLOOKUP($B47,rf1_data!$B:$B,rf1_data!G:G,"NaN")="","NaN",(_xlfn.XLOOKUP($B47,rf1_data!$B:$B,rf1_data!G:G,"NaN")))</f>
        <v>Male</v>
      </c>
      <c r="P47" s="5">
        <f>IF(_xlfn.XLOOKUP($B47,rf1_data!$B:$B,rf1_data!H:H,"NaN")="","NaN",(_xlfn.XLOOKUP($B47,rf1_data!$B:$B,rf1_data!H:H,"NaN")))</f>
        <v>2.89</v>
      </c>
      <c r="Q47" s="5">
        <f>IF(_xlfn.XLOOKUP($B47,rf1_data!$B:$B,rf1_data!I:I,"NaN")="","NaN",(_xlfn.XLOOKUP($B47,rf1_data!$B:$B,rf1_data!I:I,"NaN")))</f>
        <v>3.7</v>
      </c>
      <c r="R47" s="5">
        <f>IF(_xlfn.XLOOKUP($B47,rf1_data!$B:$B,rf1_data!J:J,"NaN")="","NaN",(_xlfn.XLOOKUP($B47,rf1_data!$B:$B,rf1_data!J:J,"NaN")))</f>
        <v>6</v>
      </c>
      <c r="S47" s="5">
        <f>IF(_xlfn.XLOOKUP($B47,rf1_data!$B:$B,rf1_data!K:K,"NaN")="","NaN",(_xlfn.XLOOKUP($B47,rf1_data!$B:$B,rf1_data!K:K,"NaN")))</f>
        <v>7</v>
      </c>
      <c r="T47" s="5">
        <f>IF(_xlfn.XLOOKUP($B47,rf1_data!$B:$B,rf1_data!L:L,"NaN")="","NaN",(_xlfn.XLOOKUP($B47,rf1_data!$B:$B,rf1_data!L:L,"NaN")))</f>
        <v>0</v>
      </c>
      <c r="U47" s="5">
        <f>IF(_xlfn.XLOOKUP($B47,rf1_data!$B:$B,rf1_data!M:M,"NaN")="","NaN",(_xlfn.XLOOKUP($B47,rf1_data!$B:$B,rf1_data!M:M,"NaN")))</f>
        <v>3.67</v>
      </c>
      <c r="V47" s="5">
        <f>IF(_xlfn.XLOOKUP($B47,rf1_data!$B:$B,rf1_data!N:N,"NaN")="","NaN",(_xlfn.XLOOKUP($B47,rf1_data!$B:$B,rf1_data!N:N,"NaN")))</f>
        <v>4.5</v>
      </c>
      <c r="W47" s="5">
        <f>IF(_xlfn.XLOOKUP($B47,rf1_data!$B:$B,rf1_data!O:O,"NaN")="","NaN",(_xlfn.XLOOKUP($B47,rf1_data!$B:$B,rf1_data!O:O,"NaN")))</f>
        <v>4.38</v>
      </c>
      <c r="X47" s="5">
        <f>IF(_xlfn.XLOOKUP($B47,rf1_data!$B:$B,rf1_data!P:P,"NaN")="","NaN",(_xlfn.XLOOKUP($B47,rf1_data!$B:$B,rf1_data!P:P,"NaN")))</f>
        <v>3.33</v>
      </c>
      <c r="Y47" s="5">
        <f>IF(_xlfn.XLOOKUP($B47,rf1_data!$B:$B,rf1_data!Q:Q,"NaN")="","NaN",(_xlfn.XLOOKUP($B47,rf1_data!$B:$B,rf1_data!Q:Q,"NaN")))</f>
        <v>4.2300000000000004</v>
      </c>
      <c r="Z47" s="5">
        <f>IF(_xlfn.XLOOKUP($B47,rf1_data!$B:$B,rf1_data!R:R,"NaN")="","NaN",(_xlfn.XLOOKUP($B47,rf1_data!$B:$B,rf1_data!R:R,"NaN")))</f>
        <v>20</v>
      </c>
      <c r="AA47" s="5">
        <f>IF(_xlfn.XLOOKUP($B47,rf1_data!$B:$B,rf1_data!S:S,"NaN")="","NaN",(_xlfn.XLOOKUP($B47,rf1_data!$B:$B,rf1_data!S:S,"NaN")))</f>
        <v>1</v>
      </c>
      <c r="AB47" s="5">
        <f>IF(_xlfn.XLOOKUP($B47,rf1_data!$B:$B,rf1_data!T:T,"NaN")="","NaN",(_xlfn.XLOOKUP($B47,rf1_data!$B:$B,rf1_data!T:T,"NaN")))</f>
        <v>11</v>
      </c>
      <c r="AC47" s="5">
        <f>IF(_xlfn.XLOOKUP($B47,rf1_data!$B:$B,rf1_data!U:U,"NaN")="","NaN",(_xlfn.XLOOKUP($B47,rf1_data!$B:$B,rf1_data!U:U,"NaN")))</f>
        <v>2</v>
      </c>
      <c r="AD47" s="5">
        <f>IF(_xlfn.XLOOKUP($B47,rf1_data!$B:$B,rf1_data!V:V,"NaN")="","NaN",(_xlfn.XLOOKUP($B47,rf1_data!$B:$B,rf1_data!V:V,"NaN")))</f>
        <v>6</v>
      </c>
      <c r="AE47" s="5">
        <f>IF(_xlfn.XLOOKUP($B47,rf1_data!$B:$B,rf1_data!W:W,"NaN")="","NaN",(_xlfn.XLOOKUP($B47,rf1_data!$B:$B,rf1_data!W:W,"NaN")))</f>
        <v>4</v>
      </c>
      <c r="AF47" s="5">
        <f>IF(_xlfn.XLOOKUP($B47,rf1_data!$B:$B,rf1_data!X:X,"NaN")="","NaN",(_xlfn.XLOOKUP($B47,rf1_data!$B:$B,rf1_data!X:X,"NaN")))</f>
        <v>7</v>
      </c>
      <c r="AG47" s="5">
        <f>IF(_xlfn.XLOOKUP($B47,rf1_data!$B:$B,rf1_data!Y:Y,"NaN")="","NaN",(_xlfn.XLOOKUP($B47,rf1_data!$B:$B,rf1_data!Y:Y,"NaN")))</f>
        <v>3</v>
      </c>
      <c r="AH47" s="5">
        <f>IF(_xlfn.XLOOKUP($B47,rf1_data!$B:$B,rf1_data!Z:Z,"NaN")="","NaN",(_xlfn.XLOOKUP($B47,rf1_data!$B:$B,rf1_data!Z:Z,"NaN")))</f>
        <v>9</v>
      </c>
      <c r="AI47" s="5">
        <f>IF(_xlfn.XLOOKUP($B47,rf1_data!$B:$B,rf1_data!AA:AA,"NaN")="","NaN",(_xlfn.XLOOKUP($B47,rf1_data!$B:$B,rf1_data!AA:AA,"NaN")))</f>
        <v>4</v>
      </c>
      <c r="AJ47" s="5">
        <f>IF(_xlfn.XLOOKUP($B47,rf1_data!$B:$B,rf1_data!AB:AB,"NaN")="","NaN",(_xlfn.XLOOKUP($B47,rf1_data!$B:$B,rf1_data!AB:AB,"NaN")))</f>
        <v>27</v>
      </c>
      <c r="AK47" s="5">
        <f>IF(_xlfn.XLOOKUP($B47,rf1_data!$B:$B,rf1_data!AC:AC,"NaN")="","NaN",(_xlfn.XLOOKUP($B47,rf1_data!$B:$B,rf1_data!AC:AC,"NaN")))</f>
        <v>22</v>
      </c>
      <c r="AL47" s="5">
        <f>IF(_xlfn.XLOOKUP($B47,rf1_data!$B:$B,rf1_data!AD:AD,"NaN")="","NaN",(_xlfn.XLOOKUP($B47,rf1_data!$B:$B,rf1_data!AD:AD,"NaN")))</f>
        <v>13</v>
      </c>
      <c r="AM47" s="5">
        <f>IF(_xlfn.XLOOKUP($B47,rf1_data!$B:$B,rf1_data!AE:AE,"NaN")="","NaN",(_xlfn.XLOOKUP($B47,rf1_data!$B:$B,rf1_data!AE:AE,"NaN")))</f>
        <v>0</v>
      </c>
      <c r="AN47" s="5">
        <f>IF(_xlfn.XLOOKUP($B47,rf1_data!$B:$B,rf1_data!AF:AF,"NaN")="","NaN",(_xlfn.XLOOKUP($B47,rf1_data!$B:$B,rf1_data!AF:AF,"NaN")))</f>
        <v>0</v>
      </c>
      <c r="AO47" s="5">
        <f>IF(_xlfn.XLOOKUP($B47,rf1_data!$B:$B,rf1_data!AG:AG,"NaN")="","NaN",(_xlfn.XLOOKUP($B47,rf1_data!$B:$B,rf1_data!AG:AG,"NaN")))</f>
        <v>3.75</v>
      </c>
      <c r="AP47" s="5">
        <f>IF(_xlfn.XLOOKUP($B47,rf1_data!$B:$B,rf1_data!AH:AH,"NaN")="","NaN",(_xlfn.XLOOKUP($B47,rf1_data!$B:$B,rf1_data!AH:AH,"NaN")))</f>
        <v>6.25</v>
      </c>
      <c r="AQ47" s="5">
        <f>IF(_xlfn.XLOOKUP($B47,rf1_data!$B:$B,rf1_data!AI:AI,"NaN")="","NaN",(_xlfn.XLOOKUP($B47,rf1_data!$B:$B,rf1_data!AI:AI,"NaN")))</f>
        <v>2.5</v>
      </c>
      <c r="AR47" s="5">
        <f>IF(_xlfn.XLOOKUP($B47,rf1_data!$B:$B,rf1_data!AJ:AJ,"NaN")="","NaN",(_xlfn.XLOOKUP($B47,rf1_data!$B:$B,rf1_data!AJ:AJ,"NaN")))</f>
        <v>2.5</v>
      </c>
      <c r="AS47" s="5">
        <f>IF(_xlfn.XLOOKUP($B47,rf1_data!$B:$B,rf1_data!AK:AK,"NaN")="","NaN",(_xlfn.XLOOKUP($B47,rf1_data!$B:$B,rf1_data!AK:AK,"NaN")))</f>
        <v>3.5</v>
      </c>
      <c r="AT47" s="5">
        <f>IF(_xlfn.XLOOKUP($B47,rf1_data!$B:$B,rf1_data!AL:AL,"NaN")="","NaN",(_xlfn.XLOOKUP($B47,rf1_data!$B:$B,rf1_data!AL:AL,"NaN")))</f>
        <v>19</v>
      </c>
      <c r="AU47" s="5">
        <f>IF(_xlfn.XLOOKUP($B47,rf1_data!$B:$B,rf1_data!AM:AM,"NaN")="","NaN",(_xlfn.XLOOKUP($B47,rf1_data!$B:$B,rf1_data!AM:AM,"NaN")))</f>
        <v>4.58</v>
      </c>
      <c r="AV47" s="5">
        <f>IF(_xlfn.XLOOKUP($B47,rf1_data!$B:$B,rf1_data!AN:AN,"NaN")="","NaN",(_xlfn.XLOOKUP($B47,rf1_data!$B:$B,rf1_data!AN:AN,"NaN")))</f>
        <v>7</v>
      </c>
      <c r="AW47" s="5">
        <f>IF(_xlfn.XLOOKUP($B47,rf1_data!$B:$B,rf1_data!AO:AO,"NaN")="","NaN",(_xlfn.XLOOKUP($B47,rf1_data!$B:$B,rf1_data!AO:AO,"NaN")))</f>
        <v>1.33</v>
      </c>
      <c r="AX47" s="5">
        <f>IF(_xlfn.XLOOKUP($B47,rf1_data!$B:$B,rf1_data!AP:AP,"NaN")="","NaN",(_xlfn.XLOOKUP($B47,rf1_data!$B:$B,rf1_data!AP:AP,"NaN")))</f>
        <v>4.1399999999999997</v>
      </c>
      <c r="AY47" s="5" t="str">
        <f>IF(_xlfn.XLOOKUP($B47,rf1_data!$B:$B,rf1_data!AQ:AQ,"NaN")="","NaN",(_xlfn.XLOOKUP($B47,rf1_data!$B:$B,rf1_data!AQ:AQ,"NaN")))</f>
        <v>NaN</v>
      </c>
      <c r="AZ47" s="5" t="str">
        <f>IF(_xlfn.XLOOKUP($B47,rf1_data!$B:$B,rf1_data!AR:AR,"NaN")="","NaN",(_xlfn.XLOOKUP($B47,rf1_data!$B:$B,rf1_data!AR:AR,"NaN")))</f>
        <v>NaN</v>
      </c>
      <c r="BA47" s="5" t="str">
        <f>IF(_xlfn.XLOOKUP($B47,rf1_data!$B:$B,rf1_data!AS:AS,"NaN")="","NaN",(_xlfn.XLOOKUP($B47,rf1_data!$B:$B,rf1_data!AS:AS,"NaN")))</f>
        <v>NaN</v>
      </c>
      <c r="BB47" s="5" t="str">
        <f>IF(_xlfn.XLOOKUP($B47,rf1_data!$B:$B,rf1_data!AT:AT,"NaN")="","NaN",(_xlfn.XLOOKUP($B47,rf1_data!$B:$B,rf1_data!AT:AT,"NaN")))</f>
        <v>NaN</v>
      </c>
      <c r="BC47" s="5" t="str">
        <f>IF(_xlfn.XLOOKUP($B47,rf1_data!$B:$B,rf1_data!AU:AU,"NaN")="","NaN",(_xlfn.XLOOKUP($B47,rf1_data!$B:$B,rf1_data!AU:AU,"NaN")))</f>
        <v>NaN</v>
      </c>
      <c r="BD47" s="5" t="str">
        <f>IF(_xlfn.XLOOKUP($B47,rf1_data!$B:$B,rf1_data!AV:AV,"NaN")="","NaN",(_xlfn.XLOOKUP($B47,rf1_data!$B:$B,rf1_data!AV:AV,"NaN")))</f>
        <v>NaN</v>
      </c>
      <c r="BE47" s="5" t="str">
        <f>IF(_xlfn.XLOOKUP($B47,rf1_data!$B:$B,rf1_data!AW:AW,"NaN")="","NaN",(_xlfn.XLOOKUP($B47,rf1_data!$B:$B,rf1_data!AW:AW,"NaN")))</f>
        <v>NaN</v>
      </c>
      <c r="BF47" s="5" t="str">
        <f>IF(_xlfn.XLOOKUP($B47,rf1_data!$B:$B,rf1_data!AX:AX,"NaN")="","NaN",(_xlfn.XLOOKUP($B47,rf1_data!$B:$B,rf1_data!AX:AX,"NaN")))</f>
        <v>NaN</v>
      </c>
      <c r="BG47" s="5" t="str">
        <f>IF(_xlfn.XLOOKUP($B47,rf1_data!$B:$B,rf1_data!AY:AY,"NaN")="","NaN",(_xlfn.XLOOKUP($B47,rf1_data!$B:$B,rf1_data!AY:AY,"NaN")))</f>
        <v>NaN</v>
      </c>
      <c r="BH47" s="5" t="str">
        <f>IF(_xlfn.XLOOKUP($B47,rf1_data!$B:$B,rf1_data!AZ:AZ,"NaN")="","NaN",(_xlfn.XLOOKUP($B47,rf1_data!$B:$B,rf1_data!AZ:AZ,"NaN")))</f>
        <v>NaN</v>
      </c>
      <c r="BI47" s="5">
        <f>IF(_xlfn.XLOOKUP($B47,rf1_data!$B:$B,rf1_data!BA:BA,"NaN")="","NaN",(_xlfn.XLOOKUP($B47,rf1_data!$B:$B,rf1_data!BA:BA,"NaN")))</f>
        <v>20</v>
      </c>
      <c r="BJ47" s="5" t="str">
        <f>IF(_xlfn.XLOOKUP($B47,rf1_data!$B:$B,rf1_data!BB:BB,"NaN")="","NaN",(_xlfn.XLOOKUP($B47,rf1_data!$B:$B,rf1_data!BB:BB,"NaN")))</f>
        <v>NaN</v>
      </c>
      <c r="BK47" s="5" t="str">
        <f>IF(_xlfn.XLOOKUP($B47,rf1_data!$B:$B,rf1_data!BC:BC,"NaN")="","NaN",(_xlfn.XLOOKUP($B47,rf1_data!$B:$B,rf1_data!BC:BC,"NaN")))</f>
        <v>NaN</v>
      </c>
      <c r="BL47" s="5" t="str">
        <f>IF(_xlfn.XLOOKUP($B47,rf1_data!$B:$B,rf1_data!BD:BD,"NaN")="","NaN",(_xlfn.XLOOKUP($B47,rf1_data!$B:$B,rf1_data!BD:BD,"NaN")))</f>
        <v>NaN</v>
      </c>
      <c r="BM47" s="5" t="str">
        <f>IF(_xlfn.XLOOKUP($B47,rf1_data!$B:$B,rf1_data!BE:BE,"NaN")="","NaN",(_xlfn.XLOOKUP($B47,rf1_data!$B:$B,rf1_data!BE:BE,"NaN")))</f>
        <v>NaN</v>
      </c>
      <c r="BN47" s="5" t="str">
        <f>IF(_xlfn.XLOOKUP($B47,rf1_data!$B:$B,rf1_data!BF:BF,"NaN")="","NaN",(_xlfn.XLOOKUP($B47,rf1_data!$B:$B,rf1_data!BF:BF,"NaN")))</f>
        <v>NaN</v>
      </c>
      <c r="BO47" s="5" t="str">
        <f>IF(_xlfn.XLOOKUP($B47,rf1_data!$B:$B,rf1_data!BG:BG,"NaN")="","NaN",(_xlfn.XLOOKUP($B47,rf1_data!$B:$B,rf1_data!BG:BG,"NaN")))</f>
        <v>NaN</v>
      </c>
      <c r="BP47" s="5" t="str">
        <f>IF(_xlfn.XLOOKUP($B47,rf1_data!$B:$B,rf1_data!BH:BH,"NaN")="","NaN",(_xlfn.XLOOKUP($B47,rf1_data!$B:$B,rf1_data!BH:BH,"NaN")))</f>
        <v>NaN</v>
      </c>
      <c r="BQ47" s="5" t="str">
        <f>IF(_xlfn.XLOOKUP($B47,rf1_data!$B:$B,rf1_data!BI:BI,"NaN")="","NaN",(_xlfn.XLOOKUP($B47,rf1_data!$B:$B,rf1_data!BI:BI,"NaN")))</f>
        <v>NaN</v>
      </c>
      <c r="BR47" s="5">
        <f>IF(_xlfn.XLOOKUP($B47,rf1_data!$B:$B,rf1_data!BJ:BJ,"NaN")="","NaN",(_xlfn.XLOOKUP($B47,rf1_data!$B:$B,rf1_data!BJ:BJ,"NaN")))</f>
        <v>8991</v>
      </c>
      <c r="BS47" s="5" t="str">
        <f>IF(_xlfn.XLOOKUP($B47,rf1_data!$B:$B,rf1_data!BK:BK,"NaN")="","NaN",(_xlfn.XLOOKUP($B47,rf1_data!$B:$B,rf1_data!BK:BK,"NaN")))</f>
        <v>NaN</v>
      </c>
      <c r="BT47" s="5" t="str">
        <f>IF(_xlfn.XLOOKUP($B47,rf1_data!$B:$B,rf1_data!BL:BL,"NaN")="","NaN",(_xlfn.XLOOKUP($B47,rf1_data!$B:$B,rf1_data!BL:BL,"NaN")))</f>
        <v>NaN</v>
      </c>
      <c r="BU47" s="5" t="str">
        <f>IF(_xlfn.XLOOKUP($B47,rf1_data!$B:$B,rf1_data!BM:BM,"NaN")="","NaN",(_xlfn.XLOOKUP($B47,rf1_data!$B:$B,rf1_data!BM:BM,"NaN")))</f>
        <v>NaN</v>
      </c>
      <c r="BV47" s="5" t="str">
        <f>IF(_xlfn.XLOOKUP($B47,rf1_data!$B:$B,rf1_data!BN:BN,"NaN")="","NaN",(_xlfn.XLOOKUP($B47,rf1_data!$B:$B,rf1_data!BN:BN,"NaN")))</f>
        <v>NaN</v>
      </c>
      <c r="BW47" s="5">
        <f>IF(_xlfn.XLOOKUP($B47,rf1_data!$B:$B,rf1_data!BO:BO,"NaN")="","NaN",(_xlfn.XLOOKUP($B47,rf1_data!$B:$B,rf1_data!BO:BO,"NaN")))</f>
        <v>3.4</v>
      </c>
      <c r="BX47" s="5">
        <f>IF(_xlfn.XLOOKUP($B47,rf1_data!$B:$B,rf1_data!BP:BP,"NaN")="","NaN",(_xlfn.XLOOKUP($B47,rf1_data!$B:$B,rf1_data!BP:BP,"NaN")))</f>
        <v>4.0999999999999996</v>
      </c>
      <c r="BY47" s="5">
        <f>IF(_xlfn.XLOOKUP($B47,rf1_data!$B:$B,rf1_data!BQ:BQ,"NaN")="","NaN",(_xlfn.XLOOKUP($B47,rf1_data!$B:$B,rf1_data!BQ:BQ,"NaN")))</f>
        <v>3.5</v>
      </c>
      <c r="BZ47" s="5">
        <f>IF(_xlfn.XLOOKUP($B47,rf1_data!$B:$B,rf1_data!BR:BR,"NaN")="","NaN",(_xlfn.XLOOKUP($B47,rf1_data!$B:$B,rf1_data!BR:BR,"NaN")))</f>
        <v>3.67</v>
      </c>
      <c r="CA47" s="5">
        <f>IF(_xlfn.XLOOKUP($B47,rf1_data!$B:$B,rf1_data!BS:BS,"NaN")="","NaN",(_xlfn.XLOOKUP($B47,rf1_data!$B:$B,rf1_data!BS:BS,"NaN")))</f>
        <v>6</v>
      </c>
      <c r="CB47" s="5">
        <f>IF(_xlfn.XLOOKUP($B47,rf1_data!$B:$B,rf1_data!BT:BT,"NaN")="","NaN",(_xlfn.XLOOKUP($B47,rf1_data!$B:$B,rf1_data!BT:BT,"NaN")))</f>
        <v>4.3333333333333304</v>
      </c>
      <c r="CC47" s="5">
        <f>IF(_xlfn.XLOOKUP($B47,rf1_data!$B:$B,rf1_data!BU:BU,"NaN")="","NaN",(_xlfn.XLOOKUP($B47,rf1_data!$B:$B,rf1_data!BU:BU,"NaN")))</f>
        <v>6</v>
      </c>
      <c r="CD47" s="5">
        <f>IF(_xlfn.XLOOKUP($B47,rf1_data!$B:$B,rf1_data!BV:BV,"NaN")="","NaN",(_xlfn.XLOOKUP($B47,rf1_data!$B:$B,rf1_data!BV:BV,"NaN")))</f>
        <v>4.3333333333333304</v>
      </c>
      <c r="CE47" s="5">
        <f>IF(_xlfn.XLOOKUP($B47,rf1_data!$B:$B,rf1_data!BW:BW,"NaN")="","NaN",(_xlfn.XLOOKUP($B47,rf1_data!$B:$B,rf1_data!BW:BW,"NaN")))</f>
        <v>0.65</v>
      </c>
      <c r="CF47" s="5">
        <f>IF(_xlfn.XLOOKUP($B47,rf1_data!$B:$B,rf1_data!BX:BX,"NaN")="","NaN",(_xlfn.XLOOKUP($B47,rf1_data!$B:$B,rf1_data!BX:BX,"NaN")))</f>
        <v>0</v>
      </c>
      <c r="CG47" s="5">
        <f>IF(_xlfn.XLOOKUP($B47,rf1_data!$B:$B,rf1_data!BY:BY,"NaN")="","NaN",(_xlfn.XLOOKUP($B47,rf1_data!$B:$B,rf1_data!BY:BY,"NaN")))</f>
        <v>0</v>
      </c>
      <c r="CH47" s="5">
        <f>IF(_xlfn.XLOOKUP($B47,rf1_data!$B:$B,rf1_data!BZ:BZ,"NaN")="","NaN",(_xlfn.XLOOKUP($B47,rf1_data!$B:$B,rf1_data!BZ:BZ,"NaN")))</f>
        <v>26</v>
      </c>
      <c r="CI47" s="5">
        <f>IF(_xlfn.XLOOKUP($B47,rf1_data!$B:$B,rf1_data!CA:CA,"NaN")="","NaN",(_xlfn.XLOOKUP($B47,rf1_data!$B:$B,rf1_data!CA:CA,"NaN")))</f>
        <v>22</v>
      </c>
      <c r="CJ47" s="5">
        <f>IF(_xlfn.XLOOKUP($B47,rf1_data!$B:$B,rf1_data!CB:CB,"NaN")="","NaN",(_xlfn.XLOOKUP($B47,rf1_data!$B:$B,rf1_data!CB:CB,"NaN")))</f>
        <v>10</v>
      </c>
      <c r="CK47" s="5">
        <f>IF(_xlfn.XLOOKUP($B47,rf1_data!$B:$B,rf1_data!CC:CC,"NaN")="","NaN",(_xlfn.XLOOKUP($B47,rf1_data!$B:$B,rf1_data!CC:CC,"NaN")))</f>
        <v>1</v>
      </c>
      <c r="CL47" s="5">
        <f>IF(_xlfn.XLOOKUP($B47,rf1_data!$B:$B,rf1_data!CD:CD,"NaN")=0,"NaN",(_xlfn.XLOOKUP($B47,rf1_data!$B:$B,rf1_data!CD:CD,"NaN")))</f>
        <v>35</v>
      </c>
      <c r="CM47" s="5">
        <f>IF(_xlfn.XLOOKUP($B47,rf1_data!$B:$B,rf1_data!CE:CE,"NaN")="","NaN",(_xlfn.XLOOKUP($B47,rf1_data!$B:$B,rf1_data!CE:CE,"NaN")))</f>
        <v>31</v>
      </c>
      <c r="CN47" s="5">
        <f>IF(_xlfn.XLOOKUP($B47,rf1_data!$B:$B,rf1_data!CF:CF,"NaN")="","NaN",(_xlfn.XLOOKUP($B47,rf1_data!$B:$B,rf1_data!CF:CF,"NaN")))</f>
        <v>50</v>
      </c>
      <c r="CO47" s="5">
        <f>IF(_xlfn.XLOOKUP($B47,rf1_data!$B:$B,rf1_data!CG:CG,"NaN")="","NaN",(_xlfn.XLOOKUP($B47,rf1_data!$B:$B,rf1_data!CG:CG,"NaN")))</f>
        <v>23</v>
      </c>
      <c r="CP47" s="5">
        <f>IF(_xlfn.XLOOKUP($B47,rf1_data!$B:$B,rf1_data!CH:CH,"NaN")=0,"NaN",(_xlfn.XLOOKUP($B47,rf1_data!$B:$B,rf1_data!CH:CH,"NaN")))</f>
        <v>34</v>
      </c>
      <c r="CQ47" s="5">
        <f>IF(_xlfn.XLOOKUP($B47,rf1_data!$B:$B,rf1_data!CI:CI,"NaN")="","NaN",(_xlfn.XLOOKUP($B47,rf1_data!$B:$B,rf1_data!CI:CI,"NaN")))</f>
        <v>46</v>
      </c>
      <c r="CR47" s="5">
        <f>IF(_xlfn.XLOOKUP($B47,rf1_data!$B:$B,rf1_data!CJ:CJ,"NaN")="","NaN",(_xlfn.XLOOKUP($B47,rf1_data!$B:$B,rf1_data!CJ:CJ,"NaN")))</f>
        <v>60</v>
      </c>
      <c r="CS47" s="5">
        <f>IF(_xlfn.XLOOKUP($B47,rf1_data!$B:$B,rf1_data!CK:CK,"NaN")="","NaN",(_xlfn.XLOOKUP($B47,rf1_data!$B:$B,rf1_data!CK:CK,"NaN")))</f>
        <v>38</v>
      </c>
      <c r="CT47" s="5">
        <f>IF(_xlfn.XLOOKUP($B47,rf1_data!$B:$B,rf1_data!CL:CL,"NaN")="","NaN",(_xlfn.XLOOKUP($B47,rf1_data!$B:$B,rf1_data!CL:CL,"NaN")))</f>
        <v>60</v>
      </c>
      <c r="CU47" s="5">
        <f>IF(_xlfn.XLOOKUP($B47,rf1_data!$B:$B,rf1_data!CM:CM,"NaN")="","NaN",(_xlfn.XLOOKUP($B47,rf1_data!$B:$B,rf1_data!CM:CM,"NaN")))</f>
        <v>38</v>
      </c>
      <c r="CV47" s="5">
        <f>IF(_xlfn.XLOOKUP($B47,rf1_data!$B:$B,rf1_data!CN:CN,"NaN")="","NaN",(_xlfn.XLOOKUP($B47,rf1_data!$B:$B,rf1_data!CN:CN,"NaN")))</f>
        <v>60</v>
      </c>
      <c r="CW47" s="5" t="str">
        <f>IF(_xlfn.XLOOKUP($B47,rf1_data!$B:$B,rf1_data!CO:CO,"NaN")="","NaN",(_xlfn.XLOOKUP($B47,rf1_data!$B:$B,rf1_data!CO:CO,"NaN")))</f>
        <v>NaN</v>
      </c>
      <c r="CX47" s="5" t="str">
        <f>IF(_xlfn.XLOOKUP($B47,rf1_data!$B:$B,rf1_data!CP:CP,"NaN")="","NaN",(_xlfn.XLOOKUP($B47,rf1_data!$B:$B,rf1_data!CP:CP,"NaN")))</f>
        <v>NaN</v>
      </c>
      <c r="CY47" s="5">
        <f>IF(_xlfn.XLOOKUP($B47,rf1_data!$B:$B,rf1_data!CQ:CQ,"NaN")="","NaN",(_xlfn.XLOOKUP($B47,rf1_data!$B:$B,rf1_data!CQ:CQ,"NaN")))</f>
        <v>6</v>
      </c>
      <c r="CZ47" s="5">
        <f>IF(_xlfn.XLOOKUP($B47,rf1_data!$B:$B,rf1_data!CR:CR,"NaN")="","NaN",(_xlfn.XLOOKUP($B47,rf1_data!$B:$B,rf1_data!CR:CR,"NaN")))</f>
        <v>1</v>
      </c>
      <c r="DA47" s="5">
        <f>IF(_xlfn.XLOOKUP($B47,rf1_data!$B:$B,rf1_data!CS:CS,"NaN")="","NaN",(_xlfn.XLOOKUP($B47,rf1_data!$B:$B,rf1_data!CS:CS,"NaN")))</f>
        <v>3</v>
      </c>
      <c r="DB47" s="4">
        <f>IF(_xlfn.XLOOKUP($B47,island_data!$B:$B,island_data!H:H,"NaN")="","NaN",_xlfn.XLOOKUP($B47,island_data!$B:$B,island_data!H:H,"NaN"))</f>
        <v>10</v>
      </c>
      <c r="DC47" s="4">
        <f>IF(_xlfn.XLOOKUP($B47,island_data!$B:$B,island_data!I:I,"NaN")="","NaN",_xlfn.XLOOKUP($B47,island_data!$B:$B,island_data!I:I,"NaN"))</f>
        <v>2</v>
      </c>
      <c r="DD47" s="4">
        <f>IF(_xlfn.XLOOKUP($B47,island_data!$B:$B,island_data!J:J,"NaN")="","NaN",_xlfn.XLOOKUP($B47,island_data!$B:$B,island_data!J:J,"NaN"))</f>
        <v>2</v>
      </c>
      <c r="DE47" s="4">
        <f>IF(_xlfn.XLOOKUP($B47,island_data!$B:$B,island_data!K:K,"NaN")="","NaN",_xlfn.XLOOKUP($B47,island_data!$B:$B,island_data!K:K,"NaN"))</f>
        <v>8</v>
      </c>
      <c r="DF47" s="4">
        <f>IF(_xlfn.XLOOKUP($B47,island_data!$B:$B,island_data!L:L,"NaN")="","NaN",_xlfn.XLOOKUP($B47,island_data!$B:$B,island_data!L:L,"NaN"))</f>
        <v>0</v>
      </c>
      <c r="DG47" s="4">
        <f>IF(_xlfn.XLOOKUP($B47,island_data!$B:$B,island_data!M:M,"NaN")="","NaN",_xlfn.XLOOKUP($B47,island_data!$B:$B,island_data!M:M,"NaN"))</f>
        <v>2.6875</v>
      </c>
      <c r="DH47" s="4">
        <f>IF(_xlfn.XLOOKUP($B47,island_data!$B:$B,island_data!N:N,"NaN")="","NaN",_xlfn.XLOOKUP($B47,island_data!$B:$B,island_data!N:N,"NaN"))</f>
        <v>8</v>
      </c>
      <c r="DI47" s="4">
        <f>IF(_xlfn.XLOOKUP($B47,island_data!$B:$B,island_data!O:O,"NaN")=999,"NaN",_xlfn.XLOOKUP($B47,island_data!$B:$B,island_data!O:O,"NaN"))</f>
        <v>0</v>
      </c>
      <c r="DJ47" s="4">
        <f>IF(_xlfn.XLOOKUP($B47,island_data!$B:$B,island_data!P:P,"NaN")="","NaN",_xlfn.XLOOKUP($B47,island_data!$B:$B,island_data!P:P,"NaN"))</f>
        <v>8</v>
      </c>
      <c r="DK47" s="4">
        <f>IF(_xlfn.XLOOKUP($B47,island_data!$B:$B,island_data!Q:Q,"NaN")="","NaN",_xlfn.XLOOKUP($B47,island_data!$B:$B,island_data!Q:Q,"NaN"))</f>
        <v>1</v>
      </c>
      <c r="DL47" s="4">
        <f>IF(_xlfn.XLOOKUP($B47,island_data!$B:$B,island_data!R:R,"NaN")=999,"NaN",_xlfn.XLOOKUP($B47,island_data!$B:$B,island_data!R:R,"NaN"))</f>
        <v>17</v>
      </c>
      <c r="DM47" s="4">
        <f>IF(_xlfn.XLOOKUP($B47,island_data!$B:$B,island_data!S:S,"NaN")="","NaN",_xlfn.XLOOKUP($B47,island_data!$B:$B,island_data!S:S,"NaN"))</f>
        <v>9</v>
      </c>
      <c r="DN47" s="4">
        <f>IF(_xlfn.XLOOKUP($B47,island_data!$B:$B,island_data!T:T,"NaN")="","NaN",_xlfn.XLOOKUP($B47,island_data!$B:$B,island_data!T:T,"NaN"))</f>
        <v>2.5833333333333299</v>
      </c>
      <c r="DO47" s="4">
        <f>IF(_xlfn.XLOOKUP($B47,island_data!$B:$B,island_data!U:U,"NaN")="","NaN",_xlfn.XLOOKUP($B47,island_data!$B:$B,island_data!U:U,"NaN"))</f>
        <v>6</v>
      </c>
      <c r="DP47" s="4">
        <f>IF(_xlfn.XLOOKUP($B47,island_data!$B:$B,island_data!V:V,"NaN")="","NaN",_xlfn.XLOOKUP($B47,island_data!$B:$B,island_data!V:V,"NaN"))</f>
        <v>3</v>
      </c>
      <c r="DQ47" s="4">
        <f>IF(_xlfn.XLOOKUP($B47,island_data!$B:$B,island_data!W:W,"NaN")="","NaN",_xlfn.XLOOKUP($B47,island_data!$B:$B,island_data!W:W,"NaN"))</f>
        <v>5</v>
      </c>
      <c r="DR47" s="4">
        <f>IF(_xlfn.XLOOKUP($B47,island_data!$B:$B,island_data!X:X,"NaN")="","NaN",_xlfn.XLOOKUP($B47,island_data!$B:$B,island_data!X:X,"NaN"))</f>
        <v>6</v>
      </c>
      <c r="DS47" s="4" t="str">
        <f>IF(_xlfn.XLOOKUP($B47,island_data!$B:$B,island_data!Y:Y,"NaN")="","NaN",_xlfn.XLOOKUP($B47,island_data!$B:$B,island_data!Y:Y,"NaN"))</f>
        <v>NaN</v>
      </c>
      <c r="DT47" s="4" t="str">
        <f>IF(_xlfn.XLOOKUP($B47,island_data!$B:$B,island_data!Z:Z,"NaN")="","NaN",_xlfn.XLOOKUP($B47,island_data!$B:$B,island_data!Z:Z,"NaN"))</f>
        <v>NaN</v>
      </c>
      <c r="DU47" s="4" t="str">
        <f>IF(_xlfn.XLOOKUP($B47,island_data!$B:$B,island_data!AA:AA,"NaN")="","NaN",_xlfn.XLOOKUP($B47,island_data!$B:$B,island_data!AA:AA,"NaN"))</f>
        <v>NaN</v>
      </c>
      <c r="DV47" s="4">
        <f>IF(_xlfn.XLOOKUP($B47,island_data!$B:$B,island_data!AB:AB,"NaN")="","NaN",_xlfn.XLOOKUP($B47,island_data!$B:$B,island_data!AB:AB,"NaN"))</f>
        <v>1</v>
      </c>
      <c r="DW47" s="4">
        <f>IF(_xlfn.XLOOKUP($B47,island_data!$B:$B,island_data!AC:AC,"NaN")="","NaN",_xlfn.XLOOKUP($B47,island_data!$B:$B,island_data!AC:AC,"NaN"))</f>
        <v>15217</v>
      </c>
      <c r="DX47" s="4">
        <f>IF(_xlfn.XLOOKUP($B47,island_data!$B:$B,island_data!AD:AD,"NaN")="","NaN",_xlfn.XLOOKUP($B47,island_data!$B:$B,island_data!AD:AD,"NaN"))</f>
        <v>5</v>
      </c>
      <c r="DY47" s="4">
        <f>IF(_xlfn.XLOOKUP($B47,island_data!$B:$B,island_data!AE:AE,"NaN")="","NaN",_xlfn.XLOOKUP($B47,island_data!$B:$B,island_data!AE:AE,"NaN"))</f>
        <v>1</v>
      </c>
      <c r="DZ47" s="4" t="str">
        <f>IF(_xlfn.XLOOKUP($B47,island_data!$B:$B,island_data!AF:AF,"NaN")="","NaN",_xlfn.XLOOKUP($B47,island_data!$B:$B,island_data!AF:AF,"NaN"))</f>
        <v>NaN</v>
      </c>
      <c r="EA47" s="4" t="str">
        <f>IF(_xlfn.XLOOKUP($B47,island_data!$B:$B,island_data!AG:AG,"NaN")="","NaN",_xlfn.XLOOKUP($B47,island_data!$B:$B,island_data!AG:AG,"NaN"))</f>
        <v>NaN</v>
      </c>
      <c r="EB47" s="4" t="str">
        <f>IF(_xlfn.XLOOKUP($B47,island_data!$B:$B,island_data!AH:AH,"NaN")="","NaN",_xlfn.XLOOKUP($B47,island_data!$B:$B,island_data!AH:AH,"NaN"))</f>
        <v>NaN</v>
      </c>
      <c r="EC47" s="4" t="str">
        <f>IF(_xlfn.XLOOKUP($B47,island_data!$B:$B,island_data!AI:AI,"NaN")="","NaN",_xlfn.XLOOKUP($B47,island_data!$B:$B,island_data!AI:AI,"NaN"))</f>
        <v>NaN</v>
      </c>
      <c r="ED47" s="4" t="str">
        <f>IF(_xlfn.XLOOKUP($B47,island_data!$B:$B,island_data!AJ:AJ,"NaN")="","NaN",_xlfn.XLOOKUP($B47,island_data!$B:$B,island_data!AJ:AJ,"NaN"))</f>
        <v>NaN</v>
      </c>
      <c r="EE47" s="4" t="str">
        <f>IF(_xlfn.XLOOKUP($B47,island_data!$B:$B,island_data!AK:AK,"NaN")="","NaN",_xlfn.XLOOKUP($B47,island_data!$B:$B,island_data!AK:AK,"NaN"))</f>
        <v>NaN</v>
      </c>
      <c r="EF47" s="4" t="str">
        <f>IF(_xlfn.XLOOKUP($B47,island_data!$B:$B,island_data!AL:AL,"NaN")="","NaN",_xlfn.XLOOKUP($B47,island_data!$B:$B,island_data!AL:AL,"NaN"))</f>
        <v>NaN</v>
      </c>
      <c r="EG47" s="4" t="str">
        <f>IF(_xlfn.XLOOKUP($B47,island_data!$B:$B,island_data!AM:AM,"NaN")="","NaN",_xlfn.XLOOKUP($B47,island_data!$B:$B,island_data!AM:AM,"NaN"))</f>
        <v>NaN</v>
      </c>
      <c r="EH47" s="4" t="str">
        <f>IF(_xlfn.XLOOKUP($B47,island_data!$B:$B,island_data!AN:AN,"NaN")="","NaN",_xlfn.XLOOKUP($B47,island_data!$B:$B,island_data!AN:AN,"NaN"))</f>
        <v>NaN</v>
      </c>
      <c r="EI47" s="4" t="str">
        <f>IF(_xlfn.XLOOKUP($B47,island_data!$B:$B,island_data!AO:AO,"NaN")="","NaN",_xlfn.XLOOKUP($B47,island_data!$B:$B,island_data!AO:AO,"NaN"))</f>
        <v>NaN</v>
      </c>
      <c r="EJ47" s="8">
        <f>IF(_xlfn.XLOOKUP($A47,TabCAT!$A:$A,TabCAT!AU:AU,"NaN")="","NaN",(_xlfn.XLOOKUP($A47,TabCAT!$A:$A,TabCAT!AU:AU,"NaN")))</f>
        <v>164</v>
      </c>
      <c r="EK47" s="8" t="b">
        <f>IF(_xlfn.XLOOKUP($A47,TabCAT!$A:$A,TabCAT!AV:AV,"NaN")="","NaN",(_xlfn.XLOOKUP($A47,TabCAT!$A:$A,TabCAT!AV:AV,"NaN")))</f>
        <v>1</v>
      </c>
      <c r="EL47" s="8">
        <f>IF(_xlfn.XLOOKUP($A47,TabCAT!$A:$A,TabCAT!AW:AW,"NaN")="","NaN",(_xlfn.XLOOKUP($A47,TabCAT!$A:$A,TabCAT!AW:AW,"NaN")))</f>
        <v>6</v>
      </c>
      <c r="EM47" s="8">
        <f>IF(_xlfn.XLOOKUP($A47,TabCAT!$A:$A,TabCAT!AX:AX,"NaN")="","NaN",(_xlfn.XLOOKUP($A47,TabCAT!$A:$A,TabCAT!AX:AX,"NaN")))</f>
        <v>0</v>
      </c>
      <c r="EN47" s="8">
        <f>IF(_xlfn.XLOOKUP($A47,TabCAT!$A:$A,TabCAT!AY:AY,"NaN")="","NaN",(_xlfn.XLOOKUP($A47,TabCAT!$A:$A,TabCAT!AY:AY,"NaN")))</f>
        <v>8.6</v>
      </c>
      <c r="EO47" s="8">
        <f>IF(_xlfn.XLOOKUP($A47,TabCAT!$A:$A,TabCAT!AZ:AZ,"NaN")="","NaN",(_xlfn.XLOOKUP($A47,TabCAT!$A:$A,TabCAT!AZ:AZ,"NaN")))</f>
        <v>32</v>
      </c>
      <c r="EP47" s="8">
        <f>IF(_xlfn.XLOOKUP($A47,TabCAT!$A:$A,TabCAT!BA:BA,"NaN")="","NaN",(_xlfn.XLOOKUP($A47,TabCAT!$A:$A,TabCAT!BA:BA,"NaN")))</f>
        <v>0.73737649999999999</v>
      </c>
      <c r="EQ47" s="8">
        <f>IF(_xlfn.XLOOKUP($A47,TabCAT!$A:$A,TabCAT!BB:BB,"NaN")="","NaN",(_xlfn.XLOOKUP($A47,TabCAT!$A:$A,TabCAT!BB:BB,"NaN")))</f>
        <v>0.18720635455871401</v>
      </c>
      <c r="ER47" s="8">
        <f>IF(_xlfn.XLOOKUP($A47,TabCAT!$A:$A,TabCAT!BC:BC,"NaN")="","NaN",(_xlfn.XLOOKUP($A47,TabCAT!$A:$A,TabCAT!BC:BC,"NaN")))</f>
        <v>16</v>
      </c>
      <c r="ES47" s="8">
        <f>IF(_xlfn.XLOOKUP($A47,TabCAT!$A:$A,TabCAT!BD:BD,"NaN")="","NaN",(_xlfn.XLOOKUP($A47,TabCAT!$A:$A,TabCAT!BD:BD,"NaN")))</f>
        <v>0.71252249999999995</v>
      </c>
      <c r="ET47" s="8">
        <f>IF(_xlfn.XLOOKUP($A47,TabCAT!$A:$A,TabCAT!BE:BE,"NaN")="","NaN",(_xlfn.XLOOKUP($A47,TabCAT!$A:$A,TabCAT!BE:BE,"NaN")))</f>
        <v>16</v>
      </c>
      <c r="EU47" s="8">
        <f>IF(_xlfn.XLOOKUP($A47,TabCAT!$A:$A,TabCAT!BF:BF,"NaN")="","NaN",(_xlfn.XLOOKUP($A47,TabCAT!$A:$A,TabCAT!BF:BF,"NaN")))</f>
        <v>0.80386599999999997</v>
      </c>
      <c r="EV47" s="8">
        <f>IF(_xlfn.XLOOKUP($A47,TabCAT!$A:$A,TabCAT!BG:BG,"NaN")="","NaN",(_xlfn.XLOOKUP($A47,TabCAT!$A:$A,TabCAT!BG:BG,"NaN")))</f>
        <v>0.28301900000000002</v>
      </c>
      <c r="EW47" s="8" t="str">
        <f>IF(_xlfn.XLOOKUP($A47,TabCAT!$A:$A,TabCAT!BH:BH,"NaN")="","NaN",(_xlfn.XLOOKUP($A47,TabCAT!$A:$A,TabCAT!BH:BH,"NaN")))</f>
        <v>3.0.0</v>
      </c>
      <c r="EX47" s="8" t="str">
        <f>IF(_xlfn.XLOOKUP($A47,TabCAT!$A:$A,TabCAT!BI:BI,"NaN")="","NaN",(_xlfn.XLOOKUP($A47,TabCAT!$A:$A,TabCAT!BI:BI,"NaN")))</f>
        <v>English</v>
      </c>
      <c r="EY47" s="8">
        <f>IF(_xlfn.XLOOKUP($A47,TabCAT!$A:$A,TabCAT!BJ:BJ,"NaN")="","NaN",(_xlfn.XLOOKUP($A47,TabCAT!$A:$A,TabCAT!BJ:BJ,"NaN")))</f>
        <v>259</v>
      </c>
      <c r="EZ47" s="8">
        <f>IF(_xlfn.XLOOKUP($A47,TabCAT!$A:$A,TabCAT!BK:BK,"NaN")="","NaN",(_xlfn.XLOOKUP($A47,TabCAT!$A:$A,TabCAT!BK:BK,"NaN")))</f>
        <v>1</v>
      </c>
      <c r="FA47" s="8">
        <f>IF(_xlfn.XLOOKUP($A47,TabCAT!$A:$A,TabCAT!BL:BL,"NaN")="","NaN",(_xlfn.XLOOKUP($A47,TabCAT!$A:$A,TabCAT!BL:BL,"NaN")))</f>
        <v>6</v>
      </c>
      <c r="FB47" s="8">
        <f>IF(_xlfn.XLOOKUP($A47,TabCAT!$A:$A,TabCAT!BM:BM,"NaN")="","NaN",(_xlfn.XLOOKUP($A47,TabCAT!$A:$A,TabCAT!BM:BM,"NaN")))</f>
        <v>1</v>
      </c>
      <c r="FC47" s="8">
        <f>IF(_xlfn.XLOOKUP($A47,TabCAT!$A:$A,TabCAT!BN:BN,"NaN")="","NaN",(_xlfn.XLOOKUP($A47,TabCAT!$A:$A,TabCAT!BN:BN,"NaN")))</f>
        <v>6</v>
      </c>
      <c r="FD47" s="8">
        <f>IF(_xlfn.XLOOKUP($A47,TabCAT!$A:$A,TabCAT!BO:BO,"NaN")="","NaN",(_xlfn.XLOOKUP($A47,TabCAT!$A:$A,TabCAT!BO:BO,"NaN")))</f>
        <v>9</v>
      </c>
      <c r="FE47" s="8">
        <f>IF(_xlfn.XLOOKUP($A47,TabCAT!$A:$A,TabCAT!BP:BP,"NaN")="","NaN",(_xlfn.XLOOKUP($A47,TabCAT!$A:$A,TabCAT!BP:BP,"NaN")))</f>
        <v>1</v>
      </c>
      <c r="FF47" s="8">
        <f>IF(_xlfn.XLOOKUP($A47,TabCAT!$A:$A,TabCAT!BQ:BQ,"NaN")="","NaN",(_xlfn.XLOOKUP($A47,TabCAT!$A:$A,TabCAT!BQ:BQ,"NaN")))</f>
        <v>9</v>
      </c>
      <c r="FG47" s="8">
        <f>IF(_xlfn.XLOOKUP($A47,TabCAT!$A:$A,TabCAT!BR:BR,"NaN")="","NaN",(_xlfn.XLOOKUP($A47,TabCAT!$A:$A,TabCAT!BR:BR,"NaN")))</f>
        <v>11</v>
      </c>
      <c r="FH47" s="8">
        <f>IF(_xlfn.XLOOKUP($A47,TabCAT!$A:$A,TabCAT!BS:BS,"NaN")="","NaN",(_xlfn.XLOOKUP($A47,TabCAT!$A:$A,TabCAT!BS:BS,"NaN")))</f>
        <v>0.91666666666666596</v>
      </c>
      <c r="FI47" s="8">
        <f>IF(_xlfn.XLOOKUP($A47,TabCAT!$A:$A,TabCAT!BT:BT,"NaN")="","NaN",(_xlfn.XLOOKUP($A47,TabCAT!$A:$A,TabCAT!BT:BT,"NaN")))</f>
        <v>10</v>
      </c>
      <c r="FJ47" s="8">
        <f>IF(_xlfn.XLOOKUP($A47,TabCAT!$A:$A,TabCAT!BU:BU,"NaN")="","NaN",(_xlfn.XLOOKUP($A47,TabCAT!$A:$A,TabCAT!BU:BU,"NaN")))</f>
        <v>11</v>
      </c>
      <c r="FK47" s="8">
        <f>IF(_xlfn.XLOOKUP($A47,TabCAT!$A:$A,TabCAT!BV:BV,"NaN")="","NaN",(_xlfn.XLOOKUP($A47,TabCAT!$A:$A,TabCAT!BV:BV,"NaN")))</f>
        <v>0.73333333333333295</v>
      </c>
      <c r="FL47" s="8">
        <f>IF(_xlfn.XLOOKUP($A47,TabCAT!$A:$A,TabCAT!BW:BW,"NaN")="","NaN",(_xlfn.XLOOKUP($A47,TabCAT!$A:$A,TabCAT!BW:BW,"NaN")))</f>
        <v>7.5</v>
      </c>
      <c r="FM47" s="8">
        <f>IF(_xlfn.XLOOKUP($A47,TabCAT!$A:$A,TabCAT!BX:BX,"NaN")="","NaN",(_xlfn.XLOOKUP($A47,TabCAT!$A:$A,TabCAT!BX:BX,"NaN")))</f>
        <v>37</v>
      </c>
      <c r="FN47" s="8">
        <f>IF(_xlfn.XLOOKUP($A47,TabCAT!$A:$A,TabCAT!BY:BY,"NaN")="","NaN",(_xlfn.XLOOKUP($A47,TabCAT!$A:$A,TabCAT!BY:BY,"NaN")))</f>
        <v>0.88095238095238004</v>
      </c>
      <c r="FO47" s="8">
        <f>IF(_xlfn.XLOOKUP($A47,TabCAT!$A:$A,TabCAT!BZ:BZ,"NaN")="","NaN",(_xlfn.XLOOKUP($A47,TabCAT!$A:$A,TabCAT!BZ:BZ,"NaN")))</f>
        <v>32.5</v>
      </c>
      <c r="FP47" s="8" t="str">
        <f>IF(_xlfn.XLOOKUP($A47,TabCAT!$A:$A,TabCAT!CA:CA,"NaN")="","NaN",(_xlfn.XLOOKUP($A47,TabCAT!$A:$A,TabCAT!CA:CA,"NaN")))</f>
        <v>3.0.0</v>
      </c>
      <c r="FQ47" s="8" t="str">
        <f>IF(_xlfn.XLOOKUP($A47,TabCAT!$A:$A,TabCAT!CB:CB,"NaN")="","NaN",(_xlfn.XLOOKUP($A47,TabCAT!$A:$A,TabCAT!CB:CB,"NaN")))</f>
        <v>English</v>
      </c>
      <c r="FR47" s="8">
        <f>IF(_xlfn.XLOOKUP($A47,TabCAT!$A:$A,TabCAT!CC:CC,"NaN")="","NaN",(_xlfn.XLOOKUP($A47,TabCAT!$A:$A,TabCAT!CC:CC,"NaN")))</f>
        <v>221</v>
      </c>
      <c r="FS47" s="8" t="b">
        <f>IF(_xlfn.XLOOKUP($A47,TabCAT!$A:$A,TabCAT!CD:CD,"NaN")="","NaN",(_xlfn.XLOOKUP($A47,TabCAT!$A:$A,TabCAT!CD:CD,"NaN")))</f>
        <v>1</v>
      </c>
      <c r="FT47" s="8">
        <f>IF(_xlfn.XLOOKUP($A47,TabCAT!$A:$A,TabCAT!CE:CE,"NaN")="","NaN",(_xlfn.XLOOKUP($A47,TabCAT!$A:$A,TabCAT!CE:CE,"NaN")))</f>
        <v>8</v>
      </c>
      <c r="FU47" s="8">
        <f>IF(_xlfn.XLOOKUP($A47,TabCAT!$A:$A,TabCAT!CF:CF,"NaN")="","NaN",(_xlfn.XLOOKUP($A47,TabCAT!$A:$A,TabCAT!CF:CF,"NaN")))</f>
        <v>0</v>
      </c>
      <c r="FV47" s="8">
        <f>IF(_xlfn.XLOOKUP($A47,TabCAT!$A:$A,TabCAT!CG:CG,"NaN")="","NaN",(_xlfn.XLOOKUP($A47,TabCAT!$A:$A,TabCAT!CG:CG,"NaN")))</f>
        <v>6.58</v>
      </c>
      <c r="FW47" s="8">
        <f>IF(_xlfn.XLOOKUP($A47,TabCAT!$A:$A,TabCAT!CH:CH,"NaN")="","NaN",(_xlfn.XLOOKUP($A47,TabCAT!$A:$A,TabCAT!CH:CH,"NaN")))</f>
        <v>5</v>
      </c>
      <c r="FX47" s="8">
        <f>IF(_xlfn.XLOOKUP($A47,TabCAT!$A:$A,TabCAT!CI:CI,"NaN")="","NaN",(_xlfn.XLOOKUP($A47,TabCAT!$A:$A,TabCAT!CI:CI,"NaN")))</f>
        <v>0.97234399999999999</v>
      </c>
      <c r="FY47" s="8">
        <f>IF(_xlfn.XLOOKUP($A47,TabCAT!$A:$A,TabCAT!CJ:CJ,"NaN")="","NaN",(_xlfn.XLOOKUP($A47,TabCAT!$A:$A,TabCAT!CJ:CJ,"NaN")))</f>
        <v>16</v>
      </c>
      <c r="FZ47" s="8">
        <f>IF(_xlfn.XLOOKUP($A47,TabCAT!$A:$A,TabCAT!CK:CK,"NaN")="","NaN",(_xlfn.XLOOKUP($A47,TabCAT!$A:$A,TabCAT!CK:CK,"NaN")))</f>
        <v>0.52544449999999998</v>
      </c>
      <c r="GA47" s="8">
        <f>IF(_xlfn.XLOOKUP($A47,TabCAT!$A:$A,TabCAT!CL:CL,"NaN")="","NaN",(_xlfn.XLOOKUP($A47,TabCAT!$A:$A,TabCAT!CL:CL,"NaN")))</f>
        <v>29</v>
      </c>
      <c r="GB47" s="8">
        <f>IF(_xlfn.XLOOKUP($A47,TabCAT!$A:$A,TabCAT!CM:CM,"NaN")="","NaN",(_xlfn.XLOOKUP($A47,TabCAT!$A:$A,TabCAT!CM:CM,"NaN")))</f>
        <v>1.096211</v>
      </c>
      <c r="GC47" s="8">
        <f>IF(_xlfn.XLOOKUP($A47,TabCAT!$A:$A,TabCAT!CN:CN,"NaN")="","NaN",(_xlfn.XLOOKUP($A47,TabCAT!$A:$A,TabCAT!CN:CN,"NaN")))</f>
        <v>16</v>
      </c>
      <c r="GD47" s="8">
        <f>IF(_xlfn.XLOOKUP($A47,TabCAT!$A:$A,TabCAT!CO:CO,"NaN")="","NaN",(_xlfn.XLOOKUP($A47,TabCAT!$A:$A,TabCAT!CO:CO,"NaN")))</f>
        <v>1.0711925</v>
      </c>
      <c r="GE47" s="8">
        <f>IF(_xlfn.XLOOKUP($A47,TabCAT!$A:$A,TabCAT!CP:CP,"NaN")="","NaN",(_xlfn.XLOOKUP($A47,TabCAT!$A:$A,TabCAT!CP:CP,"NaN")))</f>
        <v>0.47047030279903101</v>
      </c>
      <c r="GF47" s="8">
        <f>IF(_xlfn.XLOOKUP($A47,TabCAT!$A:$A,TabCAT!CQ:CQ,"NaN")="","NaN",(_xlfn.XLOOKUP($A47,TabCAT!$A:$A,TabCAT!CQ:CQ,"NaN")))</f>
        <v>44</v>
      </c>
      <c r="GG47" s="8">
        <f>IF(_xlfn.XLOOKUP($A47,TabCAT!$A:$A,TabCAT!CR:CR,"NaN")="","NaN",(_xlfn.XLOOKUP($A47,TabCAT!$A:$A,TabCAT!CR:CR,"NaN")))</f>
        <v>0.73813200000000001</v>
      </c>
      <c r="GH47" s="8">
        <f>IF(_xlfn.XLOOKUP($A47,TabCAT!$A:$A,TabCAT!CS:CS,"NaN")="","NaN",(_xlfn.XLOOKUP($A47,TabCAT!$A:$A,TabCAT!CS:CS,"NaN")))</f>
        <v>-1.8115939999999999</v>
      </c>
    </row>
    <row r="48" spans="1:190" x14ac:dyDescent="0.2">
      <c r="A48">
        <v>10713</v>
      </c>
      <c r="B48">
        <f>_xlfn.XLOOKUP(bippity_poppity_boo!A48,rf1_data!A:A,rf1_data!B:B)</f>
        <v>10452</v>
      </c>
      <c r="C48" s="2">
        <f>(_xlfn.XLOOKUP($A48,trust!$A:$A,trust!B:B,"NaN"))</f>
        <v>2.769231</v>
      </c>
      <c r="D48" s="2">
        <f>(_xlfn.XLOOKUP($A48,trust!$A:$A,trust!C:C,"NaN"))</f>
        <v>5.0909089999999999</v>
      </c>
      <c r="E48" s="2">
        <f>(_xlfn.XLOOKUP($A48,trust!$A:$A,trust!D:D,"NaN"))</f>
        <v>2.6666669999999999</v>
      </c>
      <c r="F48" s="2">
        <f>(_xlfn.XLOOKUP($A48,trust!$A:$A,trust!E:E,"NaN"))</f>
        <v>3.1428569999999998</v>
      </c>
      <c r="G48" s="2">
        <f>(_xlfn.XLOOKUP($A48,trust!$A:$A,trust!F:F,"NaN"))</f>
        <v>4.6666670000000003</v>
      </c>
      <c r="H48" s="2">
        <f>(_xlfn.XLOOKUP($A48,trust!$A:$A,trust!G:G,"NaN"))</f>
        <v>4.2</v>
      </c>
      <c r="I48" s="3">
        <f>IF(_xlfn.XLOOKUP($B48,island_data!$B:$B,island_data!C:C,"NaN")="","NaN",_xlfn.XLOOKUP($B48,island_data!$B:$B,island_data!C:C,"NaN"))</f>
        <v>45093</v>
      </c>
      <c r="J48" s="3">
        <f>IF(_xlfn.XLOOKUP($B48,island_data!$B:$B,island_data!D:D,"NaN")="","NaN",_xlfn.XLOOKUP($B48,island_data!$B:$B,island_data!D:D,"NaN"))</f>
        <v>18999</v>
      </c>
      <c r="K48" s="4">
        <f>IF(_xlfn.XLOOKUP($B48,island_data!$B:$B,island_data!E:E,"NaN")="","NaN",_xlfn.XLOOKUP($B48,island_data!$B:$B,island_data!E:E,"NaN"))</f>
        <v>71.44</v>
      </c>
      <c r="L48" s="5">
        <f>IF(_xlfn.XLOOKUP($B48,rf1_data!$B:$B,rf1_data!D:D,"NaN")="","NaN",(_xlfn.XLOOKUP($B48,rf1_data!$B:$B,rf1_data!D:D,"NaN")))</f>
        <v>71.53</v>
      </c>
      <c r="M48" s="5" t="str">
        <f>IF(_xlfn.XLOOKUP($B48,rf1_data!$B:$B,rf1_data!E:E,"NaN")="","NaN",(_xlfn.XLOOKUP($B48,rf1_data!$B:$B,rf1_data!E:E,"NaN")))</f>
        <v>White</v>
      </c>
      <c r="N48" s="5" t="str">
        <f>IF(_xlfn.XLOOKUP($B48,rf1_data!$B:$B,rf1_data!F:F,"NaN")="","NaN",(_xlfn.XLOOKUP($B48,rf1_data!$B:$B,rf1_data!F:F,"NaN")))</f>
        <v>Not Hispanic or Latino</v>
      </c>
      <c r="O48" s="5" t="str">
        <f>IF(_xlfn.XLOOKUP($B48,rf1_data!$B:$B,rf1_data!G:G,"NaN")="","NaN",(_xlfn.XLOOKUP($B48,rf1_data!$B:$B,rf1_data!G:G,"NaN")))</f>
        <v>Female</v>
      </c>
      <c r="P48" s="5">
        <f>IF(_xlfn.XLOOKUP($B48,rf1_data!$B:$B,rf1_data!H:H,"NaN")="","NaN",(_xlfn.XLOOKUP($B48,rf1_data!$B:$B,rf1_data!H:H,"NaN")))</f>
        <v>4.1100000000000003</v>
      </c>
      <c r="Q48" s="5">
        <f>IF(_xlfn.XLOOKUP($B48,rf1_data!$B:$B,rf1_data!I:I,"NaN")="","NaN",(_xlfn.XLOOKUP($B48,rf1_data!$B:$B,rf1_data!I:I,"NaN")))</f>
        <v>4</v>
      </c>
      <c r="R48" s="5">
        <f>IF(_xlfn.XLOOKUP($B48,rf1_data!$B:$B,rf1_data!J:J,"NaN")="","NaN",(_xlfn.XLOOKUP($B48,rf1_data!$B:$B,rf1_data!J:J,"NaN")))</f>
        <v>1</v>
      </c>
      <c r="S48" s="5">
        <f>IF(_xlfn.XLOOKUP($B48,rf1_data!$B:$B,rf1_data!K:K,"NaN")="","NaN",(_xlfn.XLOOKUP($B48,rf1_data!$B:$B,rf1_data!K:K,"NaN")))</f>
        <v>2</v>
      </c>
      <c r="T48" s="5">
        <f>IF(_xlfn.XLOOKUP($B48,rf1_data!$B:$B,rf1_data!L:L,"NaN")="","NaN",(_xlfn.XLOOKUP($B48,rf1_data!$B:$B,rf1_data!L:L,"NaN")))</f>
        <v>0</v>
      </c>
      <c r="U48" s="5">
        <f>IF(_xlfn.XLOOKUP($B48,rf1_data!$B:$B,rf1_data!M:M,"NaN")="","NaN",(_xlfn.XLOOKUP($B48,rf1_data!$B:$B,rf1_data!M:M,"NaN")))</f>
        <v>5.5</v>
      </c>
      <c r="V48" s="5">
        <f>IF(_xlfn.XLOOKUP($B48,rf1_data!$B:$B,rf1_data!N:N,"NaN")="","NaN",(_xlfn.XLOOKUP($B48,rf1_data!$B:$B,rf1_data!N:N,"NaN")))</f>
        <v>4.83</v>
      </c>
      <c r="W48" s="5">
        <f>IF(_xlfn.XLOOKUP($B48,rf1_data!$B:$B,rf1_data!O:O,"NaN")="","NaN",(_xlfn.XLOOKUP($B48,rf1_data!$B:$B,rf1_data!O:O,"NaN")))</f>
        <v>5.25</v>
      </c>
      <c r="X48" s="5">
        <f>IF(_xlfn.XLOOKUP($B48,rf1_data!$B:$B,rf1_data!P:P,"NaN")="","NaN",(_xlfn.XLOOKUP($B48,rf1_data!$B:$B,rf1_data!P:P,"NaN")))</f>
        <v>3.83</v>
      </c>
      <c r="Y48" s="5">
        <f>IF(_xlfn.XLOOKUP($B48,rf1_data!$B:$B,rf1_data!Q:Q,"NaN")="","NaN",(_xlfn.XLOOKUP($B48,rf1_data!$B:$B,rf1_data!Q:Q,"NaN")))</f>
        <v>4.97</v>
      </c>
      <c r="Z48" s="5">
        <f>IF(_xlfn.XLOOKUP($B48,rf1_data!$B:$B,rf1_data!R:R,"NaN")="","NaN",(_xlfn.XLOOKUP($B48,rf1_data!$B:$B,rf1_data!R:R,"NaN")))</f>
        <v>6</v>
      </c>
      <c r="AA48" s="5">
        <f>IF(_xlfn.XLOOKUP($B48,rf1_data!$B:$B,rf1_data!S:S,"NaN")="","NaN",(_xlfn.XLOOKUP($B48,rf1_data!$B:$B,rf1_data!S:S,"NaN")))</f>
        <v>2</v>
      </c>
      <c r="AB48" s="5">
        <f>IF(_xlfn.XLOOKUP($B48,rf1_data!$B:$B,rf1_data!T:T,"NaN")="","NaN",(_xlfn.XLOOKUP($B48,rf1_data!$B:$B,rf1_data!T:T,"NaN")))</f>
        <v>3</v>
      </c>
      <c r="AC48" s="5">
        <f>IF(_xlfn.XLOOKUP($B48,rf1_data!$B:$B,rf1_data!U:U,"NaN")="","NaN",(_xlfn.XLOOKUP($B48,rf1_data!$B:$B,rf1_data!U:U,"NaN")))</f>
        <v>0</v>
      </c>
      <c r="AD48" s="5">
        <f>IF(_xlfn.XLOOKUP($B48,rf1_data!$B:$B,rf1_data!V:V,"NaN")="","NaN",(_xlfn.XLOOKUP($B48,rf1_data!$B:$B,rf1_data!V:V,"NaN")))</f>
        <v>1</v>
      </c>
      <c r="AE48" s="5">
        <f>IF(_xlfn.XLOOKUP($B48,rf1_data!$B:$B,rf1_data!W:W,"NaN")="","NaN",(_xlfn.XLOOKUP($B48,rf1_data!$B:$B,rf1_data!W:W,"NaN")))</f>
        <v>2</v>
      </c>
      <c r="AF48" s="5">
        <f>IF(_xlfn.XLOOKUP($B48,rf1_data!$B:$B,rf1_data!X:X,"NaN")="","NaN",(_xlfn.XLOOKUP($B48,rf1_data!$B:$B,rf1_data!X:X,"NaN")))</f>
        <v>0</v>
      </c>
      <c r="AG48" s="5">
        <f>IF(_xlfn.XLOOKUP($B48,rf1_data!$B:$B,rf1_data!Y:Y,"NaN")="","NaN",(_xlfn.XLOOKUP($B48,rf1_data!$B:$B,rf1_data!Y:Y,"NaN")))</f>
        <v>5</v>
      </c>
      <c r="AH48" s="5">
        <f>IF(_xlfn.XLOOKUP($B48,rf1_data!$B:$B,rf1_data!Z:Z,"NaN")="","NaN",(_xlfn.XLOOKUP($B48,rf1_data!$B:$B,rf1_data!Z:Z,"NaN")))</f>
        <v>5</v>
      </c>
      <c r="AI48" s="5">
        <f>IF(_xlfn.XLOOKUP($B48,rf1_data!$B:$B,rf1_data!AA:AA,"NaN")="","NaN",(_xlfn.XLOOKUP($B48,rf1_data!$B:$B,rf1_data!AA:AA,"NaN")))</f>
        <v>0</v>
      </c>
      <c r="AJ48" s="5">
        <f>IF(_xlfn.XLOOKUP($B48,rf1_data!$B:$B,rf1_data!AB:AB,"NaN")="","NaN",(_xlfn.XLOOKUP($B48,rf1_data!$B:$B,rf1_data!AB:AB,"NaN")))</f>
        <v>12</v>
      </c>
      <c r="AK48" s="5" t="str">
        <f>IF(_xlfn.XLOOKUP($B48,rf1_data!$B:$B,rf1_data!AC:AC,"NaN")="","NaN",(_xlfn.XLOOKUP($B48,rf1_data!$B:$B,rf1_data!AC:AC,"NaN")))</f>
        <v>NaN</v>
      </c>
      <c r="AL48" s="5" t="str">
        <f>IF(_xlfn.XLOOKUP($B48,rf1_data!$B:$B,rf1_data!AD:AD,"NaN")="","NaN",(_xlfn.XLOOKUP($B48,rf1_data!$B:$B,rf1_data!AD:AD,"NaN")))</f>
        <v>NaN</v>
      </c>
      <c r="AM48" s="5">
        <f>IF(_xlfn.XLOOKUP($B48,rf1_data!$B:$B,rf1_data!AE:AE,"NaN")="","NaN",(_xlfn.XLOOKUP($B48,rf1_data!$B:$B,rf1_data!AE:AE,"NaN")))</f>
        <v>0</v>
      </c>
      <c r="AN48" s="5">
        <f>IF(_xlfn.XLOOKUP($B48,rf1_data!$B:$B,rf1_data!AF:AF,"NaN")="","NaN",(_xlfn.XLOOKUP($B48,rf1_data!$B:$B,rf1_data!AF:AF,"NaN")))</f>
        <v>0</v>
      </c>
      <c r="AO48" s="5" t="str">
        <f>IF(_xlfn.XLOOKUP($B48,rf1_data!$B:$B,rf1_data!AG:AG,"NaN")="","NaN",(_xlfn.XLOOKUP($B48,rf1_data!$B:$B,rf1_data!AG:AG,"NaN")))</f>
        <v>NaN</v>
      </c>
      <c r="AP48" s="5" t="str">
        <f>IF(_xlfn.XLOOKUP($B48,rf1_data!$B:$B,rf1_data!AH:AH,"NaN")="","NaN",(_xlfn.XLOOKUP($B48,rf1_data!$B:$B,rf1_data!AH:AH,"NaN")))</f>
        <v>NaN</v>
      </c>
      <c r="AQ48" s="5" t="str">
        <f>IF(_xlfn.XLOOKUP($B48,rf1_data!$B:$B,rf1_data!AI:AI,"NaN")="","NaN",(_xlfn.XLOOKUP($B48,rf1_data!$B:$B,rf1_data!AI:AI,"NaN")))</f>
        <v>NaN</v>
      </c>
      <c r="AR48" s="5" t="str">
        <f>IF(_xlfn.XLOOKUP($B48,rf1_data!$B:$B,rf1_data!AJ:AJ,"NaN")="","NaN",(_xlfn.XLOOKUP($B48,rf1_data!$B:$B,rf1_data!AJ:AJ,"NaN")))</f>
        <v>NaN</v>
      </c>
      <c r="AS48" s="5" t="str">
        <f>IF(_xlfn.XLOOKUP($B48,rf1_data!$B:$B,rf1_data!AK:AK,"NaN")="","NaN",(_xlfn.XLOOKUP($B48,rf1_data!$B:$B,rf1_data!AK:AK,"NaN")))</f>
        <v>NaN</v>
      </c>
      <c r="AT48" s="5" t="str">
        <f>IF(_xlfn.XLOOKUP($B48,rf1_data!$B:$B,rf1_data!AL:AL,"NaN")="","NaN",(_xlfn.XLOOKUP($B48,rf1_data!$B:$B,rf1_data!AL:AL,"NaN")))</f>
        <v>NaN</v>
      </c>
      <c r="AU48" s="5">
        <f>IF(_xlfn.XLOOKUP($B48,rf1_data!$B:$B,rf1_data!AM:AM,"NaN")="","NaN",(_xlfn.XLOOKUP($B48,rf1_data!$B:$B,rf1_data!AM:AM,"NaN")))</f>
        <v>2.75</v>
      </c>
      <c r="AV48" s="5">
        <f>IF(_xlfn.XLOOKUP($B48,rf1_data!$B:$B,rf1_data!AN:AN,"NaN")="","NaN",(_xlfn.XLOOKUP($B48,rf1_data!$B:$B,rf1_data!AN:AN,"NaN")))</f>
        <v>0</v>
      </c>
      <c r="AW48" s="5">
        <f>IF(_xlfn.XLOOKUP($B48,rf1_data!$B:$B,rf1_data!AO:AO,"NaN")="","NaN",(_xlfn.XLOOKUP($B48,rf1_data!$B:$B,rf1_data!AO:AO,"NaN")))</f>
        <v>2.67</v>
      </c>
      <c r="AX48" s="5">
        <f>IF(_xlfn.XLOOKUP($B48,rf1_data!$B:$B,rf1_data!AP:AP,"NaN")="","NaN",(_xlfn.XLOOKUP($B48,rf1_data!$B:$B,rf1_data!AP:AP,"NaN")))</f>
        <v>9999</v>
      </c>
      <c r="AY48" s="5" t="str">
        <f>IF(_xlfn.XLOOKUP($B48,rf1_data!$B:$B,rf1_data!AQ:AQ,"NaN")="","NaN",(_xlfn.XLOOKUP($B48,rf1_data!$B:$B,rf1_data!AQ:AQ,"NaN")))</f>
        <v>NaN</v>
      </c>
      <c r="AZ48" s="5" t="str">
        <f>IF(_xlfn.XLOOKUP($B48,rf1_data!$B:$B,rf1_data!AR:AR,"NaN")="","NaN",(_xlfn.XLOOKUP($B48,rf1_data!$B:$B,rf1_data!AR:AR,"NaN")))</f>
        <v>NaN</v>
      </c>
      <c r="BA48" s="5" t="str">
        <f>IF(_xlfn.XLOOKUP($B48,rf1_data!$B:$B,rf1_data!AS:AS,"NaN")="","NaN",(_xlfn.XLOOKUP($B48,rf1_data!$B:$B,rf1_data!AS:AS,"NaN")))</f>
        <v>NaN</v>
      </c>
      <c r="BB48" s="5" t="str">
        <f>IF(_xlfn.XLOOKUP($B48,rf1_data!$B:$B,rf1_data!AT:AT,"NaN")="","NaN",(_xlfn.XLOOKUP($B48,rf1_data!$B:$B,rf1_data!AT:AT,"NaN")))</f>
        <v>NaN</v>
      </c>
      <c r="BC48" s="5" t="str">
        <f>IF(_xlfn.XLOOKUP($B48,rf1_data!$B:$B,rf1_data!AU:AU,"NaN")="","NaN",(_xlfn.XLOOKUP($B48,rf1_data!$B:$B,rf1_data!AU:AU,"NaN")))</f>
        <v>NaN</v>
      </c>
      <c r="BD48" s="5" t="str">
        <f>IF(_xlfn.XLOOKUP($B48,rf1_data!$B:$B,rf1_data!AV:AV,"NaN")="","NaN",(_xlfn.XLOOKUP($B48,rf1_data!$B:$B,rf1_data!AV:AV,"NaN")))</f>
        <v>NaN</v>
      </c>
      <c r="BE48" s="5" t="str">
        <f>IF(_xlfn.XLOOKUP($B48,rf1_data!$B:$B,rf1_data!AW:AW,"NaN")="","NaN",(_xlfn.XLOOKUP($B48,rf1_data!$B:$B,rf1_data!AW:AW,"NaN")))</f>
        <v>NaN</v>
      </c>
      <c r="BF48" s="5" t="str">
        <f>IF(_xlfn.XLOOKUP($B48,rf1_data!$B:$B,rf1_data!AX:AX,"NaN")="","NaN",(_xlfn.XLOOKUP($B48,rf1_data!$B:$B,rf1_data!AX:AX,"NaN")))</f>
        <v>NaN</v>
      </c>
      <c r="BG48" s="5" t="str">
        <f>IF(_xlfn.XLOOKUP($B48,rf1_data!$B:$B,rf1_data!AY:AY,"NaN")="","NaN",(_xlfn.XLOOKUP($B48,rf1_data!$B:$B,rf1_data!AY:AY,"NaN")))</f>
        <v>NaN</v>
      </c>
      <c r="BH48" s="5" t="str">
        <f>IF(_xlfn.XLOOKUP($B48,rf1_data!$B:$B,rf1_data!AZ:AZ,"NaN")="","NaN",(_xlfn.XLOOKUP($B48,rf1_data!$B:$B,rf1_data!AZ:AZ,"NaN")))</f>
        <v>NaN</v>
      </c>
      <c r="BI48" s="5">
        <f>IF(_xlfn.XLOOKUP($B48,rf1_data!$B:$B,rf1_data!BA:BA,"NaN")="","NaN",(_xlfn.XLOOKUP($B48,rf1_data!$B:$B,rf1_data!BA:BA,"NaN")))</f>
        <v>20</v>
      </c>
      <c r="BJ48" s="5" t="str">
        <f>IF(_xlfn.XLOOKUP($B48,rf1_data!$B:$B,rf1_data!BB:BB,"NaN")="","NaN",(_xlfn.XLOOKUP($B48,rf1_data!$B:$B,rf1_data!BB:BB,"NaN")))</f>
        <v>NaN</v>
      </c>
      <c r="BK48" s="5" t="str">
        <f>IF(_xlfn.XLOOKUP($B48,rf1_data!$B:$B,rf1_data!BC:BC,"NaN")="","NaN",(_xlfn.XLOOKUP($B48,rf1_data!$B:$B,rf1_data!BC:BC,"NaN")))</f>
        <v>NaN</v>
      </c>
      <c r="BL48" s="5" t="str">
        <f>IF(_xlfn.XLOOKUP($B48,rf1_data!$B:$B,rf1_data!BD:BD,"NaN")="","NaN",(_xlfn.XLOOKUP($B48,rf1_data!$B:$B,rf1_data!BD:BD,"NaN")))</f>
        <v>NaN</v>
      </c>
      <c r="BM48" s="5" t="str">
        <f>IF(_xlfn.XLOOKUP($B48,rf1_data!$B:$B,rf1_data!BE:BE,"NaN")="","NaN",(_xlfn.XLOOKUP($B48,rf1_data!$B:$B,rf1_data!BE:BE,"NaN")))</f>
        <v>NaN</v>
      </c>
      <c r="BN48" s="5" t="str">
        <f>IF(_xlfn.XLOOKUP($B48,rf1_data!$B:$B,rf1_data!BF:BF,"NaN")="","NaN",(_xlfn.XLOOKUP($B48,rf1_data!$B:$B,rf1_data!BF:BF,"NaN")))</f>
        <v>NaN</v>
      </c>
      <c r="BO48" s="5" t="str">
        <f>IF(_xlfn.XLOOKUP($B48,rf1_data!$B:$B,rf1_data!BG:BG,"NaN")="","NaN",(_xlfn.XLOOKUP($B48,rf1_data!$B:$B,rf1_data!BG:BG,"NaN")))</f>
        <v>NaN</v>
      </c>
      <c r="BP48" s="5" t="str">
        <f>IF(_xlfn.XLOOKUP($B48,rf1_data!$B:$B,rf1_data!BH:BH,"NaN")="","NaN",(_xlfn.XLOOKUP($B48,rf1_data!$B:$B,rf1_data!BH:BH,"NaN")))</f>
        <v>NaN</v>
      </c>
      <c r="BQ48" s="5" t="str">
        <f>IF(_xlfn.XLOOKUP($B48,rf1_data!$B:$B,rf1_data!BI:BI,"NaN")="","NaN",(_xlfn.XLOOKUP($B48,rf1_data!$B:$B,rf1_data!BI:BI,"NaN")))</f>
        <v>NaN</v>
      </c>
      <c r="BR48" s="5">
        <f>IF(_xlfn.XLOOKUP($B48,rf1_data!$B:$B,rf1_data!BJ:BJ,"NaN")="","NaN",(_xlfn.XLOOKUP($B48,rf1_data!$B:$B,rf1_data!BJ:BJ,"NaN")))</f>
        <v>8991</v>
      </c>
      <c r="BS48" s="5" t="str">
        <f>IF(_xlfn.XLOOKUP($B48,rf1_data!$B:$B,rf1_data!BK:BK,"NaN")="","NaN",(_xlfn.XLOOKUP($B48,rf1_data!$B:$B,rf1_data!BK:BK,"NaN")))</f>
        <v>NaN</v>
      </c>
      <c r="BT48" s="5" t="str">
        <f>IF(_xlfn.XLOOKUP($B48,rf1_data!$B:$B,rf1_data!BL:BL,"NaN")="","NaN",(_xlfn.XLOOKUP($B48,rf1_data!$B:$B,rf1_data!BL:BL,"NaN")))</f>
        <v>NaN</v>
      </c>
      <c r="BU48" s="5" t="str">
        <f>IF(_xlfn.XLOOKUP($B48,rf1_data!$B:$B,rf1_data!BM:BM,"NaN")="","NaN",(_xlfn.XLOOKUP($B48,rf1_data!$B:$B,rf1_data!BM:BM,"NaN")))</f>
        <v>NaN</v>
      </c>
      <c r="BV48" s="5" t="str">
        <f>IF(_xlfn.XLOOKUP($B48,rf1_data!$B:$B,rf1_data!BN:BN,"NaN")="","NaN",(_xlfn.XLOOKUP($B48,rf1_data!$B:$B,rf1_data!BN:BN,"NaN")))</f>
        <v>NaN</v>
      </c>
      <c r="BW48" s="5">
        <f>IF(_xlfn.XLOOKUP($B48,rf1_data!$B:$B,rf1_data!BO:BO,"NaN")="","NaN",(_xlfn.XLOOKUP($B48,rf1_data!$B:$B,rf1_data!BO:BO,"NaN")))</f>
        <v>4</v>
      </c>
      <c r="BX48" s="5">
        <f>IF(_xlfn.XLOOKUP($B48,rf1_data!$B:$B,rf1_data!BP:BP,"NaN")="","NaN",(_xlfn.XLOOKUP($B48,rf1_data!$B:$B,rf1_data!BP:BP,"NaN")))</f>
        <v>3.8</v>
      </c>
      <c r="BY48" s="5">
        <f>IF(_xlfn.XLOOKUP($B48,rf1_data!$B:$B,rf1_data!BQ:BQ,"NaN")="","NaN",(_xlfn.XLOOKUP($B48,rf1_data!$B:$B,rf1_data!BQ:BQ,"NaN")))</f>
        <v>3.8</v>
      </c>
      <c r="BZ48" s="5">
        <f>IF(_xlfn.XLOOKUP($B48,rf1_data!$B:$B,rf1_data!BR:BR,"NaN")="","NaN",(_xlfn.XLOOKUP($B48,rf1_data!$B:$B,rf1_data!BR:BR,"NaN")))</f>
        <v>3.87</v>
      </c>
      <c r="CA48" s="5">
        <f>IF(_xlfn.XLOOKUP($B48,rf1_data!$B:$B,rf1_data!BS:BS,"NaN")="","NaN",(_xlfn.XLOOKUP($B48,rf1_data!$B:$B,rf1_data!BS:BS,"NaN")))</f>
        <v>3.5</v>
      </c>
      <c r="CB48" s="5">
        <f>IF(_xlfn.XLOOKUP($B48,rf1_data!$B:$B,rf1_data!BT:BT,"NaN")="","NaN",(_xlfn.XLOOKUP($B48,rf1_data!$B:$B,rf1_data!BT:BT,"NaN")))</f>
        <v>3.5</v>
      </c>
      <c r="CC48" s="5">
        <f>IF(_xlfn.XLOOKUP($B48,rf1_data!$B:$B,rf1_data!BU:BU,"NaN")="","NaN",(_xlfn.XLOOKUP($B48,rf1_data!$B:$B,rf1_data!BU:BU,"NaN")))</f>
        <v>6</v>
      </c>
      <c r="CD48" s="5">
        <f>IF(_xlfn.XLOOKUP($B48,rf1_data!$B:$B,rf1_data!BV:BV,"NaN")="","NaN",(_xlfn.XLOOKUP($B48,rf1_data!$B:$B,rf1_data!BV:BV,"NaN")))</f>
        <v>3.5</v>
      </c>
      <c r="CE48" s="5">
        <f>IF(_xlfn.XLOOKUP($B48,rf1_data!$B:$B,rf1_data!BW:BW,"NaN")="","NaN",(_xlfn.XLOOKUP($B48,rf1_data!$B:$B,rf1_data!BW:BW,"NaN")))</f>
        <v>1.45</v>
      </c>
      <c r="CF48" s="5">
        <f>IF(_xlfn.XLOOKUP($B48,rf1_data!$B:$B,rf1_data!BX:BX,"NaN")="","NaN",(_xlfn.XLOOKUP($B48,rf1_data!$B:$B,rf1_data!BX:BX,"NaN")))</f>
        <v>0</v>
      </c>
      <c r="CG48" s="5">
        <f>IF(_xlfn.XLOOKUP($B48,rf1_data!$B:$B,rf1_data!BY:BY,"NaN")="","NaN",(_xlfn.XLOOKUP($B48,rf1_data!$B:$B,rf1_data!BY:BY,"NaN")))</f>
        <v>0</v>
      </c>
      <c r="CH48" s="5">
        <f>IF(_xlfn.XLOOKUP($B48,rf1_data!$B:$B,rf1_data!BZ:BZ,"NaN")="","NaN",(_xlfn.XLOOKUP($B48,rf1_data!$B:$B,rf1_data!BZ:BZ,"NaN")))</f>
        <v>31</v>
      </c>
      <c r="CI48" s="5">
        <f>IF(_xlfn.XLOOKUP($B48,rf1_data!$B:$B,rf1_data!CA:CA,"NaN")="","NaN",(_xlfn.XLOOKUP($B48,rf1_data!$B:$B,rf1_data!CA:CA,"NaN")))</f>
        <v>18</v>
      </c>
      <c r="CJ48" s="5">
        <f>IF(_xlfn.XLOOKUP($B48,rf1_data!$B:$B,rf1_data!CB:CB,"NaN")="","NaN",(_xlfn.XLOOKUP($B48,rf1_data!$B:$B,rf1_data!CB:CB,"NaN")))</f>
        <v>12</v>
      </c>
      <c r="CK48" s="5">
        <f>IF(_xlfn.XLOOKUP($B48,rf1_data!$B:$B,rf1_data!CC:CC,"NaN")="","NaN",(_xlfn.XLOOKUP($B48,rf1_data!$B:$B,rf1_data!CC:CC,"NaN")))</f>
        <v>1</v>
      </c>
      <c r="CL48" s="5">
        <f>IF(_xlfn.XLOOKUP($B48,rf1_data!$B:$B,rf1_data!CD:CD,"NaN")=0,"NaN",(_xlfn.XLOOKUP($B48,rf1_data!$B:$B,rf1_data!CD:CD,"NaN")))</f>
        <v>41</v>
      </c>
      <c r="CM48" s="5">
        <f>IF(_xlfn.XLOOKUP($B48,rf1_data!$B:$B,rf1_data!CE:CE,"NaN")="","NaN",(_xlfn.XLOOKUP($B48,rf1_data!$B:$B,rf1_data!CE:CE,"NaN")))</f>
        <v>25</v>
      </c>
      <c r="CN48" s="5">
        <f>IF(_xlfn.XLOOKUP($B48,rf1_data!$B:$B,rf1_data!CF:CF,"NaN")="","NaN",(_xlfn.XLOOKUP($B48,rf1_data!$B:$B,rf1_data!CF:CF,"NaN")))</f>
        <v>29</v>
      </c>
      <c r="CO48" s="5">
        <f>IF(_xlfn.XLOOKUP($B48,rf1_data!$B:$B,rf1_data!CG:CG,"NaN")="","NaN",(_xlfn.XLOOKUP($B48,rf1_data!$B:$B,rf1_data!CG:CG,"NaN")))</f>
        <v>27</v>
      </c>
      <c r="CP48" s="5">
        <f>IF(_xlfn.XLOOKUP($B48,rf1_data!$B:$B,rf1_data!CH:CH,"NaN")=0,"NaN",(_xlfn.XLOOKUP($B48,rf1_data!$B:$B,rf1_data!CH:CH,"NaN")))</f>
        <v>26</v>
      </c>
      <c r="CQ48" s="5">
        <f>IF(_xlfn.XLOOKUP($B48,rf1_data!$B:$B,rf1_data!CI:CI,"NaN")="","NaN",(_xlfn.XLOOKUP($B48,rf1_data!$B:$B,rf1_data!CI:CI,"NaN")))</f>
        <v>38</v>
      </c>
      <c r="CR48" s="5">
        <f>IF(_xlfn.XLOOKUP($B48,rf1_data!$B:$B,rf1_data!CJ:CJ,"NaN")="","NaN",(_xlfn.XLOOKUP($B48,rf1_data!$B:$B,rf1_data!CJ:CJ,"NaN")))</f>
        <v>60</v>
      </c>
      <c r="CS48" s="5">
        <f>IF(_xlfn.XLOOKUP($B48,rf1_data!$B:$B,rf1_data!CK:CK,"NaN")="","NaN",(_xlfn.XLOOKUP($B48,rf1_data!$B:$B,rf1_data!CK:CK,"NaN")))</f>
        <v>38</v>
      </c>
      <c r="CT48" s="5">
        <f>IF(_xlfn.XLOOKUP($B48,rf1_data!$B:$B,rf1_data!CL:CL,"NaN")="","NaN",(_xlfn.XLOOKUP($B48,rf1_data!$B:$B,rf1_data!CL:CL,"NaN")))</f>
        <v>60</v>
      </c>
      <c r="CU48" s="5">
        <f>IF(_xlfn.XLOOKUP($B48,rf1_data!$B:$B,rf1_data!CM:CM,"NaN")="","NaN",(_xlfn.XLOOKUP($B48,rf1_data!$B:$B,rf1_data!CM:CM,"NaN")))</f>
        <v>29</v>
      </c>
      <c r="CV48" s="5">
        <f>IF(_xlfn.XLOOKUP($B48,rf1_data!$B:$B,rf1_data!CN:CN,"NaN")="","NaN",(_xlfn.XLOOKUP($B48,rf1_data!$B:$B,rf1_data!CN:CN,"NaN")))</f>
        <v>60</v>
      </c>
      <c r="CW48" s="5" t="str">
        <f>IF(_xlfn.XLOOKUP($B48,rf1_data!$B:$B,rf1_data!CO:CO,"NaN")="","NaN",(_xlfn.XLOOKUP($B48,rf1_data!$B:$B,rf1_data!CO:CO,"NaN")))</f>
        <v>NaN</v>
      </c>
      <c r="CX48" s="5" t="str">
        <f>IF(_xlfn.XLOOKUP($B48,rf1_data!$B:$B,rf1_data!CP:CP,"NaN")="","NaN",(_xlfn.XLOOKUP($B48,rf1_data!$B:$B,rf1_data!CP:CP,"NaN")))</f>
        <v>NaN</v>
      </c>
      <c r="CY48" s="5" t="str">
        <f>IF(_xlfn.XLOOKUP($B48,rf1_data!$B:$B,rf1_data!CQ:CQ,"NaN")="","NaN",(_xlfn.XLOOKUP($B48,rf1_data!$B:$B,rf1_data!CQ:CQ,"NaN")))</f>
        <v>NaN</v>
      </c>
      <c r="CZ48" s="5" t="str">
        <f>IF(_xlfn.XLOOKUP($B48,rf1_data!$B:$B,rf1_data!CR:CR,"NaN")="","NaN",(_xlfn.XLOOKUP($B48,rf1_data!$B:$B,rf1_data!CR:CR,"NaN")))</f>
        <v>NaN</v>
      </c>
      <c r="DA48" s="5" t="str">
        <f>IF(_xlfn.XLOOKUP($B48,rf1_data!$B:$B,rf1_data!CS:CS,"NaN")="","NaN",(_xlfn.XLOOKUP($B48,rf1_data!$B:$B,rf1_data!CS:CS,"NaN")))</f>
        <v>NaN</v>
      </c>
      <c r="DB48" s="4">
        <f>IF(_xlfn.XLOOKUP($B48,island_data!$B:$B,island_data!H:H,"NaN")="","NaN",_xlfn.XLOOKUP($B48,island_data!$B:$B,island_data!H:H,"NaN"))</f>
        <v>3</v>
      </c>
      <c r="DC48" s="4">
        <f>IF(_xlfn.XLOOKUP($B48,island_data!$B:$B,island_data!I:I,"NaN")="","NaN",_xlfn.XLOOKUP($B48,island_data!$B:$B,island_data!I:I,"NaN"))</f>
        <v>0</v>
      </c>
      <c r="DD48" s="4">
        <f>IF(_xlfn.XLOOKUP($B48,island_data!$B:$B,island_data!J:J,"NaN")="","NaN",_xlfn.XLOOKUP($B48,island_data!$B:$B,island_data!J:J,"NaN"))</f>
        <v>0</v>
      </c>
      <c r="DE48" s="4">
        <f>IF(_xlfn.XLOOKUP($B48,island_data!$B:$B,island_data!K:K,"NaN")="","NaN",_xlfn.XLOOKUP($B48,island_data!$B:$B,island_data!K:K,"NaN"))</f>
        <v>3</v>
      </c>
      <c r="DF48" s="4">
        <f>IF(_xlfn.XLOOKUP($B48,island_data!$B:$B,island_data!L:L,"NaN")="","NaN",_xlfn.XLOOKUP($B48,island_data!$B:$B,island_data!L:L,"NaN"))</f>
        <v>0</v>
      </c>
      <c r="DG48" s="4">
        <f>IF(_xlfn.XLOOKUP($B48,island_data!$B:$B,island_data!M:M,"NaN")="","NaN",_xlfn.XLOOKUP($B48,island_data!$B:$B,island_data!M:M,"NaN"))</f>
        <v>2.8125</v>
      </c>
      <c r="DH48" s="4">
        <f>IF(_xlfn.XLOOKUP($B48,island_data!$B:$B,island_data!N:N,"NaN")="","NaN",_xlfn.XLOOKUP($B48,island_data!$B:$B,island_data!N:N,"NaN"))</f>
        <v>8</v>
      </c>
      <c r="DI48" s="4">
        <f>IF(_xlfn.XLOOKUP($B48,island_data!$B:$B,island_data!O:O,"NaN")=999,"NaN",_xlfn.XLOOKUP($B48,island_data!$B:$B,island_data!O:O,"NaN"))</f>
        <v>7</v>
      </c>
      <c r="DJ48" s="4">
        <f>IF(_xlfn.XLOOKUP($B48,island_data!$B:$B,island_data!P:P,"NaN")="","NaN",_xlfn.XLOOKUP($B48,island_data!$B:$B,island_data!P:P,"NaN"))</f>
        <v>7</v>
      </c>
      <c r="DK48" s="4">
        <f>IF(_xlfn.XLOOKUP($B48,island_data!$B:$B,island_data!Q:Q,"NaN")="","NaN",_xlfn.XLOOKUP($B48,island_data!$B:$B,island_data!Q:Q,"NaN"))</f>
        <v>2</v>
      </c>
      <c r="DL48" s="4">
        <f>IF(_xlfn.XLOOKUP($B48,island_data!$B:$B,island_data!R:R,"NaN")=999,"NaN",_xlfn.XLOOKUP($B48,island_data!$B:$B,island_data!R:R,"NaN"))</f>
        <v>12</v>
      </c>
      <c r="DM48" s="4">
        <f>IF(_xlfn.XLOOKUP($B48,island_data!$B:$B,island_data!S:S,"NaN")="","NaN",_xlfn.XLOOKUP($B48,island_data!$B:$B,island_data!S:S,"NaN"))</f>
        <v>9</v>
      </c>
      <c r="DN48" s="4">
        <f>IF(_xlfn.XLOOKUP($B48,island_data!$B:$B,island_data!T:T,"NaN")="","NaN",_xlfn.XLOOKUP($B48,island_data!$B:$B,island_data!T:T,"NaN"))</f>
        <v>4.3333333333333304</v>
      </c>
      <c r="DO48" s="4">
        <f>IF(_xlfn.XLOOKUP($B48,island_data!$B:$B,island_data!U:U,"NaN")="","NaN",_xlfn.XLOOKUP($B48,island_data!$B:$B,island_data!U:U,"NaN"))</f>
        <v>5</v>
      </c>
      <c r="DP48" s="4">
        <f>IF(_xlfn.XLOOKUP($B48,island_data!$B:$B,island_data!V:V,"NaN")="","NaN",_xlfn.XLOOKUP($B48,island_data!$B:$B,island_data!V:V,"NaN"))</f>
        <v>3</v>
      </c>
      <c r="DQ48" s="4">
        <f>IF(_xlfn.XLOOKUP($B48,island_data!$B:$B,island_data!W:W,"NaN")="","NaN",_xlfn.XLOOKUP($B48,island_data!$B:$B,island_data!W:W,"NaN"))</f>
        <v>7</v>
      </c>
      <c r="DR48" s="4">
        <f>IF(_xlfn.XLOOKUP($B48,island_data!$B:$B,island_data!X:X,"NaN")="","NaN",_xlfn.XLOOKUP($B48,island_data!$B:$B,island_data!X:X,"NaN"))</f>
        <v>5</v>
      </c>
      <c r="DS48" s="4" t="str">
        <f>IF(_xlfn.XLOOKUP($B48,island_data!$B:$B,island_data!Y:Y,"NaN")="","NaN",_xlfn.XLOOKUP($B48,island_data!$B:$B,island_data!Y:Y,"NaN"))</f>
        <v>NaN</v>
      </c>
      <c r="DT48" s="4" t="str">
        <f>IF(_xlfn.XLOOKUP($B48,island_data!$B:$B,island_data!Z:Z,"NaN")="","NaN",_xlfn.XLOOKUP($B48,island_data!$B:$B,island_data!Z:Z,"NaN"))</f>
        <v>NaN</v>
      </c>
      <c r="DU48" s="4" t="str">
        <f>IF(_xlfn.XLOOKUP($B48,island_data!$B:$B,island_data!AA:AA,"NaN")="","NaN",_xlfn.XLOOKUP($B48,island_data!$B:$B,island_data!AA:AA,"NaN"))</f>
        <v>NaN</v>
      </c>
      <c r="DV48" s="4">
        <f>IF(_xlfn.XLOOKUP($B48,island_data!$B:$B,island_data!AB:AB,"NaN")="","NaN",_xlfn.XLOOKUP($B48,island_data!$B:$B,island_data!AB:AB,"NaN"))</f>
        <v>1</v>
      </c>
      <c r="DW48" s="4">
        <f>IF(_xlfn.XLOOKUP($B48,island_data!$B:$B,island_data!AC:AC,"NaN")="","NaN",_xlfn.XLOOKUP($B48,island_data!$B:$B,island_data!AC:AC,"NaN"))</f>
        <v>19138</v>
      </c>
      <c r="DX48" s="4">
        <f>IF(_xlfn.XLOOKUP($B48,island_data!$B:$B,island_data!AD:AD,"NaN")="","NaN",_xlfn.XLOOKUP($B48,island_data!$B:$B,island_data!AD:AD,"NaN"))</f>
        <v>7</v>
      </c>
      <c r="DY48" s="4">
        <f>IF(_xlfn.XLOOKUP($B48,island_data!$B:$B,island_data!AE:AE,"NaN")="","NaN",_xlfn.XLOOKUP($B48,island_data!$B:$B,island_data!AE:AE,"NaN"))</f>
        <v>0</v>
      </c>
      <c r="DZ48" s="4" t="str">
        <f>IF(_xlfn.XLOOKUP($B48,island_data!$B:$B,island_data!AF:AF,"NaN")="","NaN",_xlfn.XLOOKUP($B48,island_data!$B:$B,island_data!AF:AF,"NaN"))</f>
        <v>NaN</v>
      </c>
      <c r="EA48" s="4" t="str">
        <f>IF(_xlfn.XLOOKUP($B48,island_data!$B:$B,island_data!AG:AG,"NaN")="","NaN",_xlfn.XLOOKUP($B48,island_data!$B:$B,island_data!AG:AG,"NaN"))</f>
        <v>NaN</v>
      </c>
      <c r="EB48" s="4" t="str">
        <f>IF(_xlfn.XLOOKUP($B48,island_data!$B:$B,island_data!AH:AH,"NaN")="","NaN",_xlfn.XLOOKUP($B48,island_data!$B:$B,island_data!AH:AH,"NaN"))</f>
        <v>NaN</v>
      </c>
      <c r="EC48" s="4">
        <f>IF(_xlfn.XLOOKUP($B48,island_data!$B:$B,island_data!AI:AI,"NaN")="","NaN",_xlfn.XLOOKUP($B48,island_data!$B:$B,island_data!AI:AI,"NaN"))</f>
        <v>15</v>
      </c>
      <c r="ED48" s="4">
        <f>IF(_xlfn.XLOOKUP($B48,island_data!$B:$B,island_data!AJ:AJ,"NaN")="","NaN",_xlfn.XLOOKUP($B48,island_data!$B:$B,island_data!AJ:AJ,"NaN"))</f>
        <v>9</v>
      </c>
      <c r="EE48" s="4">
        <f>IF(_xlfn.XLOOKUP($B48,island_data!$B:$B,island_data!AK:AK,"NaN")="","NaN",_xlfn.XLOOKUP($B48,island_data!$B:$B,island_data!AK:AK,"NaN"))</f>
        <v>9</v>
      </c>
      <c r="EF48" s="4">
        <f>IF(_xlfn.XLOOKUP($B48,island_data!$B:$B,island_data!AL:AL,"NaN")="","NaN",_xlfn.XLOOKUP($B48,island_data!$B:$B,island_data!AL:AL,"NaN"))</f>
        <v>13</v>
      </c>
      <c r="EG48" s="4">
        <f>IF(_xlfn.XLOOKUP($B48,island_data!$B:$B,island_data!AM:AM,"NaN")="","NaN",_xlfn.XLOOKUP($B48,island_data!$B:$B,island_data!AM:AM,"NaN"))</f>
        <v>15</v>
      </c>
      <c r="EH48" s="4">
        <f>IF(_xlfn.XLOOKUP($B48,island_data!$B:$B,island_data!AN:AN,"NaN")="","NaN",_xlfn.XLOOKUP($B48,island_data!$B:$B,island_data!AN:AN,"NaN"))</f>
        <v>2</v>
      </c>
      <c r="EI48" s="4" t="str">
        <f>IF(_xlfn.XLOOKUP($B48,island_data!$B:$B,island_data!AO:AO,"NaN")="","NaN",_xlfn.XLOOKUP($B48,island_data!$B:$B,island_data!AO:AO,"NaN"))</f>
        <v>NaN</v>
      </c>
      <c r="EJ48" s="8">
        <f>IF(_xlfn.XLOOKUP($A48,TabCAT!$A:$A,TabCAT!AU:AU,"NaN")="","NaN",(_xlfn.XLOOKUP($A48,TabCAT!$A:$A,TabCAT!AU:AU,"NaN")))</f>
        <v>217</v>
      </c>
      <c r="EK48" s="8" t="b">
        <f>IF(_xlfn.XLOOKUP($A48,TabCAT!$A:$A,TabCAT!AV:AV,"NaN")="","NaN",(_xlfn.XLOOKUP($A48,TabCAT!$A:$A,TabCAT!AV:AV,"NaN")))</f>
        <v>1</v>
      </c>
      <c r="EL48" s="8">
        <f>IF(_xlfn.XLOOKUP($A48,TabCAT!$A:$A,TabCAT!AW:AW,"NaN")="","NaN",(_xlfn.XLOOKUP($A48,TabCAT!$A:$A,TabCAT!AW:AW,"NaN")))</f>
        <v>4</v>
      </c>
      <c r="EM48" s="8">
        <f>IF(_xlfn.XLOOKUP($A48,TabCAT!$A:$A,TabCAT!AX:AX,"NaN")="","NaN",(_xlfn.XLOOKUP($A48,TabCAT!$A:$A,TabCAT!AX:AX,"NaN")))</f>
        <v>6</v>
      </c>
      <c r="EN48" s="8">
        <f>IF(_xlfn.XLOOKUP($A48,TabCAT!$A:$A,TabCAT!AY:AY,"NaN")="","NaN",(_xlfn.XLOOKUP($A48,TabCAT!$A:$A,TabCAT!AY:AY,"NaN")))</f>
        <v>8.08</v>
      </c>
      <c r="EO48" s="8">
        <f>IF(_xlfn.XLOOKUP($A48,TabCAT!$A:$A,TabCAT!AZ:AZ,"NaN")="","NaN",(_xlfn.XLOOKUP($A48,TabCAT!$A:$A,TabCAT!AZ:AZ,"NaN")))</f>
        <v>32</v>
      </c>
      <c r="EP48" s="8">
        <f>IF(_xlfn.XLOOKUP($A48,TabCAT!$A:$A,TabCAT!BA:BA,"NaN")="","NaN",(_xlfn.XLOOKUP($A48,TabCAT!$A:$A,TabCAT!BA:BA,"NaN")))</f>
        <v>0.87738050000000001</v>
      </c>
      <c r="EQ48" s="8">
        <f>IF(_xlfn.XLOOKUP($A48,TabCAT!$A:$A,TabCAT!BB:BB,"NaN")="","NaN",(_xlfn.XLOOKUP($A48,TabCAT!$A:$A,TabCAT!BB:BB,"NaN")))</f>
        <v>0.19449015338643</v>
      </c>
      <c r="ER48" s="8">
        <f>IF(_xlfn.XLOOKUP($A48,TabCAT!$A:$A,TabCAT!BC:BC,"NaN")="","NaN",(_xlfn.XLOOKUP($A48,TabCAT!$A:$A,TabCAT!BC:BC,"NaN")))</f>
        <v>16</v>
      </c>
      <c r="ES48" s="8">
        <f>IF(_xlfn.XLOOKUP($A48,TabCAT!$A:$A,TabCAT!BD:BD,"NaN")="","NaN",(_xlfn.XLOOKUP($A48,TabCAT!$A:$A,TabCAT!BD:BD,"NaN")))</f>
        <v>0.83993050000000002</v>
      </c>
      <c r="ET48" s="8">
        <f>IF(_xlfn.XLOOKUP($A48,TabCAT!$A:$A,TabCAT!BE:BE,"NaN")="","NaN",(_xlfn.XLOOKUP($A48,TabCAT!$A:$A,TabCAT!BE:BE,"NaN")))</f>
        <v>16</v>
      </c>
      <c r="EU48" s="8">
        <f>IF(_xlfn.XLOOKUP($A48,TabCAT!$A:$A,TabCAT!BF:BF,"NaN")="","NaN",(_xlfn.XLOOKUP($A48,TabCAT!$A:$A,TabCAT!BF:BF,"NaN")))</f>
        <v>0.909941</v>
      </c>
      <c r="EV48" s="8">
        <f>IF(_xlfn.XLOOKUP($A48,TabCAT!$A:$A,TabCAT!BG:BG,"NaN")="","NaN",(_xlfn.XLOOKUP($A48,TabCAT!$A:$A,TabCAT!BG:BG,"NaN")))</f>
        <v>-0.69811299999999998</v>
      </c>
      <c r="EW48" s="8" t="str">
        <f>IF(_xlfn.XLOOKUP($A48,TabCAT!$A:$A,TabCAT!BH:BH,"NaN")="","NaN",(_xlfn.XLOOKUP($A48,TabCAT!$A:$A,TabCAT!BH:BH,"NaN")))</f>
        <v>3.0.0</v>
      </c>
      <c r="EX48" s="8" t="str">
        <f>IF(_xlfn.XLOOKUP($A48,TabCAT!$A:$A,TabCAT!BI:BI,"NaN")="","NaN",(_xlfn.XLOOKUP($A48,TabCAT!$A:$A,TabCAT!BI:BI,"NaN")))</f>
        <v>English</v>
      </c>
      <c r="EY48" s="8">
        <f>IF(_xlfn.XLOOKUP($A48,TabCAT!$A:$A,TabCAT!BJ:BJ,"NaN")="","NaN",(_xlfn.XLOOKUP($A48,TabCAT!$A:$A,TabCAT!BJ:BJ,"NaN")))</f>
        <v>350</v>
      </c>
      <c r="EZ48" s="8">
        <f>IF(_xlfn.XLOOKUP($A48,TabCAT!$A:$A,TabCAT!BK:BK,"NaN")="","NaN",(_xlfn.XLOOKUP($A48,TabCAT!$A:$A,TabCAT!BK:BK,"NaN")))</f>
        <v>1</v>
      </c>
      <c r="FA48" s="8">
        <f>IF(_xlfn.XLOOKUP($A48,TabCAT!$A:$A,TabCAT!BL:BL,"NaN")="","NaN",(_xlfn.XLOOKUP($A48,TabCAT!$A:$A,TabCAT!BL:BL,"NaN")))</f>
        <v>6</v>
      </c>
      <c r="FB48" s="8">
        <f>IF(_xlfn.XLOOKUP($A48,TabCAT!$A:$A,TabCAT!BM:BM,"NaN")="","NaN",(_xlfn.XLOOKUP($A48,TabCAT!$A:$A,TabCAT!BM:BM,"NaN")))</f>
        <v>1</v>
      </c>
      <c r="FC48" s="8">
        <f>IF(_xlfn.XLOOKUP($A48,TabCAT!$A:$A,TabCAT!BN:BN,"NaN")="","NaN",(_xlfn.XLOOKUP($A48,TabCAT!$A:$A,TabCAT!BN:BN,"NaN")))</f>
        <v>5</v>
      </c>
      <c r="FD48" s="8">
        <f>IF(_xlfn.XLOOKUP($A48,TabCAT!$A:$A,TabCAT!BO:BO,"NaN")="","NaN",(_xlfn.XLOOKUP($A48,TabCAT!$A:$A,TabCAT!BO:BO,"NaN")))</f>
        <v>8</v>
      </c>
      <c r="FE48" s="8">
        <f>IF(_xlfn.XLOOKUP($A48,TabCAT!$A:$A,TabCAT!BP:BP,"NaN")="","NaN",(_xlfn.XLOOKUP($A48,TabCAT!$A:$A,TabCAT!BP:BP,"NaN")))</f>
        <v>0.88888888888888795</v>
      </c>
      <c r="FF48" s="8">
        <f>IF(_xlfn.XLOOKUP($A48,TabCAT!$A:$A,TabCAT!BQ:BQ,"NaN")="","NaN",(_xlfn.XLOOKUP($A48,TabCAT!$A:$A,TabCAT!BQ:BQ,"NaN")))</f>
        <v>6</v>
      </c>
      <c r="FG48" s="8">
        <f>IF(_xlfn.XLOOKUP($A48,TabCAT!$A:$A,TabCAT!BR:BR,"NaN")="","NaN",(_xlfn.XLOOKUP($A48,TabCAT!$A:$A,TabCAT!BR:BR,"NaN")))</f>
        <v>11</v>
      </c>
      <c r="FH48" s="8">
        <f>IF(_xlfn.XLOOKUP($A48,TabCAT!$A:$A,TabCAT!BS:BS,"NaN")="","NaN",(_xlfn.XLOOKUP($A48,TabCAT!$A:$A,TabCAT!BS:BS,"NaN")))</f>
        <v>0.91666666666666596</v>
      </c>
      <c r="FI48" s="8">
        <f>IF(_xlfn.XLOOKUP($A48,TabCAT!$A:$A,TabCAT!BT:BT,"NaN")="","NaN",(_xlfn.XLOOKUP($A48,TabCAT!$A:$A,TabCAT!BT:BT,"NaN")))</f>
        <v>7</v>
      </c>
      <c r="FJ48" s="8">
        <f>IF(_xlfn.XLOOKUP($A48,TabCAT!$A:$A,TabCAT!BU:BU,"NaN")="","NaN",(_xlfn.XLOOKUP($A48,TabCAT!$A:$A,TabCAT!BU:BU,"NaN")))</f>
        <v>11</v>
      </c>
      <c r="FK48" s="8">
        <f>IF(_xlfn.XLOOKUP($A48,TabCAT!$A:$A,TabCAT!BV:BV,"NaN")="","NaN",(_xlfn.XLOOKUP($A48,TabCAT!$A:$A,TabCAT!BV:BV,"NaN")))</f>
        <v>0.73333333333333295</v>
      </c>
      <c r="FL48" s="8">
        <f>IF(_xlfn.XLOOKUP($A48,TabCAT!$A:$A,TabCAT!BW:BW,"NaN")="","NaN",(_xlfn.XLOOKUP($A48,TabCAT!$A:$A,TabCAT!BW:BW,"NaN")))</f>
        <v>6</v>
      </c>
      <c r="FM48" s="8">
        <f>IF(_xlfn.XLOOKUP($A48,TabCAT!$A:$A,TabCAT!BX:BX,"NaN")="","NaN",(_xlfn.XLOOKUP($A48,TabCAT!$A:$A,TabCAT!BX:BX,"NaN")))</f>
        <v>36</v>
      </c>
      <c r="FN48" s="8">
        <f>IF(_xlfn.XLOOKUP($A48,TabCAT!$A:$A,TabCAT!BY:BY,"NaN")="","NaN",(_xlfn.XLOOKUP($A48,TabCAT!$A:$A,TabCAT!BY:BY,"NaN")))</f>
        <v>0.85714285714285698</v>
      </c>
      <c r="FO48" s="8">
        <f>IF(_xlfn.XLOOKUP($A48,TabCAT!$A:$A,TabCAT!BZ:BZ,"NaN")="","NaN",(_xlfn.XLOOKUP($A48,TabCAT!$A:$A,TabCAT!BZ:BZ,"NaN")))</f>
        <v>24</v>
      </c>
      <c r="FP48" s="8" t="str">
        <f>IF(_xlfn.XLOOKUP($A48,TabCAT!$A:$A,TabCAT!CA:CA,"NaN")="","NaN",(_xlfn.XLOOKUP($A48,TabCAT!$A:$A,TabCAT!CA:CA,"NaN")))</f>
        <v>3.0.0</v>
      </c>
      <c r="FQ48" s="8" t="str">
        <f>IF(_xlfn.XLOOKUP($A48,TabCAT!$A:$A,TabCAT!CB:CB,"NaN")="","NaN",(_xlfn.XLOOKUP($A48,TabCAT!$A:$A,TabCAT!CB:CB,"NaN")))</f>
        <v>English</v>
      </c>
      <c r="FR48" s="8">
        <f>IF(_xlfn.XLOOKUP($A48,TabCAT!$A:$A,TabCAT!CC:CC,"NaN")="","NaN",(_xlfn.XLOOKUP($A48,TabCAT!$A:$A,TabCAT!CC:CC,"NaN")))</f>
        <v>276</v>
      </c>
      <c r="FS48" s="8" t="b">
        <f>IF(_xlfn.XLOOKUP($A48,TabCAT!$A:$A,TabCAT!CD:CD,"NaN")="","NaN",(_xlfn.XLOOKUP($A48,TabCAT!$A:$A,TabCAT!CD:CD,"NaN")))</f>
        <v>1</v>
      </c>
      <c r="FT48" s="8">
        <f>IF(_xlfn.XLOOKUP($A48,TabCAT!$A:$A,TabCAT!CE:CE,"NaN")="","NaN",(_xlfn.XLOOKUP($A48,TabCAT!$A:$A,TabCAT!CE:CE,"NaN")))</f>
        <v>8</v>
      </c>
      <c r="FU48" s="8">
        <f>IF(_xlfn.XLOOKUP($A48,TabCAT!$A:$A,TabCAT!CF:CF,"NaN")="","NaN",(_xlfn.XLOOKUP($A48,TabCAT!$A:$A,TabCAT!CF:CF,"NaN")))</f>
        <v>0</v>
      </c>
      <c r="FV48" s="8">
        <f>IF(_xlfn.XLOOKUP($A48,TabCAT!$A:$A,TabCAT!CG:CG,"NaN")="","NaN",(_xlfn.XLOOKUP($A48,TabCAT!$A:$A,TabCAT!CG:CG,"NaN")))</f>
        <v>6.48</v>
      </c>
      <c r="FW48" s="8">
        <f>IF(_xlfn.XLOOKUP($A48,TabCAT!$A:$A,TabCAT!CH:CH,"NaN")="","NaN",(_xlfn.XLOOKUP($A48,TabCAT!$A:$A,TabCAT!CH:CH,"NaN")))</f>
        <v>16</v>
      </c>
      <c r="FX48" s="8">
        <f>IF(_xlfn.XLOOKUP($A48,TabCAT!$A:$A,TabCAT!CI:CI,"NaN")="","NaN",(_xlfn.XLOOKUP($A48,TabCAT!$A:$A,TabCAT!CI:CI,"NaN")))</f>
        <v>1.17580999999999</v>
      </c>
      <c r="FY48" s="8">
        <f>IF(_xlfn.XLOOKUP($A48,TabCAT!$A:$A,TabCAT!CJ:CJ,"NaN")="","NaN",(_xlfn.XLOOKUP($A48,TabCAT!$A:$A,TabCAT!CJ:CJ,"NaN")))</f>
        <v>16</v>
      </c>
      <c r="FZ48" s="8">
        <f>IF(_xlfn.XLOOKUP($A48,TabCAT!$A:$A,TabCAT!CK:CK,"NaN")="","NaN",(_xlfn.XLOOKUP($A48,TabCAT!$A:$A,TabCAT!CK:CK,"NaN")))</f>
        <v>1.0357574999999899</v>
      </c>
      <c r="GA48" s="8">
        <f>IF(_xlfn.XLOOKUP($A48,TabCAT!$A:$A,TabCAT!CL:CL,"NaN")="","NaN",(_xlfn.XLOOKUP($A48,TabCAT!$A:$A,TabCAT!CL:CL,"NaN")))</f>
        <v>31</v>
      </c>
      <c r="GB48" s="8">
        <f>IF(_xlfn.XLOOKUP($A48,TabCAT!$A:$A,TabCAT!CM:CM,"NaN")="","NaN",(_xlfn.XLOOKUP($A48,TabCAT!$A:$A,TabCAT!CM:CM,"NaN")))</f>
        <v>1.237671</v>
      </c>
      <c r="GC48" s="8">
        <f>IF(_xlfn.XLOOKUP($A48,TabCAT!$A:$A,TabCAT!CN:CN,"NaN")="","NaN",(_xlfn.XLOOKUP($A48,TabCAT!$A:$A,TabCAT!CN:CN,"NaN")))</f>
        <v>17</v>
      </c>
      <c r="GD48" s="8">
        <f>IF(_xlfn.XLOOKUP($A48,TabCAT!$A:$A,TabCAT!CO:CO,"NaN")="","NaN",(_xlfn.XLOOKUP($A48,TabCAT!$A:$A,TabCAT!CO:CO,"NaN")))</f>
        <v>1.3375600000000001</v>
      </c>
      <c r="GE48" s="8">
        <f>IF(_xlfn.XLOOKUP($A48,TabCAT!$A:$A,TabCAT!CP:CP,"NaN")="","NaN",(_xlfn.XLOOKUP($A48,TabCAT!$A:$A,TabCAT!CP:CP,"NaN")))</f>
        <v>0.19151517163612999</v>
      </c>
      <c r="GF48" s="8">
        <f>IF(_xlfn.XLOOKUP($A48,TabCAT!$A:$A,TabCAT!CQ:CQ,"NaN")="","NaN",(_xlfn.XLOOKUP($A48,TabCAT!$A:$A,TabCAT!CQ:CQ,"NaN")))</f>
        <v>56</v>
      </c>
      <c r="GG48" s="8">
        <f>IF(_xlfn.XLOOKUP($A48,TabCAT!$A:$A,TabCAT!CR:CR,"NaN")="","NaN",(_xlfn.XLOOKUP($A48,TabCAT!$A:$A,TabCAT!CR:CR,"NaN")))</f>
        <v>1.1351329999999999</v>
      </c>
      <c r="GH48" s="8">
        <f>IF(_xlfn.XLOOKUP($A48,TabCAT!$A:$A,TabCAT!CS:CS,"NaN")="","NaN",(_xlfn.XLOOKUP($A48,TabCAT!$A:$A,TabCAT!CS:CS,"NaN")))</f>
        <v>-1.9565220000000001</v>
      </c>
    </row>
    <row r="49" spans="1:190" x14ac:dyDescent="0.2">
      <c r="A49">
        <v>10716</v>
      </c>
      <c r="B49">
        <f>_xlfn.XLOOKUP(bippity_poppity_boo!A49,rf1_data!A:A,rf1_data!B:B)</f>
        <v>41654</v>
      </c>
      <c r="C49" s="2">
        <f>(_xlfn.XLOOKUP($A49,trust!$A:$A,trust!B:B,"NaN"))</f>
        <v>2.8571430000000002</v>
      </c>
      <c r="D49" s="2">
        <f>(_xlfn.XLOOKUP($A49,trust!$A:$A,trust!C:C,"NaN"))</f>
        <v>5.2727269999999997</v>
      </c>
      <c r="E49" s="2">
        <f>(_xlfn.XLOOKUP($A49,trust!$A:$A,trust!D:D,"NaN"))</f>
        <v>3.6923080000000001</v>
      </c>
      <c r="F49" s="2">
        <f>(_xlfn.XLOOKUP($A49,trust!$A:$A,trust!E:E,"NaN"))</f>
        <v>4.4285709999999998</v>
      </c>
      <c r="G49" s="2">
        <f>(_xlfn.XLOOKUP($A49,trust!$A:$A,trust!F:F,"NaN"))</f>
        <v>4.9230770000000001</v>
      </c>
      <c r="H49" s="2">
        <f>(_xlfn.XLOOKUP($A49,trust!$A:$A,trust!G:G,"NaN"))</f>
        <v>3.1428569999999998</v>
      </c>
      <c r="I49" s="3" t="str">
        <f>IF(_xlfn.XLOOKUP($B49,island_data!$B:$B,island_data!C:C,"NaN")="","NaN",_xlfn.XLOOKUP($B49,island_data!$B:$B,island_data!C:C,"NaN"))</f>
        <v>NaN</v>
      </c>
      <c r="J49" s="3" t="str">
        <f>IF(_xlfn.XLOOKUP($B49,island_data!$B:$B,island_data!D:D,"NaN")="","NaN",_xlfn.XLOOKUP($B49,island_data!$B:$B,island_data!D:D,"NaN"))</f>
        <v>NaN</v>
      </c>
      <c r="K49" s="4" t="str">
        <f>IF(_xlfn.XLOOKUP($B49,island_data!$B:$B,island_data!E:E,"NaN")="","NaN",_xlfn.XLOOKUP($B49,island_data!$B:$B,island_data!E:E,"NaN"))</f>
        <v>NaN</v>
      </c>
      <c r="L49" s="5">
        <f>IF(_xlfn.XLOOKUP($B49,rf1_data!$B:$B,rf1_data!D:D,"NaN")="","NaN",(_xlfn.XLOOKUP($B49,rf1_data!$B:$B,rf1_data!D:D,"NaN")))</f>
        <v>69.13</v>
      </c>
      <c r="M49" s="5" t="str">
        <f>IF(_xlfn.XLOOKUP($B49,rf1_data!$B:$B,rf1_data!E:E,"NaN")="","NaN",(_xlfn.XLOOKUP($B49,rf1_data!$B:$B,rf1_data!E:E,"NaN")))</f>
        <v>White</v>
      </c>
      <c r="N49" s="5" t="str">
        <f>IF(_xlfn.XLOOKUP($B49,rf1_data!$B:$B,rf1_data!F:F,"NaN")="","NaN",(_xlfn.XLOOKUP($B49,rf1_data!$B:$B,rf1_data!F:F,"NaN")))</f>
        <v>Not Hispanic or Latino</v>
      </c>
      <c r="O49" s="5" t="str">
        <f>IF(_xlfn.XLOOKUP($B49,rf1_data!$B:$B,rf1_data!G:G,"NaN")="","NaN",(_xlfn.XLOOKUP($B49,rf1_data!$B:$B,rf1_data!G:G,"NaN")))</f>
        <v>Male</v>
      </c>
      <c r="P49" s="5">
        <f>IF(_xlfn.XLOOKUP($B49,rf1_data!$B:$B,rf1_data!H:H,"NaN")="","NaN",(_xlfn.XLOOKUP($B49,rf1_data!$B:$B,rf1_data!H:H,"NaN")))</f>
        <v>3.67</v>
      </c>
      <c r="Q49" s="5">
        <f>IF(_xlfn.XLOOKUP($B49,rf1_data!$B:$B,rf1_data!I:I,"NaN")="","NaN",(_xlfn.XLOOKUP($B49,rf1_data!$B:$B,rf1_data!I:I,"NaN")))</f>
        <v>3.1</v>
      </c>
      <c r="R49" s="5">
        <f>IF(_xlfn.XLOOKUP($B49,rf1_data!$B:$B,rf1_data!J:J,"NaN")="","NaN",(_xlfn.XLOOKUP($B49,rf1_data!$B:$B,rf1_data!J:J,"NaN")))</f>
        <v>0</v>
      </c>
      <c r="S49" s="5">
        <f>IF(_xlfn.XLOOKUP($B49,rf1_data!$B:$B,rf1_data!K:K,"NaN")="","NaN",(_xlfn.XLOOKUP($B49,rf1_data!$B:$B,rf1_data!K:K,"NaN")))</f>
        <v>0</v>
      </c>
      <c r="T49" s="5">
        <f>IF(_xlfn.XLOOKUP($B49,rf1_data!$B:$B,rf1_data!L:L,"NaN")="","NaN",(_xlfn.XLOOKUP($B49,rf1_data!$B:$B,rf1_data!L:L,"NaN")))</f>
        <v>0</v>
      </c>
      <c r="U49" s="5">
        <f>IF(_xlfn.XLOOKUP($B49,rf1_data!$B:$B,rf1_data!M:M,"NaN")="","NaN",(_xlfn.XLOOKUP($B49,rf1_data!$B:$B,rf1_data!M:M,"NaN")))</f>
        <v>6.5</v>
      </c>
      <c r="V49" s="5">
        <f>IF(_xlfn.XLOOKUP($B49,rf1_data!$B:$B,rf1_data!N:N,"NaN")="","NaN",(_xlfn.XLOOKUP($B49,rf1_data!$B:$B,rf1_data!N:N,"NaN")))</f>
        <v>5.67</v>
      </c>
      <c r="W49" s="5">
        <f>IF(_xlfn.XLOOKUP($B49,rf1_data!$B:$B,rf1_data!O:O,"NaN")="","NaN",(_xlfn.XLOOKUP($B49,rf1_data!$B:$B,rf1_data!O:O,"NaN")))</f>
        <v>5.88</v>
      </c>
      <c r="X49" s="5">
        <f>IF(_xlfn.XLOOKUP($B49,rf1_data!$B:$B,rf1_data!P:P,"NaN")="","NaN",(_xlfn.XLOOKUP($B49,rf1_data!$B:$B,rf1_data!P:P,"NaN")))</f>
        <v>5.17</v>
      </c>
      <c r="Y49" s="5">
        <f>IF(_xlfn.XLOOKUP($B49,rf1_data!$B:$B,rf1_data!Q:Q,"NaN")="","NaN",(_xlfn.XLOOKUP($B49,rf1_data!$B:$B,rf1_data!Q:Q,"NaN")))</f>
        <v>5.8</v>
      </c>
      <c r="Z49" s="5">
        <f>IF(_xlfn.XLOOKUP($B49,rf1_data!$B:$B,rf1_data!R:R,"NaN")="","NaN",(_xlfn.XLOOKUP($B49,rf1_data!$B:$B,rf1_data!R:R,"NaN")))</f>
        <v>5</v>
      </c>
      <c r="AA49" s="5">
        <f>IF(_xlfn.XLOOKUP($B49,rf1_data!$B:$B,rf1_data!S:S,"NaN")="","NaN",(_xlfn.XLOOKUP($B49,rf1_data!$B:$B,rf1_data!S:S,"NaN")))</f>
        <v>0</v>
      </c>
      <c r="AB49" s="5">
        <f>IF(_xlfn.XLOOKUP($B49,rf1_data!$B:$B,rf1_data!T:T,"NaN")="","NaN",(_xlfn.XLOOKUP($B49,rf1_data!$B:$B,rf1_data!T:T,"NaN")))</f>
        <v>0</v>
      </c>
      <c r="AC49" s="5">
        <f>IF(_xlfn.XLOOKUP($B49,rf1_data!$B:$B,rf1_data!U:U,"NaN")="","NaN",(_xlfn.XLOOKUP($B49,rf1_data!$B:$B,rf1_data!U:U,"NaN")))</f>
        <v>1</v>
      </c>
      <c r="AD49" s="5">
        <f>IF(_xlfn.XLOOKUP($B49,rf1_data!$B:$B,rf1_data!V:V,"NaN")="","NaN",(_xlfn.XLOOKUP($B49,rf1_data!$B:$B,rf1_data!V:V,"NaN")))</f>
        <v>4</v>
      </c>
      <c r="AE49" s="5">
        <f>IF(_xlfn.XLOOKUP($B49,rf1_data!$B:$B,rf1_data!W:W,"NaN")="","NaN",(_xlfn.XLOOKUP($B49,rf1_data!$B:$B,rf1_data!W:W,"NaN")))</f>
        <v>5</v>
      </c>
      <c r="AF49" s="5">
        <f>IF(_xlfn.XLOOKUP($B49,rf1_data!$B:$B,rf1_data!X:X,"NaN")="","NaN",(_xlfn.XLOOKUP($B49,rf1_data!$B:$B,rf1_data!X:X,"NaN")))</f>
        <v>4</v>
      </c>
      <c r="AG49" s="5">
        <f>IF(_xlfn.XLOOKUP($B49,rf1_data!$B:$B,rf1_data!Y:Y,"NaN")="","NaN",(_xlfn.XLOOKUP($B49,rf1_data!$B:$B,rf1_data!Y:Y,"NaN")))</f>
        <v>3</v>
      </c>
      <c r="AH49" s="5">
        <f>IF(_xlfn.XLOOKUP($B49,rf1_data!$B:$B,rf1_data!Z:Z,"NaN")="","NaN",(_xlfn.XLOOKUP($B49,rf1_data!$B:$B,rf1_data!Z:Z,"NaN")))</f>
        <v>5</v>
      </c>
      <c r="AI49" s="5">
        <f>IF(_xlfn.XLOOKUP($B49,rf1_data!$B:$B,rf1_data!AA:AA,"NaN")="","NaN",(_xlfn.XLOOKUP($B49,rf1_data!$B:$B,rf1_data!AA:AA,"NaN")))</f>
        <v>3</v>
      </c>
      <c r="AJ49" s="5">
        <f>IF(_xlfn.XLOOKUP($B49,rf1_data!$B:$B,rf1_data!AB:AB,"NaN")="","NaN",(_xlfn.XLOOKUP($B49,rf1_data!$B:$B,rf1_data!AB:AB,"NaN")))</f>
        <v>20</v>
      </c>
      <c r="AK49" s="5">
        <f>IF(_xlfn.XLOOKUP($B49,rf1_data!$B:$B,rf1_data!AC:AC,"NaN")="","NaN",(_xlfn.XLOOKUP($B49,rf1_data!$B:$B,rf1_data!AC:AC,"NaN")))</f>
        <v>34</v>
      </c>
      <c r="AL49" s="5">
        <f>IF(_xlfn.XLOOKUP($B49,rf1_data!$B:$B,rf1_data!AD:AD,"NaN")="","NaN",(_xlfn.XLOOKUP($B49,rf1_data!$B:$B,rf1_data!AD:AD,"NaN")))</f>
        <v>10</v>
      </c>
      <c r="AM49" s="5">
        <f>IF(_xlfn.XLOOKUP($B49,rf1_data!$B:$B,rf1_data!AE:AE,"NaN")="","NaN",(_xlfn.XLOOKUP($B49,rf1_data!$B:$B,rf1_data!AE:AE,"NaN")))</f>
        <v>0</v>
      </c>
      <c r="AN49" s="5">
        <f>IF(_xlfn.XLOOKUP($B49,rf1_data!$B:$B,rf1_data!AF:AF,"NaN")="","NaN",(_xlfn.XLOOKUP($B49,rf1_data!$B:$B,rf1_data!AF:AF,"NaN")))</f>
        <v>0</v>
      </c>
      <c r="AO49" s="5">
        <f>IF(_xlfn.XLOOKUP($B49,rf1_data!$B:$B,rf1_data!AG:AG,"NaN")="","NaN",(_xlfn.XLOOKUP($B49,rf1_data!$B:$B,rf1_data!AG:AG,"NaN")))</f>
        <v>6.67</v>
      </c>
      <c r="AP49" s="5">
        <f>IF(_xlfn.XLOOKUP($B49,rf1_data!$B:$B,rf1_data!AH:AH,"NaN")="","NaN",(_xlfn.XLOOKUP($B49,rf1_data!$B:$B,rf1_data!AH:AH,"NaN")))</f>
        <v>6</v>
      </c>
      <c r="AQ49" s="5">
        <f>IF(_xlfn.XLOOKUP($B49,rf1_data!$B:$B,rf1_data!AI:AI,"NaN")="","NaN",(_xlfn.XLOOKUP($B49,rf1_data!$B:$B,rf1_data!AI:AI,"NaN")))</f>
        <v>7</v>
      </c>
      <c r="AR49" s="5">
        <f>IF(_xlfn.XLOOKUP($B49,rf1_data!$B:$B,rf1_data!AJ:AJ,"NaN")="","NaN",(_xlfn.XLOOKUP($B49,rf1_data!$B:$B,rf1_data!AJ:AJ,"NaN")))</f>
        <v>7</v>
      </c>
      <c r="AS49" s="5">
        <f>IF(_xlfn.XLOOKUP($B49,rf1_data!$B:$B,rf1_data!AK:AK,"NaN")="","NaN",(_xlfn.XLOOKUP($B49,rf1_data!$B:$B,rf1_data!AK:AK,"NaN")))</f>
        <v>2.5</v>
      </c>
      <c r="AT49" s="5">
        <f>IF(_xlfn.XLOOKUP($B49,rf1_data!$B:$B,rf1_data!AL:AL,"NaN")="","NaN",(_xlfn.XLOOKUP($B49,rf1_data!$B:$B,rf1_data!AL:AL,"NaN")))</f>
        <v>6</v>
      </c>
      <c r="AU49" s="5">
        <f>IF(_xlfn.XLOOKUP($B49,rf1_data!$B:$B,rf1_data!AM:AM,"NaN")="","NaN",(_xlfn.XLOOKUP($B49,rf1_data!$B:$B,rf1_data!AM:AM,"NaN")))</f>
        <v>3</v>
      </c>
      <c r="AV49" s="5">
        <f>IF(_xlfn.XLOOKUP($B49,rf1_data!$B:$B,rf1_data!AN:AN,"NaN")="","NaN",(_xlfn.XLOOKUP($B49,rf1_data!$B:$B,rf1_data!AN:AN,"NaN")))</f>
        <v>2</v>
      </c>
      <c r="AW49" s="5">
        <f>IF(_xlfn.XLOOKUP($B49,rf1_data!$B:$B,rf1_data!AO:AO,"NaN")="","NaN",(_xlfn.XLOOKUP($B49,rf1_data!$B:$B,rf1_data!AO:AO,"NaN")))</f>
        <v>3.17</v>
      </c>
      <c r="AX49" s="5">
        <f>IF(_xlfn.XLOOKUP($B49,rf1_data!$B:$B,rf1_data!AP:AP,"NaN")="","NaN",(_xlfn.XLOOKUP($B49,rf1_data!$B:$B,rf1_data!AP:AP,"NaN")))</f>
        <v>9999</v>
      </c>
      <c r="AY49" s="5" t="str">
        <f>IF(_xlfn.XLOOKUP($B49,rf1_data!$B:$B,rf1_data!AQ:AQ,"NaN")="","NaN",(_xlfn.XLOOKUP($B49,rf1_data!$B:$B,rf1_data!AQ:AQ,"NaN")))</f>
        <v>NaN</v>
      </c>
      <c r="AZ49" s="5" t="str">
        <f>IF(_xlfn.XLOOKUP($B49,rf1_data!$B:$B,rf1_data!AR:AR,"NaN")="","NaN",(_xlfn.XLOOKUP($B49,rf1_data!$B:$B,rf1_data!AR:AR,"NaN")))</f>
        <v>NaN</v>
      </c>
      <c r="BA49" s="5" t="str">
        <f>IF(_xlfn.XLOOKUP($B49,rf1_data!$B:$B,rf1_data!AS:AS,"NaN")="","NaN",(_xlfn.XLOOKUP($B49,rf1_data!$B:$B,rf1_data!AS:AS,"NaN")))</f>
        <v>NaN</v>
      </c>
      <c r="BB49" s="5" t="str">
        <f>IF(_xlfn.XLOOKUP($B49,rf1_data!$B:$B,rf1_data!AT:AT,"NaN")="","NaN",(_xlfn.XLOOKUP($B49,rf1_data!$B:$B,rf1_data!AT:AT,"NaN")))</f>
        <v>NaN</v>
      </c>
      <c r="BC49" s="5" t="str">
        <f>IF(_xlfn.XLOOKUP($B49,rf1_data!$B:$B,rf1_data!AU:AU,"NaN")="","NaN",(_xlfn.XLOOKUP($B49,rf1_data!$B:$B,rf1_data!AU:AU,"NaN")))</f>
        <v>NaN</v>
      </c>
      <c r="BD49" s="5" t="str">
        <f>IF(_xlfn.XLOOKUP($B49,rf1_data!$B:$B,rf1_data!AV:AV,"NaN")="","NaN",(_xlfn.XLOOKUP($B49,rf1_data!$B:$B,rf1_data!AV:AV,"NaN")))</f>
        <v>NaN</v>
      </c>
      <c r="BE49" s="5" t="str">
        <f>IF(_xlfn.XLOOKUP($B49,rf1_data!$B:$B,rf1_data!AW:AW,"NaN")="","NaN",(_xlfn.XLOOKUP($B49,rf1_data!$B:$B,rf1_data!AW:AW,"NaN")))</f>
        <v>NaN</v>
      </c>
      <c r="BF49" s="5" t="str">
        <f>IF(_xlfn.XLOOKUP($B49,rf1_data!$B:$B,rf1_data!AX:AX,"NaN")="","NaN",(_xlfn.XLOOKUP($B49,rf1_data!$B:$B,rf1_data!AX:AX,"NaN")))</f>
        <v>NaN</v>
      </c>
      <c r="BG49" s="5" t="str">
        <f>IF(_xlfn.XLOOKUP($B49,rf1_data!$B:$B,rf1_data!AY:AY,"NaN")="","NaN",(_xlfn.XLOOKUP($B49,rf1_data!$B:$B,rf1_data!AY:AY,"NaN")))</f>
        <v>NaN</v>
      </c>
      <c r="BH49" s="5" t="str">
        <f>IF(_xlfn.XLOOKUP($B49,rf1_data!$B:$B,rf1_data!AZ:AZ,"NaN")="","NaN",(_xlfn.XLOOKUP($B49,rf1_data!$B:$B,rf1_data!AZ:AZ,"NaN")))</f>
        <v>NaN</v>
      </c>
      <c r="BI49" s="5">
        <f>IF(_xlfn.XLOOKUP($B49,rf1_data!$B:$B,rf1_data!BA:BA,"NaN")="","NaN",(_xlfn.XLOOKUP($B49,rf1_data!$B:$B,rf1_data!BA:BA,"NaN")))</f>
        <v>20</v>
      </c>
      <c r="BJ49" s="5" t="str">
        <f>IF(_xlfn.XLOOKUP($B49,rf1_data!$B:$B,rf1_data!BB:BB,"NaN")="","NaN",(_xlfn.XLOOKUP($B49,rf1_data!$B:$B,rf1_data!BB:BB,"NaN")))</f>
        <v>NaN</v>
      </c>
      <c r="BK49" s="5" t="str">
        <f>IF(_xlfn.XLOOKUP($B49,rf1_data!$B:$B,rf1_data!BC:BC,"NaN")="","NaN",(_xlfn.XLOOKUP($B49,rf1_data!$B:$B,rf1_data!BC:BC,"NaN")))</f>
        <v>NaN</v>
      </c>
      <c r="BL49" s="5" t="str">
        <f>IF(_xlfn.XLOOKUP($B49,rf1_data!$B:$B,rf1_data!BD:BD,"NaN")="","NaN",(_xlfn.XLOOKUP($B49,rf1_data!$B:$B,rf1_data!BD:BD,"NaN")))</f>
        <v>NaN</v>
      </c>
      <c r="BM49" s="5" t="str">
        <f>IF(_xlfn.XLOOKUP($B49,rf1_data!$B:$B,rf1_data!BE:BE,"NaN")="","NaN",(_xlfn.XLOOKUP($B49,rf1_data!$B:$B,rf1_data!BE:BE,"NaN")))</f>
        <v>NaN</v>
      </c>
      <c r="BN49" s="5" t="str">
        <f>IF(_xlfn.XLOOKUP($B49,rf1_data!$B:$B,rf1_data!BF:BF,"NaN")="","NaN",(_xlfn.XLOOKUP($B49,rf1_data!$B:$B,rf1_data!BF:BF,"NaN")))</f>
        <v>NaN</v>
      </c>
      <c r="BO49" s="5" t="str">
        <f>IF(_xlfn.XLOOKUP($B49,rf1_data!$B:$B,rf1_data!BG:BG,"NaN")="","NaN",(_xlfn.XLOOKUP($B49,rf1_data!$B:$B,rf1_data!BG:BG,"NaN")))</f>
        <v>NaN</v>
      </c>
      <c r="BP49" s="5" t="str">
        <f>IF(_xlfn.XLOOKUP($B49,rf1_data!$B:$B,rf1_data!BH:BH,"NaN")="","NaN",(_xlfn.XLOOKUP($B49,rf1_data!$B:$B,rf1_data!BH:BH,"NaN")))</f>
        <v>NaN</v>
      </c>
      <c r="BQ49" s="5" t="str">
        <f>IF(_xlfn.XLOOKUP($B49,rf1_data!$B:$B,rf1_data!BI:BI,"NaN")="","NaN",(_xlfn.XLOOKUP($B49,rf1_data!$B:$B,rf1_data!BI:BI,"NaN")))</f>
        <v>NaN</v>
      </c>
      <c r="BR49" s="5">
        <f>IF(_xlfn.XLOOKUP($B49,rf1_data!$B:$B,rf1_data!BJ:BJ,"NaN")="","NaN",(_xlfn.XLOOKUP($B49,rf1_data!$B:$B,rf1_data!BJ:BJ,"NaN")))</f>
        <v>8991</v>
      </c>
      <c r="BS49" s="5" t="str">
        <f>IF(_xlfn.XLOOKUP($B49,rf1_data!$B:$B,rf1_data!BK:BK,"NaN")="","NaN",(_xlfn.XLOOKUP($B49,rf1_data!$B:$B,rf1_data!BK:BK,"NaN")))</f>
        <v>NaN</v>
      </c>
      <c r="BT49" s="5" t="str">
        <f>IF(_xlfn.XLOOKUP($B49,rf1_data!$B:$B,rf1_data!BL:BL,"NaN")="","NaN",(_xlfn.XLOOKUP($B49,rf1_data!$B:$B,rf1_data!BL:BL,"NaN")))</f>
        <v>NaN</v>
      </c>
      <c r="BU49" s="5" t="str">
        <f>IF(_xlfn.XLOOKUP($B49,rf1_data!$B:$B,rf1_data!BM:BM,"NaN")="","NaN",(_xlfn.XLOOKUP($B49,rf1_data!$B:$B,rf1_data!BM:BM,"NaN")))</f>
        <v>NaN</v>
      </c>
      <c r="BV49" s="5" t="str">
        <f>IF(_xlfn.XLOOKUP($B49,rf1_data!$B:$B,rf1_data!BN:BN,"NaN")="","NaN",(_xlfn.XLOOKUP($B49,rf1_data!$B:$B,rf1_data!BN:BN,"NaN")))</f>
        <v>NaN</v>
      </c>
      <c r="BW49" s="5">
        <f>IF(_xlfn.XLOOKUP($B49,rf1_data!$B:$B,rf1_data!BO:BO,"NaN")="","NaN",(_xlfn.XLOOKUP($B49,rf1_data!$B:$B,rf1_data!BO:BO,"NaN")))</f>
        <v>3.8</v>
      </c>
      <c r="BX49" s="5">
        <f>IF(_xlfn.XLOOKUP($B49,rf1_data!$B:$B,rf1_data!BP:BP,"NaN")="","NaN",(_xlfn.XLOOKUP($B49,rf1_data!$B:$B,rf1_data!BP:BP,"NaN")))</f>
        <v>4</v>
      </c>
      <c r="BY49" s="5">
        <f>IF(_xlfn.XLOOKUP($B49,rf1_data!$B:$B,rf1_data!BQ:BQ,"NaN")="","NaN",(_xlfn.XLOOKUP($B49,rf1_data!$B:$B,rf1_data!BQ:BQ,"NaN")))</f>
        <v>3.7</v>
      </c>
      <c r="BZ49" s="5">
        <f>IF(_xlfn.XLOOKUP($B49,rf1_data!$B:$B,rf1_data!BR:BR,"NaN")="","NaN",(_xlfn.XLOOKUP($B49,rf1_data!$B:$B,rf1_data!BR:BR,"NaN")))</f>
        <v>3.83</v>
      </c>
      <c r="CA49" s="5">
        <f>IF(_xlfn.XLOOKUP($B49,rf1_data!$B:$B,rf1_data!BS:BS,"NaN")="","NaN",(_xlfn.XLOOKUP($B49,rf1_data!$B:$B,rf1_data!BS:BS,"NaN")))</f>
        <v>2.1666666666666599</v>
      </c>
      <c r="CB49" s="5">
        <f>IF(_xlfn.XLOOKUP($B49,rf1_data!$B:$B,rf1_data!BT:BT,"NaN")="","NaN",(_xlfn.XLOOKUP($B49,rf1_data!$B:$B,rf1_data!BT:BT,"NaN")))</f>
        <v>3.6666666666666599</v>
      </c>
      <c r="CC49" s="5">
        <f>IF(_xlfn.XLOOKUP($B49,rf1_data!$B:$B,rf1_data!BU:BU,"NaN")="","NaN",(_xlfn.XLOOKUP($B49,rf1_data!$B:$B,rf1_data!BU:BU,"NaN")))</f>
        <v>2.3333333333333299</v>
      </c>
      <c r="CD49" s="5">
        <f>IF(_xlfn.XLOOKUP($B49,rf1_data!$B:$B,rf1_data!BV:BV,"NaN")="","NaN",(_xlfn.XLOOKUP($B49,rf1_data!$B:$B,rf1_data!BV:BV,"NaN")))</f>
        <v>1.8333333333333299</v>
      </c>
      <c r="CE49" s="5">
        <f>IF(_xlfn.XLOOKUP($B49,rf1_data!$B:$B,rf1_data!BW:BW,"NaN")="","NaN",(_xlfn.XLOOKUP($B49,rf1_data!$B:$B,rf1_data!BW:BW,"NaN")))</f>
        <v>0.2</v>
      </c>
      <c r="CF49" s="5">
        <f>IF(_xlfn.XLOOKUP($B49,rf1_data!$B:$B,rf1_data!BX:BX,"NaN")="","NaN",(_xlfn.XLOOKUP($B49,rf1_data!$B:$B,rf1_data!BX:BX,"NaN")))</f>
        <v>0</v>
      </c>
      <c r="CG49" s="5">
        <f>IF(_xlfn.XLOOKUP($B49,rf1_data!$B:$B,rf1_data!BY:BY,"NaN")="","NaN",(_xlfn.XLOOKUP($B49,rf1_data!$B:$B,rf1_data!BY:BY,"NaN")))</f>
        <v>0</v>
      </c>
      <c r="CH49" s="5">
        <f>IF(_xlfn.XLOOKUP($B49,rf1_data!$B:$B,rf1_data!BZ:BZ,"NaN")="","NaN",(_xlfn.XLOOKUP($B49,rf1_data!$B:$B,rf1_data!BZ:BZ,"NaN")))</f>
        <v>24</v>
      </c>
      <c r="CI49" s="5">
        <f>IF(_xlfn.XLOOKUP($B49,rf1_data!$B:$B,rf1_data!CA:CA,"NaN")="","NaN",(_xlfn.XLOOKUP($B49,rf1_data!$B:$B,rf1_data!CA:CA,"NaN")))</f>
        <v>20</v>
      </c>
      <c r="CJ49" s="5">
        <f>IF(_xlfn.XLOOKUP($B49,rf1_data!$B:$B,rf1_data!CB:CB,"NaN")="","NaN",(_xlfn.XLOOKUP($B49,rf1_data!$B:$B,rf1_data!CB:CB,"NaN")))</f>
        <v>8</v>
      </c>
      <c r="CK49" s="5">
        <f>IF(_xlfn.XLOOKUP($B49,rf1_data!$B:$B,rf1_data!CC:CC,"NaN")="","NaN",(_xlfn.XLOOKUP($B49,rf1_data!$B:$B,rf1_data!CC:CC,"NaN")))</f>
        <v>0.8</v>
      </c>
      <c r="CL49" s="5">
        <f>IF(_xlfn.XLOOKUP($B49,rf1_data!$B:$B,rf1_data!CD:CD,"NaN")=0,"NaN",(_xlfn.XLOOKUP($B49,rf1_data!$B:$B,rf1_data!CD:CD,"NaN")))</f>
        <v>32</v>
      </c>
      <c r="CM49" s="5">
        <f>IF(_xlfn.XLOOKUP($B49,rf1_data!$B:$B,rf1_data!CE:CE,"NaN")="","NaN",(_xlfn.XLOOKUP($B49,rf1_data!$B:$B,rf1_data!CE:CE,"NaN")))</f>
        <v>28</v>
      </c>
      <c r="CN49" s="5">
        <f>IF(_xlfn.XLOOKUP($B49,rf1_data!$B:$B,rf1_data!CF:CF,"NaN")="","NaN",(_xlfn.XLOOKUP($B49,rf1_data!$B:$B,rf1_data!CF:CF,"NaN")))</f>
        <v>38</v>
      </c>
      <c r="CO49" s="5">
        <f>IF(_xlfn.XLOOKUP($B49,rf1_data!$B:$B,rf1_data!CG:CG,"NaN")="","NaN",(_xlfn.XLOOKUP($B49,rf1_data!$B:$B,rf1_data!CG:CG,"NaN")))</f>
        <v>28</v>
      </c>
      <c r="CP49" s="5">
        <f>IF(_xlfn.XLOOKUP($B49,rf1_data!$B:$B,rf1_data!CH:CH,"NaN")=0,"NaN",(_xlfn.XLOOKUP($B49,rf1_data!$B:$B,rf1_data!CH:CH,"NaN")))</f>
        <v>27</v>
      </c>
      <c r="CQ49" s="5">
        <f>IF(_xlfn.XLOOKUP($B49,rf1_data!$B:$B,rf1_data!CI:CI,"NaN")="","NaN",(_xlfn.XLOOKUP($B49,rf1_data!$B:$B,rf1_data!CI:CI,"NaN")))</f>
        <v>48</v>
      </c>
      <c r="CR49" s="5">
        <f>IF(_xlfn.XLOOKUP($B49,rf1_data!$B:$B,rf1_data!CJ:CJ,"NaN")="","NaN",(_xlfn.XLOOKUP($B49,rf1_data!$B:$B,rf1_data!CJ:CJ,"NaN")))</f>
        <v>50</v>
      </c>
      <c r="CS49" s="5">
        <f>IF(_xlfn.XLOOKUP($B49,rf1_data!$B:$B,rf1_data!CK:CK,"NaN")="","NaN",(_xlfn.XLOOKUP($B49,rf1_data!$B:$B,rf1_data!CK:CK,"NaN")))</f>
        <v>48</v>
      </c>
      <c r="CT49" s="5">
        <f>IF(_xlfn.XLOOKUP($B49,rf1_data!$B:$B,rf1_data!CL:CL,"NaN")="","NaN",(_xlfn.XLOOKUP($B49,rf1_data!$B:$B,rf1_data!CL:CL,"NaN")))</f>
        <v>50</v>
      </c>
      <c r="CU49" s="5">
        <f>IF(_xlfn.XLOOKUP($B49,rf1_data!$B:$B,rf1_data!CM:CM,"NaN")="","NaN",(_xlfn.XLOOKUP($B49,rf1_data!$B:$B,rf1_data!CM:CM,"NaN")))</f>
        <v>48</v>
      </c>
      <c r="CV49" s="5">
        <f>IF(_xlfn.XLOOKUP($B49,rf1_data!$B:$B,rf1_data!CN:CN,"NaN")="","NaN",(_xlfn.XLOOKUP($B49,rf1_data!$B:$B,rf1_data!CN:CN,"NaN")))</f>
        <v>57</v>
      </c>
      <c r="CW49" s="5" t="str">
        <f>IF(_xlfn.XLOOKUP($B49,rf1_data!$B:$B,rf1_data!CO:CO,"NaN")="","NaN",(_xlfn.XLOOKUP($B49,rf1_data!$B:$B,rf1_data!CO:CO,"NaN")))</f>
        <v>NaN</v>
      </c>
      <c r="CX49" s="5" t="str">
        <f>IF(_xlfn.XLOOKUP($B49,rf1_data!$B:$B,rf1_data!CP:CP,"NaN")="","NaN",(_xlfn.XLOOKUP($B49,rf1_data!$B:$B,rf1_data!CP:CP,"NaN")))</f>
        <v>NaN</v>
      </c>
      <c r="CY49" s="5">
        <f>IF(_xlfn.XLOOKUP($B49,rf1_data!$B:$B,rf1_data!CQ:CQ,"NaN")="","NaN",(_xlfn.XLOOKUP($B49,rf1_data!$B:$B,rf1_data!CQ:CQ,"NaN")))</f>
        <v>4</v>
      </c>
      <c r="CZ49" s="5">
        <f>IF(_xlfn.XLOOKUP($B49,rf1_data!$B:$B,rf1_data!CR:CR,"NaN")="","NaN",(_xlfn.XLOOKUP($B49,rf1_data!$B:$B,rf1_data!CR:CR,"NaN")))</f>
        <v>1</v>
      </c>
      <c r="DA49" s="5">
        <f>IF(_xlfn.XLOOKUP($B49,rf1_data!$B:$B,rf1_data!CS:CS,"NaN")="","NaN",(_xlfn.XLOOKUP($B49,rf1_data!$B:$B,rf1_data!CS:CS,"NaN")))</f>
        <v>1</v>
      </c>
      <c r="DB49" s="4" t="str">
        <f>IF(_xlfn.XLOOKUP($B49,island_data!$B:$B,island_data!H:H,"NaN")="","NaN",_xlfn.XLOOKUP($B49,island_data!$B:$B,island_data!H:H,"NaN"))</f>
        <v>NaN</v>
      </c>
      <c r="DC49" s="4" t="str">
        <f>IF(_xlfn.XLOOKUP($B49,island_data!$B:$B,island_data!I:I,"NaN")="","NaN",_xlfn.XLOOKUP($B49,island_data!$B:$B,island_data!I:I,"NaN"))</f>
        <v>NaN</v>
      </c>
      <c r="DD49" s="4" t="str">
        <f>IF(_xlfn.XLOOKUP($B49,island_data!$B:$B,island_data!J:J,"NaN")="","NaN",_xlfn.XLOOKUP($B49,island_data!$B:$B,island_data!J:J,"NaN"))</f>
        <v>NaN</v>
      </c>
      <c r="DE49" s="4">
        <f>IF(_xlfn.XLOOKUP($B49,island_data!$B:$B,island_data!K:K,"NaN")="","NaN",_xlfn.XLOOKUP($B49,island_data!$B:$B,island_data!K:K,"NaN"))</f>
        <v>1</v>
      </c>
      <c r="DF49" s="4" t="str">
        <f>IF(_xlfn.XLOOKUP($B49,island_data!$B:$B,island_data!L:L,"NaN")="","NaN",_xlfn.XLOOKUP($B49,island_data!$B:$B,island_data!L:L,"NaN"))</f>
        <v>NaN</v>
      </c>
      <c r="DG49" s="4" t="str">
        <f>IF(_xlfn.XLOOKUP($B49,island_data!$B:$B,island_data!M:M,"NaN")="","NaN",_xlfn.XLOOKUP($B49,island_data!$B:$B,island_data!M:M,"NaN"))</f>
        <v>NaN</v>
      </c>
      <c r="DH49" s="4" t="str">
        <f>IF(_xlfn.XLOOKUP($B49,island_data!$B:$B,island_data!N:N,"NaN")="","NaN",_xlfn.XLOOKUP($B49,island_data!$B:$B,island_data!N:N,"NaN"))</f>
        <v>NaN</v>
      </c>
      <c r="DI49" s="4" t="str">
        <f>IF(_xlfn.XLOOKUP($B49,island_data!$B:$B,island_data!O:O,"NaN")=999,"NaN",_xlfn.XLOOKUP($B49,island_data!$B:$B,island_data!O:O,"NaN"))</f>
        <v>NaN</v>
      </c>
      <c r="DJ49" s="4" t="str">
        <f>IF(_xlfn.XLOOKUP($B49,island_data!$B:$B,island_data!P:P,"NaN")="","NaN",_xlfn.XLOOKUP($B49,island_data!$B:$B,island_data!P:P,"NaN"))</f>
        <v>NaN</v>
      </c>
      <c r="DK49" s="4" t="str">
        <f>IF(_xlfn.XLOOKUP($B49,island_data!$B:$B,island_data!Q:Q,"NaN")="","NaN",_xlfn.XLOOKUP($B49,island_data!$B:$B,island_data!Q:Q,"NaN"))</f>
        <v>NaN</v>
      </c>
      <c r="DL49" s="4" t="str">
        <f>IF(_xlfn.XLOOKUP($B49,island_data!$B:$B,island_data!R:R,"NaN")=999,"NaN",_xlfn.XLOOKUP($B49,island_data!$B:$B,island_data!R:R,"NaN"))</f>
        <v>NaN</v>
      </c>
      <c r="DM49" s="4" t="str">
        <f>IF(_xlfn.XLOOKUP($B49,island_data!$B:$B,island_data!S:S,"NaN")="","NaN",_xlfn.XLOOKUP($B49,island_data!$B:$B,island_data!S:S,"NaN"))</f>
        <v>NaN</v>
      </c>
      <c r="DN49" s="4" t="str">
        <f>IF(_xlfn.XLOOKUP($B49,island_data!$B:$B,island_data!T:T,"NaN")="","NaN",_xlfn.XLOOKUP($B49,island_data!$B:$B,island_data!T:T,"NaN"))</f>
        <v>NaN</v>
      </c>
      <c r="DO49" s="4" t="str">
        <f>IF(_xlfn.XLOOKUP($B49,island_data!$B:$B,island_data!U:U,"NaN")="","NaN",_xlfn.XLOOKUP($B49,island_data!$B:$B,island_data!U:U,"NaN"))</f>
        <v>NaN</v>
      </c>
      <c r="DP49" s="4" t="str">
        <f>IF(_xlfn.XLOOKUP($B49,island_data!$B:$B,island_data!V:V,"NaN")="","NaN",_xlfn.XLOOKUP($B49,island_data!$B:$B,island_data!V:V,"NaN"))</f>
        <v>NaN</v>
      </c>
      <c r="DQ49" s="4" t="str">
        <f>IF(_xlfn.XLOOKUP($B49,island_data!$B:$B,island_data!W:W,"NaN")="","NaN",_xlfn.XLOOKUP($B49,island_data!$B:$B,island_data!W:W,"NaN"))</f>
        <v>NaN</v>
      </c>
      <c r="DR49" s="4" t="str">
        <f>IF(_xlfn.XLOOKUP($B49,island_data!$B:$B,island_data!X:X,"NaN")="","NaN",_xlfn.XLOOKUP($B49,island_data!$B:$B,island_data!X:X,"NaN"))</f>
        <v>NaN</v>
      </c>
      <c r="DS49" s="4" t="str">
        <f>IF(_xlfn.XLOOKUP($B49,island_data!$B:$B,island_data!Y:Y,"NaN")="","NaN",_xlfn.XLOOKUP($B49,island_data!$B:$B,island_data!Y:Y,"NaN"))</f>
        <v>NaN</v>
      </c>
      <c r="DT49" s="4" t="str">
        <f>IF(_xlfn.XLOOKUP($B49,island_data!$B:$B,island_data!Z:Z,"NaN")="","NaN",_xlfn.XLOOKUP($B49,island_data!$B:$B,island_data!Z:Z,"NaN"))</f>
        <v>NaN</v>
      </c>
      <c r="DU49" s="4" t="str">
        <f>IF(_xlfn.XLOOKUP($B49,island_data!$B:$B,island_data!AA:AA,"NaN")="","NaN",_xlfn.XLOOKUP($B49,island_data!$B:$B,island_data!AA:AA,"NaN"))</f>
        <v>NaN</v>
      </c>
      <c r="DV49" s="4" t="str">
        <f>IF(_xlfn.XLOOKUP($B49,island_data!$B:$B,island_data!AB:AB,"NaN")="","NaN",_xlfn.XLOOKUP($B49,island_data!$B:$B,island_data!AB:AB,"NaN"))</f>
        <v>NaN</v>
      </c>
      <c r="DW49" s="4" t="str">
        <f>IF(_xlfn.XLOOKUP($B49,island_data!$B:$B,island_data!AC:AC,"NaN")="","NaN",_xlfn.XLOOKUP($B49,island_data!$B:$B,island_data!AC:AC,"NaN"))</f>
        <v>NaN</v>
      </c>
      <c r="DX49" s="4" t="str">
        <f>IF(_xlfn.XLOOKUP($B49,island_data!$B:$B,island_data!AD:AD,"NaN")="","NaN",_xlfn.XLOOKUP($B49,island_data!$B:$B,island_data!AD:AD,"NaN"))</f>
        <v>NaN</v>
      </c>
      <c r="DY49" s="4">
        <f>IF(_xlfn.XLOOKUP($B49,island_data!$B:$B,island_data!AE:AE,"NaN")="","NaN",_xlfn.XLOOKUP($B49,island_data!$B:$B,island_data!AE:AE,"NaN"))</f>
        <v>1</v>
      </c>
      <c r="DZ49" s="4" t="str">
        <f>IF(_xlfn.XLOOKUP($B49,island_data!$B:$B,island_data!AF:AF,"NaN")="","NaN",_xlfn.XLOOKUP($B49,island_data!$B:$B,island_data!AF:AF,"NaN"))</f>
        <v>NaN</v>
      </c>
      <c r="EA49" s="4" t="str">
        <f>IF(_xlfn.XLOOKUP($B49,island_data!$B:$B,island_data!AG:AG,"NaN")="","NaN",_xlfn.XLOOKUP($B49,island_data!$B:$B,island_data!AG:AG,"NaN"))</f>
        <v>NaN</v>
      </c>
      <c r="EB49" s="4" t="str">
        <f>IF(_xlfn.XLOOKUP($B49,island_data!$B:$B,island_data!AH:AH,"NaN")="","NaN",_xlfn.XLOOKUP($B49,island_data!$B:$B,island_data!AH:AH,"NaN"))</f>
        <v>NaN</v>
      </c>
      <c r="EC49" s="4" t="str">
        <f>IF(_xlfn.XLOOKUP($B49,island_data!$B:$B,island_data!AI:AI,"NaN")="","NaN",_xlfn.XLOOKUP($B49,island_data!$B:$B,island_data!AI:AI,"NaN"))</f>
        <v>NaN</v>
      </c>
      <c r="ED49" s="4" t="str">
        <f>IF(_xlfn.XLOOKUP($B49,island_data!$B:$B,island_data!AJ:AJ,"NaN")="","NaN",_xlfn.XLOOKUP($B49,island_data!$B:$B,island_data!AJ:AJ,"NaN"))</f>
        <v>NaN</v>
      </c>
      <c r="EE49" s="4" t="str">
        <f>IF(_xlfn.XLOOKUP($B49,island_data!$B:$B,island_data!AK:AK,"NaN")="","NaN",_xlfn.XLOOKUP($B49,island_data!$B:$B,island_data!AK:AK,"NaN"))</f>
        <v>NaN</v>
      </c>
      <c r="EF49" s="4" t="str">
        <f>IF(_xlfn.XLOOKUP($B49,island_data!$B:$B,island_data!AL:AL,"NaN")="","NaN",_xlfn.XLOOKUP($B49,island_data!$B:$B,island_data!AL:AL,"NaN"))</f>
        <v>NaN</v>
      </c>
      <c r="EG49" s="4" t="str">
        <f>IF(_xlfn.XLOOKUP($B49,island_data!$B:$B,island_data!AM:AM,"NaN")="","NaN",_xlfn.XLOOKUP($B49,island_data!$B:$B,island_data!AM:AM,"NaN"))</f>
        <v>NaN</v>
      </c>
      <c r="EH49" s="4" t="str">
        <f>IF(_xlfn.XLOOKUP($B49,island_data!$B:$B,island_data!AN:AN,"NaN")="","NaN",_xlfn.XLOOKUP($B49,island_data!$B:$B,island_data!AN:AN,"NaN"))</f>
        <v>NaN</v>
      </c>
      <c r="EI49" s="4" t="str">
        <f>IF(_xlfn.XLOOKUP($B49,island_data!$B:$B,island_data!AO:AO,"NaN")="","NaN",_xlfn.XLOOKUP($B49,island_data!$B:$B,island_data!AO:AO,"NaN"))</f>
        <v>NaN</v>
      </c>
      <c r="EJ49" s="8">
        <f>IF(_xlfn.XLOOKUP($A49,TabCAT!$A:$A,TabCAT!AU:AU,"NaN")="","NaN",(_xlfn.XLOOKUP($A49,TabCAT!$A:$A,TabCAT!AU:AU,"NaN")))</f>
        <v>148</v>
      </c>
      <c r="EK49" s="8" t="b">
        <f>IF(_xlfn.XLOOKUP($A49,TabCAT!$A:$A,TabCAT!AV:AV,"NaN")="","NaN",(_xlfn.XLOOKUP($A49,TabCAT!$A:$A,TabCAT!AV:AV,"NaN")))</f>
        <v>1</v>
      </c>
      <c r="EL49" s="8">
        <f>IF(_xlfn.XLOOKUP($A49,TabCAT!$A:$A,TabCAT!AW:AW,"NaN")="","NaN",(_xlfn.XLOOKUP($A49,TabCAT!$A:$A,TabCAT!AW:AW,"NaN")))</f>
        <v>6</v>
      </c>
      <c r="EM49" s="8">
        <f>IF(_xlfn.XLOOKUP($A49,TabCAT!$A:$A,TabCAT!AX:AX,"NaN")="","NaN",(_xlfn.XLOOKUP($A49,TabCAT!$A:$A,TabCAT!AX:AX,"NaN")))</f>
        <v>0</v>
      </c>
      <c r="EN49" s="8">
        <f>IF(_xlfn.XLOOKUP($A49,TabCAT!$A:$A,TabCAT!AY:AY,"NaN")="","NaN",(_xlfn.XLOOKUP($A49,TabCAT!$A:$A,TabCAT!AY:AY,"NaN")))</f>
        <v>8.1199999999999992</v>
      </c>
      <c r="EO49" s="8">
        <f>IF(_xlfn.XLOOKUP($A49,TabCAT!$A:$A,TabCAT!AZ:AZ,"NaN")="","NaN",(_xlfn.XLOOKUP($A49,TabCAT!$A:$A,TabCAT!AZ:AZ,"NaN")))</f>
        <v>26</v>
      </c>
      <c r="EP49" s="8">
        <f>IF(_xlfn.XLOOKUP($A49,TabCAT!$A:$A,TabCAT!BA:BA,"NaN")="","NaN",(_xlfn.XLOOKUP($A49,TabCAT!$A:$A,TabCAT!BA:BA,"NaN")))</f>
        <v>0.65315500000000004</v>
      </c>
      <c r="EQ49" s="8">
        <f>IF(_xlfn.XLOOKUP($A49,TabCAT!$A:$A,TabCAT!BB:BB,"NaN")="","NaN",(_xlfn.XLOOKUP($A49,TabCAT!$A:$A,TabCAT!BB:BB,"NaN")))</f>
        <v>0.173353454871011</v>
      </c>
      <c r="ER49" s="8">
        <f>IF(_xlfn.XLOOKUP($A49,TabCAT!$A:$A,TabCAT!BC:BC,"NaN")="","NaN",(_xlfn.XLOOKUP($A49,TabCAT!$A:$A,TabCAT!BC:BC,"NaN")))</f>
        <v>15</v>
      </c>
      <c r="ES49" s="8">
        <f>IF(_xlfn.XLOOKUP($A49,TabCAT!$A:$A,TabCAT!BD:BD,"NaN")="","NaN",(_xlfn.XLOOKUP($A49,TabCAT!$A:$A,TabCAT!BD:BD,"NaN")))</f>
        <v>0.65756800000000004</v>
      </c>
      <c r="ET49" s="8">
        <f>IF(_xlfn.XLOOKUP($A49,TabCAT!$A:$A,TabCAT!BE:BE,"NaN")="","NaN",(_xlfn.XLOOKUP($A49,TabCAT!$A:$A,TabCAT!BE:BE,"NaN")))</f>
        <v>11</v>
      </c>
      <c r="EU49" s="8">
        <f>IF(_xlfn.XLOOKUP($A49,TabCAT!$A:$A,TabCAT!BF:BF,"NaN")="","NaN",(_xlfn.XLOOKUP($A49,TabCAT!$A:$A,TabCAT!BF:BF,"NaN")))</f>
        <v>0.62000699999999997</v>
      </c>
      <c r="EV49" s="8">
        <f>IF(_xlfn.XLOOKUP($A49,TabCAT!$A:$A,TabCAT!BG:BG,"NaN")="","NaN",(_xlfn.XLOOKUP($A49,TabCAT!$A:$A,TabCAT!BG:BG,"NaN")))</f>
        <v>-0.62264200000000003</v>
      </c>
      <c r="EW49" s="8" t="str">
        <f>IF(_xlfn.XLOOKUP($A49,TabCAT!$A:$A,TabCAT!BH:BH,"NaN")="","NaN",(_xlfn.XLOOKUP($A49,TabCAT!$A:$A,TabCAT!BH:BH,"NaN")))</f>
        <v>3.0.0</v>
      </c>
      <c r="EX49" s="8" t="str">
        <f>IF(_xlfn.XLOOKUP($A49,TabCAT!$A:$A,TabCAT!BI:BI,"NaN")="","NaN",(_xlfn.XLOOKUP($A49,TabCAT!$A:$A,TabCAT!BI:BI,"NaN")))</f>
        <v>English</v>
      </c>
      <c r="EY49" s="8">
        <f>IF(_xlfn.XLOOKUP($A49,TabCAT!$A:$A,TabCAT!BJ:BJ,"NaN")="","NaN",(_xlfn.XLOOKUP($A49,TabCAT!$A:$A,TabCAT!BJ:BJ,"NaN")))</f>
        <v>264</v>
      </c>
      <c r="EZ49" s="8">
        <f>IF(_xlfn.XLOOKUP($A49,TabCAT!$A:$A,TabCAT!BK:BK,"NaN")="","NaN",(_xlfn.XLOOKUP($A49,TabCAT!$A:$A,TabCAT!BK:BK,"NaN")))</f>
        <v>1</v>
      </c>
      <c r="FA49" s="8">
        <f>IF(_xlfn.XLOOKUP($A49,TabCAT!$A:$A,TabCAT!BL:BL,"NaN")="","NaN",(_xlfn.XLOOKUP($A49,TabCAT!$A:$A,TabCAT!BL:BL,"NaN")))</f>
        <v>5</v>
      </c>
      <c r="FB49" s="8">
        <f>IF(_xlfn.XLOOKUP($A49,TabCAT!$A:$A,TabCAT!BM:BM,"NaN")="","NaN",(_xlfn.XLOOKUP($A49,TabCAT!$A:$A,TabCAT!BM:BM,"NaN")))</f>
        <v>0.83333333333333304</v>
      </c>
      <c r="FC49" s="8">
        <f>IF(_xlfn.XLOOKUP($A49,TabCAT!$A:$A,TabCAT!BN:BN,"NaN")="","NaN",(_xlfn.XLOOKUP($A49,TabCAT!$A:$A,TabCAT!BN:BN,"NaN")))</f>
        <v>2.5</v>
      </c>
      <c r="FD49" s="8">
        <f>IF(_xlfn.XLOOKUP($A49,TabCAT!$A:$A,TabCAT!BO:BO,"NaN")="","NaN",(_xlfn.XLOOKUP($A49,TabCAT!$A:$A,TabCAT!BO:BO,"NaN")))</f>
        <v>7</v>
      </c>
      <c r="FE49" s="8">
        <f>IF(_xlfn.XLOOKUP($A49,TabCAT!$A:$A,TabCAT!BP:BP,"NaN")="","NaN",(_xlfn.XLOOKUP($A49,TabCAT!$A:$A,TabCAT!BP:BP,"NaN")))</f>
        <v>0.77777777777777701</v>
      </c>
      <c r="FF49" s="8">
        <f>IF(_xlfn.XLOOKUP($A49,TabCAT!$A:$A,TabCAT!BQ:BQ,"NaN")="","NaN",(_xlfn.XLOOKUP($A49,TabCAT!$A:$A,TabCAT!BQ:BQ,"NaN")))</f>
        <v>5.5</v>
      </c>
      <c r="FG49" s="8">
        <f>IF(_xlfn.XLOOKUP($A49,TabCAT!$A:$A,TabCAT!BR:BR,"NaN")="","NaN",(_xlfn.XLOOKUP($A49,TabCAT!$A:$A,TabCAT!BR:BR,"NaN")))</f>
        <v>7</v>
      </c>
      <c r="FH49" s="8">
        <f>IF(_xlfn.XLOOKUP($A49,TabCAT!$A:$A,TabCAT!BS:BS,"NaN")="","NaN",(_xlfn.XLOOKUP($A49,TabCAT!$A:$A,TabCAT!BS:BS,"NaN")))</f>
        <v>0.58333333333333304</v>
      </c>
      <c r="FI49" s="8">
        <f>IF(_xlfn.XLOOKUP($A49,TabCAT!$A:$A,TabCAT!BT:BT,"NaN")="","NaN",(_xlfn.XLOOKUP($A49,TabCAT!$A:$A,TabCAT!BT:BT,"NaN")))</f>
        <v>4</v>
      </c>
      <c r="FJ49" s="8">
        <f>IF(_xlfn.XLOOKUP($A49,TabCAT!$A:$A,TabCAT!BU:BU,"NaN")="","NaN",(_xlfn.XLOOKUP($A49,TabCAT!$A:$A,TabCAT!BU:BU,"NaN")))</f>
        <v>11</v>
      </c>
      <c r="FK49" s="8">
        <f>IF(_xlfn.XLOOKUP($A49,TabCAT!$A:$A,TabCAT!BV:BV,"NaN")="","NaN",(_xlfn.XLOOKUP($A49,TabCAT!$A:$A,TabCAT!BV:BV,"NaN")))</f>
        <v>0.73333333333333295</v>
      </c>
      <c r="FL49" s="8">
        <f>IF(_xlfn.XLOOKUP($A49,TabCAT!$A:$A,TabCAT!BW:BW,"NaN")="","NaN",(_xlfn.XLOOKUP($A49,TabCAT!$A:$A,TabCAT!BW:BW,"NaN")))</f>
        <v>7</v>
      </c>
      <c r="FM49" s="8">
        <f>IF(_xlfn.XLOOKUP($A49,TabCAT!$A:$A,TabCAT!BX:BX,"NaN")="","NaN",(_xlfn.XLOOKUP($A49,TabCAT!$A:$A,TabCAT!BX:BX,"NaN")))</f>
        <v>30</v>
      </c>
      <c r="FN49" s="8">
        <f>IF(_xlfn.XLOOKUP($A49,TabCAT!$A:$A,TabCAT!BY:BY,"NaN")="","NaN",(_xlfn.XLOOKUP($A49,TabCAT!$A:$A,TabCAT!BY:BY,"NaN")))</f>
        <v>0.71428571428571397</v>
      </c>
      <c r="FO49" s="8">
        <f>IF(_xlfn.XLOOKUP($A49,TabCAT!$A:$A,TabCAT!BZ:BZ,"NaN")="","NaN",(_xlfn.XLOOKUP($A49,TabCAT!$A:$A,TabCAT!BZ:BZ,"NaN")))</f>
        <v>19</v>
      </c>
      <c r="FP49" s="8" t="str">
        <f>IF(_xlfn.XLOOKUP($A49,TabCAT!$A:$A,TabCAT!CA:CA,"NaN")="","NaN",(_xlfn.XLOOKUP($A49,TabCAT!$A:$A,TabCAT!CA:CA,"NaN")))</f>
        <v>3.0.0</v>
      </c>
      <c r="FQ49" s="8" t="str">
        <f>IF(_xlfn.XLOOKUP($A49,TabCAT!$A:$A,TabCAT!CB:CB,"NaN")="","NaN",(_xlfn.XLOOKUP($A49,TabCAT!$A:$A,TabCAT!CB:CB,"NaN")))</f>
        <v>English</v>
      </c>
      <c r="FR49" s="8">
        <f>IF(_xlfn.XLOOKUP($A49,TabCAT!$A:$A,TabCAT!CC:CC,"NaN")="","NaN",(_xlfn.XLOOKUP($A49,TabCAT!$A:$A,TabCAT!CC:CC,"NaN")))</f>
        <v>233</v>
      </c>
      <c r="FS49" s="8" t="b">
        <f>IF(_xlfn.XLOOKUP($A49,TabCAT!$A:$A,TabCAT!CD:CD,"NaN")="","NaN",(_xlfn.XLOOKUP($A49,TabCAT!$A:$A,TabCAT!CD:CD,"NaN")))</f>
        <v>1</v>
      </c>
      <c r="FT49" s="8">
        <f>IF(_xlfn.XLOOKUP($A49,TabCAT!$A:$A,TabCAT!CE:CE,"NaN")="","NaN",(_xlfn.XLOOKUP($A49,TabCAT!$A:$A,TabCAT!CE:CE,"NaN")))</f>
        <v>8</v>
      </c>
      <c r="FU49" s="8">
        <f>IF(_xlfn.XLOOKUP($A49,TabCAT!$A:$A,TabCAT!CF:CF,"NaN")="","NaN",(_xlfn.XLOOKUP($A49,TabCAT!$A:$A,TabCAT!CF:CF,"NaN")))</f>
        <v>0</v>
      </c>
      <c r="FV49" s="8">
        <f>IF(_xlfn.XLOOKUP($A49,TabCAT!$A:$A,TabCAT!CG:CG,"NaN")="","NaN",(_xlfn.XLOOKUP($A49,TabCAT!$A:$A,TabCAT!CG:CG,"NaN")))</f>
        <v>7.12</v>
      </c>
      <c r="FW49" s="8">
        <f>IF(_xlfn.XLOOKUP($A49,TabCAT!$A:$A,TabCAT!CH:CH,"NaN")="","NaN",(_xlfn.XLOOKUP($A49,TabCAT!$A:$A,TabCAT!CH:CH,"NaN")))</f>
        <v>16</v>
      </c>
      <c r="FX49" s="8">
        <f>IF(_xlfn.XLOOKUP($A49,TabCAT!$A:$A,TabCAT!CI:CI,"NaN")="","NaN",(_xlfn.XLOOKUP($A49,TabCAT!$A:$A,TabCAT!CI:CI,"NaN")))</f>
        <v>0.517648</v>
      </c>
      <c r="FY49" s="8">
        <f>IF(_xlfn.XLOOKUP($A49,TabCAT!$A:$A,TabCAT!CJ:CJ,"NaN")="","NaN",(_xlfn.XLOOKUP($A49,TabCAT!$A:$A,TabCAT!CJ:CJ,"NaN")))</f>
        <v>16</v>
      </c>
      <c r="FZ49" s="8">
        <f>IF(_xlfn.XLOOKUP($A49,TabCAT!$A:$A,TabCAT!CK:CK,"NaN")="","NaN",(_xlfn.XLOOKUP($A49,TabCAT!$A:$A,TabCAT!CK:CK,"NaN")))</f>
        <v>0.68857049999999997</v>
      </c>
      <c r="GA49" s="8">
        <f>IF(_xlfn.XLOOKUP($A49,TabCAT!$A:$A,TabCAT!CL:CL,"NaN")="","NaN",(_xlfn.XLOOKUP($A49,TabCAT!$A:$A,TabCAT!CL:CL,"NaN")))</f>
        <v>29</v>
      </c>
      <c r="GB49" s="8">
        <f>IF(_xlfn.XLOOKUP($A49,TabCAT!$A:$A,TabCAT!CM:CM,"NaN")="","NaN",(_xlfn.XLOOKUP($A49,TabCAT!$A:$A,TabCAT!CM:CM,"NaN")))</f>
        <v>0.93567100000000003</v>
      </c>
      <c r="GC49" s="8">
        <f>IF(_xlfn.XLOOKUP($A49,TabCAT!$A:$A,TabCAT!CN:CN,"NaN")="","NaN",(_xlfn.XLOOKUP($A49,TabCAT!$A:$A,TabCAT!CN:CN,"NaN")))</f>
        <v>17</v>
      </c>
      <c r="GD49" s="8">
        <f>IF(_xlfn.XLOOKUP($A49,TabCAT!$A:$A,TabCAT!CO:CO,"NaN")="","NaN",(_xlfn.XLOOKUP($A49,TabCAT!$A:$A,TabCAT!CO:CO,"NaN")))</f>
        <v>0.93567100000000003</v>
      </c>
      <c r="GE49" s="8">
        <f>IF(_xlfn.XLOOKUP($A49,TabCAT!$A:$A,TabCAT!CP:CP,"NaN")="","NaN",(_xlfn.XLOOKUP($A49,TabCAT!$A:$A,TabCAT!CP:CP,"NaN")))</f>
        <v>0.28594877074764602</v>
      </c>
      <c r="GF49" s="8">
        <f>IF(_xlfn.XLOOKUP($A49,TabCAT!$A:$A,TabCAT!CQ:CQ,"NaN")="","NaN",(_xlfn.XLOOKUP($A49,TabCAT!$A:$A,TabCAT!CQ:CQ,"NaN")))</f>
        <v>54</v>
      </c>
      <c r="GG49" s="8">
        <f>IF(_xlfn.XLOOKUP($A49,TabCAT!$A:$A,TabCAT!CR:CR,"NaN")="","NaN",(_xlfn.XLOOKUP($A49,TabCAT!$A:$A,TabCAT!CR:CR,"NaN")))</f>
        <v>0.71072449999999998</v>
      </c>
      <c r="GH49" s="8">
        <f>IF(_xlfn.XLOOKUP($A49,TabCAT!$A:$A,TabCAT!CS:CS,"NaN")="","NaN",(_xlfn.XLOOKUP($A49,TabCAT!$A:$A,TabCAT!CS:CS,"NaN")))</f>
        <v>-1.028986</v>
      </c>
    </row>
    <row r="50" spans="1:190" x14ac:dyDescent="0.2">
      <c r="A50">
        <v>10718</v>
      </c>
      <c r="B50">
        <f>_xlfn.XLOOKUP(bippity_poppity_boo!A50,rf1_data!A:A,rf1_data!B:B)</f>
        <v>31195</v>
      </c>
      <c r="C50" s="2">
        <f>(_xlfn.XLOOKUP($A50,trust!$A:$A,trust!B:B,"NaN"))</f>
        <v>6.6153849999999998</v>
      </c>
      <c r="D50" s="2">
        <f>(_xlfn.XLOOKUP($A50,trust!$A:$A,trust!C:C,"NaN"))</f>
        <v>5.7142860000000004</v>
      </c>
      <c r="E50" s="2">
        <f>(_xlfn.XLOOKUP($A50,trust!$A:$A,trust!D:D,"NaN"))</f>
        <v>5.8571429999999998</v>
      </c>
      <c r="F50" s="2">
        <f>(_xlfn.XLOOKUP($A50,trust!$A:$A,trust!E:E,"NaN"))</f>
        <v>6.461538</v>
      </c>
      <c r="G50" s="2">
        <f>(_xlfn.XLOOKUP($A50,trust!$A:$A,trust!F:F,"NaN"))</f>
        <v>6.2857139999999996</v>
      </c>
      <c r="H50" s="2">
        <f>(_xlfn.XLOOKUP($A50,trust!$A:$A,trust!G:G,"NaN"))</f>
        <v>5.2307689999999996</v>
      </c>
      <c r="I50" s="3">
        <f>IF(_xlfn.XLOOKUP($B50,island_data!$B:$B,island_data!C:C,"NaN")="","NaN",_xlfn.XLOOKUP($B50,island_data!$B:$B,island_data!C:C,"NaN"))</f>
        <v>45085</v>
      </c>
      <c r="J50" s="3">
        <f>IF(_xlfn.XLOOKUP($B50,island_data!$B:$B,island_data!D:D,"NaN")="","NaN",_xlfn.XLOOKUP($B50,island_data!$B:$B,island_data!D:D,"NaN"))</f>
        <v>34769</v>
      </c>
      <c r="K50" s="4">
        <f>IF(_xlfn.XLOOKUP($B50,island_data!$B:$B,island_data!E:E,"NaN")="","NaN",_xlfn.XLOOKUP($B50,island_data!$B:$B,island_data!E:E,"NaN"))</f>
        <v>28.24</v>
      </c>
      <c r="L50" s="5">
        <f>IF(_xlfn.XLOOKUP($B50,rf1_data!$B:$B,rf1_data!D:D,"NaN")="","NaN",(_xlfn.XLOOKUP($B50,rf1_data!$B:$B,rf1_data!D:D,"NaN")))</f>
        <v>28.3</v>
      </c>
      <c r="M50" s="5" t="str">
        <f>IF(_xlfn.XLOOKUP($B50,rf1_data!$B:$B,rf1_data!E:E,"NaN")="","NaN",(_xlfn.XLOOKUP($B50,rf1_data!$B:$B,rf1_data!E:E,"NaN")))</f>
        <v>Asian</v>
      </c>
      <c r="N50" s="5" t="str">
        <f>IF(_xlfn.XLOOKUP($B50,rf1_data!$B:$B,rf1_data!F:F,"NaN")="","NaN",(_xlfn.XLOOKUP($B50,rf1_data!$B:$B,rf1_data!F:F,"NaN")))</f>
        <v>Not Hispanic or Latino</v>
      </c>
      <c r="O50" s="5" t="str">
        <f>IF(_xlfn.XLOOKUP($B50,rf1_data!$B:$B,rf1_data!G:G,"NaN")="","NaN",(_xlfn.XLOOKUP($B50,rf1_data!$B:$B,rf1_data!G:G,"NaN")))</f>
        <v>Non-Binary</v>
      </c>
      <c r="P50" s="5">
        <f>IF(_xlfn.XLOOKUP($B50,rf1_data!$B:$B,rf1_data!H:H,"NaN")="","NaN",(_xlfn.XLOOKUP($B50,rf1_data!$B:$B,rf1_data!H:H,"NaN")))</f>
        <v>3</v>
      </c>
      <c r="Q50" s="5">
        <f>IF(_xlfn.XLOOKUP($B50,rf1_data!$B:$B,rf1_data!I:I,"NaN")="","NaN",(_xlfn.XLOOKUP($B50,rf1_data!$B:$B,rf1_data!I:I,"NaN")))</f>
        <v>3</v>
      </c>
      <c r="R50" s="5">
        <f>IF(_xlfn.XLOOKUP($B50,rf1_data!$B:$B,rf1_data!J:J,"NaN")="","NaN",(_xlfn.XLOOKUP($B50,rf1_data!$B:$B,rf1_data!J:J,"NaN")))</f>
        <v>0</v>
      </c>
      <c r="S50" s="5">
        <f>IF(_xlfn.XLOOKUP($B50,rf1_data!$B:$B,rf1_data!K:K,"NaN")="","NaN",(_xlfn.XLOOKUP($B50,rf1_data!$B:$B,rf1_data!K:K,"NaN")))</f>
        <v>0</v>
      </c>
      <c r="T50" s="5">
        <f>IF(_xlfn.XLOOKUP($B50,rf1_data!$B:$B,rf1_data!L:L,"NaN")="","NaN",(_xlfn.XLOOKUP($B50,rf1_data!$B:$B,rf1_data!L:L,"NaN")))</f>
        <v>0</v>
      </c>
      <c r="U50" s="5">
        <f>IF(_xlfn.XLOOKUP($B50,rf1_data!$B:$B,rf1_data!M:M,"NaN")="","NaN",(_xlfn.XLOOKUP($B50,rf1_data!$B:$B,rf1_data!M:M,"NaN")))</f>
        <v>3.67</v>
      </c>
      <c r="V50" s="5">
        <f>IF(_xlfn.XLOOKUP($B50,rf1_data!$B:$B,rf1_data!N:N,"NaN")="","NaN",(_xlfn.XLOOKUP($B50,rf1_data!$B:$B,rf1_data!N:N,"NaN")))</f>
        <v>3.67</v>
      </c>
      <c r="W50" s="5">
        <f>IF(_xlfn.XLOOKUP($B50,rf1_data!$B:$B,rf1_data!O:O,"NaN")="","NaN",(_xlfn.XLOOKUP($B50,rf1_data!$B:$B,rf1_data!O:O,"NaN")))</f>
        <v>4</v>
      </c>
      <c r="X50" s="5">
        <f>IF(_xlfn.XLOOKUP($B50,rf1_data!$B:$B,rf1_data!P:P,"NaN")="","NaN",(_xlfn.XLOOKUP($B50,rf1_data!$B:$B,rf1_data!P:P,"NaN")))</f>
        <v>4.5</v>
      </c>
      <c r="Y50" s="5">
        <f>IF(_xlfn.XLOOKUP($B50,rf1_data!$B:$B,rf1_data!Q:Q,"NaN")="","NaN",(_xlfn.XLOOKUP($B50,rf1_data!$B:$B,rf1_data!Q:Q,"NaN")))</f>
        <v>3.87</v>
      </c>
      <c r="Z50" s="5">
        <f>IF(_xlfn.XLOOKUP($B50,rf1_data!$B:$B,rf1_data!R:R,"NaN")="","NaN",(_xlfn.XLOOKUP($B50,rf1_data!$B:$B,rf1_data!R:R,"NaN")))</f>
        <v>0</v>
      </c>
      <c r="AA50" s="5">
        <f>IF(_xlfn.XLOOKUP($B50,rf1_data!$B:$B,rf1_data!S:S,"NaN")="","NaN",(_xlfn.XLOOKUP($B50,rf1_data!$B:$B,rf1_data!S:S,"NaN")))</f>
        <v>0</v>
      </c>
      <c r="AB50" s="5">
        <f>IF(_xlfn.XLOOKUP($B50,rf1_data!$B:$B,rf1_data!T:T,"NaN")="","NaN",(_xlfn.XLOOKUP($B50,rf1_data!$B:$B,rf1_data!T:T,"NaN")))</f>
        <v>0</v>
      </c>
      <c r="AC50" s="5">
        <f>IF(_xlfn.XLOOKUP($B50,rf1_data!$B:$B,rf1_data!U:U,"NaN")="","NaN",(_xlfn.XLOOKUP($B50,rf1_data!$B:$B,rf1_data!U:U,"NaN")))</f>
        <v>0</v>
      </c>
      <c r="AD50" s="5">
        <f>IF(_xlfn.XLOOKUP($B50,rf1_data!$B:$B,rf1_data!V:V,"NaN")="","NaN",(_xlfn.XLOOKUP($B50,rf1_data!$B:$B,rf1_data!V:V,"NaN")))</f>
        <v>0</v>
      </c>
      <c r="AE50" s="5">
        <f>IF(_xlfn.XLOOKUP($B50,rf1_data!$B:$B,rf1_data!W:W,"NaN")="","NaN",(_xlfn.XLOOKUP($B50,rf1_data!$B:$B,rf1_data!W:W,"NaN")))</f>
        <v>3</v>
      </c>
      <c r="AF50" s="5">
        <f>IF(_xlfn.XLOOKUP($B50,rf1_data!$B:$B,rf1_data!X:X,"NaN")="","NaN",(_xlfn.XLOOKUP($B50,rf1_data!$B:$B,rf1_data!X:X,"NaN")))</f>
        <v>5</v>
      </c>
      <c r="AG50" s="5">
        <f>IF(_xlfn.XLOOKUP($B50,rf1_data!$B:$B,rf1_data!Y:Y,"NaN")="","NaN",(_xlfn.XLOOKUP($B50,rf1_data!$B:$B,rf1_data!Y:Y,"NaN")))</f>
        <v>5</v>
      </c>
      <c r="AH50" s="5">
        <f>IF(_xlfn.XLOOKUP($B50,rf1_data!$B:$B,rf1_data!Z:Z,"NaN")="","NaN",(_xlfn.XLOOKUP($B50,rf1_data!$B:$B,rf1_data!Z:Z,"NaN")))</f>
        <v>6</v>
      </c>
      <c r="AI50" s="5">
        <f>IF(_xlfn.XLOOKUP($B50,rf1_data!$B:$B,rf1_data!AA:AA,"NaN")="","NaN",(_xlfn.XLOOKUP($B50,rf1_data!$B:$B,rf1_data!AA:AA,"NaN")))</f>
        <v>4</v>
      </c>
      <c r="AJ50" s="5">
        <f>IF(_xlfn.XLOOKUP($B50,rf1_data!$B:$B,rf1_data!AB:AB,"NaN")="","NaN",(_xlfn.XLOOKUP($B50,rf1_data!$B:$B,rf1_data!AB:AB,"NaN")))</f>
        <v>23</v>
      </c>
      <c r="AK50" s="5">
        <f>IF(_xlfn.XLOOKUP($B50,rf1_data!$B:$B,rf1_data!AC:AC,"NaN")="","NaN",(_xlfn.XLOOKUP($B50,rf1_data!$B:$B,rf1_data!AC:AC,"NaN")))</f>
        <v>17</v>
      </c>
      <c r="AL50" s="5">
        <f>IF(_xlfn.XLOOKUP($B50,rf1_data!$B:$B,rf1_data!AD:AD,"NaN")="","NaN",(_xlfn.XLOOKUP($B50,rf1_data!$B:$B,rf1_data!AD:AD,"NaN")))</f>
        <v>10</v>
      </c>
      <c r="AM50" s="5">
        <f>IF(_xlfn.XLOOKUP($B50,rf1_data!$B:$B,rf1_data!AE:AE,"NaN")="","NaN",(_xlfn.XLOOKUP($B50,rf1_data!$B:$B,rf1_data!AE:AE,"NaN")))</f>
        <v>0</v>
      </c>
      <c r="AN50" s="5">
        <f>IF(_xlfn.XLOOKUP($B50,rf1_data!$B:$B,rf1_data!AF:AF,"NaN")="","NaN",(_xlfn.XLOOKUP($B50,rf1_data!$B:$B,rf1_data!AF:AF,"NaN")))</f>
        <v>0</v>
      </c>
      <c r="AO50" s="5">
        <f>IF(_xlfn.XLOOKUP($B50,rf1_data!$B:$B,rf1_data!AG:AG,"NaN")="","NaN",(_xlfn.XLOOKUP($B50,rf1_data!$B:$B,rf1_data!AG:AG,"NaN")))</f>
        <v>6.83</v>
      </c>
      <c r="AP50" s="5">
        <f>IF(_xlfn.XLOOKUP($B50,rf1_data!$B:$B,rf1_data!AH:AH,"NaN")="","NaN",(_xlfn.XLOOKUP($B50,rf1_data!$B:$B,rf1_data!AH:AH,"NaN")))</f>
        <v>6.75</v>
      </c>
      <c r="AQ50" s="5">
        <f>IF(_xlfn.XLOOKUP($B50,rf1_data!$B:$B,rf1_data!AI:AI,"NaN")="","NaN",(_xlfn.XLOOKUP($B50,rf1_data!$B:$B,rf1_data!AI:AI,"NaN")))</f>
        <v>7</v>
      </c>
      <c r="AR50" s="5">
        <f>IF(_xlfn.XLOOKUP($B50,rf1_data!$B:$B,rf1_data!AJ:AJ,"NaN")="","NaN",(_xlfn.XLOOKUP($B50,rf1_data!$B:$B,rf1_data!AJ:AJ,"NaN")))</f>
        <v>6.75</v>
      </c>
      <c r="AS50" s="5">
        <f>IF(_xlfn.XLOOKUP($B50,rf1_data!$B:$B,rf1_data!AK:AK,"NaN")="","NaN",(_xlfn.XLOOKUP($B50,rf1_data!$B:$B,rf1_data!AK:AK,"NaN")))</f>
        <v>2.6</v>
      </c>
      <c r="AT50" s="5">
        <f>IF(_xlfn.XLOOKUP($B50,rf1_data!$B:$B,rf1_data!AL:AL,"NaN")="","NaN",(_xlfn.XLOOKUP($B50,rf1_data!$B:$B,rf1_data!AL:AL,"NaN")))</f>
        <v>18</v>
      </c>
      <c r="AU50" s="5">
        <f>IF(_xlfn.XLOOKUP($B50,rf1_data!$B:$B,rf1_data!AM:AM,"NaN")="","NaN",(_xlfn.XLOOKUP($B50,rf1_data!$B:$B,rf1_data!AM:AM,"NaN")))</f>
        <v>2.5</v>
      </c>
      <c r="AV50" s="5">
        <f>IF(_xlfn.XLOOKUP($B50,rf1_data!$B:$B,rf1_data!AN:AN,"NaN")="","NaN",(_xlfn.XLOOKUP($B50,rf1_data!$B:$B,rf1_data!AN:AN,"NaN")))</f>
        <v>0</v>
      </c>
      <c r="AW50" s="5">
        <f>IF(_xlfn.XLOOKUP($B50,rf1_data!$B:$B,rf1_data!AO:AO,"NaN")="","NaN",(_xlfn.XLOOKUP($B50,rf1_data!$B:$B,rf1_data!AO:AO,"NaN")))</f>
        <v>3</v>
      </c>
      <c r="AX50" s="5">
        <f>IF(_xlfn.XLOOKUP($B50,rf1_data!$B:$B,rf1_data!AP:AP,"NaN")="","NaN",(_xlfn.XLOOKUP($B50,rf1_data!$B:$B,rf1_data!AP:AP,"NaN")))</f>
        <v>9999</v>
      </c>
      <c r="AY50" s="5" t="str">
        <f>IF(_xlfn.XLOOKUP($B50,rf1_data!$B:$B,rf1_data!AQ:AQ,"NaN")="","NaN",(_xlfn.XLOOKUP($B50,rf1_data!$B:$B,rf1_data!AQ:AQ,"NaN")))</f>
        <v>NaN</v>
      </c>
      <c r="AZ50" s="5" t="str">
        <f>IF(_xlfn.XLOOKUP($B50,rf1_data!$B:$B,rf1_data!AR:AR,"NaN")="","NaN",(_xlfn.XLOOKUP($B50,rf1_data!$B:$B,rf1_data!AR:AR,"NaN")))</f>
        <v>NaN</v>
      </c>
      <c r="BA50" s="5" t="str">
        <f>IF(_xlfn.XLOOKUP($B50,rf1_data!$B:$B,rf1_data!AS:AS,"NaN")="","NaN",(_xlfn.XLOOKUP($B50,rf1_data!$B:$B,rf1_data!AS:AS,"NaN")))</f>
        <v>NaN</v>
      </c>
      <c r="BB50" s="5" t="str">
        <f>IF(_xlfn.XLOOKUP($B50,rf1_data!$B:$B,rf1_data!AT:AT,"NaN")="","NaN",(_xlfn.XLOOKUP($B50,rf1_data!$B:$B,rf1_data!AT:AT,"NaN")))</f>
        <v>NaN</v>
      </c>
      <c r="BC50" s="5" t="str">
        <f>IF(_xlfn.XLOOKUP($B50,rf1_data!$B:$B,rf1_data!AU:AU,"NaN")="","NaN",(_xlfn.XLOOKUP($B50,rf1_data!$B:$B,rf1_data!AU:AU,"NaN")))</f>
        <v>NaN</v>
      </c>
      <c r="BD50" s="5" t="str">
        <f>IF(_xlfn.XLOOKUP($B50,rf1_data!$B:$B,rf1_data!AV:AV,"NaN")="","NaN",(_xlfn.XLOOKUP($B50,rf1_data!$B:$B,rf1_data!AV:AV,"NaN")))</f>
        <v>NaN</v>
      </c>
      <c r="BE50" s="5" t="str">
        <f>IF(_xlfn.XLOOKUP($B50,rf1_data!$B:$B,rf1_data!AW:AW,"NaN")="","NaN",(_xlfn.XLOOKUP($B50,rf1_data!$B:$B,rf1_data!AW:AW,"NaN")))</f>
        <v>NaN</v>
      </c>
      <c r="BF50" s="5" t="str">
        <f>IF(_xlfn.XLOOKUP($B50,rf1_data!$B:$B,rf1_data!AX:AX,"NaN")="","NaN",(_xlfn.XLOOKUP($B50,rf1_data!$B:$B,rf1_data!AX:AX,"NaN")))</f>
        <v>NaN</v>
      </c>
      <c r="BG50" s="5" t="str">
        <f>IF(_xlfn.XLOOKUP($B50,rf1_data!$B:$B,rf1_data!AY:AY,"NaN")="","NaN",(_xlfn.XLOOKUP($B50,rf1_data!$B:$B,rf1_data!AY:AY,"NaN")))</f>
        <v>NaN</v>
      </c>
      <c r="BH50" s="5" t="str">
        <f>IF(_xlfn.XLOOKUP($B50,rf1_data!$B:$B,rf1_data!AZ:AZ,"NaN")="","NaN",(_xlfn.XLOOKUP($B50,rf1_data!$B:$B,rf1_data!AZ:AZ,"NaN")))</f>
        <v>NaN</v>
      </c>
      <c r="BI50" s="5">
        <f>IF(_xlfn.XLOOKUP($B50,rf1_data!$B:$B,rf1_data!BA:BA,"NaN")="","NaN",(_xlfn.XLOOKUP($B50,rf1_data!$B:$B,rf1_data!BA:BA,"NaN")))</f>
        <v>20</v>
      </c>
      <c r="BJ50" s="5" t="str">
        <f>IF(_xlfn.XLOOKUP($B50,rf1_data!$B:$B,rf1_data!BB:BB,"NaN")="","NaN",(_xlfn.XLOOKUP($B50,rf1_data!$B:$B,rf1_data!BB:BB,"NaN")))</f>
        <v>NaN</v>
      </c>
      <c r="BK50" s="5" t="str">
        <f>IF(_xlfn.XLOOKUP($B50,rf1_data!$B:$B,rf1_data!BC:BC,"NaN")="","NaN",(_xlfn.XLOOKUP($B50,rf1_data!$B:$B,rf1_data!BC:BC,"NaN")))</f>
        <v>NaN</v>
      </c>
      <c r="BL50" s="5" t="str">
        <f>IF(_xlfn.XLOOKUP($B50,rf1_data!$B:$B,rf1_data!BD:BD,"NaN")="","NaN",(_xlfn.XLOOKUP($B50,rf1_data!$B:$B,rf1_data!BD:BD,"NaN")))</f>
        <v>NaN</v>
      </c>
      <c r="BM50" s="5" t="str">
        <f>IF(_xlfn.XLOOKUP($B50,rf1_data!$B:$B,rf1_data!BE:BE,"NaN")="","NaN",(_xlfn.XLOOKUP($B50,rf1_data!$B:$B,rf1_data!BE:BE,"NaN")))</f>
        <v>NaN</v>
      </c>
      <c r="BN50" s="5" t="str">
        <f>IF(_xlfn.XLOOKUP($B50,rf1_data!$B:$B,rf1_data!BF:BF,"NaN")="","NaN",(_xlfn.XLOOKUP($B50,rf1_data!$B:$B,rf1_data!BF:BF,"NaN")))</f>
        <v>NaN</v>
      </c>
      <c r="BO50" s="5" t="str">
        <f>IF(_xlfn.XLOOKUP($B50,rf1_data!$B:$B,rf1_data!BG:BG,"NaN")="","NaN",(_xlfn.XLOOKUP($B50,rf1_data!$B:$B,rf1_data!BG:BG,"NaN")))</f>
        <v>NaN</v>
      </c>
      <c r="BP50" s="5" t="str">
        <f>IF(_xlfn.XLOOKUP($B50,rf1_data!$B:$B,rf1_data!BH:BH,"NaN")="","NaN",(_xlfn.XLOOKUP($B50,rf1_data!$B:$B,rf1_data!BH:BH,"NaN")))</f>
        <v>NaN</v>
      </c>
      <c r="BQ50" s="5" t="str">
        <f>IF(_xlfn.XLOOKUP($B50,rf1_data!$B:$B,rf1_data!BI:BI,"NaN")="","NaN",(_xlfn.XLOOKUP($B50,rf1_data!$B:$B,rf1_data!BI:BI,"NaN")))</f>
        <v>NaN</v>
      </c>
      <c r="BR50" s="5">
        <f>IF(_xlfn.XLOOKUP($B50,rf1_data!$B:$B,rf1_data!BJ:BJ,"NaN")="","NaN",(_xlfn.XLOOKUP($B50,rf1_data!$B:$B,rf1_data!BJ:BJ,"NaN")))</f>
        <v>8991</v>
      </c>
      <c r="BS50" s="5" t="str">
        <f>IF(_xlfn.XLOOKUP($B50,rf1_data!$B:$B,rf1_data!BK:BK,"NaN")="","NaN",(_xlfn.XLOOKUP($B50,rf1_data!$B:$B,rf1_data!BK:BK,"NaN")))</f>
        <v>NaN</v>
      </c>
      <c r="BT50" s="5" t="str">
        <f>IF(_xlfn.XLOOKUP($B50,rf1_data!$B:$B,rf1_data!BL:BL,"NaN")="","NaN",(_xlfn.XLOOKUP($B50,rf1_data!$B:$B,rf1_data!BL:BL,"NaN")))</f>
        <v>NaN</v>
      </c>
      <c r="BU50" s="5" t="str">
        <f>IF(_xlfn.XLOOKUP($B50,rf1_data!$B:$B,rf1_data!BM:BM,"NaN")="","NaN",(_xlfn.XLOOKUP($B50,rf1_data!$B:$B,rf1_data!BM:BM,"NaN")))</f>
        <v>NaN</v>
      </c>
      <c r="BV50" s="5" t="str">
        <f>IF(_xlfn.XLOOKUP($B50,rf1_data!$B:$B,rf1_data!BN:BN,"NaN")="","NaN",(_xlfn.XLOOKUP($B50,rf1_data!$B:$B,rf1_data!BN:BN,"NaN")))</f>
        <v>NaN</v>
      </c>
      <c r="BW50" s="5">
        <f>IF(_xlfn.XLOOKUP($B50,rf1_data!$B:$B,rf1_data!BO:BO,"NaN")="","NaN",(_xlfn.XLOOKUP($B50,rf1_data!$B:$B,rf1_data!BO:BO,"NaN")))</f>
        <v>3</v>
      </c>
      <c r="BX50" s="5">
        <f>IF(_xlfn.XLOOKUP($B50,rf1_data!$B:$B,rf1_data!BP:BP,"NaN")="","NaN",(_xlfn.XLOOKUP($B50,rf1_data!$B:$B,rf1_data!BP:BP,"NaN")))</f>
        <v>3.5</v>
      </c>
      <c r="BY50" s="5">
        <f>IF(_xlfn.XLOOKUP($B50,rf1_data!$B:$B,rf1_data!BQ:BQ,"NaN")="","NaN",(_xlfn.XLOOKUP($B50,rf1_data!$B:$B,rf1_data!BQ:BQ,"NaN")))</f>
        <v>3.4</v>
      </c>
      <c r="BZ50" s="5">
        <f>IF(_xlfn.XLOOKUP($B50,rf1_data!$B:$B,rf1_data!BR:BR,"NaN")="","NaN",(_xlfn.XLOOKUP($B50,rf1_data!$B:$B,rf1_data!BR:BR,"NaN")))</f>
        <v>3.3</v>
      </c>
      <c r="CA50" s="5" t="str">
        <f>IF(_xlfn.XLOOKUP($B50,rf1_data!$B:$B,rf1_data!BS:BS,"NaN")="","NaN",(_xlfn.XLOOKUP($B50,rf1_data!$B:$B,rf1_data!BS:BS,"NaN")))</f>
        <v>NaN</v>
      </c>
      <c r="CB50" s="5" t="str">
        <f>IF(_xlfn.XLOOKUP($B50,rf1_data!$B:$B,rf1_data!BT:BT,"NaN")="","NaN",(_xlfn.XLOOKUP($B50,rf1_data!$B:$B,rf1_data!BT:BT,"NaN")))</f>
        <v>NaN</v>
      </c>
      <c r="CC50" s="5" t="str">
        <f>IF(_xlfn.XLOOKUP($B50,rf1_data!$B:$B,rf1_data!BU:BU,"NaN")="","NaN",(_xlfn.XLOOKUP($B50,rf1_data!$B:$B,rf1_data!BU:BU,"NaN")))</f>
        <v>NaN</v>
      </c>
      <c r="CD50" s="5" t="str">
        <f>IF(_xlfn.XLOOKUP($B50,rf1_data!$B:$B,rf1_data!BV:BV,"NaN")="","NaN",(_xlfn.XLOOKUP($B50,rf1_data!$B:$B,rf1_data!BV:BV,"NaN")))</f>
        <v>NaN</v>
      </c>
      <c r="CE50" s="5">
        <f>IF(_xlfn.XLOOKUP($B50,rf1_data!$B:$B,rf1_data!BW:BW,"NaN")="","NaN",(_xlfn.XLOOKUP($B50,rf1_data!$B:$B,rf1_data!BW:BW,"NaN")))</f>
        <v>2.5</v>
      </c>
      <c r="CF50" s="5">
        <f>IF(_xlfn.XLOOKUP($B50,rf1_data!$B:$B,rf1_data!BX:BX,"NaN")="","NaN",(_xlfn.XLOOKUP($B50,rf1_data!$B:$B,rf1_data!BX:BX,"NaN")))</f>
        <v>0</v>
      </c>
      <c r="CG50" s="5">
        <f>IF(_xlfn.XLOOKUP($B50,rf1_data!$B:$B,rf1_data!BY:BY,"NaN")="","NaN",(_xlfn.XLOOKUP($B50,rf1_data!$B:$B,rf1_data!BY:BY,"NaN")))</f>
        <v>0</v>
      </c>
      <c r="CH50" s="5">
        <f>IF(_xlfn.XLOOKUP($B50,rf1_data!$B:$B,rf1_data!BZ:BZ,"NaN")="","NaN",(_xlfn.XLOOKUP($B50,rf1_data!$B:$B,rf1_data!BZ:BZ,"NaN")))</f>
        <v>23</v>
      </c>
      <c r="CI50" s="5">
        <f>IF(_xlfn.XLOOKUP($B50,rf1_data!$B:$B,rf1_data!CA:CA,"NaN")="","NaN",(_xlfn.XLOOKUP($B50,rf1_data!$B:$B,rf1_data!CA:CA,"NaN")))</f>
        <v>17</v>
      </c>
      <c r="CJ50" s="5">
        <f>IF(_xlfn.XLOOKUP($B50,rf1_data!$B:$B,rf1_data!CB:CB,"NaN")="","NaN",(_xlfn.XLOOKUP($B50,rf1_data!$B:$B,rf1_data!CB:CB,"NaN")))</f>
        <v>8</v>
      </c>
      <c r="CK50" s="5">
        <f>IF(_xlfn.XLOOKUP($B50,rf1_data!$B:$B,rf1_data!CC:CC,"NaN")="","NaN",(_xlfn.XLOOKUP($B50,rf1_data!$B:$B,rf1_data!CC:CC,"NaN")))</f>
        <v>0.88888888888888795</v>
      </c>
      <c r="CL50" s="5">
        <f>IF(_xlfn.XLOOKUP($B50,rf1_data!$B:$B,rf1_data!CD:CD,"NaN")=0,"NaN",(_xlfn.XLOOKUP($B50,rf1_data!$B:$B,rf1_data!CD:CD,"NaN")))</f>
        <v>31</v>
      </c>
      <c r="CM50" s="5">
        <f>IF(_xlfn.XLOOKUP($B50,rf1_data!$B:$B,rf1_data!CE:CE,"NaN")="","NaN",(_xlfn.XLOOKUP($B50,rf1_data!$B:$B,rf1_data!CE:CE,"NaN")))</f>
        <v>24</v>
      </c>
      <c r="CN50" s="5">
        <f>IF(_xlfn.XLOOKUP($B50,rf1_data!$B:$B,rf1_data!CF:CF,"NaN")="","NaN",(_xlfn.XLOOKUP($B50,rf1_data!$B:$B,rf1_data!CF:CF,"NaN")))</f>
        <v>59</v>
      </c>
      <c r="CO50" s="5">
        <f>IF(_xlfn.XLOOKUP($B50,rf1_data!$B:$B,rf1_data!CG:CG,"NaN")="","NaN",(_xlfn.XLOOKUP($B50,rf1_data!$B:$B,rf1_data!CG:CG,"NaN")))</f>
        <v>25</v>
      </c>
      <c r="CP50" s="5">
        <f>IF(_xlfn.XLOOKUP($B50,rf1_data!$B:$B,rf1_data!CH:CH,"NaN")=0,"NaN",(_xlfn.XLOOKUP($B50,rf1_data!$B:$B,rf1_data!CH:CH,"NaN")))</f>
        <v>22</v>
      </c>
      <c r="CQ50" s="5">
        <f>IF(_xlfn.XLOOKUP($B50,rf1_data!$B:$B,rf1_data!CI:CI,"NaN")="","NaN",(_xlfn.XLOOKUP($B50,rf1_data!$B:$B,rf1_data!CI:CI,"NaN")))</f>
        <v>48</v>
      </c>
      <c r="CR50" s="5">
        <f>IF(_xlfn.XLOOKUP($B50,rf1_data!$B:$B,rf1_data!CJ:CJ,"NaN")="","NaN",(_xlfn.XLOOKUP($B50,rf1_data!$B:$B,rf1_data!CJ:CJ,"NaN")))</f>
        <v>60</v>
      </c>
      <c r="CS50" s="5">
        <f>IF(_xlfn.XLOOKUP($B50,rf1_data!$B:$B,rf1_data!CK:CK,"NaN")="","NaN",(_xlfn.XLOOKUP($B50,rf1_data!$B:$B,rf1_data!CK:CK,"NaN")))</f>
        <v>40</v>
      </c>
      <c r="CT50" s="5">
        <f>IF(_xlfn.XLOOKUP($B50,rf1_data!$B:$B,rf1_data!CL:CL,"NaN")="","NaN",(_xlfn.XLOOKUP($B50,rf1_data!$B:$B,rf1_data!CL:CL,"NaN")))</f>
        <v>60</v>
      </c>
      <c r="CU50" s="5">
        <f>IF(_xlfn.XLOOKUP($B50,rf1_data!$B:$B,rf1_data!CM:CM,"NaN")="","NaN",(_xlfn.XLOOKUP($B50,rf1_data!$B:$B,rf1_data!CM:CM,"NaN")))</f>
        <v>40</v>
      </c>
      <c r="CV50" s="5">
        <f>IF(_xlfn.XLOOKUP($B50,rf1_data!$B:$B,rf1_data!CN:CN,"NaN")="","NaN",(_xlfn.XLOOKUP($B50,rf1_data!$B:$B,rf1_data!CN:CN,"NaN")))</f>
        <v>60</v>
      </c>
      <c r="CW50" s="5">
        <f>IF(_xlfn.XLOOKUP($B50,rf1_data!$B:$B,rf1_data!CO:CO,"NaN")="","NaN",(_xlfn.XLOOKUP($B50,rf1_data!$B:$B,rf1_data!CO:CO,"NaN")))</f>
        <v>3</v>
      </c>
      <c r="CX50" s="5">
        <f>IF(_xlfn.XLOOKUP($B50,rf1_data!$B:$B,rf1_data!CP:CP,"NaN")="","NaN",(_xlfn.XLOOKUP($B50,rf1_data!$B:$B,rf1_data!CP:CP,"NaN")))</f>
        <v>3</v>
      </c>
      <c r="CY50" s="5">
        <f>IF(_xlfn.XLOOKUP($B50,rf1_data!$B:$B,rf1_data!CQ:CQ,"NaN")="","NaN",(_xlfn.XLOOKUP($B50,rf1_data!$B:$B,rf1_data!CQ:CQ,"NaN")))</f>
        <v>7</v>
      </c>
      <c r="CZ50" s="5">
        <f>IF(_xlfn.XLOOKUP($B50,rf1_data!$B:$B,rf1_data!CR:CR,"NaN")="","NaN",(_xlfn.XLOOKUP($B50,rf1_data!$B:$B,rf1_data!CR:CR,"NaN")))</f>
        <v>3</v>
      </c>
      <c r="DA50" s="5">
        <f>IF(_xlfn.XLOOKUP($B50,rf1_data!$B:$B,rf1_data!CS:CS,"NaN")="","NaN",(_xlfn.XLOOKUP($B50,rf1_data!$B:$B,rf1_data!CS:CS,"NaN")))</f>
        <v>4</v>
      </c>
      <c r="DB50" s="4">
        <f>IF(_xlfn.XLOOKUP($B50,island_data!$B:$B,island_data!H:H,"NaN")="","NaN",_xlfn.XLOOKUP($B50,island_data!$B:$B,island_data!H:H,"NaN"))</f>
        <v>0</v>
      </c>
      <c r="DC50" s="4">
        <f>IF(_xlfn.XLOOKUP($B50,island_data!$B:$B,island_data!I:I,"NaN")="","NaN",_xlfn.XLOOKUP($B50,island_data!$B:$B,island_data!I:I,"NaN"))</f>
        <v>0</v>
      </c>
      <c r="DD50" s="4">
        <f>IF(_xlfn.XLOOKUP($B50,island_data!$B:$B,island_data!J:J,"NaN")="","NaN",_xlfn.XLOOKUP($B50,island_data!$B:$B,island_data!J:J,"NaN"))</f>
        <v>0</v>
      </c>
      <c r="DE50" s="4">
        <f>IF(_xlfn.XLOOKUP($B50,island_data!$B:$B,island_data!K:K,"NaN")="","NaN",_xlfn.XLOOKUP($B50,island_data!$B:$B,island_data!K:K,"NaN"))</f>
        <v>9</v>
      </c>
      <c r="DF50" s="4">
        <f>IF(_xlfn.XLOOKUP($B50,island_data!$B:$B,island_data!L:L,"NaN")="","NaN",_xlfn.XLOOKUP($B50,island_data!$B:$B,island_data!L:L,"NaN"))</f>
        <v>0</v>
      </c>
      <c r="DG50" s="4">
        <f>IF(_xlfn.XLOOKUP($B50,island_data!$B:$B,island_data!M:M,"NaN")="","NaN",_xlfn.XLOOKUP($B50,island_data!$B:$B,island_data!M:M,"NaN"))</f>
        <v>3.0625</v>
      </c>
      <c r="DH50" s="4">
        <f>IF(_xlfn.XLOOKUP($B50,island_data!$B:$B,island_data!N:N,"NaN")="","NaN",_xlfn.XLOOKUP($B50,island_data!$B:$B,island_data!N:N,"NaN"))</f>
        <v>9</v>
      </c>
      <c r="DI50" s="4">
        <f>IF(_xlfn.XLOOKUP($B50,island_data!$B:$B,island_data!O:O,"NaN")=999,"NaN",_xlfn.XLOOKUP($B50,island_data!$B:$B,island_data!O:O,"NaN"))</f>
        <v>3</v>
      </c>
      <c r="DJ50" s="4">
        <f>IF(_xlfn.XLOOKUP($B50,island_data!$B:$B,island_data!P:P,"NaN")="","NaN",_xlfn.XLOOKUP($B50,island_data!$B:$B,island_data!P:P,"NaN"))</f>
        <v>9</v>
      </c>
      <c r="DK50" s="4">
        <f>IF(_xlfn.XLOOKUP($B50,island_data!$B:$B,island_data!Q:Q,"NaN")="","NaN",_xlfn.XLOOKUP($B50,island_data!$B:$B,island_data!Q:Q,"NaN"))</f>
        <v>2</v>
      </c>
      <c r="DL50" s="4">
        <f>IF(_xlfn.XLOOKUP($B50,island_data!$B:$B,island_data!R:R,"NaN")=999,"NaN",_xlfn.XLOOKUP($B50,island_data!$B:$B,island_data!R:R,"NaN"))</f>
        <v>17</v>
      </c>
      <c r="DM50" s="4">
        <f>IF(_xlfn.XLOOKUP($B50,island_data!$B:$B,island_data!S:S,"NaN")="","NaN",_xlfn.XLOOKUP($B50,island_data!$B:$B,island_data!S:S,"NaN"))</f>
        <v>9</v>
      </c>
      <c r="DN50" s="4">
        <f>IF(_xlfn.XLOOKUP($B50,island_data!$B:$B,island_data!T:T,"NaN")="","NaN",_xlfn.XLOOKUP($B50,island_data!$B:$B,island_data!T:T,"NaN"))</f>
        <v>5</v>
      </c>
      <c r="DO50" s="4">
        <f>IF(_xlfn.XLOOKUP($B50,island_data!$B:$B,island_data!U:U,"NaN")="","NaN",_xlfn.XLOOKUP($B50,island_data!$B:$B,island_data!U:U,"NaN"))</f>
        <v>6</v>
      </c>
      <c r="DP50" s="4">
        <f>IF(_xlfn.XLOOKUP($B50,island_data!$B:$B,island_data!V:V,"NaN")="","NaN",_xlfn.XLOOKUP($B50,island_data!$B:$B,island_data!V:V,"NaN"))</f>
        <v>4</v>
      </c>
      <c r="DQ50" s="4">
        <f>IF(_xlfn.XLOOKUP($B50,island_data!$B:$B,island_data!W:W,"NaN")="","NaN",_xlfn.XLOOKUP($B50,island_data!$B:$B,island_data!W:W,"NaN"))</f>
        <v>8</v>
      </c>
      <c r="DR50" s="4">
        <f>IF(_xlfn.XLOOKUP($B50,island_data!$B:$B,island_data!X:X,"NaN")="","NaN",_xlfn.XLOOKUP($B50,island_data!$B:$B,island_data!X:X,"NaN"))</f>
        <v>6</v>
      </c>
      <c r="DS50" s="4" t="str">
        <f>IF(_xlfn.XLOOKUP($B50,island_data!$B:$B,island_data!Y:Y,"NaN")="","NaN",_xlfn.XLOOKUP($B50,island_data!$B:$B,island_data!Y:Y,"NaN"))</f>
        <v>NaN</v>
      </c>
      <c r="DT50" s="4" t="str">
        <f>IF(_xlfn.XLOOKUP($B50,island_data!$B:$B,island_data!Z:Z,"NaN")="","NaN",_xlfn.XLOOKUP($B50,island_data!$B:$B,island_data!Z:Z,"NaN"))</f>
        <v>NaN</v>
      </c>
      <c r="DU50" s="4" t="str">
        <f>IF(_xlfn.XLOOKUP($B50,island_data!$B:$B,island_data!AA:AA,"NaN")="","NaN",_xlfn.XLOOKUP($B50,island_data!$B:$B,island_data!AA:AA,"NaN"))</f>
        <v>NaN</v>
      </c>
      <c r="DV50" s="4" t="str">
        <f>IF(_xlfn.XLOOKUP($B50,island_data!$B:$B,island_data!AB:AB,"NaN")="","NaN",_xlfn.XLOOKUP($B50,island_data!$B:$B,island_data!AB:AB,"NaN"))</f>
        <v>NaN</v>
      </c>
      <c r="DW50" s="4">
        <f>IF(_xlfn.XLOOKUP($B50,island_data!$B:$B,island_data!AC:AC,"NaN")="","NaN",_xlfn.XLOOKUP($B50,island_data!$B:$B,island_data!AC:AC,"NaN"))</f>
        <v>20832</v>
      </c>
      <c r="DX50" s="4">
        <f>IF(_xlfn.XLOOKUP($B50,island_data!$B:$B,island_data!AD:AD,"NaN")="","NaN",_xlfn.XLOOKUP($B50,island_data!$B:$B,island_data!AD:AD,"NaN"))</f>
        <v>8</v>
      </c>
      <c r="DY50" s="4">
        <f>IF(_xlfn.XLOOKUP($B50,island_data!$B:$B,island_data!AE:AE,"NaN")="","NaN",_xlfn.XLOOKUP($B50,island_data!$B:$B,island_data!AE:AE,"NaN"))</f>
        <v>0</v>
      </c>
      <c r="DZ50" s="4" t="str">
        <f>IF(_xlfn.XLOOKUP($B50,island_data!$B:$B,island_data!AF:AF,"NaN")="","NaN",_xlfn.XLOOKUP($B50,island_data!$B:$B,island_data!AF:AF,"NaN"))</f>
        <v>NaN</v>
      </c>
      <c r="EA50" s="4" t="str">
        <f>IF(_xlfn.XLOOKUP($B50,island_data!$B:$B,island_data!AG:AG,"NaN")="","NaN",_xlfn.XLOOKUP($B50,island_data!$B:$B,island_data!AG:AG,"NaN"))</f>
        <v>NaN</v>
      </c>
      <c r="EB50" s="4" t="str">
        <f>IF(_xlfn.XLOOKUP($B50,island_data!$B:$B,island_data!AH:AH,"NaN")="","NaN",_xlfn.XLOOKUP($B50,island_data!$B:$B,island_data!AH:AH,"NaN"))</f>
        <v>NaN</v>
      </c>
      <c r="EC50" s="4" t="str">
        <f>IF(_xlfn.XLOOKUP($B50,island_data!$B:$B,island_data!AI:AI,"NaN")="","NaN",_xlfn.XLOOKUP($B50,island_data!$B:$B,island_data!AI:AI,"NaN"))</f>
        <v>NaN</v>
      </c>
      <c r="ED50" s="4" t="str">
        <f>IF(_xlfn.XLOOKUP($B50,island_data!$B:$B,island_data!AJ:AJ,"NaN")="","NaN",_xlfn.XLOOKUP($B50,island_data!$B:$B,island_data!AJ:AJ,"NaN"))</f>
        <v>NaN</v>
      </c>
      <c r="EE50" s="4" t="str">
        <f>IF(_xlfn.XLOOKUP($B50,island_data!$B:$B,island_data!AK:AK,"NaN")="","NaN",_xlfn.XLOOKUP($B50,island_data!$B:$B,island_data!AK:AK,"NaN"))</f>
        <v>NaN</v>
      </c>
      <c r="EF50" s="4" t="str">
        <f>IF(_xlfn.XLOOKUP($B50,island_data!$B:$B,island_data!AL:AL,"NaN")="","NaN",_xlfn.XLOOKUP($B50,island_data!$B:$B,island_data!AL:AL,"NaN"))</f>
        <v>NaN</v>
      </c>
      <c r="EG50" s="4" t="str">
        <f>IF(_xlfn.XLOOKUP($B50,island_data!$B:$B,island_data!AM:AM,"NaN")="","NaN",_xlfn.XLOOKUP($B50,island_data!$B:$B,island_data!AM:AM,"NaN"))</f>
        <v>NaN</v>
      </c>
      <c r="EH50" s="4" t="str">
        <f>IF(_xlfn.XLOOKUP($B50,island_data!$B:$B,island_data!AN:AN,"NaN")="","NaN",_xlfn.XLOOKUP($B50,island_data!$B:$B,island_data!AN:AN,"NaN"))</f>
        <v>NaN</v>
      </c>
      <c r="EI50" s="4" t="str">
        <f>IF(_xlfn.XLOOKUP($B50,island_data!$B:$B,island_data!AO:AO,"NaN")="","NaN",_xlfn.XLOOKUP($B50,island_data!$B:$B,island_data!AO:AO,"NaN"))</f>
        <v>NaN</v>
      </c>
      <c r="EJ50" s="8">
        <f>IF(_xlfn.XLOOKUP($A50,TabCAT!$A:$A,TabCAT!AU:AU,"NaN")="","NaN",(_xlfn.XLOOKUP($A50,TabCAT!$A:$A,TabCAT!AU:AU,"NaN")))</f>
        <v>154</v>
      </c>
      <c r="EK50" s="8" t="b">
        <f>IF(_xlfn.XLOOKUP($A50,TabCAT!$A:$A,TabCAT!AV:AV,"NaN")="","NaN",(_xlfn.XLOOKUP($A50,TabCAT!$A:$A,TabCAT!AV:AV,"NaN")))</f>
        <v>1</v>
      </c>
      <c r="EL50" s="8">
        <f>IF(_xlfn.XLOOKUP($A50,TabCAT!$A:$A,TabCAT!AW:AW,"NaN")="","NaN",(_xlfn.XLOOKUP($A50,TabCAT!$A:$A,TabCAT!AW:AW,"NaN")))</f>
        <v>6</v>
      </c>
      <c r="EM50" s="8">
        <f>IF(_xlfn.XLOOKUP($A50,TabCAT!$A:$A,TabCAT!AX:AX,"NaN")="","NaN",(_xlfn.XLOOKUP($A50,TabCAT!$A:$A,TabCAT!AX:AX,"NaN")))</f>
        <v>0</v>
      </c>
      <c r="EN50" s="8">
        <f>IF(_xlfn.XLOOKUP($A50,TabCAT!$A:$A,TabCAT!AY:AY,"NaN")="","NaN",(_xlfn.XLOOKUP($A50,TabCAT!$A:$A,TabCAT!AY:AY,"NaN")))</f>
        <v>9.68</v>
      </c>
      <c r="EO50" s="8">
        <f>IF(_xlfn.XLOOKUP($A50,TabCAT!$A:$A,TabCAT!AZ:AZ,"NaN")="","NaN",(_xlfn.XLOOKUP($A50,TabCAT!$A:$A,TabCAT!AZ:AZ,"NaN")))</f>
        <v>32</v>
      </c>
      <c r="EP50" s="8">
        <f>IF(_xlfn.XLOOKUP($A50,TabCAT!$A:$A,TabCAT!BA:BA,"NaN")="","NaN",(_xlfn.XLOOKUP($A50,TabCAT!$A:$A,TabCAT!BA:BA,"NaN")))</f>
        <v>0.56600450000000002</v>
      </c>
      <c r="EQ50" s="8">
        <f>IF(_xlfn.XLOOKUP($A50,TabCAT!$A:$A,TabCAT!BB:BB,"NaN")="","NaN",(_xlfn.XLOOKUP($A50,TabCAT!$A:$A,TabCAT!BB:BB,"NaN")))</f>
        <v>0.12983861535401101</v>
      </c>
      <c r="ER50" s="8">
        <f>IF(_xlfn.XLOOKUP($A50,TabCAT!$A:$A,TabCAT!BC:BC,"NaN")="","NaN",(_xlfn.XLOOKUP($A50,TabCAT!$A:$A,TabCAT!BC:BC,"NaN")))</f>
        <v>16</v>
      </c>
      <c r="ES50" s="8">
        <f>IF(_xlfn.XLOOKUP($A50,TabCAT!$A:$A,TabCAT!BD:BD,"NaN")="","NaN",(_xlfn.XLOOKUP($A50,TabCAT!$A:$A,TabCAT!BD:BD,"NaN")))</f>
        <v>0.51401450000000004</v>
      </c>
      <c r="ET50" s="8">
        <f>IF(_xlfn.XLOOKUP($A50,TabCAT!$A:$A,TabCAT!BE:BE,"NaN")="","NaN",(_xlfn.XLOOKUP($A50,TabCAT!$A:$A,TabCAT!BE:BE,"NaN")))</f>
        <v>16</v>
      </c>
      <c r="EU50" s="8">
        <f>IF(_xlfn.XLOOKUP($A50,TabCAT!$A:$A,TabCAT!BF:BF,"NaN")="","NaN",(_xlfn.XLOOKUP($A50,TabCAT!$A:$A,TabCAT!BF:BF,"NaN")))</f>
        <v>0.62032749999999903</v>
      </c>
      <c r="EV50" s="8">
        <f>IF(_xlfn.XLOOKUP($A50,TabCAT!$A:$A,TabCAT!BG:BG,"NaN")="","NaN",(_xlfn.XLOOKUP($A50,TabCAT!$A:$A,TabCAT!BG:BG,"NaN")))</f>
        <v>2.3207550000000001</v>
      </c>
      <c r="EW50" s="8" t="str">
        <f>IF(_xlfn.XLOOKUP($A50,TabCAT!$A:$A,TabCAT!BH:BH,"NaN")="","NaN",(_xlfn.XLOOKUP($A50,TabCAT!$A:$A,TabCAT!BH:BH,"NaN")))</f>
        <v>3.0.0</v>
      </c>
      <c r="EX50" s="8" t="str">
        <f>IF(_xlfn.XLOOKUP($A50,TabCAT!$A:$A,TabCAT!BI:BI,"NaN")="","NaN",(_xlfn.XLOOKUP($A50,TabCAT!$A:$A,TabCAT!BI:BI,"NaN")))</f>
        <v>English</v>
      </c>
      <c r="EY50" s="8">
        <f>IF(_xlfn.XLOOKUP($A50,TabCAT!$A:$A,TabCAT!BJ:BJ,"NaN")="","NaN",(_xlfn.XLOOKUP($A50,TabCAT!$A:$A,TabCAT!BJ:BJ,"NaN")))</f>
        <v>82</v>
      </c>
      <c r="EZ50" s="8">
        <f>IF(_xlfn.XLOOKUP($A50,TabCAT!$A:$A,TabCAT!BK:BK,"NaN")="","NaN",(_xlfn.XLOOKUP($A50,TabCAT!$A:$A,TabCAT!BK:BK,"NaN")))</f>
        <v>1</v>
      </c>
      <c r="FA50" s="8" t="str">
        <f>IF(_xlfn.XLOOKUP($A50,TabCAT!$A:$A,TabCAT!BL:BL,"NaN")="","NaN",(_xlfn.XLOOKUP($A50,TabCAT!$A:$A,TabCAT!BL:BL,"NaN")))</f>
        <v>NaN</v>
      </c>
      <c r="FB50" s="8" t="str">
        <f>IF(_xlfn.XLOOKUP($A50,TabCAT!$A:$A,TabCAT!BM:BM,"NaN")="","NaN",(_xlfn.XLOOKUP($A50,TabCAT!$A:$A,TabCAT!BM:BM,"NaN")))</f>
        <v>NaN</v>
      </c>
      <c r="FC50" s="8">
        <f>IF(_xlfn.XLOOKUP($A50,TabCAT!$A:$A,TabCAT!BN:BN,"NaN")="","NaN",(_xlfn.XLOOKUP($A50,TabCAT!$A:$A,TabCAT!BN:BN,"NaN")))</f>
        <v>0</v>
      </c>
      <c r="FD50" s="8" t="str">
        <f>IF(_xlfn.XLOOKUP($A50,TabCAT!$A:$A,TabCAT!BO:BO,"NaN")="","NaN",(_xlfn.XLOOKUP($A50,TabCAT!$A:$A,TabCAT!BO:BO,"NaN")))</f>
        <v>NaN</v>
      </c>
      <c r="FE50" s="8" t="str">
        <f>IF(_xlfn.XLOOKUP($A50,TabCAT!$A:$A,TabCAT!BP:BP,"NaN")="","NaN",(_xlfn.XLOOKUP($A50,TabCAT!$A:$A,TabCAT!BP:BP,"NaN")))</f>
        <v>NaN</v>
      </c>
      <c r="FF50" s="8">
        <f>IF(_xlfn.XLOOKUP($A50,TabCAT!$A:$A,TabCAT!BQ:BQ,"NaN")="","NaN",(_xlfn.XLOOKUP($A50,TabCAT!$A:$A,TabCAT!BQ:BQ,"NaN")))</f>
        <v>0</v>
      </c>
      <c r="FG50" s="8" t="str">
        <f>IF(_xlfn.XLOOKUP($A50,TabCAT!$A:$A,TabCAT!BR:BR,"NaN")="","NaN",(_xlfn.XLOOKUP($A50,TabCAT!$A:$A,TabCAT!BR:BR,"NaN")))</f>
        <v>NaN</v>
      </c>
      <c r="FH50" s="8" t="str">
        <f>IF(_xlfn.XLOOKUP($A50,TabCAT!$A:$A,TabCAT!BS:BS,"NaN")="","NaN",(_xlfn.XLOOKUP($A50,TabCAT!$A:$A,TabCAT!BS:BS,"NaN")))</f>
        <v>NaN</v>
      </c>
      <c r="FI50" s="8">
        <f>IF(_xlfn.XLOOKUP($A50,TabCAT!$A:$A,TabCAT!BT:BT,"NaN")="","NaN",(_xlfn.XLOOKUP($A50,TabCAT!$A:$A,TabCAT!BT:BT,"NaN")))</f>
        <v>0</v>
      </c>
      <c r="FJ50" s="8" t="str">
        <f>IF(_xlfn.XLOOKUP($A50,TabCAT!$A:$A,TabCAT!BU:BU,"NaN")="","NaN",(_xlfn.XLOOKUP($A50,TabCAT!$A:$A,TabCAT!BU:BU,"NaN")))</f>
        <v>NaN</v>
      </c>
      <c r="FK50" s="8" t="str">
        <f>IF(_xlfn.XLOOKUP($A50,TabCAT!$A:$A,TabCAT!BV:BV,"NaN")="","NaN",(_xlfn.XLOOKUP($A50,TabCAT!$A:$A,TabCAT!BV:BV,"NaN")))</f>
        <v>NaN</v>
      </c>
      <c r="FL50" s="8">
        <f>IF(_xlfn.XLOOKUP($A50,TabCAT!$A:$A,TabCAT!BW:BW,"NaN")="","NaN",(_xlfn.XLOOKUP($A50,TabCAT!$A:$A,TabCAT!BW:BW,"NaN")))</f>
        <v>0</v>
      </c>
      <c r="FM50" s="8" t="str">
        <f>IF(_xlfn.XLOOKUP($A50,TabCAT!$A:$A,TabCAT!BX:BX,"NaN")="","NaN",(_xlfn.XLOOKUP($A50,TabCAT!$A:$A,TabCAT!BX:BX,"NaN")))</f>
        <v>NaN</v>
      </c>
      <c r="FN50" s="8" t="str">
        <f>IF(_xlfn.XLOOKUP($A50,TabCAT!$A:$A,TabCAT!BY:BY,"NaN")="","NaN",(_xlfn.XLOOKUP($A50,TabCAT!$A:$A,TabCAT!BY:BY,"NaN")))</f>
        <v>NaN</v>
      </c>
      <c r="FO50" s="8">
        <f>IF(_xlfn.XLOOKUP($A50,TabCAT!$A:$A,TabCAT!BZ:BZ,"NaN")="","NaN",(_xlfn.XLOOKUP($A50,TabCAT!$A:$A,TabCAT!BZ:BZ,"NaN")))</f>
        <v>0</v>
      </c>
      <c r="FP50" s="8" t="str">
        <f>IF(_xlfn.XLOOKUP($A50,TabCAT!$A:$A,TabCAT!CA:CA,"NaN")="","NaN",(_xlfn.XLOOKUP($A50,TabCAT!$A:$A,TabCAT!CA:CA,"NaN")))</f>
        <v>3.0.0</v>
      </c>
      <c r="FQ50" s="8" t="str">
        <f>IF(_xlfn.XLOOKUP($A50,TabCAT!$A:$A,TabCAT!CB:CB,"NaN")="","NaN",(_xlfn.XLOOKUP($A50,TabCAT!$A:$A,TabCAT!CB:CB,"NaN")))</f>
        <v>English</v>
      </c>
      <c r="FR50" s="8">
        <f>IF(_xlfn.XLOOKUP($A50,TabCAT!$A:$A,TabCAT!CC:CC,"NaN")="","NaN",(_xlfn.XLOOKUP($A50,TabCAT!$A:$A,TabCAT!CC:CC,"NaN")))</f>
        <v>229</v>
      </c>
      <c r="FS50" s="8" t="b">
        <f>IF(_xlfn.XLOOKUP($A50,TabCAT!$A:$A,TabCAT!CD:CD,"NaN")="","NaN",(_xlfn.XLOOKUP($A50,TabCAT!$A:$A,TabCAT!CD:CD,"NaN")))</f>
        <v>1</v>
      </c>
      <c r="FT50" s="8">
        <f>IF(_xlfn.XLOOKUP($A50,TabCAT!$A:$A,TabCAT!CE:CE,"NaN")="","NaN",(_xlfn.XLOOKUP($A50,TabCAT!$A:$A,TabCAT!CE:CE,"NaN")))</f>
        <v>8</v>
      </c>
      <c r="FU50" s="8">
        <f>IF(_xlfn.XLOOKUP($A50,TabCAT!$A:$A,TabCAT!CF:CF,"NaN")="","NaN",(_xlfn.XLOOKUP($A50,TabCAT!$A:$A,TabCAT!CF:CF,"NaN")))</f>
        <v>0</v>
      </c>
      <c r="FV50" s="8">
        <f>IF(_xlfn.XLOOKUP($A50,TabCAT!$A:$A,TabCAT!CG:CG,"NaN")="","NaN",(_xlfn.XLOOKUP($A50,TabCAT!$A:$A,TabCAT!CG:CG,"NaN")))</f>
        <v>7.45</v>
      </c>
      <c r="FW50" s="8">
        <f>IF(_xlfn.XLOOKUP($A50,TabCAT!$A:$A,TabCAT!CH:CH,"NaN")="","NaN",(_xlfn.XLOOKUP($A50,TabCAT!$A:$A,TabCAT!CH:CH,"NaN")))</f>
        <v>16</v>
      </c>
      <c r="FX50" s="8">
        <f>IF(_xlfn.XLOOKUP($A50,TabCAT!$A:$A,TabCAT!CI:CI,"NaN")="","NaN",(_xlfn.XLOOKUP($A50,TabCAT!$A:$A,TabCAT!CI:CI,"NaN")))</f>
        <v>0.73319999999999996</v>
      </c>
      <c r="FY50" s="8">
        <f>IF(_xlfn.XLOOKUP($A50,TabCAT!$A:$A,TabCAT!CJ:CJ,"NaN")="","NaN",(_xlfn.XLOOKUP($A50,TabCAT!$A:$A,TabCAT!CJ:CJ,"NaN")))</f>
        <v>15</v>
      </c>
      <c r="FZ50" s="8">
        <f>IF(_xlfn.XLOOKUP($A50,TabCAT!$A:$A,TabCAT!CK:CK,"NaN")="","NaN",(_xlfn.XLOOKUP($A50,TabCAT!$A:$A,TabCAT!CK:CK,"NaN")))</f>
        <v>0.74768000000000001</v>
      </c>
      <c r="GA50" s="8">
        <f>IF(_xlfn.XLOOKUP($A50,TabCAT!$A:$A,TabCAT!CL:CL,"NaN")="","NaN",(_xlfn.XLOOKUP($A50,TabCAT!$A:$A,TabCAT!CL:CL,"NaN")))</f>
        <v>31</v>
      </c>
      <c r="GB50" s="8">
        <f>IF(_xlfn.XLOOKUP($A50,TabCAT!$A:$A,TabCAT!CM:CM,"NaN")="","NaN",(_xlfn.XLOOKUP($A50,TabCAT!$A:$A,TabCAT!CM:CM,"NaN")))</f>
        <v>0.92831300000000005</v>
      </c>
      <c r="GC50" s="8">
        <f>IF(_xlfn.XLOOKUP($A50,TabCAT!$A:$A,TabCAT!CN:CN,"NaN")="","NaN",(_xlfn.XLOOKUP($A50,TabCAT!$A:$A,TabCAT!CN:CN,"NaN")))</f>
        <v>16</v>
      </c>
      <c r="GD50" s="8">
        <f>IF(_xlfn.XLOOKUP($A50,TabCAT!$A:$A,TabCAT!CO:CO,"NaN")="","NaN",(_xlfn.XLOOKUP($A50,TabCAT!$A:$A,TabCAT!CO:CO,"NaN")))</f>
        <v>0.9573045</v>
      </c>
      <c r="GE50" s="8">
        <f>IF(_xlfn.XLOOKUP($A50,TabCAT!$A:$A,TabCAT!CP:CP,"NaN")="","NaN",(_xlfn.XLOOKUP($A50,TabCAT!$A:$A,TabCAT!CP:CP,"NaN")))</f>
        <v>0.37947054620051102</v>
      </c>
      <c r="GF50" s="8">
        <f>IF(_xlfn.XLOOKUP($A50,TabCAT!$A:$A,TabCAT!CQ:CQ,"NaN")="","NaN",(_xlfn.XLOOKUP($A50,TabCAT!$A:$A,TabCAT!CQ:CQ,"NaN")))</f>
        <v>56</v>
      </c>
      <c r="GG50" s="8">
        <f>IF(_xlfn.XLOOKUP($A50,TabCAT!$A:$A,TabCAT!CR:CR,"NaN")="","NaN",(_xlfn.XLOOKUP($A50,TabCAT!$A:$A,TabCAT!CR:CR,"NaN")))</f>
        <v>0.74925850000000005</v>
      </c>
      <c r="GH50" s="8">
        <f>IF(_xlfn.XLOOKUP($A50,TabCAT!$A:$A,TabCAT!CS:CS,"NaN")="","NaN",(_xlfn.XLOOKUP($A50,TabCAT!$A:$A,TabCAT!CS:CS,"NaN")))</f>
        <v>-0.55072500000000002</v>
      </c>
    </row>
    <row r="51" spans="1:190" x14ac:dyDescent="0.2">
      <c r="A51">
        <v>10720</v>
      </c>
      <c r="B51">
        <f>_xlfn.XLOOKUP(bippity_poppity_boo!A51,rf1_data!A:A,rf1_data!B:B)</f>
        <v>101990</v>
      </c>
      <c r="C51" s="2">
        <f>(_xlfn.XLOOKUP($A51,trust!$A:$A,trust!B:B,"NaN"))</f>
        <v>3.230769</v>
      </c>
      <c r="D51" s="2">
        <f>(_xlfn.XLOOKUP($A51,trust!$A:$A,trust!C:C,"NaN"))</f>
        <v>3.4</v>
      </c>
      <c r="E51" s="2">
        <f>(_xlfn.XLOOKUP($A51,trust!$A:$A,trust!D:D,"NaN"))</f>
        <v>4</v>
      </c>
      <c r="F51" s="2">
        <f>(_xlfn.XLOOKUP($A51,trust!$A:$A,trust!E:E,"NaN"))</f>
        <v>4.7142860000000004</v>
      </c>
      <c r="G51" s="2">
        <f>(_xlfn.XLOOKUP($A51,trust!$A:$A,trust!F:F,"NaN"))</f>
        <v>5.0769229999999999</v>
      </c>
      <c r="H51" s="2">
        <f>(_xlfn.XLOOKUP($A51,trust!$A:$A,trust!G:G,"NaN"))</f>
        <v>4.8571429999999998</v>
      </c>
      <c r="I51" s="3">
        <f>IF(_xlfn.XLOOKUP($B51,island_data!$B:$B,island_data!C:C,"NaN")="","NaN",_xlfn.XLOOKUP($B51,island_data!$B:$B,island_data!C:C,"NaN"))</f>
        <v>45085</v>
      </c>
      <c r="J51" s="3">
        <f>IF(_xlfn.XLOOKUP($B51,island_data!$B:$B,island_data!D:D,"NaN")="","NaN",_xlfn.XLOOKUP($B51,island_data!$B:$B,island_data!D:D,"NaN"))</f>
        <v>32927</v>
      </c>
      <c r="K51" s="4">
        <f>IF(_xlfn.XLOOKUP($B51,island_data!$B:$B,island_data!E:E,"NaN")="","NaN",_xlfn.XLOOKUP($B51,island_data!$B:$B,island_data!E:E,"NaN"))</f>
        <v>33.29</v>
      </c>
      <c r="L51" s="5">
        <f>IF(_xlfn.XLOOKUP($B51,rf1_data!$B:$B,rf1_data!D:D,"NaN")="","NaN",(_xlfn.XLOOKUP($B51,rf1_data!$B:$B,rf1_data!D:D,"NaN")))</f>
        <v>33.44</v>
      </c>
      <c r="M51" s="5" t="str">
        <f>IF(_xlfn.XLOOKUP($B51,rf1_data!$B:$B,rf1_data!E:E,"NaN")="","NaN",(_xlfn.XLOOKUP($B51,rf1_data!$B:$B,rf1_data!E:E,"NaN")))</f>
        <v>Asian</v>
      </c>
      <c r="N51" s="5" t="str">
        <f>IF(_xlfn.XLOOKUP($B51,rf1_data!$B:$B,rf1_data!F:F,"NaN")="","NaN",(_xlfn.XLOOKUP($B51,rf1_data!$B:$B,rf1_data!F:F,"NaN")))</f>
        <v>Not Hispanic or Latino</v>
      </c>
      <c r="O51" s="5" t="str">
        <f>IF(_xlfn.XLOOKUP($B51,rf1_data!$B:$B,rf1_data!G:G,"NaN")="","NaN",(_xlfn.XLOOKUP($B51,rf1_data!$B:$B,rf1_data!G:G,"NaN")))</f>
        <v>Female</v>
      </c>
      <c r="P51" s="5">
        <f>IF(_xlfn.XLOOKUP($B51,rf1_data!$B:$B,rf1_data!H:H,"NaN")="","NaN",(_xlfn.XLOOKUP($B51,rf1_data!$B:$B,rf1_data!H:H,"NaN")))</f>
        <v>4.22</v>
      </c>
      <c r="Q51" s="5">
        <f>IF(_xlfn.XLOOKUP($B51,rf1_data!$B:$B,rf1_data!I:I,"NaN")="","NaN",(_xlfn.XLOOKUP($B51,rf1_data!$B:$B,rf1_data!I:I,"NaN")))</f>
        <v>4</v>
      </c>
      <c r="R51" s="5">
        <f>IF(_xlfn.XLOOKUP($B51,rf1_data!$B:$B,rf1_data!J:J,"NaN")="","NaN",(_xlfn.XLOOKUP($B51,rf1_data!$B:$B,rf1_data!J:J,"NaN")))</f>
        <v>0</v>
      </c>
      <c r="S51" s="5">
        <f>IF(_xlfn.XLOOKUP($B51,rf1_data!$B:$B,rf1_data!K:K,"NaN")="","NaN",(_xlfn.XLOOKUP($B51,rf1_data!$B:$B,rf1_data!K:K,"NaN")))</f>
        <v>0</v>
      </c>
      <c r="T51" s="5">
        <f>IF(_xlfn.XLOOKUP($B51,rf1_data!$B:$B,rf1_data!L:L,"NaN")="","NaN",(_xlfn.XLOOKUP($B51,rf1_data!$B:$B,rf1_data!L:L,"NaN")))</f>
        <v>0</v>
      </c>
      <c r="U51" s="5">
        <f>IF(_xlfn.XLOOKUP($B51,rf1_data!$B:$B,rf1_data!M:M,"NaN")="","NaN",(_xlfn.XLOOKUP($B51,rf1_data!$B:$B,rf1_data!M:M,"NaN")))</f>
        <v>6.5</v>
      </c>
      <c r="V51" s="5">
        <f>IF(_xlfn.XLOOKUP($B51,rf1_data!$B:$B,rf1_data!N:N,"NaN")="","NaN",(_xlfn.XLOOKUP($B51,rf1_data!$B:$B,rf1_data!N:N,"NaN")))</f>
        <v>3.33</v>
      </c>
      <c r="W51" s="5">
        <f>IF(_xlfn.XLOOKUP($B51,rf1_data!$B:$B,rf1_data!O:O,"NaN")="","NaN",(_xlfn.XLOOKUP($B51,rf1_data!$B:$B,rf1_data!O:O,"NaN")))</f>
        <v>5.88</v>
      </c>
      <c r="X51" s="5">
        <f>IF(_xlfn.XLOOKUP($B51,rf1_data!$B:$B,rf1_data!P:P,"NaN")="","NaN",(_xlfn.XLOOKUP($B51,rf1_data!$B:$B,rf1_data!P:P,"NaN")))</f>
        <v>4.67</v>
      </c>
      <c r="Y51" s="5">
        <f>IF(_xlfn.XLOOKUP($B51,rf1_data!$B:$B,rf1_data!Q:Q,"NaN")="","NaN",(_xlfn.XLOOKUP($B51,rf1_data!$B:$B,rf1_data!Q:Q,"NaN")))</f>
        <v>5.27</v>
      </c>
      <c r="Z51" s="5">
        <f>IF(_xlfn.XLOOKUP($B51,rf1_data!$B:$B,rf1_data!R:R,"NaN")="","NaN",(_xlfn.XLOOKUP($B51,rf1_data!$B:$B,rf1_data!R:R,"NaN")))</f>
        <v>11</v>
      </c>
      <c r="AA51" s="5">
        <f>IF(_xlfn.XLOOKUP($B51,rf1_data!$B:$B,rf1_data!S:S,"NaN")="","NaN",(_xlfn.XLOOKUP($B51,rf1_data!$B:$B,rf1_data!S:S,"NaN")))</f>
        <v>2</v>
      </c>
      <c r="AB51" s="5">
        <f>IF(_xlfn.XLOOKUP($B51,rf1_data!$B:$B,rf1_data!T:T,"NaN")="","NaN",(_xlfn.XLOOKUP($B51,rf1_data!$B:$B,rf1_data!T:T,"NaN")))</f>
        <v>9</v>
      </c>
      <c r="AC51" s="5">
        <f>IF(_xlfn.XLOOKUP($B51,rf1_data!$B:$B,rf1_data!U:U,"NaN")="","NaN",(_xlfn.XLOOKUP($B51,rf1_data!$B:$B,rf1_data!U:U,"NaN")))</f>
        <v>0</v>
      </c>
      <c r="AD51" s="5">
        <f>IF(_xlfn.XLOOKUP($B51,rf1_data!$B:$B,rf1_data!V:V,"NaN")="","NaN",(_xlfn.XLOOKUP($B51,rf1_data!$B:$B,rf1_data!V:V,"NaN")))</f>
        <v>0</v>
      </c>
      <c r="AE51" s="5">
        <f>IF(_xlfn.XLOOKUP($B51,rf1_data!$B:$B,rf1_data!W:W,"NaN")="","NaN",(_xlfn.XLOOKUP($B51,rf1_data!$B:$B,rf1_data!W:W,"NaN")))</f>
        <v>4</v>
      </c>
      <c r="AF51" s="5">
        <f>IF(_xlfn.XLOOKUP($B51,rf1_data!$B:$B,rf1_data!X:X,"NaN")="","NaN",(_xlfn.XLOOKUP($B51,rf1_data!$B:$B,rf1_data!X:X,"NaN")))</f>
        <v>6</v>
      </c>
      <c r="AG51" s="5">
        <f>IF(_xlfn.XLOOKUP($B51,rf1_data!$B:$B,rf1_data!Y:Y,"NaN")="","NaN",(_xlfn.XLOOKUP($B51,rf1_data!$B:$B,rf1_data!Y:Y,"NaN")))</f>
        <v>5</v>
      </c>
      <c r="AH51" s="5">
        <f>IF(_xlfn.XLOOKUP($B51,rf1_data!$B:$B,rf1_data!Z:Z,"NaN")="","NaN",(_xlfn.XLOOKUP($B51,rf1_data!$B:$B,rf1_data!Z:Z,"NaN")))</f>
        <v>7</v>
      </c>
      <c r="AI51" s="5">
        <f>IF(_xlfn.XLOOKUP($B51,rf1_data!$B:$B,rf1_data!AA:AA,"NaN")="","NaN",(_xlfn.XLOOKUP($B51,rf1_data!$B:$B,rf1_data!AA:AA,"NaN")))</f>
        <v>1</v>
      </c>
      <c r="AJ51" s="5">
        <f>IF(_xlfn.XLOOKUP($B51,rf1_data!$B:$B,rf1_data!AB:AB,"NaN")="","NaN",(_xlfn.XLOOKUP($B51,rf1_data!$B:$B,rf1_data!AB:AB,"NaN")))</f>
        <v>23</v>
      </c>
      <c r="AK51" s="5">
        <f>IF(_xlfn.XLOOKUP($B51,rf1_data!$B:$B,rf1_data!AC:AC,"NaN")="","NaN",(_xlfn.XLOOKUP($B51,rf1_data!$B:$B,rf1_data!AC:AC,"NaN")))</f>
        <v>16</v>
      </c>
      <c r="AL51" s="5">
        <f>IF(_xlfn.XLOOKUP($B51,rf1_data!$B:$B,rf1_data!AD:AD,"NaN")="","NaN",(_xlfn.XLOOKUP($B51,rf1_data!$B:$B,rf1_data!AD:AD,"NaN")))</f>
        <v>12</v>
      </c>
      <c r="AM51" s="5">
        <f>IF(_xlfn.XLOOKUP($B51,rf1_data!$B:$B,rf1_data!AE:AE,"NaN")="","NaN",(_xlfn.XLOOKUP($B51,rf1_data!$B:$B,rf1_data!AE:AE,"NaN")))</f>
        <v>0</v>
      </c>
      <c r="AN51" s="5">
        <f>IF(_xlfn.XLOOKUP($B51,rf1_data!$B:$B,rf1_data!AF:AF,"NaN")="","NaN",(_xlfn.XLOOKUP($B51,rf1_data!$B:$B,rf1_data!AF:AF,"NaN")))</f>
        <v>0</v>
      </c>
      <c r="AO51" s="5">
        <f>IF(_xlfn.XLOOKUP($B51,rf1_data!$B:$B,rf1_data!AG:AG,"NaN")="","NaN",(_xlfn.XLOOKUP($B51,rf1_data!$B:$B,rf1_data!AG:AG,"NaN")))</f>
        <v>6.42</v>
      </c>
      <c r="AP51" s="5">
        <f>IF(_xlfn.XLOOKUP($B51,rf1_data!$B:$B,rf1_data!AH:AH,"NaN")="","NaN",(_xlfn.XLOOKUP($B51,rf1_data!$B:$B,rf1_data!AH:AH,"NaN")))</f>
        <v>7</v>
      </c>
      <c r="AQ51" s="5">
        <f>IF(_xlfn.XLOOKUP($B51,rf1_data!$B:$B,rf1_data!AI:AI,"NaN")="","NaN",(_xlfn.XLOOKUP($B51,rf1_data!$B:$B,rf1_data!AI:AI,"NaN")))</f>
        <v>6.5</v>
      </c>
      <c r="AR51" s="5">
        <f>IF(_xlfn.XLOOKUP($B51,rf1_data!$B:$B,rf1_data!AJ:AJ,"NaN")="","NaN",(_xlfn.XLOOKUP($B51,rf1_data!$B:$B,rf1_data!AJ:AJ,"NaN")))</f>
        <v>5.75</v>
      </c>
      <c r="AS51" s="5">
        <f>IF(_xlfn.XLOOKUP($B51,rf1_data!$B:$B,rf1_data!AK:AK,"NaN")="","NaN",(_xlfn.XLOOKUP($B51,rf1_data!$B:$B,rf1_data!AK:AK,"NaN")))</f>
        <v>3.3</v>
      </c>
      <c r="AT51" s="5">
        <f>IF(_xlfn.XLOOKUP($B51,rf1_data!$B:$B,rf1_data!AL:AL,"NaN")="","NaN",(_xlfn.XLOOKUP($B51,rf1_data!$B:$B,rf1_data!AL:AL,"NaN")))</f>
        <v>13</v>
      </c>
      <c r="AU51" s="5">
        <f>IF(_xlfn.XLOOKUP($B51,rf1_data!$B:$B,rf1_data!AM:AM,"NaN")="","NaN",(_xlfn.XLOOKUP($B51,rf1_data!$B:$B,rf1_data!AM:AM,"NaN")))</f>
        <v>4.83</v>
      </c>
      <c r="AV51" s="5">
        <f>IF(_xlfn.XLOOKUP($B51,rf1_data!$B:$B,rf1_data!AN:AN,"NaN")="","NaN",(_xlfn.XLOOKUP($B51,rf1_data!$B:$B,rf1_data!AN:AN,"NaN")))</f>
        <v>18</v>
      </c>
      <c r="AW51" s="5">
        <f>IF(_xlfn.XLOOKUP($B51,rf1_data!$B:$B,rf1_data!AO:AO,"NaN")="","NaN",(_xlfn.XLOOKUP($B51,rf1_data!$B:$B,rf1_data!AO:AO,"NaN")))</f>
        <v>2.5</v>
      </c>
      <c r="AX51" s="5">
        <f>IF(_xlfn.XLOOKUP($B51,rf1_data!$B:$B,rf1_data!AP:AP,"NaN")="","NaN",(_xlfn.XLOOKUP($B51,rf1_data!$B:$B,rf1_data!AP:AP,"NaN")))</f>
        <v>9999</v>
      </c>
      <c r="AY51" s="5" t="str">
        <f>IF(_xlfn.XLOOKUP($B51,rf1_data!$B:$B,rf1_data!AQ:AQ,"NaN")="","NaN",(_xlfn.XLOOKUP($B51,rf1_data!$B:$B,rf1_data!AQ:AQ,"NaN")))</f>
        <v>NaN</v>
      </c>
      <c r="AZ51" s="5" t="str">
        <f>IF(_xlfn.XLOOKUP($B51,rf1_data!$B:$B,rf1_data!AR:AR,"NaN")="","NaN",(_xlfn.XLOOKUP($B51,rf1_data!$B:$B,rf1_data!AR:AR,"NaN")))</f>
        <v>NaN</v>
      </c>
      <c r="BA51" s="5" t="str">
        <f>IF(_xlfn.XLOOKUP($B51,rf1_data!$B:$B,rf1_data!AS:AS,"NaN")="","NaN",(_xlfn.XLOOKUP($B51,rf1_data!$B:$B,rf1_data!AS:AS,"NaN")))</f>
        <v>NaN</v>
      </c>
      <c r="BB51" s="5" t="str">
        <f>IF(_xlfn.XLOOKUP($B51,rf1_data!$B:$B,rf1_data!AT:AT,"NaN")="","NaN",(_xlfn.XLOOKUP($B51,rf1_data!$B:$B,rf1_data!AT:AT,"NaN")))</f>
        <v>NaN</v>
      </c>
      <c r="BC51" s="5" t="str">
        <f>IF(_xlfn.XLOOKUP($B51,rf1_data!$B:$B,rf1_data!AU:AU,"NaN")="","NaN",(_xlfn.XLOOKUP($B51,rf1_data!$B:$B,rf1_data!AU:AU,"NaN")))</f>
        <v>NaN</v>
      </c>
      <c r="BD51" s="5" t="str">
        <f>IF(_xlfn.XLOOKUP($B51,rf1_data!$B:$B,rf1_data!AV:AV,"NaN")="","NaN",(_xlfn.XLOOKUP($B51,rf1_data!$B:$B,rf1_data!AV:AV,"NaN")))</f>
        <v>NaN</v>
      </c>
      <c r="BE51" s="5" t="str">
        <f>IF(_xlfn.XLOOKUP($B51,rf1_data!$B:$B,rf1_data!AW:AW,"NaN")="","NaN",(_xlfn.XLOOKUP($B51,rf1_data!$B:$B,rf1_data!AW:AW,"NaN")))</f>
        <v>NaN</v>
      </c>
      <c r="BF51" s="5" t="str">
        <f>IF(_xlfn.XLOOKUP($B51,rf1_data!$B:$B,rf1_data!AX:AX,"NaN")="","NaN",(_xlfn.XLOOKUP($B51,rf1_data!$B:$B,rf1_data!AX:AX,"NaN")))</f>
        <v>NaN</v>
      </c>
      <c r="BG51" s="5" t="str">
        <f>IF(_xlfn.XLOOKUP($B51,rf1_data!$B:$B,rf1_data!AY:AY,"NaN")="","NaN",(_xlfn.XLOOKUP($B51,rf1_data!$B:$B,rf1_data!AY:AY,"NaN")))</f>
        <v>NaN</v>
      </c>
      <c r="BH51" s="5" t="str">
        <f>IF(_xlfn.XLOOKUP($B51,rf1_data!$B:$B,rf1_data!AZ:AZ,"NaN")="","NaN",(_xlfn.XLOOKUP($B51,rf1_data!$B:$B,rf1_data!AZ:AZ,"NaN")))</f>
        <v>NaN</v>
      </c>
      <c r="BI51" s="5">
        <f>IF(_xlfn.XLOOKUP($B51,rf1_data!$B:$B,rf1_data!BA:BA,"NaN")="","NaN",(_xlfn.XLOOKUP($B51,rf1_data!$B:$B,rf1_data!BA:BA,"NaN")))</f>
        <v>20</v>
      </c>
      <c r="BJ51" s="5" t="str">
        <f>IF(_xlfn.XLOOKUP($B51,rf1_data!$B:$B,rf1_data!BB:BB,"NaN")="","NaN",(_xlfn.XLOOKUP($B51,rf1_data!$B:$B,rf1_data!BB:BB,"NaN")))</f>
        <v>NaN</v>
      </c>
      <c r="BK51" s="5" t="str">
        <f>IF(_xlfn.XLOOKUP($B51,rf1_data!$B:$B,rf1_data!BC:BC,"NaN")="","NaN",(_xlfn.XLOOKUP($B51,rf1_data!$B:$B,rf1_data!BC:BC,"NaN")))</f>
        <v>NaN</v>
      </c>
      <c r="BL51" s="5" t="str">
        <f>IF(_xlfn.XLOOKUP($B51,rf1_data!$B:$B,rf1_data!BD:BD,"NaN")="","NaN",(_xlfn.XLOOKUP($B51,rf1_data!$B:$B,rf1_data!BD:BD,"NaN")))</f>
        <v>NaN</v>
      </c>
      <c r="BM51" s="5" t="str">
        <f>IF(_xlfn.XLOOKUP($B51,rf1_data!$B:$B,rf1_data!BE:BE,"NaN")="","NaN",(_xlfn.XLOOKUP($B51,rf1_data!$B:$B,rf1_data!BE:BE,"NaN")))</f>
        <v>NaN</v>
      </c>
      <c r="BN51" s="5" t="str">
        <f>IF(_xlfn.XLOOKUP($B51,rf1_data!$B:$B,rf1_data!BF:BF,"NaN")="","NaN",(_xlfn.XLOOKUP($B51,rf1_data!$B:$B,rf1_data!BF:BF,"NaN")))</f>
        <v>NaN</v>
      </c>
      <c r="BO51" s="5" t="str">
        <f>IF(_xlfn.XLOOKUP($B51,rf1_data!$B:$B,rf1_data!BG:BG,"NaN")="","NaN",(_xlfn.XLOOKUP($B51,rf1_data!$B:$B,rf1_data!BG:BG,"NaN")))</f>
        <v>NaN</v>
      </c>
      <c r="BP51" s="5" t="str">
        <f>IF(_xlfn.XLOOKUP($B51,rf1_data!$B:$B,rf1_data!BH:BH,"NaN")="","NaN",(_xlfn.XLOOKUP($B51,rf1_data!$B:$B,rf1_data!BH:BH,"NaN")))</f>
        <v>NaN</v>
      </c>
      <c r="BQ51" s="5" t="str">
        <f>IF(_xlfn.XLOOKUP($B51,rf1_data!$B:$B,rf1_data!BI:BI,"NaN")="","NaN",(_xlfn.XLOOKUP($B51,rf1_data!$B:$B,rf1_data!BI:BI,"NaN")))</f>
        <v>NaN</v>
      </c>
      <c r="BR51" s="5">
        <f>IF(_xlfn.XLOOKUP($B51,rf1_data!$B:$B,rf1_data!BJ:BJ,"NaN")="","NaN",(_xlfn.XLOOKUP($B51,rf1_data!$B:$B,rf1_data!BJ:BJ,"NaN")))</f>
        <v>8991</v>
      </c>
      <c r="BS51" s="5" t="str">
        <f>IF(_xlfn.XLOOKUP($B51,rf1_data!$B:$B,rf1_data!BK:BK,"NaN")="","NaN",(_xlfn.XLOOKUP($B51,rf1_data!$B:$B,rf1_data!BK:BK,"NaN")))</f>
        <v>NaN</v>
      </c>
      <c r="BT51" s="5" t="str">
        <f>IF(_xlfn.XLOOKUP($B51,rf1_data!$B:$B,rf1_data!BL:BL,"NaN")="","NaN",(_xlfn.XLOOKUP($B51,rf1_data!$B:$B,rf1_data!BL:BL,"NaN")))</f>
        <v>NaN</v>
      </c>
      <c r="BU51" s="5" t="str">
        <f>IF(_xlfn.XLOOKUP($B51,rf1_data!$B:$B,rf1_data!BM:BM,"NaN")="","NaN",(_xlfn.XLOOKUP($B51,rf1_data!$B:$B,rf1_data!BM:BM,"NaN")))</f>
        <v>NaN</v>
      </c>
      <c r="BV51" s="5" t="str">
        <f>IF(_xlfn.XLOOKUP($B51,rf1_data!$B:$B,rf1_data!BN:BN,"NaN")="","NaN",(_xlfn.XLOOKUP($B51,rf1_data!$B:$B,rf1_data!BN:BN,"NaN")))</f>
        <v>NaN</v>
      </c>
      <c r="BW51" s="5">
        <f>IF(_xlfn.XLOOKUP($B51,rf1_data!$B:$B,rf1_data!BO:BO,"NaN")="","NaN",(_xlfn.XLOOKUP($B51,rf1_data!$B:$B,rf1_data!BO:BO,"NaN")))</f>
        <v>3</v>
      </c>
      <c r="BX51" s="5">
        <f>IF(_xlfn.XLOOKUP($B51,rf1_data!$B:$B,rf1_data!BP:BP,"NaN")="","NaN",(_xlfn.XLOOKUP($B51,rf1_data!$B:$B,rf1_data!BP:BP,"NaN")))</f>
        <v>4.2</v>
      </c>
      <c r="BY51" s="5">
        <f>IF(_xlfn.XLOOKUP($B51,rf1_data!$B:$B,rf1_data!BQ:BQ,"NaN")="","NaN",(_xlfn.XLOOKUP($B51,rf1_data!$B:$B,rf1_data!BQ:BQ,"NaN")))</f>
        <v>3.6</v>
      </c>
      <c r="BZ51" s="5">
        <f>IF(_xlfn.XLOOKUP($B51,rf1_data!$B:$B,rf1_data!BR:BR,"NaN")="","NaN",(_xlfn.XLOOKUP($B51,rf1_data!$B:$B,rf1_data!BR:BR,"NaN")))</f>
        <v>3.6</v>
      </c>
      <c r="CA51" s="5">
        <f>IF(_xlfn.XLOOKUP($B51,rf1_data!$B:$B,rf1_data!BS:BS,"NaN")="","NaN",(_xlfn.XLOOKUP($B51,rf1_data!$B:$B,rf1_data!BS:BS,"NaN")))</f>
        <v>6</v>
      </c>
      <c r="CB51" s="5">
        <f>IF(_xlfn.XLOOKUP($B51,rf1_data!$B:$B,rf1_data!BT:BT,"NaN")="","NaN",(_xlfn.XLOOKUP($B51,rf1_data!$B:$B,rf1_data!BT:BT,"NaN")))</f>
        <v>5.1666666666666599</v>
      </c>
      <c r="CC51" s="5">
        <f>IF(_xlfn.XLOOKUP($B51,rf1_data!$B:$B,rf1_data!BU:BU,"NaN")="","NaN",(_xlfn.XLOOKUP($B51,rf1_data!$B:$B,rf1_data!BU:BU,"NaN")))</f>
        <v>6</v>
      </c>
      <c r="CD51" s="5">
        <f>IF(_xlfn.XLOOKUP($B51,rf1_data!$B:$B,rf1_data!BV:BV,"NaN")="","NaN",(_xlfn.XLOOKUP($B51,rf1_data!$B:$B,rf1_data!BV:BV,"NaN")))</f>
        <v>5.1666666666666599</v>
      </c>
      <c r="CE51" s="5">
        <f>IF(_xlfn.XLOOKUP($B51,rf1_data!$B:$B,rf1_data!BW:BW,"NaN")="","NaN",(_xlfn.XLOOKUP($B51,rf1_data!$B:$B,rf1_data!BW:BW,"NaN")))</f>
        <v>0.5</v>
      </c>
      <c r="CF51" s="5">
        <f>IF(_xlfn.XLOOKUP($B51,rf1_data!$B:$B,rf1_data!BX:BX,"NaN")="","NaN",(_xlfn.XLOOKUP($B51,rf1_data!$B:$B,rf1_data!BX:BX,"NaN")))</f>
        <v>0</v>
      </c>
      <c r="CG51" s="5">
        <f>IF(_xlfn.XLOOKUP($B51,rf1_data!$B:$B,rf1_data!BY:BY,"NaN")="","NaN",(_xlfn.XLOOKUP($B51,rf1_data!$B:$B,rf1_data!BY:BY,"NaN")))</f>
        <v>0</v>
      </c>
      <c r="CH51" s="5">
        <f>IF(_xlfn.XLOOKUP($B51,rf1_data!$B:$B,rf1_data!BZ:BZ,"NaN")="","NaN",(_xlfn.XLOOKUP($B51,rf1_data!$B:$B,rf1_data!BZ:BZ,"NaN")))</f>
        <v>36</v>
      </c>
      <c r="CI51" s="5">
        <f>IF(_xlfn.XLOOKUP($B51,rf1_data!$B:$B,rf1_data!CA:CA,"NaN")="","NaN",(_xlfn.XLOOKUP($B51,rf1_data!$B:$B,rf1_data!CA:CA,"NaN")))</f>
        <v>20</v>
      </c>
      <c r="CJ51" s="5">
        <f>IF(_xlfn.XLOOKUP($B51,rf1_data!$B:$B,rf1_data!CB:CB,"NaN")="","NaN",(_xlfn.XLOOKUP($B51,rf1_data!$B:$B,rf1_data!CB:CB,"NaN")))</f>
        <v>12</v>
      </c>
      <c r="CK51" s="5">
        <f>IF(_xlfn.XLOOKUP($B51,rf1_data!$B:$B,rf1_data!CC:CC,"NaN")="","NaN",(_xlfn.XLOOKUP($B51,rf1_data!$B:$B,rf1_data!CC:CC,"NaN")))</f>
        <v>1</v>
      </c>
      <c r="CL51" s="5">
        <f>IF(_xlfn.XLOOKUP($B51,rf1_data!$B:$B,rf1_data!CD:CD,"NaN")=0,"NaN",(_xlfn.XLOOKUP($B51,rf1_data!$B:$B,rf1_data!CD:CD,"NaN")))</f>
        <v>48</v>
      </c>
      <c r="CM51" s="5">
        <f>IF(_xlfn.XLOOKUP($B51,rf1_data!$B:$B,rf1_data!CE:CE,"NaN")="","NaN",(_xlfn.XLOOKUP($B51,rf1_data!$B:$B,rf1_data!CE:CE,"NaN")))</f>
        <v>31</v>
      </c>
      <c r="CN51" s="5">
        <f>IF(_xlfn.XLOOKUP($B51,rf1_data!$B:$B,rf1_data!CF:CF,"NaN")="","NaN",(_xlfn.XLOOKUP($B51,rf1_data!$B:$B,rf1_data!CF:CF,"NaN")))</f>
        <v>37</v>
      </c>
      <c r="CO51" s="5">
        <f>IF(_xlfn.XLOOKUP($B51,rf1_data!$B:$B,rf1_data!CG:CG,"NaN")="","NaN",(_xlfn.XLOOKUP($B51,rf1_data!$B:$B,rf1_data!CG:CG,"NaN")))</f>
        <v>25</v>
      </c>
      <c r="CP51" s="5">
        <f>IF(_xlfn.XLOOKUP($B51,rf1_data!$B:$B,rf1_data!CH:CH,"NaN")=0,"NaN",(_xlfn.XLOOKUP($B51,rf1_data!$B:$B,rf1_data!CH:CH,"NaN")))</f>
        <v>37</v>
      </c>
      <c r="CQ51" s="5">
        <f>IF(_xlfn.XLOOKUP($B51,rf1_data!$B:$B,rf1_data!CI:CI,"NaN")="","NaN",(_xlfn.XLOOKUP($B51,rf1_data!$B:$B,rf1_data!CI:CI,"NaN")))</f>
        <v>43</v>
      </c>
      <c r="CR51" s="5">
        <f>IF(_xlfn.XLOOKUP($B51,rf1_data!$B:$B,rf1_data!CJ:CJ,"NaN")="","NaN",(_xlfn.XLOOKUP($B51,rf1_data!$B:$B,rf1_data!CJ:CJ,"NaN")))</f>
        <v>60</v>
      </c>
      <c r="CS51" s="5">
        <f>IF(_xlfn.XLOOKUP($B51,rf1_data!$B:$B,rf1_data!CK:CK,"NaN")="","NaN",(_xlfn.XLOOKUP($B51,rf1_data!$B:$B,rf1_data!CK:CK,"NaN")))</f>
        <v>38</v>
      </c>
      <c r="CT51" s="5">
        <f>IF(_xlfn.XLOOKUP($B51,rf1_data!$B:$B,rf1_data!CL:CL,"NaN")="","NaN",(_xlfn.XLOOKUP($B51,rf1_data!$B:$B,rf1_data!CL:CL,"NaN")))</f>
        <v>60</v>
      </c>
      <c r="CU51" s="5">
        <f>IF(_xlfn.XLOOKUP($B51,rf1_data!$B:$B,rf1_data!CM:CM,"NaN")="","NaN",(_xlfn.XLOOKUP($B51,rf1_data!$B:$B,rf1_data!CM:CM,"NaN")))</f>
        <v>33</v>
      </c>
      <c r="CV51" s="5">
        <f>IF(_xlfn.XLOOKUP($B51,rf1_data!$B:$B,rf1_data!CN:CN,"NaN")="","NaN",(_xlfn.XLOOKUP($B51,rf1_data!$B:$B,rf1_data!CN:CN,"NaN")))</f>
        <v>60</v>
      </c>
      <c r="CW51" s="5" t="str">
        <f>IF(_xlfn.XLOOKUP($B51,rf1_data!$B:$B,rf1_data!CO:CO,"NaN")="","NaN",(_xlfn.XLOOKUP($B51,rf1_data!$B:$B,rf1_data!CO:CO,"NaN")))</f>
        <v>NaN</v>
      </c>
      <c r="CX51" s="5" t="str">
        <f>IF(_xlfn.XLOOKUP($B51,rf1_data!$B:$B,rf1_data!CP:CP,"NaN")="","NaN",(_xlfn.XLOOKUP($B51,rf1_data!$B:$B,rf1_data!CP:CP,"NaN")))</f>
        <v>NaN</v>
      </c>
      <c r="CY51" s="5">
        <f>IF(_xlfn.XLOOKUP($B51,rf1_data!$B:$B,rf1_data!CQ:CQ,"NaN")="","NaN",(_xlfn.XLOOKUP($B51,rf1_data!$B:$B,rf1_data!CQ:CQ,"NaN")))</f>
        <v>6</v>
      </c>
      <c r="CZ51" s="5">
        <f>IF(_xlfn.XLOOKUP($B51,rf1_data!$B:$B,rf1_data!CR:CR,"NaN")="","NaN",(_xlfn.XLOOKUP($B51,rf1_data!$B:$B,rf1_data!CR:CR,"NaN")))</f>
        <v>2</v>
      </c>
      <c r="DA51" s="5">
        <f>IF(_xlfn.XLOOKUP($B51,rf1_data!$B:$B,rf1_data!CS:CS,"NaN")="","NaN",(_xlfn.XLOOKUP($B51,rf1_data!$B:$B,rf1_data!CS:CS,"NaN")))</f>
        <v>1</v>
      </c>
      <c r="DB51" s="4">
        <f>IF(_xlfn.XLOOKUP($B51,island_data!$B:$B,island_data!H:H,"NaN")="","NaN",_xlfn.XLOOKUP($B51,island_data!$B:$B,island_data!H:H,"NaN"))</f>
        <v>2</v>
      </c>
      <c r="DC51" s="4">
        <f>IF(_xlfn.XLOOKUP($B51,island_data!$B:$B,island_data!I:I,"NaN")="","NaN",_xlfn.XLOOKUP($B51,island_data!$B:$B,island_data!I:I,"NaN"))</f>
        <v>0</v>
      </c>
      <c r="DD51" s="4">
        <f>IF(_xlfn.XLOOKUP($B51,island_data!$B:$B,island_data!J:J,"NaN")="","NaN",_xlfn.XLOOKUP($B51,island_data!$B:$B,island_data!J:J,"NaN"))</f>
        <v>2</v>
      </c>
      <c r="DE51" s="4">
        <f>IF(_xlfn.XLOOKUP($B51,island_data!$B:$B,island_data!K:K,"NaN")="","NaN",_xlfn.XLOOKUP($B51,island_data!$B:$B,island_data!K:K,"NaN"))</f>
        <v>5</v>
      </c>
      <c r="DF51" s="4">
        <f>IF(_xlfn.XLOOKUP($B51,island_data!$B:$B,island_data!L:L,"NaN")="","NaN",_xlfn.XLOOKUP($B51,island_data!$B:$B,island_data!L:L,"NaN"))</f>
        <v>28</v>
      </c>
      <c r="DG51" s="4">
        <f>IF(_xlfn.XLOOKUP($B51,island_data!$B:$B,island_data!M:M,"NaN")="","NaN",_xlfn.XLOOKUP($B51,island_data!$B:$B,island_data!M:M,"NaN"))</f>
        <v>3.0625</v>
      </c>
      <c r="DH51" s="4">
        <f>IF(_xlfn.XLOOKUP($B51,island_data!$B:$B,island_data!N:N,"NaN")="","NaN",_xlfn.XLOOKUP($B51,island_data!$B:$B,island_data!N:N,"NaN"))</f>
        <v>8</v>
      </c>
      <c r="DI51" s="4">
        <f>IF(_xlfn.XLOOKUP($B51,island_data!$B:$B,island_data!O:O,"NaN")=999,"NaN",_xlfn.XLOOKUP($B51,island_data!$B:$B,island_data!O:O,"NaN"))</f>
        <v>3</v>
      </c>
      <c r="DJ51" s="4">
        <f>IF(_xlfn.XLOOKUP($B51,island_data!$B:$B,island_data!P:P,"NaN")="","NaN",_xlfn.XLOOKUP($B51,island_data!$B:$B,island_data!P:P,"NaN"))</f>
        <v>12</v>
      </c>
      <c r="DK51" s="4">
        <f>IF(_xlfn.XLOOKUP($B51,island_data!$B:$B,island_data!Q:Q,"NaN")="","NaN",_xlfn.XLOOKUP($B51,island_data!$B:$B,island_data!Q:Q,"NaN"))</f>
        <v>4</v>
      </c>
      <c r="DL51" s="4">
        <f>IF(_xlfn.XLOOKUP($B51,island_data!$B:$B,island_data!R:R,"NaN")=999,"NaN",_xlfn.XLOOKUP($B51,island_data!$B:$B,island_data!R:R,"NaN"))</f>
        <v>16</v>
      </c>
      <c r="DM51" s="4">
        <f>IF(_xlfn.XLOOKUP($B51,island_data!$B:$B,island_data!S:S,"NaN")="","NaN",_xlfn.XLOOKUP($B51,island_data!$B:$B,island_data!S:S,"NaN"))</f>
        <v>6</v>
      </c>
      <c r="DN51" s="4">
        <f>IF(_xlfn.XLOOKUP($B51,island_data!$B:$B,island_data!T:T,"NaN")="","NaN",_xlfn.XLOOKUP($B51,island_data!$B:$B,island_data!T:T,"NaN"))</f>
        <v>6</v>
      </c>
      <c r="DO51" s="4">
        <f>IF(_xlfn.XLOOKUP($B51,island_data!$B:$B,island_data!U:U,"NaN")="","NaN",_xlfn.XLOOKUP($B51,island_data!$B:$B,island_data!U:U,"NaN"))</f>
        <v>6</v>
      </c>
      <c r="DP51" s="4">
        <f>IF(_xlfn.XLOOKUP($B51,island_data!$B:$B,island_data!V:V,"NaN")="","NaN",_xlfn.XLOOKUP($B51,island_data!$B:$B,island_data!V:V,"NaN"))</f>
        <v>4</v>
      </c>
      <c r="DQ51" s="4">
        <f>IF(_xlfn.XLOOKUP($B51,island_data!$B:$B,island_data!W:W,"NaN")="","NaN",_xlfn.XLOOKUP($B51,island_data!$B:$B,island_data!W:W,"NaN"))</f>
        <v>9</v>
      </c>
      <c r="DR51" s="4">
        <f>IF(_xlfn.XLOOKUP($B51,island_data!$B:$B,island_data!X:X,"NaN")="","NaN",_xlfn.XLOOKUP($B51,island_data!$B:$B,island_data!X:X,"NaN"))</f>
        <v>6</v>
      </c>
      <c r="DS51" s="4" t="str">
        <f>IF(_xlfn.XLOOKUP($B51,island_data!$B:$B,island_data!Y:Y,"NaN")="","NaN",_xlfn.XLOOKUP($B51,island_data!$B:$B,island_data!Y:Y,"NaN"))</f>
        <v>NaN</v>
      </c>
      <c r="DT51" s="4" t="str">
        <f>IF(_xlfn.XLOOKUP($B51,island_data!$B:$B,island_data!Z:Z,"NaN")="","NaN",_xlfn.XLOOKUP($B51,island_data!$B:$B,island_data!Z:Z,"NaN"))</f>
        <v>NaN</v>
      </c>
      <c r="DU51" s="4" t="str">
        <f>IF(_xlfn.XLOOKUP($B51,island_data!$B:$B,island_data!AA:AA,"NaN")="","NaN",_xlfn.XLOOKUP($B51,island_data!$B:$B,island_data!AA:AA,"NaN"))</f>
        <v>NaN</v>
      </c>
      <c r="DV51" s="4" t="str">
        <f>IF(_xlfn.XLOOKUP($B51,island_data!$B:$B,island_data!AB:AB,"NaN")="","NaN",_xlfn.XLOOKUP($B51,island_data!$B:$B,island_data!AB:AB,"NaN"))</f>
        <v>NaN</v>
      </c>
      <c r="DW51" s="4" t="str">
        <f>IF(_xlfn.XLOOKUP($B51,island_data!$B:$B,island_data!AC:AC,"NaN")="","NaN",_xlfn.XLOOKUP($B51,island_data!$B:$B,island_data!AC:AC,"NaN"))</f>
        <v>NaN</v>
      </c>
      <c r="DX51" s="4">
        <f>IF(_xlfn.XLOOKUP($B51,island_data!$B:$B,island_data!AD:AD,"NaN")="","NaN",_xlfn.XLOOKUP($B51,island_data!$B:$B,island_data!AD:AD,"NaN"))</f>
        <v>9</v>
      </c>
      <c r="DY51" s="4">
        <f>IF(_xlfn.XLOOKUP($B51,island_data!$B:$B,island_data!AE:AE,"NaN")="","NaN",_xlfn.XLOOKUP($B51,island_data!$B:$B,island_data!AE:AE,"NaN"))</f>
        <v>0</v>
      </c>
      <c r="DZ51" s="4" t="str">
        <f>IF(_xlfn.XLOOKUP($B51,island_data!$B:$B,island_data!AF:AF,"NaN")="","NaN",_xlfn.XLOOKUP($B51,island_data!$B:$B,island_data!AF:AF,"NaN"))</f>
        <v>NaN</v>
      </c>
      <c r="EA51" s="4" t="str">
        <f>IF(_xlfn.XLOOKUP($B51,island_data!$B:$B,island_data!AG:AG,"NaN")="","NaN",_xlfn.XLOOKUP($B51,island_data!$B:$B,island_data!AG:AG,"NaN"))</f>
        <v>NaN</v>
      </c>
      <c r="EB51" s="4" t="str">
        <f>IF(_xlfn.XLOOKUP($B51,island_data!$B:$B,island_data!AH:AH,"NaN")="","NaN",_xlfn.XLOOKUP($B51,island_data!$B:$B,island_data!AH:AH,"NaN"))</f>
        <v>NaN</v>
      </c>
      <c r="EC51" s="4" t="str">
        <f>IF(_xlfn.XLOOKUP($B51,island_data!$B:$B,island_data!AI:AI,"NaN")="","NaN",_xlfn.XLOOKUP($B51,island_data!$B:$B,island_data!AI:AI,"NaN"))</f>
        <v>NaN</v>
      </c>
      <c r="ED51" s="4" t="str">
        <f>IF(_xlfn.XLOOKUP($B51,island_data!$B:$B,island_data!AJ:AJ,"NaN")="","NaN",_xlfn.XLOOKUP($B51,island_data!$B:$B,island_data!AJ:AJ,"NaN"))</f>
        <v>NaN</v>
      </c>
      <c r="EE51" s="4" t="str">
        <f>IF(_xlfn.XLOOKUP($B51,island_data!$B:$B,island_data!AK:AK,"NaN")="","NaN",_xlfn.XLOOKUP($B51,island_data!$B:$B,island_data!AK:AK,"NaN"))</f>
        <v>NaN</v>
      </c>
      <c r="EF51" s="4" t="str">
        <f>IF(_xlfn.XLOOKUP($B51,island_data!$B:$B,island_data!AL:AL,"NaN")="","NaN",_xlfn.XLOOKUP($B51,island_data!$B:$B,island_data!AL:AL,"NaN"))</f>
        <v>NaN</v>
      </c>
      <c r="EG51" s="4" t="str">
        <f>IF(_xlfn.XLOOKUP($B51,island_data!$B:$B,island_data!AM:AM,"NaN")="","NaN",_xlfn.XLOOKUP($B51,island_data!$B:$B,island_data!AM:AM,"NaN"))</f>
        <v>NaN</v>
      </c>
      <c r="EH51" s="4" t="str">
        <f>IF(_xlfn.XLOOKUP($B51,island_data!$B:$B,island_data!AN:AN,"NaN")="","NaN",_xlfn.XLOOKUP($B51,island_data!$B:$B,island_data!AN:AN,"NaN"))</f>
        <v>NaN</v>
      </c>
      <c r="EI51" s="4" t="str">
        <f>IF(_xlfn.XLOOKUP($B51,island_data!$B:$B,island_data!AO:AO,"NaN")="","NaN",_xlfn.XLOOKUP($B51,island_data!$B:$B,island_data!AO:AO,"NaN"))</f>
        <v>NaN</v>
      </c>
      <c r="EJ51" s="8">
        <f>IF(_xlfn.XLOOKUP($A51,TabCAT!$A:$A,TabCAT!AU:AU,"NaN")="","NaN",(_xlfn.XLOOKUP($A51,TabCAT!$A:$A,TabCAT!AU:AU,"NaN")))</f>
        <v>186</v>
      </c>
      <c r="EK51" s="8" t="b">
        <f>IF(_xlfn.XLOOKUP($A51,TabCAT!$A:$A,TabCAT!AV:AV,"NaN")="","NaN",(_xlfn.XLOOKUP($A51,TabCAT!$A:$A,TabCAT!AV:AV,"NaN")))</f>
        <v>1</v>
      </c>
      <c r="EL51" s="8">
        <f>IF(_xlfn.XLOOKUP($A51,TabCAT!$A:$A,TabCAT!AW:AW,"NaN")="","NaN",(_xlfn.XLOOKUP($A51,TabCAT!$A:$A,TabCAT!AW:AW,"NaN")))</f>
        <v>6</v>
      </c>
      <c r="EM51" s="8">
        <f>IF(_xlfn.XLOOKUP($A51,TabCAT!$A:$A,TabCAT!AX:AX,"NaN")="","NaN",(_xlfn.XLOOKUP($A51,TabCAT!$A:$A,TabCAT!AX:AX,"NaN")))</f>
        <v>0</v>
      </c>
      <c r="EN51" s="8">
        <f>IF(_xlfn.XLOOKUP($A51,TabCAT!$A:$A,TabCAT!AY:AY,"NaN")="","NaN",(_xlfn.XLOOKUP($A51,TabCAT!$A:$A,TabCAT!AY:AY,"NaN")))</f>
        <v>9.89</v>
      </c>
      <c r="EO51" s="8">
        <f>IF(_xlfn.XLOOKUP($A51,TabCAT!$A:$A,TabCAT!AZ:AZ,"NaN")="","NaN",(_xlfn.XLOOKUP($A51,TabCAT!$A:$A,TabCAT!AZ:AZ,"NaN")))</f>
        <v>32</v>
      </c>
      <c r="EP51" s="8">
        <f>IF(_xlfn.XLOOKUP($A51,TabCAT!$A:$A,TabCAT!BA:BA,"NaN")="","NaN",(_xlfn.XLOOKUP($A51,TabCAT!$A:$A,TabCAT!BA:BA,"NaN")))</f>
        <v>0.56492050000000005</v>
      </c>
      <c r="EQ51" s="8">
        <f>IF(_xlfn.XLOOKUP($A51,TabCAT!$A:$A,TabCAT!BB:BB,"NaN")="","NaN",(_xlfn.XLOOKUP($A51,TabCAT!$A:$A,TabCAT!BB:BB,"NaN")))</f>
        <v>9.2169494917460806E-2</v>
      </c>
      <c r="ER51" s="8">
        <f>IF(_xlfn.XLOOKUP($A51,TabCAT!$A:$A,TabCAT!BC:BC,"NaN")="","NaN",(_xlfn.XLOOKUP($A51,TabCAT!$A:$A,TabCAT!BC:BC,"NaN")))</f>
        <v>16</v>
      </c>
      <c r="ES51" s="8">
        <f>IF(_xlfn.XLOOKUP($A51,TabCAT!$A:$A,TabCAT!BD:BD,"NaN")="","NaN",(_xlfn.XLOOKUP($A51,TabCAT!$A:$A,TabCAT!BD:BD,"NaN")))</f>
        <v>0.5522475</v>
      </c>
      <c r="ET51" s="8">
        <f>IF(_xlfn.XLOOKUP($A51,TabCAT!$A:$A,TabCAT!BE:BE,"NaN")="","NaN",(_xlfn.XLOOKUP($A51,TabCAT!$A:$A,TabCAT!BE:BE,"NaN")))</f>
        <v>16</v>
      </c>
      <c r="EU51" s="8">
        <f>IF(_xlfn.XLOOKUP($A51,TabCAT!$A:$A,TabCAT!BF:BF,"NaN")="","NaN",(_xlfn.XLOOKUP($A51,TabCAT!$A:$A,TabCAT!BF:BF,"NaN")))</f>
        <v>0.58983249999999998</v>
      </c>
      <c r="EV51" s="8" t="str">
        <f>IF(_xlfn.XLOOKUP($A51,TabCAT!$A:$A,TabCAT!BG:BG,"NaN")="","NaN",(_xlfn.XLOOKUP($A51,TabCAT!$A:$A,TabCAT!BG:BG,"NaN")))</f>
        <v>NaN</v>
      </c>
      <c r="EW51" s="8" t="str">
        <f>IF(_xlfn.XLOOKUP($A51,TabCAT!$A:$A,TabCAT!BH:BH,"NaN")="","NaN",(_xlfn.XLOOKUP($A51,TabCAT!$A:$A,TabCAT!BH:BH,"NaN")))</f>
        <v>3.0.0</v>
      </c>
      <c r="EX51" s="8" t="str">
        <f>IF(_xlfn.XLOOKUP($A51,TabCAT!$A:$A,TabCAT!BI:BI,"NaN")="","NaN",(_xlfn.XLOOKUP($A51,TabCAT!$A:$A,TabCAT!BI:BI,"NaN")))</f>
        <v>English</v>
      </c>
      <c r="EY51" s="8">
        <f>IF(_xlfn.XLOOKUP($A51,TabCAT!$A:$A,TabCAT!BJ:BJ,"NaN")="","NaN",(_xlfn.XLOOKUP($A51,TabCAT!$A:$A,TabCAT!BJ:BJ,"NaN")))</f>
        <v>297</v>
      </c>
      <c r="EZ51" s="8">
        <f>IF(_xlfn.XLOOKUP($A51,TabCAT!$A:$A,TabCAT!BK:BK,"NaN")="","NaN",(_xlfn.XLOOKUP($A51,TabCAT!$A:$A,TabCAT!BK:BK,"NaN")))</f>
        <v>1</v>
      </c>
      <c r="FA51" s="8">
        <f>IF(_xlfn.XLOOKUP($A51,TabCAT!$A:$A,TabCAT!BL:BL,"NaN")="","NaN",(_xlfn.XLOOKUP($A51,TabCAT!$A:$A,TabCAT!BL:BL,"NaN")))</f>
        <v>6</v>
      </c>
      <c r="FB51" s="8">
        <f>IF(_xlfn.XLOOKUP($A51,TabCAT!$A:$A,TabCAT!BM:BM,"NaN")="","NaN",(_xlfn.XLOOKUP($A51,TabCAT!$A:$A,TabCAT!BM:BM,"NaN")))</f>
        <v>1</v>
      </c>
      <c r="FC51" s="8">
        <f>IF(_xlfn.XLOOKUP($A51,TabCAT!$A:$A,TabCAT!BN:BN,"NaN")="","NaN",(_xlfn.XLOOKUP($A51,TabCAT!$A:$A,TabCAT!BN:BN,"NaN")))</f>
        <v>6</v>
      </c>
      <c r="FD51" s="8">
        <f>IF(_xlfn.XLOOKUP($A51,TabCAT!$A:$A,TabCAT!BO:BO,"NaN")="","NaN",(_xlfn.XLOOKUP($A51,TabCAT!$A:$A,TabCAT!BO:BO,"NaN")))</f>
        <v>9</v>
      </c>
      <c r="FE51" s="8">
        <f>IF(_xlfn.XLOOKUP($A51,TabCAT!$A:$A,TabCAT!BP:BP,"NaN")="","NaN",(_xlfn.XLOOKUP($A51,TabCAT!$A:$A,TabCAT!BP:BP,"NaN")))</f>
        <v>1</v>
      </c>
      <c r="FF51" s="8">
        <f>IF(_xlfn.XLOOKUP($A51,TabCAT!$A:$A,TabCAT!BQ:BQ,"NaN")="","NaN",(_xlfn.XLOOKUP($A51,TabCAT!$A:$A,TabCAT!BQ:BQ,"NaN")))</f>
        <v>9</v>
      </c>
      <c r="FG51" s="8">
        <f>IF(_xlfn.XLOOKUP($A51,TabCAT!$A:$A,TabCAT!BR:BR,"NaN")="","NaN",(_xlfn.XLOOKUP($A51,TabCAT!$A:$A,TabCAT!BR:BR,"NaN")))</f>
        <v>12</v>
      </c>
      <c r="FH51" s="8">
        <f>IF(_xlfn.XLOOKUP($A51,TabCAT!$A:$A,TabCAT!BS:BS,"NaN")="","NaN",(_xlfn.XLOOKUP($A51,TabCAT!$A:$A,TabCAT!BS:BS,"NaN")))</f>
        <v>1</v>
      </c>
      <c r="FI51" s="8">
        <f>IF(_xlfn.XLOOKUP($A51,TabCAT!$A:$A,TabCAT!BT:BT,"NaN")="","NaN",(_xlfn.XLOOKUP($A51,TabCAT!$A:$A,TabCAT!BT:BT,"NaN")))</f>
        <v>12</v>
      </c>
      <c r="FJ51" s="8">
        <f>IF(_xlfn.XLOOKUP($A51,TabCAT!$A:$A,TabCAT!BU:BU,"NaN")="","NaN",(_xlfn.XLOOKUP($A51,TabCAT!$A:$A,TabCAT!BU:BU,"NaN")))</f>
        <v>13</v>
      </c>
      <c r="FK51" s="8">
        <f>IF(_xlfn.XLOOKUP($A51,TabCAT!$A:$A,TabCAT!BV:BV,"NaN")="","NaN",(_xlfn.XLOOKUP($A51,TabCAT!$A:$A,TabCAT!BV:BV,"NaN")))</f>
        <v>0.86666666666666603</v>
      </c>
      <c r="FL51" s="8">
        <f>IF(_xlfn.XLOOKUP($A51,TabCAT!$A:$A,TabCAT!BW:BW,"NaN")="","NaN",(_xlfn.XLOOKUP($A51,TabCAT!$A:$A,TabCAT!BW:BW,"NaN")))</f>
        <v>10</v>
      </c>
      <c r="FM51" s="8">
        <f>IF(_xlfn.XLOOKUP($A51,TabCAT!$A:$A,TabCAT!BX:BX,"NaN")="","NaN",(_xlfn.XLOOKUP($A51,TabCAT!$A:$A,TabCAT!BX:BX,"NaN")))</f>
        <v>40</v>
      </c>
      <c r="FN51" s="8">
        <f>IF(_xlfn.XLOOKUP($A51,TabCAT!$A:$A,TabCAT!BY:BY,"NaN")="","NaN",(_xlfn.XLOOKUP($A51,TabCAT!$A:$A,TabCAT!BY:BY,"NaN")))</f>
        <v>0.952380952380952</v>
      </c>
      <c r="FO51" s="8">
        <f>IF(_xlfn.XLOOKUP($A51,TabCAT!$A:$A,TabCAT!BZ:BZ,"NaN")="","NaN",(_xlfn.XLOOKUP($A51,TabCAT!$A:$A,TabCAT!BZ:BZ,"NaN")))</f>
        <v>37</v>
      </c>
      <c r="FP51" s="8" t="str">
        <f>IF(_xlfn.XLOOKUP($A51,TabCAT!$A:$A,TabCAT!CA:CA,"NaN")="","NaN",(_xlfn.XLOOKUP($A51,TabCAT!$A:$A,TabCAT!CA:CA,"NaN")))</f>
        <v>3.0.0</v>
      </c>
      <c r="FQ51" s="8" t="str">
        <f>IF(_xlfn.XLOOKUP($A51,TabCAT!$A:$A,TabCAT!CB:CB,"NaN")="","NaN",(_xlfn.XLOOKUP($A51,TabCAT!$A:$A,TabCAT!CB:CB,"NaN")))</f>
        <v>English</v>
      </c>
      <c r="FR51" s="8">
        <f>IF(_xlfn.XLOOKUP($A51,TabCAT!$A:$A,TabCAT!CC:CC,"NaN")="","NaN",(_xlfn.XLOOKUP($A51,TabCAT!$A:$A,TabCAT!CC:CC,"NaN")))</f>
        <v>226</v>
      </c>
      <c r="FS51" s="8" t="b">
        <f>IF(_xlfn.XLOOKUP($A51,TabCAT!$A:$A,TabCAT!CD:CD,"NaN")="","NaN",(_xlfn.XLOOKUP($A51,TabCAT!$A:$A,TabCAT!CD:CD,"NaN")))</f>
        <v>1</v>
      </c>
      <c r="FT51" s="8">
        <f>IF(_xlfn.XLOOKUP($A51,TabCAT!$A:$A,TabCAT!CE:CE,"NaN")="","NaN",(_xlfn.XLOOKUP($A51,TabCAT!$A:$A,TabCAT!CE:CE,"NaN")))</f>
        <v>8</v>
      </c>
      <c r="FU51" s="8">
        <f>IF(_xlfn.XLOOKUP($A51,TabCAT!$A:$A,TabCAT!CF:CF,"NaN")="","NaN",(_xlfn.XLOOKUP($A51,TabCAT!$A:$A,TabCAT!CF:CF,"NaN")))</f>
        <v>0</v>
      </c>
      <c r="FV51" s="8">
        <f>IF(_xlfn.XLOOKUP($A51,TabCAT!$A:$A,TabCAT!CG:CG,"NaN")="","NaN",(_xlfn.XLOOKUP($A51,TabCAT!$A:$A,TabCAT!CG:CG,"NaN")))</f>
        <v>9.0399999999999991</v>
      </c>
      <c r="FW51" s="8">
        <f>IF(_xlfn.XLOOKUP($A51,TabCAT!$A:$A,TabCAT!CH:CH,"NaN")="","NaN",(_xlfn.XLOOKUP($A51,TabCAT!$A:$A,TabCAT!CH:CH,"NaN")))</f>
        <v>16</v>
      </c>
      <c r="FX51" s="8">
        <f>IF(_xlfn.XLOOKUP($A51,TabCAT!$A:$A,TabCAT!CI:CI,"NaN")="","NaN",(_xlfn.XLOOKUP($A51,TabCAT!$A:$A,TabCAT!CI:CI,"NaN")))</f>
        <v>0.52937449999999997</v>
      </c>
      <c r="FY51" s="8">
        <f>IF(_xlfn.XLOOKUP($A51,TabCAT!$A:$A,TabCAT!CJ:CJ,"NaN")="","NaN",(_xlfn.XLOOKUP($A51,TabCAT!$A:$A,TabCAT!CJ:CJ,"NaN")))</f>
        <v>16</v>
      </c>
      <c r="FZ51" s="8">
        <f>IF(_xlfn.XLOOKUP($A51,TabCAT!$A:$A,TabCAT!CK:CK,"NaN")="","NaN",(_xlfn.XLOOKUP($A51,TabCAT!$A:$A,TabCAT!CK:CK,"NaN")))</f>
        <v>0.56757649999999904</v>
      </c>
      <c r="GA51" s="8">
        <f>IF(_xlfn.XLOOKUP($A51,TabCAT!$A:$A,TabCAT!CL:CL,"NaN")="","NaN",(_xlfn.XLOOKUP($A51,TabCAT!$A:$A,TabCAT!CL:CL,"NaN")))</f>
        <v>32</v>
      </c>
      <c r="GB51" s="8">
        <f>IF(_xlfn.XLOOKUP($A51,TabCAT!$A:$A,TabCAT!CM:CM,"NaN")="","NaN",(_xlfn.XLOOKUP($A51,TabCAT!$A:$A,TabCAT!CM:CM,"NaN")))</f>
        <v>0.61069549999999995</v>
      </c>
      <c r="GC51" s="8">
        <f>IF(_xlfn.XLOOKUP($A51,TabCAT!$A:$A,TabCAT!CN:CN,"NaN")="","NaN",(_xlfn.XLOOKUP($A51,TabCAT!$A:$A,TabCAT!CN:CN,"NaN")))</f>
        <v>18</v>
      </c>
      <c r="GD51" s="8">
        <f>IF(_xlfn.XLOOKUP($A51,TabCAT!$A:$A,TabCAT!CO:CO,"NaN")="","NaN",(_xlfn.XLOOKUP($A51,TabCAT!$A:$A,TabCAT!CO:CO,"NaN")))</f>
        <v>0.60636800000000002</v>
      </c>
      <c r="GE51" s="8">
        <f>IF(_xlfn.XLOOKUP($A51,TabCAT!$A:$A,TabCAT!CP:CP,"NaN")="","NaN",(_xlfn.XLOOKUP($A51,TabCAT!$A:$A,TabCAT!CP:CP,"NaN")))</f>
        <v>0.142268052514814</v>
      </c>
      <c r="GF51" s="8">
        <f>IF(_xlfn.XLOOKUP($A51,TabCAT!$A:$A,TabCAT!CQ:CQ,"NaN")="","NaN",(_xlfn.XLOOKUP($A51,TabCAT!$A:$A,TabCAT!CQ:CQ,"NaN")))</f>
        <v>56</v>
      </c>
      <c r="GG51" s="8">
        <f>IF(_xlfn.XLOOKUP($A51,TabCAT!$A:$A,TabCAT!CR:CR,"NaN")="","NaN",(_xlfn.XLOOKUP($A51,TabCAT!$A:$A,TabCAT!CR:CR,"NaN")))</f>
        <v>0.56312649999999997</v>
      </c>
      <c r="GH51" s="8" t="str">
        <f>IF(_xlfn.XLOOKUP($A51,TabCAT!$A:$A,TabCAT!CS:CS,"NaN")="","NaN",(_xlfn.XLOOKUP($A51,TabCAT!$A:$A,TabCAT!CS:CS,"NaN")))</f>
        <v>NaN</v>
      </c>
    </row>
    <row r="52" spans="1:190" x14ac:dyDescent="0.2">
      <c r="A52">
        <v>10723</v>
      </c>
      <c r="B52">
        <f>_xlfn.XLOOKUP(bippity_poppity_boo!A52,rf1_data!A:A,rf1_data!B:B)</f>
        <v>11601</v>
      </c>
      <c r="C52" s="2">
        <f>(_xlfn.XLOOKUP($A52,trust!$A:$A,trust!B:B,"NaN"))</f>
        <v>4.5</v>
      </c>
      <c r="D52" s="2">
        <f>(_xlfn.XLOOKUP($A52,trust!$A:$A,trust!C:C,"NaN"))</f>
        <v>3.3333330000000001</v>
      </c>
      <c r="E52" s="2">
        <f>(_xlfn.XLOOKUP($A52,trust!$A:$A,trust!D:D,"NaN"))</f>
        <v>4</v>
      </c>
      <c r="F52" s="2">
        <f>(_xlfn.XLOOKUP($A52,trust!$A:$A,trust!E:E,"NaN"))</f>
        <v>3.454545</v>
      </c>
      <c r="G52" s="2">
        <f>(_xlfn.XLOOKUP($A52,trust!$A:$A,trust!F:F,"NaN"))</f>
        <v>4.3636359999999996</v>
      </c>
      <c r="H52" s="2">
        <f>(_xlfn.XLOOKUP($A52,trust!$A:$A,trust!G:G,"NaN"))</f>
        <v>4.6666670000000003</v>
      </c>
      <c r="I52" s="3">
        <f>IF(_xlfn.XLOOKUP($B52,island_data!$B:$B,island_data!C:C,"NaN")="","NaN",_xlfn.XLOOKUP($B52,island_data!$B:$B,island_data!C:C,"NaN"))</f>
        <v>45086</v>
      </c>
      <c r="J52" s="3">
        <f>IF(_xlfn.XLOOKUP($B52,island_data!$B:$B,island_data!D:D,"NaN")="","NaN",_xlfn.XLOOKUP($B52,island_data!$B:$B,island_data!D:D,"NaN"))</f>
        <v>37172</v>
      </c>
      <c r="K52" s="4">
        <f>IF(_xlfn.XLOOKUP($B52,island_data!$B:$B,island_data!E:E,"NaN")="","NaN",_xlfn.XLOOKUP($B52,island_data!$B:$B,island_data!E:E,"NaN"))</f>
        <v>21.67</v>
      </c>
      <c r="L52" s="5">
        <f>IF(_xlfn.XLOOKUP($B52,rf1_data!$B:$B,rf1_data!D:D,"NaN")="","NaN",(_xlfn.XLOOKUP($B52,rf1_data!$B:$B,rf1_data!D:D,"NaN")))</f>
        <v>21.7</v>
      </c>
      <c r="M52" s="5" t="str">
        <f>IF(_xlfn.XLOOKUP($B52,rf1_data!$B:$B,rf1_data!E:E,"NaN")="","NaN",(_xlfn.XLOOKUP($B52,rf1_data!$B:$B,rf1_data!E:E,"NaN")))</f>
        <v>Two or more races</v>
      </c>
      <c r="N52" s="5" t="str">
        <f>IF(_xlfn.XLOOKUP($B52,rf1_data!$B:$B,rf1_data!F:F,"NaN")="","NaN",(_xlfn.XLOOKUP($B52,rf1_data!$B:$B,rf1_data!F:F,"NaN")))</f>
        <v>Not Hispanic or Latino</v>
      </c>
      <c r="O52" s="5" t="str">
        <f>IF(_xlfn.XLOOKUP($B52,rf1_data!$B:$B,rf1_data!G:G,"NaN")="","NaN",(_xlfn.XLOOKUP($B52,rf1_data!$B:$B,rf1_data!G:G,"NaN")))</f>
        <v>Male</v>
      </c>
      <c r="P52" s="5">
        <f>IF(_xlfn.XLOOKUP($B52,rf1_data!$B:$B,rf1_data!H:H,"NaN")="","NaN",(_xlfn.XLOOKUP($B52,rf1_data!$B:$B,rf1_data!H:H,"NaN")))</f>
        <v>3.67</v>
      </c>
      <c r="Q52" s="5">
        <f>IF(_xlfn.XLOOKUP($B52,rf1_data!$B:$B,rf1_data!I:I,"NaN")="","NaN",(_xlfn.XLOOKUP($B52,rf1_data!$B:$B,rf1_data!I:I,"NaN")))</f>
        <v>3.6</v>
      </c>
      <c r="R52" s="5">
        <f>IF(_xlfn.XLOOKUP($B52,rf1_data!$B:$B,rf1_data!J:J,"NaN")="","NaN",(_xlfn.XLOOKUP($B52,rf1_data!$B:$B,rf1_data!J:J,"NaN")))</f>
        <v>0</v>
      </c>
      <c r="S52" s="5">
        <f>IF(_xlfn.XLOOKUP($B52,rf1_data!$B:$B,rf1_data!K:K,"NaN")="","NaN",(_xlfn.XLOOKUP($B52,rf1_data!$B:$B,rf1_data!K:K,"NaN")))</f>
        <v>10</v>
      </c>
      <c r="T52" s="5">
        <f>IF(_xlfn.XLOOKUP($B52,rf1_data!$B:$B,rf1_data!L:L,"NaN")="","NaN",(_xlfn.XLOOKUP($B52,rf1_data!$B:$B,rf1_data!L:L,"NaN")))</f>
        <v>0</v>
      </c>
      <c r="U52" s="5">
        <f>IF(_xlfn.XLOOKUP($B52,rf1_data!$B:$B,rf1_data!M:M,"NaN")="","NaN",(_xlfn.XLOOKUP($B52,rf1_data!$B:$B,rf1_data!M:M,"NaN")))</f>
        <v>4</v>
      </c>
      <c r="V52" s="5">
        <f>IF(_xlfn.XLOOKUP($B52,rf1_data!$B:$B,rf1_data!N:N,"NaN")="","NaN",(_xlfn.XLOOKUP($B52,rf1_data!$B:$B,rf1_data!N:N,"NaN")))</f>
        <v>3.5</v>
      </c>
      <c r="W52" s="5">
        <f>IF(_xlfn.XLOOKUP($B52,rf1_data!$B:$B,rf1_data!O:O,"NaN")="","NaN",(_xlfn.XLOOKUP($B52,rf1_data!$B:$B,rf1_data!O:O,"NaN")))</f>
        <v>3.88</v>
      </c>
      <c r="X52" s="5">
        <f>IF(_xlfn.XLOOKUP($B52,rf1_data!$B:$B,rf1_data!P:P,"NaN")="","NaN",(_xlfn.XLOOKUP($B52,rf1_data!$B:$B,rf1_data!P:P,"NaN")))</f>
        <v>3.17</v>
      </c>
      <c r="Y52" s="5">
        <f>IF(_xlfn.XLOOKUP($B52,rf1_data!$B:$B,rf1_data!Q:Q,"NaN")="","NaN",(_xlfn.XLOOKUP($B52,rf1_data!$B:$B,rf1_data!Q:Q,"NaN")))</f>
        <v>3.53</v>
      </c>
      <c r="Z52" s="5">
        <f>IF(_xlfn.XLOOKUP($B52,rf1_data!$B:$B,rf1_data!R:R,"NaN")="","NaN",(_xlfn.XLOOKUP($B52,rf1_data!$B:$B,rf1_data!R:R,"NaN")))</f>
        <v>28</v>
      </c>
      <c r="AA52" s="5">
        <f>IF(_xlfn.XLOOKUP($B52,rf1_data!$B:$B,rf1_data!S:S,"NaN")="","NaN",(_xlfn.XLOOKUP($B52,rf1_data!$B:$B,rf1_data!S:S,"NaN")))</f>
        <v>4</v>
      </c>
      <c r="AB52" s="5">
        <f>IF(_xlfn.XLOOKUP($B52,rf1_data!$B:$B,rf1_data!T:T,"NaN")="","NaN",(_xlfn.XLOOKUP($B52,rf1_data!$B:$B,rf1_data!T:T,"NaN")))</f>
        <v>13</v>
      </c>
      <c r="AC52" s="5">
        <f>IF(_xlfn.XLOOKUP($B52,rf1_data!$B:$B,rf1_data!U:U,"NaN")="","NaN",(_xlfn.XLOOKUP($B52,rf1_data!$B:$B,rf1_data!U:U,"NaN")))</f>
        <v>0</v>
      </c>
      <c r="AD52" s="5">
        <f>IF(_xlfn.XLOOKUP($B52,rf1_data!$B:$B,rf1_data!V:V,"NaN")="","NaN",(_xlfn.XLOOKUP($B52,rf1_data!$B:$B,rf1_data!V:V,"NaN")))</f>
        <v>11</v>
      </c>
      <c r="AE52" s="5">
        <f>IF(_xlfn.XLOOKUP($B52,rf1_data!$B:$B,rf1_data!W:W,"NaN")="","NaN",(_xlfn.XLOOKUP($B52,rf1_data!$B:$B,rf1_data!W:W,"NaN")))</f>
        <v>8</v>
      </c>
      <c r="AF52" s="5">
        <f>IF(_xlfn.XLOOKUP($B52,rf1_data!$B:$B,rf1_data!X:X,"NaN")="","NaN",(_xlfn.XLOOKUP($B52,rf1_data!$B:$B,rf1_data!X:X,"NaN")))</f>
        <v>9</v>
      </c>
      <c r="AG52" s="5">
        <f>IF(_xlfn.XLOOKUP($B52,rf1_data!$B:$B,rf1_data!Y:Y,"NaN")="","NaN",(_xlfn.XLOOKUP($B52,rf1_data!$B:$B,rf1_data!Y:Y,"NaN")))</f>
        <v>5</v>
      </c>
      <c r="AH52" s="5">
        <f>IF(_xlfn.XLOOKUP($B52,rf1_data!$B:$B,rf1_data!Z:Z,"NaN")="","NaN",(_xlfn.XLOOKUP($B52,rf1_data!$B:$B,rf1_data!Z:Z,"NaN")))</f>
        <v>7</v>
      </c>
      <c r="AI52" s="5">
        <f>IF(_xlfn.XLOOKUP($B52,rf1_data!$B:$B,rf1_data!AA:AA,"NaN")="","NaN",(_xlfn.XLOOKUP($B52,rf1_data!$B:$B,rf1_data!AA:AA,"NaN")))</f>
        <v>8</v>
      </c>
      <c r="AJ52" s="5">
        <f>IF(_xlfn.XLOOKUP($B52,rf1_data!$B:$B,rf1_data!AB:AB,"NaN")="","NaN",(_xlfn.XLOOKUP($B52,rf1_data!$B:$B,rf1_data!AB:AB,"NaN")))</f>
        <v>37</v>
      </c>
      <c r="AK52" s="5">
        <f>IF(_xlfn.XLOOKUP($B52,rf1_data!$B:$B,rf1_data!AC:AC,"NaN")="","NaN",(_xlfn.XLOOKUP($B52,rf1_data!$B:$B,rf1_data!AC:AC,"NaN")))</f>
        <v>28</v>
      </c>
      <c r="AL52" s="5">
        <f>IF(_xlfn.XLOOKUP($B52,rf1_data!$B:$B,rf1_data!AD:AD,"NaN")="","NaN",(_xlfn.XLOOKUP($B52,rf1_data!$B:$B,rf1_data!AD:AD,"NaN")))</f>
        <v>17</v>
      </c>
      <c r="AM52" s="5">
        <f>IF(_xlfn.XLOOKUP($B52,rf1_data!$B:$B,rf1_data!AE:AE,"NaN")="","NaN",(_xlfn.XLOOKUP($B52,rf1_data!$B:$B,rf1_data!AE:AE,"NaN")))</f>
        <v>0</v>
      </c>
      <c r="AN52" s="5">
        <f>IF(_xlfn.XLOOKUP($B52,rf1_data!$B:$B,rf1_data!AF:AF,"NaN")="","NaN",(_xlfn.XLOOKUP($B52,rf1_data!$B:$B,rf1_data!AF:AF,"NaN")))</f>
        <v>0</v>
      </c>
      <c r="AO52" s="5">
        <f>IF(_xlfn.XLOOKUP($B52,rf1_data!$B:$B,rf1_data!AG:AG,"NaN")="","NaN",(_xlfn.XLOOKUP($B52,rf1_data!$B:$B,rf1_data!AG:AG,"NaN")))</f>
        <v>5.83</v>
      </c>
      <c r="AP52" s="5">
        <f>IF(_xlfn.XLOOKUP($B52,rf1_data!$B:$B,rf1_data!AH:AH,"NaN")="","NaN",(_xlfn.XLOOKUP($B52,rf1_data!$B:$B,rf1_data!AH:AH,"NaN")))</f>
        <v>6</v>
      </c>
      <c r="AQ52" s="5">
        <f>IF(_xlfn.XLOOKUP($B52,rf1_data!$B:$B,rf1_data!AI:AI,"NaN")="","NaN",(_xlfn.XLOOKUP($B52,rf1_data!$B:$B,rf1_data!AI:AI,"NaN")))</f>
        <v>6.5</v>
      </c>
      <c r="AR52" s="5">
        <f>IF(_xlfn.XLOOKUP($B52,rf1_data!$B:$B,rf1_data!AJ:AJ,"NaN")="","NaN",(_xlfn.XLOOKUP($B52,rf1_data!$B:$B,rf1_data!AJ:AJ,"NaN")))</f>
        <v>5</v>
      </c>
      <c r="AS52" s="5">
        <f>IF(_xlfn.XLOOKUP($B52,rf1_data!$B:$B,rf1_data!AK:AK,"NaN")="","NaN",(_xlfn.XLOOKUP($B52,rf1_data!$B:$B,rf1_data!AK:AK,"NaN")))</f>
        <v>3</v>
      </c>
      <c r="AT52" s="5">
        <f>IF(_xlfn.XLOOKUP($B52,rf1_data!$B:$B,rf1_data!AL:AL,"NaN")="","NaN",(_xlfn.XLOOKUP($B52,rf1_data!$B:$B,rf1_data!AL:AL,"NaN")))</f>
        <v>17</v>
      </c>
      <c r="AU52" s="5">
        <f>IF(_xlfn.XLOOKUP($B52,rf1_data!$B:$B,rf1_data!AM:AM,"NaN")="","NaN",(_xlfn.XLOOKUP($B52,rf1_data!$B:$B,rf1_data!AM:AM,"NaN")))</f>
        <v>4.08</v>
      </c>
      <c r="AV52" s="5">
        <f>IF(_xlfn.XLOOKUP($B52,rf1_data!$B:$B,rf1_data!AN:AN,"NaN")="","NaN",(_xlfn.XLOOKUP($B52,rf1_data!$B:$B,rf1_data!AN:AN,"NaN")))</f>
        <v>0</v>
      </c>
      <c r="AW52" s="5">
        <f>IF(_xlfn.XLOOKUP($B52,rf1_data!$B:$B,rf1_data!AO:AO,"NaN")="","NaN",(_xlfn.XLOOKUP($B52,rf1_data!$B:$B,rf1_data!AO:AO,"NaN")))</f>
        <v>3.17</v>
      </c>
      <c r="AX52" s="5">
        <f>IF(_xlfn.XLOOKUP($B52,rf1_data!$B:$B,rf1_data!AP:AP,"NaN")="","NaN",(_xlfn.XLOOKUP($B52,rf1_data!$B:$B,rf1_data!AP:AP,"NaN")))</f>
        <v>3.94</v>
      </c>
      <c r="AY52" s="5" t="str">
        <f>IF(_xlfn.XLOOKUP($B52,rf1_data!$B:$B,rf1_data!AQ:AQ,"NaN")="","NaN",(_xlfn.XLOOKUP($B52,rf1_data!$B:$B,rf1_data!AQ:AQ,"NaN")))</f>
        <v>NaN</v>
      </c>
      <c r="AZ52" s="5" t="str">
        <f>IF(_xlfn.XLOOKUP($B52,rf1_data!$B:$B,rf1_data!AR:AR,"NaN")="","NaN",(_xlfn.XLOOKUP($B52,rf1_data!$B:$B,rf1_data!AR:AR,"NaN")))</f>
        <v>NaN</v>
      </c>
      <c r="BA52" s="5" t="str">
        <f>IF(_xlfn.XLOOKUP($B52,rf1_data!$B:$B,rf1_data!AS:AS,"NaN")="","NaN",(_xlfn.XLOOKUP($B52,rf1_data!$B:$B,rf1_data!AS:AS,"NaN")))</f>
        <v>NaN</v>
      </c>
      <c r="BB52" s="5" t="str">
        <f>IF(_xlfn.XLOOKUP($B52,rf1_data!$B:$B,rf1_data!AT:AT,"NaN")="","NaN",(_xlfn.XLOOKUP($B52,rf1_data!$B:$B,rf1_data!AT:AT,"NaN")))</f>
        <v>NaN</v>
      </c>
      <c r="BC52" s="5" t="str">
        <f>IF(_xlfn.XLOOKUP($B52,rf1_data!$B:$B,rf1_data!AU:AU,"NaN")="","NaN",(_xlfn.XLOOKUP($B52,rf1_data!$B:$B,rf1_data!AU:AU,"NaN")))</f>
        <v>NaN</v>
      </c>
      <c r="BD52" s="5" t="str">
        <f>IF(_xlfn.XLOOKUP($B52,rf1_data!$B:$B,rf1_data!AV:AV,"NaN")="","NaN",(_xlfn.XLOOKUP($B52,rf1_data!$B:$B,rf1_data!AV:AV,"NaN")))</f>
        <v>NaN</v>
      </c>
      <c r="BE52" s="5" t="str">
        <f>IF(_xlfn.XLOOKUP($B52,rf1_data!$B:$B,rf1_data!AW:AW,"NaN")="","NaN",(_xlfn.XLOOKUP($B52,rf1_data!$B:$B,rf1_data!AW:AW,"NaN")))</f>
        <v>NaN</v>
      </c>
      <c r="BF52" s="5" t="str">
        <f>IF(_xlfn.XLOOKUP($B52,rf1_data!$B:$B,rf1_data!AX:AX,"NaN")="","NaN",(_xlfn.XLOOKUP($B52,rf1_data!$B:$B,rf1_data!AX:AX,"NaN")))</f>
        <v>NaN</v>
      </c>
      <c r="BG52" s="5" t="str">
        <f>IF(_xlfn.XLOOKUP($B52,rf1_data!$B:$B,rf1_data!AY:AY,"NaN")="","NaN",(_xlfn.XLOOKUP($B52,rf1_data!$B:$B,rf1_data!AY:AY,"NaN")))</f>
        <v>NaN</v>
      </c>
      <c r="BH52" s="5" t="str">
        <f>IF(_xlfn.XLOOKUP($B52,rf1_data!$B:$B,rf1_data!AZ:AZ,"NaN")="","NaN",(_xlfn.XLOOKUP($B52,rf1_data!$B:$B,rf1_data!AZ:AZ,"NaN")))</f>
        <v>NaN</v>
      </c>
      <c r="BI52" s="5">
        <f>IF(_xlfn.XLOOKUP($B52,rf1_data!$B:$B,rf1_data!BA:BA,"NaN")="","NaN",(_xlfn.XLOOKUP($B52,rf1_data!$B:$B,rf1_data!BA:BA,"NaN")))</f>
        <v>20</v>
      </c>
      <c r="BJ52" s="5" t="str">
        <f>IF(_xlfn.XLOOKUP($B52,rf1_data!$B:$B,rf1_data!BB:BB,"NaN")="","NaN",(_xlfn.XLOOKUP($B52,rf1_data!$B:$B,rf1_data!BB:BB,"NaN")))</f>
        <v>NaN</v>
      </c>
      <c r="BK52" s="5" t="str">
        <f>IF(_xlfn.XLOOKUP($B52,rf1_data!$B:$B,rf1_data!BC:BC,"NaN")="","NaN",(_xlfn.XLOOKUP($B52,rf1_data!$B:$B,rf1_data!BC:BC,"NaN")))</f>
        <v>NaN</v>
      </c>
      <c r="BL52" s="5" t="str">
        <f>IF(_xlfn.XLOOKUP($B52,rf1_data!$B:$B,rf1_data!BD:BD,"NaN")="","NaN",(_xlfn.XLOOKUP($B52,rf1_data!$B:$B,rf1_data!BD:BD,"NaN")))</f>
        <v>NaN</v>
      </c>
      <c r="BM52" s="5" t="str">
        <f>IF(_xlfn.XLOOKUP($B52,rf1_data!$B:$B,rf1_data!BE:BE,"NaN")="","NaN",(_xlfn.XLOOKUP($B52,rf1_data!$B:$B,rf1_data!BE:BE,"NaN")))</f>
        <v>NaN</v>
      </c>
      <c r="BN52" s="5" t="str">
        <f>IF(_xlfn.XLOOKUP($B52,rf1_data!$B:$B,rf1_data!BF:BF,"NaN")="","NaN",(_xlfn.XLOOKUP($B52,rf1_data!$B:$B,rf1_data!BF:BF,"NaN")))</f>
        <v>NaN</v>
      </c>
      <c r="BO52" s="5" t="str">
        <f>IF(_xlfn.XLOOKUP($B52,rf1_data!$B:$B,rf1_data!BG:BG,"NaN")="","NaN",(_xlfn.XLOOKUP($B52,rf1_data!$B:$B,rf1_data!BG:BG,"NaN")))</f>
        <v>NaN</v>
      </c>
      <c r="BP52" s="5" t="str">
        <f>IF(_xlfn.XLOOKUP($B52,rf1_data!$B:$B,rf1_data!BH:BH,"NaN")="","NaN",(_xlfn.XLOOKUP($B52,rf1_data!$B:$B,rf1_data!BH:BH,"NaN")))</f>
        <v>NaN</v>
      </c>
      <c r="BQ52" s="5" t="str">
        <f>IF(_xlfn.XLOOKUP($B52,rf1_data!$B:$B,rf1_data!BI:BI,"NaN")="","NaN",(_xlfn.XLOOKUP($B52,rf1_data!$B:$B,rf1_data!BI:BI,"NaN")))</f>
        <v>NaN</v>
      </c>
      <c r="BR52" s="5">
        <f>IF(_xlfn.XLOOKUP($B52,rf1_data!$B:$B,rf1_data!BJ:BJ,"NaN")="","NaN",(_xlfn.XLOOKUP($B52,rf1_data!$B:$B,rf1_data!BJ:BJ,"NaN")))</f>
        <v>8991</v>
      </c>
      <c r="BS52" s="5" t="str">
        <f>IF(_xlfn.XLOOKUP($B52,rf1_data!$B:$B,rf1_data!BK:BK,"NaN")="","NaN",(_xlfn.XLOOKUP($B52,rf1_data!$B:$B,rf1_data!BK:BK,"NaN")))</f>
        <v>NaN</v>
      </c>
      <c r="BT52" s="5" t="str">
        <f>IF(_xlfn.XLOOKUP($B52,rf1_data!$B:$B,rf1_data!BL:BL,"NaN")="","NaN",(_xlfn.XLOOKUP($B52,rf1_data!$B:$B,rf1_data!BL:BL,"NaN")))</f>
        <v>NaN</v>
      </c>
      <c r="BU52" s="5" t="str">
        <f>IF(_xlfn.XLOOKUP($B52,rf1_data!$B:$B,rf1_data!BM:BM,"NaN")="","NaN",(_xlfn.XLOOKUP($B52,rf1_data!$B:$B,rf1_data!BM:BM,"NaN")))</f>
        <v>NaN</v>
      </c>
      <c r="BV52" s="5" t="str">
        <f>IF(_xlfn.XLOOKUP($B52,rf1_data!$B:$B,rf1_data!BN:BN,"NaN")="","NaN",(_xlfn.XLOOKUP($B52,rf1_data!$B:$B,rf1_data!BN:BN,"NaN")))</f>
        <v>NaN</v>
      </c>
      <c r="BW52" s="5">
        <f>IF(_xlfn.XLOOKUP($B52,rf1_data!$B:$B,rf1_data!BO:BO,"NaN")="","NaN",(_xlfn.XLOOKUP($B52,rf1_data!$B:$B,rf1_data!BO:BO,"NaN")))</f>
        <v>2.8</v>
      </c>
      <c r="BX52" s="5">
        <f>IF(_xlfn.XLOOKUP($B52,rf1_data!$B:$B,rf1_data!BP:BP,"NaN")="","NaN",(_xlfn.XLOOKUP($B52,rf1_data!$B:$B,rf1_data!BP:BP,"NaN")))</f>
        <v>3.2</v>
      </c>
      <c r="BY52" s="5">
        <f>IF(_xlfn.XLOOKUP($B52,rf1_data!$B:$B,rf1_data!BQ:BQ,"NaN")="","NaN",(_xlfn.XLOOKUP($B52,rf1_data!$B:$B,rf1_data!BQ:BQ,"NaN")))</f>
        <v>4.0999999999999996</v>
      </c>
      <c r="BZ52" s="5">
        <f>IF(_xlfn.XLOOKUP($B52,rf1_data!$B:$B,rf1_data!BR:BR,"NaN")="","NaN",(_xlfn.XLOOKUP($B52,rf1_data!$B:$B,rf1_data!BR:BR,"NaN")))</f>
        <v>3.37</v>
      </c>
      <c r="CA52" s="5">
        <f>IF(_xlfn.XLOOKUP($B52,rf1_data!$B:$B,rf1_data!BS:BS,"NaN")="","NaN",(_xlfn.XLOOKUP($B52,rf1_data!$B:$B,rf1_data!BS:BS,"NaN")))</f>
        <v>2.3333333333333299</v>
      </c>
      <c r="CB52" s="5">
        <f>IF(_xlfn.XLOOKUP($B52,rf1_data!$B:$B,rf1_data!BT:BT,"NaN")="","NaN",(_xlfn.XLOOKUP($B52,rf1_data!$B:$B,rf1_data!BT:BT,"NaN")))</f>
        <v>2.5</v>
      </c>
      <c r="CC52" s="5">
        <f>IF(_xlfn.XLOOKUP($B52,rf1_data!$B:$B,rf1_data!BU:BU,"NaN")="","NaN",(_xlfn.XLOOKUP($B52,rf1_data!$B:$B,rf1_data!BU:BU,"NaN")))</f>
        <v>3.5</v>
      </c>
      <c r="CD52" s="5">
        <f>IF(_xlfn.XLOOKUP($B52,rf1_data!$B:$B,rf1_data!BV:BV,"NaN")="","NaN",(_xlfn.XLOOKUP($B52,rf1_data!$B:$B,rf1_data!BV:BV,"NaN")))</f>
        <v>2.1666666666666599</v>
      </c>
      <c r="CE52" s="5">
        <f>IF(_xlfn.XLOOKUP($B52,rf1_data!$B:$B,rf1_data!BW:BW,"NaN")="","NaN",(_xlfn.XLOOKUP($B52,rf1_data!$B:$B,rf1_data!BW:BW,"NaN")))</f>
        <v>2.5499999999999998</v>
      </c>
      <c r="CF52" s="5">
        <f>IF(_xlfn.XLOOKUP($B52,rf1_data!$B:$B,rf1_data!BX:BX,"NaN")="","NaN",(_xlfn.XLOOKUP($B52,rf1_data!$B:$B,rf1_data!BX:BX,"NaN")))</f>
        <v>0</v>
      </c>
      <c r="CG52" s="5">
        <f>IF(_xlfn.XLOOKUP($B52,rf1_data!$B:$B,rf1_data!BY:BY,"NaN")="","NaN",(_xlfn.XLOOKUP($B52,rf1_data!$B:$B,rf1_data!BY:BY,"NaN")))</f>
        <v>0</v>
      </c>
      <c r="CH52" s="5">
        <f>IF(_xlfn.XLOOKUP($B52,rf1_data!$B:$B,rf1_data!BZ:BZ,"NaN")="","NaN",(_xlfn.XLOOKUP($B52,rf1_data!$B:$B,rf1_data!BZ:BZ,"NaN")))</f>
        <v>28</v>
      </c>
      <c r="CI52" s="5">
        <f>IF(_xlfn.XLOOKUP($B52,rf1_data!$B:$B,rf1_data!CA:CA,"NaN")="","NaN",(_xlfn.XLOOKUP($B52,rf1_data!$B:$B,rf1_data!CA:CA,"NaN")))</f>
        <v>37</v>
      </c>
      <c r="CJ52" s="5">
        <f>IF(_xlfn.XLOOKUP($B52,rf1_data!$B:$B,rf1_data!CB:CB,"NaN")="","NaN",(_xlfn.XLOOKUP($B52,rf1_data!$B:$B,rf1_data!CB:CB,"NaN")))</f>
        <v>9</v>
      </c>
      <c r="CK52" s="5">
        <f>IF(_xlfn.XLOOKUP($B52,rf1_data!$B:$B,rf1_data!CC:CC,"NaN")="","NaN",(_xlfn.XLOOKUP($B52,rf1_data!$B:$B,rf1_data!CC:CC,"NaN")))</f>
        <v>0.81818181818181801</v>
      </c>
      <c r="CL52" s="5">
        <f>IF(_xlfn.XLOOKUP($B52,rf1_data!$B:$B,rf1_data!CD:CD,"NaN")=0,"NaN",(_xlfn.XLOOKUP($B52,rf1_data!$B:$B,rf1_data!CD:CD,"NaN")))</f>
        <v>37</v>
      </c>
      <c r="CM52" s="5">
        <f>IF(_xlfn.XLOOKUP($B52,rf1_data!$B:$B,rf1_data!CE:CE,"NaN")="","NaN",(_xlfn.XLOOKUP($B52,rf1_data!$B:$B,rf1_data!CE:CE,"NaN")))</f>
        <v>43</v>
      </c>
      <c r="CN52" s="5">
        <f>IF(_xlfn.XLOOKUP($B52,rf1_data!$B:$B,rf1_data!CF:CF,"NaN")="","NaN",(_xlfn.XLOOKUP($B52,rf1_data!$B:$B,rf1_data!CF:CF,"NaN")))</f>
        <v>59</v>
      </c>
      <c r="CO52" s="5">
        <f>IF(_xlfn.XLOOKUP($B52,rf1_data!$B:$B,rf1_data!CG:CG,"NaN")="","NaN",(_xlfn.XLOOKUP($B52,rf1_data!$B:$B,rf1_data!CG:CG,"NaN")))</f>
        <v>27</v>
      </c>
      <c r="CP52" s="5" t="str">
        <f>IF(_xlfn.XLOOKUP($B52,rf1_data!$B:$B,rf1_data!CH:CH,"NaN")=0,"NaN",(_xlfn.XLOOKUP($B52,rf1_data!$B:$B,rf1_data!CH:CH,"NaN")))</f>
        <v>NaN</v>
      </c>
      <c r="CQ52" s="5">
        <f>IF(_xlfn.XLOOKUP($B52,rf1_data!$B:$B,rf1_data!CI:CI,"NaN")="","NaN",(_xlfn.XLOOKUP($B52,rf1_data!$B:$B,rf1_data!CI:CI,"NaN")))</f>
        <v>48</v>
      </c>
      <c r="CR52" s="5">
        <f>IF(_xlfn.XLOOKUP($B52,rf1_data!$B:$B,rf1_data!CJ:CJ,"NaN")="","NaN",(_xlfn.XLOOKUP($B52,rf1_data!$B:$B,rf1_data!CJ:CJ,"NaN")))</f>
        <v>52</v>
      </c>
      <c r="CS52" s="5">
        <f>IF(_xlfn.XLOOKUP($B52,rf1_data!$B:$B,rf1_data!CK:CK,"NaN")="","NaN",(_xlfn.XLOOKUP($B52,rf1_data!$B:$B,rf1_data!CK:CK,"NaN")))</f>
        <v>47</v>
      </c>
      <c r="CT52" s="5">
        <f>IF(_xlfn.XLOOKUP($B52,rf1_data!$B:$B,rf1_data!CL:CL,"NaN")="","NaN",(_xlfn.XLOOKUP($B52,rf1_data!$B:$B,rf1_data!CL:CL,"NaN")))</f>
        <v>60</v>
      </c>
      <c r="CU52" s="5">
        <f>IF(_xlfn.XLOOKUP($B52,rf1_data!$B:$B,rf1_data!CM:CM,"NaN")="","NaN",(_xlfn.XLOOKUP($B52,rf1_data!$B:$B,rf1_data!CM:CM,"NaN")))</f>
        <v>43</v>
      </c>
      <c r="CV52" s="5">
        <f>IF(_xlfn.XLOOKUP($B52,rf1_data!$B:$B,rf1_data!CN:CN,"NaN")="","NaN",(_xlfn.XLOOKUP($B52,rf1_data!$B:$B,rf1_data!CN:CN,"NaN")))</f>
        <v>60</v>
      </c>
      <c r="CW52" s="5" t="str">
        <f>IF(_xlfn.XLOOKUP($B52,rf1_data!$B:$B,rf1_data!CO:CO,"NaN")="","NaN",(_xlfn.XLOOKUP($B52,rf1_data!$B:$B,rf1_data!CO:CO,"NaN")))</f>
        <v>NaN</v>
      </c>
      <c r="CX52" s="5" t="str">
        <f>IF(_xlfn.XLOOKUP($B52,rf1_data!$B:$B,rf1_data!CP:CP,"NaN")="","NaN",(_xlfn.XLOOKUP($B52,rf1_data!$B:$B,rf1_data!CP:CP,"NaN")))</f>
        <v>NaN</v>
      </c>
      <c r="CY52" s="5">
        <f>IF(_xlfn.XLOOKUP($B52,rf1_data!$B:$B,rf1_data!CQ:CQ,"NaN")="","NaN",(_xlfn.XLOOKUP($B52,rf1_data!$B:$B,rf1_data!CQ:CQ,"NaN")))</f>
        <v>5</v>
      </c>
      <c r="CZ52" s="5">
        <f>IF(_xlfn.XLOOKUP($B52,rf1_data!$B:$B,rf1_data!CR:CR,"NaN")="","NaN",(_xlfn.XLOOKUP($B52,rf1_data!$B:$B,rf1_data!CR:CR,"NaN")))</f>
        <v>5</v>
      </c>
      <c r="DA52" s="5">
        <f>IF(_xlfn.XLOOKUP($B52,rf1_data!$B:$B,rf1_data!CS:CS,"NaN")="","NaN",(_xlfn.XLOOKUP($B52,rf1_data!$B:$B,rf1_data!CS:CS,"NaN")))</f>
        <v>1</v>
      </c>
      <c r="DB52" s="4">
        <f>IF(_xlfn.XLOOKUP($B52,island_data!$B:$B,island_data!H:H,"NaN")="","NaN",_xlfn.XLOOKUP($B52,island_data!$B:$B,island_data!H:H,"NaN"))</f>
        <v>0</v>
      </c>
      <c r="DC52" s="4">
        <f>IF(_xlfn.XLOOKUP($B52,island_data!$B:$B,island_data!I:I,"NaN")="","NaN",_xlfn.XLOOKUP($B52,island_data!$B:$B,island_data!I:I,"NaN"))</f>
        <v>0</v>
      </c>
      <c r="DD52" s="4">
        <f>IF(_xlfn.XLOOKUP($B52,island_data!$B:$B,island_data!J:J,"NaN")="","NaN",_xlfn.XLOOKUP($B52,island_data!$B:$B,island_data!J:J,"NaN"))</f>
        <v>1</v>
      </c>
      <c r="DE52" s="4">
        <f>IF(_xlfn.XLOOKUP($B52,island_data!$B:$B,island_data!K:K,"NaN")="","NaN",_xlfn.XLOOKUP($B52,island_data!$B:$B,island_data!K:K,"NaN"))</f>
        <v>9</v>
      </c>
      <c r="DF52" s="4">
        <f>IF(_xlfn.XLOOKUP($B52,island_data!$B:$B,island_data!L:L,"NaN")="","NaN",_xlfn.XLOOKUP($B52,island_data!$B:$B,island_data!L:L,"NaN"))</f>
        <v>23</v>
      </c>
      <c r="DG52" s="4">
        <f>IF(_xlfn.XLOOKUP($B52,island_data!$B:$B,island_data!M:M,"NaN")="","NaN",_xlfn.XLOOKUP($B52,island_data!$B:$B,island_data!M:M,"NaN"))</f>
        <v>1.9375</v>
      </c>
      <c r="DH52" s="4">
        <f>IF(_xlfn.XLOOKUP($B52,island_data!$B:$B,island_data!N:N,"NaN")="","NaN",_xlfn.XLOOKUP($B52,island_data!$B:$B,island_data!N:N,"NaN"))</f>
        <v>0</v>
      </c>
      <c r="DI52" s="4">
        <f>IF(_xlfn.XLOOKUP($B52,island_data!$B:$B,island_data!O:O,"NaN")=999,"NaN",_xlfn.XLOOKUP($B52,island_data!$B:$B,island_data!O:O,"NaN"))</f>
        <v>3</v>
      </c>
      <c r="DJ52" s="4">
        <f>IF(_xlfn.XLOOKUP($B52,island_data!$B:$B,island_data!P:P,"NaN")="","NaN",_xlfn.XLOOKUP($B52,island_data!$B:$B,island_data!P:P,"NaN"))</f>
        <v>5</v>
      </c>
      <c r="DK52" s="4">
        <f>IF(_xlfn.XLOOKUP($B52,island_data!$B:$B,island_data!Q:Q,"NaN")="","NaN",_xlfn.XLOOKUP($B52,island_data!$B:$B,island_data!Q:Q,"NaN"))</f>
        <v>4</v>
      </c>
      <c r="DL52" s="4">
        <f>IF(_xlfn.XLOOKUP($B52,island_data!$B:$B,island_data!R:R,"NaN")=999,"NaN",_xlfn.XLOOKUP($B52,island_data!$B:$B,island_data!R:R,"NaN"))</f>
        <v>15</v>
      </c>
      <c r="DM52" s="4">
        <f>IF(_xlfn.XLOOKUP($B52,island_data!$B:$B,island_data!S:S,"NaN")="","NaN",_xlfn.XLOOKUP($B52,island_data!$B:$B,island_data!S:S,"NaN"))</f>
        <v>4</v>
      </c>
      <c r="DN52" s="4">
        <f>IF(_xlfn.XLOOKUP($B52,island_data!$B:$B,island_data!T:T,"NaN")="","NaN",_xlfn.XLOOKUP($B52,island_data!$B:$B,island_data!T:T,"NaN"))</f>
        <v>3.9166666666666599</v>
      </c>
      <c r="DO52" s="4">
        <f>IF(_xlfn.XLOOKUP($B52,island_data!$B:$B,island_data!U:U,"NaN")="","NaN",_xlfn.XLOOKUP($B52,island_data!$B:$B,island_data!U:U,"NaN"))</f>
        <v>4</v>
      </c>
      <c r="DP52" s="4">
        <f>IF(_xlfn.XLOOKUP($B52,island_data!$B:$B,island_data!V:V,"NaN")="","NaN",_xlfn.XLOOKUP($B52,island_data!$B:$B,island_data!V:V,"NaN"))</f>
        <v>3</v>
      </c>
      <c r="DQ52" s="4">
        <f>IF(_xlfn.XLOOKUP($B52,island_data!$B:$B,island_data!W:W,"NaN")="","NaN",_xlfn.XLOOKUP($B52,island_data!$B:$B,island_data!W:W,"NaN"))</f>
        <v>4</v>
      </c>
      <c r="DR52" s="4">
        <f>IF(_xlfn.XLOOKUP($B52,island_data!$B:$B,island_data!X:X,"NaN")="","NaN",_xlfn.XLOOKUP($B52,island_data!$B:$B,island_data!X:X,"NaN"))</f>
        <v>4</v>
      </c>
      <c r="DS52" s="4" t="str">
        <f>IF(_xlfn.XLOOKUP($B52,island_data!$B:$B,island_data!Y:Y,"NaN")="","NaN",_xlfn.XLOOKUP($B52,island_data!$B:$B,island_data!Y:Y,"NaN"))</f>
        <v>NaN</v>
      </c>
      <c r="DT52" s="4" t="str">
        <f>IF(_xlfn.XLOOKUP($B52,island_data!$B:$B,island_data!Z:Z,"NaN")="","NaN",_xlfn.XLOOKUP($B52,island_data!$B:$B,island_data!Z:Z,"NaN"))</f>
        <v>NaN</v>
      </c>
      <c r="DU52" s="4" t="str">
        <f>IF(_xlfn.XLOOKUP($B52,island_data!$B:$B,island_data!AA:AA,"NaN")="","NaN",_xlfn.XLOOKUP($B52,island_data!$B:$B,island_data!AA:AA,"NaN"))</f>
        <v>NaN</v>
      </c>
      <c r="DV52" s="4">
        <f>IF(_xlfn.XLOOKUP($B52,island_data!$B:$B,island_data!AB:AB,"NaN")="","NaN",_xlfn.XLOOKUP($B52,island_data!$B:$B,island_data!AB:AB,"NaN"))</f>
        <v>2</v>
      </c>
      <c r="DW52" s="4">
        <f>IF(_xlfn.XLOOKUP($B52,island_data!$B:$B,island_data!AC:AC,"NaN")="","NaN",_xlfn.XLOOKUP($B52,island_data!$B:$B,island_data!AC:AC,"NaN"))</f>
        <v>19003</v>
      </c>
      <c r="DX52" s="4">
        <f>IF(_xlfn.XLOOKUP($B52,island_data!$B:$B,island_data!AD:AD,"NaN")="","NaN",_xlfn.XLOOKUP($B52,island_data!$B:$B,island_data!AD:AD,"NaN"))</f>
        <v>4</v>
      </c>
      <c r="DY52" s="4">
        <f>IF(_xlfn.XLOOKUP($B52,island_data!$B:$B,island_data!AE:AE,"NaN")="","NaN",_xlfn.XLOOKUP($B52,island_data!$B:$B,island_data!AE:AE,"NaN"))</f>
        <v>0</v>
      </c>
      <c r="DZ52" s="4" t="str">
        <f>IF(_xlfn.XLOOKUP($B52,island_data!$B:$B,island_data!AF:AF,"NaN")="","NaN",_xlfn.XLOOKUP($B52,island_data!$B:$B,island_data!AF:AF,"NaN"))</f>
        <v>NaN</v>
      </c>
      <c r="EA52" s="4" t="str">
        <f>IF(_xlfn.XLOOKUP($B52,island_data!$B:$B,island_data!AG:AG,"NaN")="","NaN",_xlfn.XLOOKUP($B52,island_data!$B:$B,island_data!AG:AG,"NaN"))</f>
        <v>NaN</v>
      </c>
      <c r="EB52" s="4" t="str">
        <f>IF(_xlfn.XLOOKUP($B52,island_data!$B:$B,island_data!AH:AH,"NaN")="","NaN",_xlfn.XLOOKUP($B52,island_data!$B:$B,island_data!AH:AH,"NaN"))</f>
        <v>NaN</v>
      </c>
      <c r="EC52" s="4" t="str">
        <f>IF(_xlfn.XLOOKUP($B52,island_data!$B:$B,island_data!AI:AI,"NaN")="","NaN",_xlfn.XLOOKUP($B52,island_data!$B:$B,island_data!AI:AI,"NaN"))</f>
        <v>NaN</v>
      </c>
      <c r="ED52" s="4" t="str">
        <f>IF(_xlfn.XLOOKUP($B52,island_data!$B:$B,island_data!AJ:AJ,"NaN")="","NaN",_xlfn.XLOOKUP($B52,island_data!$B:$B,island_data!AJ:AJ,"NaN"))</f>
        <v>NaN</v>
      </c>
      <c r="EE52" s="4" t="str">
        <f>IF(_xlfn.XLOOKUP($B52,island_data!$B:$B,island_data!AK:AK,"NaN")="","NaN",_xlfn.XLOOKUP($B52,island_data!$B:$B,island_data!AK:AK,"NaN"))</f>
        <v>NaN</v>
      </c>
      <c r="EF52" s="4" t="str">
        <f>IF(_xlfn.XLOOKUP($B52,island_data!$B:$B,island_data!AL:AL,"NaN")="","NaN",_xlfn.XLOOKUP($B52,island_data!$B:$B,island_data!AL:AL,"NaN"))</f>
        <v>NaN</v>
      </c>
      <c r="EG52" s="4" t="str">
        <f>IF(_xlfn.XLOOKUP($B52,island_data!$B:$B,island_data!AM:AM,"NaN")="","NaN",_xlfn.XLOOKUP($B52,island_data!$B:$B,island_data!AM:AM,"NaN"))</f>
        <v>NaN</v>
      </c>
      <c r="EH52" s="4" t="str">
        <f>IF(_xlfn.XLOOKUP($B52,island_data!$B:$B,island_data!AN:AN,"NaN")="","NaN",_xlfn.XLOOKUP($B52,island_data!$B:$B,island_data!AN:AN,"NaN"))</f>
        <v>NaN</v>
      </c>
      <c r="EI52" s="4" t="str">
        <f>IF(_xlfn.XLOOKUP($B52,island_data!$B:$B,island_data!AO:AO,"NaN")="","NaN",_xlfn.XLOOKUP($B52,island_data!$B:$B,island_data!AO:AO,"NaN"))</f>
        <v>NaN</v>
      </c>
      <c r="EJ52" s="8">
        <f>IF(_xlfn.XLOOKUP($A52,TabCAT!$A:$A,TabCAT!AU:AU,"NaN")="","NaN",(_xlfn.XLOOKUP($A52,TabCAT!$A:$A,TabCAT!AU:AU,"NaN")))</f>
        <v>146</v>
      </c>
      <c r="EK52" s="8" t="b">
        <f>IF(_xlfn.XLOOKUP($A52,TabCAT!$A:$A,TabCAT!AV:AV,"NaN")="","NaN",(_xlfn.XLOOKUP($A52,TabCAT!$A:$A,TabCAT!AV:AV,"NaN")))</f>
        <v>1</v>
      </c>
      <c r="EL52" s="8">
        <f>IF(_xlfn.XLOOKUP($A52,TabCAT!$A:$A,TabCAT!AW:AW,"NaN")="","NaN",(_xlfn.XLOOKUP($A52,TabCAT!$A:$A,TabCAT!AW:AW,"NaN")))</f>
        <v>6</v>
      </c>
      <c r="EM52" s="8">
        <f>IF(_xlfn.XLOOKUP($A52,TabCAT!$A:$A,TabCAT!AX:AX,"NaN")="","NaN",(_xlfn.XLOOKUP($A52,TabCAT!$A:$A,TabCAT!AX:AX,"NaN")))</f>
        <v>0</v>
      </c>
      <c r="EN52" s="8">
        <f>IF(_xlfn.XLOOKUP($A52,TabCAT!$A:$A,TabCAT!AY:AY,"NaN")="","NaN",(_xlfn.XLOOKUP($A52,TabCAT!$A:$A,TabCAT!AY:AY,"NaN")))</f>
        <v>9.69</v>
      </c>
      <c r="EO52" s="8">
        <f>IF(_xlfn.XLOOKUP($A52,TabCAT!$A:$A,TabCAT!AZ:AZ,"NaN")="","NaN",(_xlfn.XLOOKUP($A52,TabCAT!$A:$A,TabCAT!AZ:AZ,"NaN")))</f>
        <v>31</v>
      </c>
      <c r="EP52" s="8">
        <f>IF(_xlfn.XLOOKUP($A52,TabCAT!$A:$A,TabCAT!BA:BA,"NaN")="","NaN",(_xlfn.XLOOKUP($A52,TabCAT!$A:$A,TabCAT!BA:BA,"NaN")))</f>
        <v>0.498475</v>
      </c>
      <c r="EQ52" s="8">
        <f>IF(_xlfn.XLOOKUP($A52,TabCAT!$A:$A,TabCAT!BB:BB,"NaN")="","NaN",(_xlfn.XLOOKUP($A52,TabCAT!$A:$A,TabCAT!BB:BB,"NaN")))</f>
        <v>5.1449828383574502E-2</v>
      </c>
      <c r="ER52" s="8">
        <f>IF(_xlfn.XLOOKUP($A52,TabCAT!$A:$A,TabCAT!BC:BC,"NaN")="","NaN",(_xlfn.XLOOKUP($A52,TabCAT!$A:$A,TabCAT!BC:BC,"NaN")))</f>
        <v>16</v>
      </c>
      <c r="ES52" s="8">
        <f>IF(_xlfn.XLOOKUP($A52,TabCAT!$A:$A,TabCAT!BD:BD,"NaN")="","NaN",(_xlfn.XLOOKUP($A52,TabCAT!$A:$A,TabCAT!BD:BD,"NaN")))</f>
        <v>0.466086</v>
      </c>
      <c r="ET52" s="8">
        <f>IF(_xlfn.XLOOKUP($A52,TabCAT!$A:$A,TabCAT!BE:BE,"NaN")="","NaN",(_xlfn.XLOOKUP($A52,TabCAT!$A:$A,TabCAT!BE:BE,"NaN")))</f>
        <v>15</v>
      </c>
      <c r="EU52" s="8">
        <f>IF(_xlfn.XLOOKUP($A52,TabCAT!$A:$A,TabCAT!BF:BF,"NaN")="","NaN",(_xlfn.XLOOKUP($A52,TabCAT!$A:$A,TabCAT!BF:BF,"NaN")))</f>
        <v>0.54993300000000001</v>
      </c>
      <c r="EV52" s="8">
        <f>IF(_xlfn.XLOOKUP($A52,TabCAT!$A:$A,TabCAT!BG:BG,"NaN")="","NaN",(_xlfn.XLOOKUP($A52,TabCAT!$A:$A,TabCAT!BG:BG,"NaN")))</f>
        <v>2.339623</v>
      </c>
      <c r="EW52" s="8" t="str">
        <f>IF(_xlfn.XLOOKUP($A52,TabCAT!$A:$A,TabCAT!BH:BH,"NaN")="","NaN",(_xlfn.XLOOKUP($A52,TabCAT!$A:$A,TabCAT!BH:BH,"NaN")))</f>
        <v>3.0.0</v>
      </c>
      <c r="EX52" s="8" t="str">
        <f>IF(_xlfn.XLOOKUP($A52,TabCAT!$A:$A,TabCAT!BI:BI,"NaN")="","NaN",(_xlfn.XLOOKUP($A52,TabCAT!$A:$A,TabCAT!BI:BI,"NaN")))</f>
        <v>English</v>
      </c>
      <c r="EY52" s="8">
        <f>IF(_xlfn.XLOOKUP($A52,TabCAT!$A:$A,TabCAT!BJ:BJ,"NaN")="","NaN",(_xlfn.XLOOKUP($A52,TabCAT!$A:$A,TabCAT!BJ:BJ,"NaN")))</f>
        <v>241</v>
      </c>
      <c r="EZ52" s="8">
        <f>IF(_xlfn.XLOOKUP($A52,TabCAT!$A:$A,TabCAT!BK:BK,"NaN")="","NaN",(_xlfn.XLOOKUP($A52,TabCAT!$A:$A,TabCAT!BK:BK,"NaN")))</f>
        <v>1</v>
      </c>
      <c r="FA52" s="8">
        <f>IF(_xlfn.XLOOKUP($A52,TabCAT!$A:$A,TabCAT!BL:BL,"NaN")="","NaN",(_xlfn.XLOOKUP($A52,TabCAT!$A:$A,TabCAT!BL:BL,"NaN")))</f>
        <v>6</v>
      </c>
      <c r="FB52" s="8">
        <f>IF(_xlfn.XLOOKUP($A52,TabCAT!$A:$A,TabCAT!BM:BM,"NaN")="","NaN",(_xlfn.XLOOKUP($A52,TabCAT!$A:$A,TabCAT!BM:BM,"NaN")))</f>
        <v>1</v>
      </c>
      <c r="FC52" s="8">
        <f>IF(_xlfn.XLOOKUP($A52,TabCAT!$A:$A,TabCAT!BN:BN,"NaN")="","NaN",(_xlfn.XLOOKUP($A52,TabCAT!$A:$A,TabCAT!BN:BN,"NaN")))</f>
        <v>6</v>
      </c>
      <c r="FD52" s="8">
        <f>IF(_xlfn.XLOOKUP($A52,TabCAT!$A:$A,TabCAT!BO:BO,"NaN")="","NaN",(_xlfn.XLOOKUP($A52,TabCAT!$A:$A,TabCAT!BO:BO,"NaN")))</f>
        <v>8</v>
      </c>
      <c r="FE52" s="8">
        <f>IF(_xlfn.XLOOKUP($A52,TabCAT!$A:$A,TabCAT!BP:BP,"NaN")="","NaN",(_xlfn.XLOOKUP($A52,TabCAT!$A:$A,TabCAT!BP:BP,"NaN")))</f>
        <v>0.88888888888888795</v>
      </c>
      <c r="FF52" s="8">
        <f>IF(_xlfn.XLOOKUP($A52,TabCAT!$A:$A,TabCAT!BQ:BQ,"NaN")="","NaN",(_xlfn.XLOOKUP($A52,TabCAT!$A:$A,TabCAT!BQ:BQ,"NaN")))</f>
        <v>8</v>
      </c>
      <c r="FG52" s="8">
        <f>IF(_xlfn.XLOOKUP($A52,TabCAT!$A:$A,TabCAT!BR:BR,"NaN")="","NaN",(_xlfn.XLOOKUP($A52,TabCAT!$A:$A,TabCAT!BR:BR,"NaN")))</f>
        <v>9</v>
      </c>
      <c r="FH52" s="8">
        <f>IF(_xlfn.XLOOKUP($A52,TabCAT!$A:$A,TabCAT!BS:BS,"NaN")="","NaN",(_xlfn.XLOOKUP($A52,TabCAT!$A:$A,TabCAT!BS:BS,"NaN")))</f>
        <v>0.75</v>
      </c>
      <c r="FI52" s="8">
        <f>IF(_xlfn.XLOOKUP($A52,TabCAT!$A:$A,TabCAT!BT:BT,"NaN")="","NaN",(_xlfn.XLOOKUP($A52,TabCAT!$A:$A,TabCAT!BT:BT,"NaN")))</f>
        <v>8.5</v>
      </c>
      <c r="FJ52" s="8">
        <f>IF(_xlfn.XLOOKUP($A52,TabCAT!$A:$A,TabCAT!BU:BU,"NaN")="","NaN",(_xlfn.XLOOKUP($A52,TabCAT!$A:$A,TabCAT!BU:BU,"NaN")))</f>
        <v>9</v>
      </c>
      <c r="FK52" s="8">
        <f>IF(_xlfn.XLOOKUP($A52,TabCAT!$A:$A,TabCAT!BV:BV,"NaN")="","NaN",(_xlfn.XLOOKUP($A52,TabCAT!$A:$A,TabCAT!BV:BV,"NaN")))</f>
        <v>0.6</v>
      </c>
      <c r="FL52" s="8">
        <f>IF(_xlfn.XLOOKUP($A52,TabCAT!$A:$A,TabCAT!BW:BW,"NaN")="","NaN",(_xlfn.XLOOKUP($A52,TabCAT!$A:$A,TabCAT!BW:BW,"NaN")))</f>
        <v>6.5</v>
      </c>
      <c r="FM52" s="8">
        <f>IF(_xlfn.XLOOKUP($A52,TabCAT!$A:$A,TabCAT!BX:BX,"NaN")="","NaN",(_xlfn.XLOOKUP($A52,TabCAT!$A:$A,TabCAT!BX:BX,"NaN")))</f>
        <v>32</v>
      </c>
      <c r="FN52" s="8">
        <f>IF(_xlfn.XLOOKUP($A52,TabCAT!$A:$A,TabCAT!BY:BY,"NaN")="","NaN",(_xlfn.XLOOKUP($A52,TabCAT!$A:$A,TabCAT!BY:BY,"NaN")))</f>
        <v>0.76190476190476097</v>
      </c>
      <c r="FO52" s="8">
        <f>IF(_xlfn.XLOOKUP($A52,TabCAT!$A:$A,TabCAT!BZ:BZ,"NaN")="","NaN",(_xlfn.XLOOKUP($A52,TabCAT!$A:$A,TabCAT!BZ:BZ,"NaN")))</f>
        <v>29</v>
      </c>
      <c r="FP52" s="8" t="str">
        <f>IF(_xlfn.XLOOKUP($A52,TabCAT!$A:$A,TabCAT!CA:CA,"NaN")="","NaN",(_xlfn.XLOOKUP($A52,TabCAT!$A:$A,TabCAT!CA:CA,"NaN")))</f>
        <v>3.0.0</v>
      </c>
      <c r="FQ52" s="8" t="str">
        <f>IF(_xlfn.XLOOKUP($A52,TabCAT!$A:$A,TabCAT!CB:CB,"NaN")="","NaN",(_xlfn.XLOOKUP($A52,TabCAT!$A:$A,TabCAT!CB:CB,"NaN")))</f>
        <v>English</v>
      </c>
      <c r="FR52" s="8">
        <f>IF(_xlfn.XLOOKUP($A52,TabCAT!$A:$A,TabCAT!CC:CC,"NaN")="","NaN",(_xlfn.XLOOKUP($A52,TabCAT!$A:$A,TabCAT!CC:CC,"NaN")))</f>
        <v>205</v>
      </c>
      <c r="FS52" s="8" t="b">
        <f>IF(_xlfn.XLOOKUP($A52,TabCAT!$A:$A,TabCAT!CD:CD,"NaN")="","NaN",(_xlfn.XLOOKUP($A52,TabCAT!$A:$A,TabCAT!CD:CD,"NaN")))</f>
        <v>1</v>
      </c>
      <c r="FT52" s="8">
        <f>IF(_xlfn.XLOOKUP($A52,TabCAT!$A:$A,TabCAT!CE:CE,"NaN")="","NaN",(_xlfn.XLOOKUP($A52,TabCAT!$A:$A,TabCAT!CE:CE,"NaN")))</f>
        <v>8</v>
      </c>
      <c r="FU52" s="8">
        <f>IF(_xlfn.XLOOKUP($A52,TabCAT!$A:$A,TabCAT!CF:CF,"NaN")="","NaN",(_xlfn.XLOOKUP($A52,TabCAT!$A:$A,TabCAT!CF:CF,"NaN")))</f>
        <v>0</v>
      </c>
      <c r="FV52" s="8">
        <f>IF(_xlfn.XLOOKUP($A52,TabCAT!$A:$A,TabCAT!CG:CG,"NaN")="","NaN",(_xlfn.XLOOKUP($A52,TabCAT!$A:$A,TabCAT!CG:CG,"NaN")))</f>
        <v>8.64</v>
      </c>
      <c r="FW52" s="8">
        <f>IF(_xlfn.XLOOKUP($A52,TabCAT!$A:$A,TabCAT!CH:CH,"NaN")="","NaN",(_xlfn.XLOOKUP($A52,TabCAT!$A:$A,TabCAT!CH:CH,"NaN")))</f>
        <v>16</v>
      </c>
      <c r="FX52" s="8">
        <f>IF(_xlfn.XLOOKUP($A52,TabCAT!$A:$A,TabCAT!CI:CI,"NaN")="","NaN",(_xlfn.XLOOKUP($A52,TabCAT!$A:$A,TabCAT!CI:CI,"NaN")))</f>
        <v>0.41270950000000001</v>
      </c>
      <c r="FY52" s="8">
        <f>IF(_xlfn.XLOOKUP($A52,TabCAT!$A:$A,TabCAT!CJ:CJ,"NaN")="","NaN",(_xlfn.XLOOKUP($A52,TabCAT!$A:$A,TabCAT!CJ:CJ,"NaN")))</f>
        <v>16</v>
      </c>
      <c r="FZ52" s="8">
        <f>IF(_xlfn.XLOOKUP($A52,TabCAT!$A:$A,TabCAT!CK:CK,"NaN")="","NaN",(_xlfn.XLOOKUP($A52,TabCAT!$A:$A,TabCAT!CK:CK,"NaN")))</f>
        <v>0.38784399999999902</v>
      </c>
      <c r="GA52" s="8">
        <f>IF(_xlfn.XLOOKUP($A52,TabCAT!$A:$A,TabCAT!CL:CL,"NaN")="","NaN",(_xlfn.XLOOKUP($A52,TabCAT!$A:$A,TabCAT!CL:CL,"NaN")))</f>
        <v>27</v>
      </c>
      <c r="GB52" s="8">
        <f>IF(_xlfn.XLOOKUP($A52,TabCAT!$A:$A,TabCAT!CM:CM,"NaN")="","NaN",(_xlfn.XLOOKUP($A52,TabCAT!$A:$A,TabCAT!CM:CM,"NaN")))</f>
        <v>0.54451000000000005</v>
      </c>
      <c r="GC52" s="8">
        <f>IF(_xlfn.XLOOKUP($A52,TabCAT!$A:$A,TabCAT!CN:CN,"NaN")="","NaN",(_xlfn.XLOOKUP($A52,TabCAT!$A:$A,TabCAT!CN:CN,"NaN")))</f>
        <v>19</v>
      </c>
      <c r="GD52" s="8">
        <f>IF(_xlfn.XLOOKUP($A52,TabCAT!$A:$A,TabCAT!CO:CO,"NaN")="","NaN",(_xlfn.XLOOKUP($A52,TabCAT!$A:$A,TabCAT!CO:CO,"NaN")))</f>
        <v>0.552867</v>
      </c>
      <c r="GE52" s="8">
        <f>IF(_xlfn.XLOOKUP($A52,TabCAT!$A:$A,TabCAT!CP:CP,"NaN")="","NaN",(_xlfn.XLOOKUP($A52,TabCAT!$A:$A,TabCAT!CP:CP,"NaN")))</f>
        <v>0.25035784450091902</v>
      </c>
      <c r="GF52" s="8">
        <f>IF(_xlfn.XLOOKUP($A52,TabCAT!$A:$A,TabCAT!CQ:CQ,"NaN")="","NaN",(_xlfn.XLOOKUP($A52,TabCAT!$A:$A,TabCAT!CQ:CQ,"NaN")))</f>
        <v>50</v>
      </c>
      <c r="GG52" s="8">
        <f>IF(_xlfn.XLOOKUP($A52,TabCAT!$A:$A,TabCAT!CR:CR,"NaN")="","NaN",(_xlfn.XLOOKUP($A52,TabCAT!$A:$A,TabCAT!CR:CR,"NaN")))</f>
        <v>0.40813450000000001</v>
      </c>
      <c r="GH52" s="8">
        <f>IF(_xlfn.XLOOKUP($A52,TabCAT!$A:$A,TabCAT!CS:CS,"NaN")="","NaN",(_xlfn.XLOOKUP($A52,TabCAT!$A:$A,TabCAT!CS:CS,"NaN")))</f>
        <v>1.173913</v>
      </c>
    </row>
    <row r="53" spans="1:190" x14ac:dyDescent="0.2">
      <c r="A53">
        <v>10741</v>
      </c>
      <c r="B53">
        <f>_xlfn.XLOOKUP(bippity_poppity_boo!A53,rf1_data!A:A,rf1_data!B:B)</f>
        <v>191886</v>
      </c>
      <c r="C53" s="2">
        <f>(_xlfn.XLOOKUP($A53,trust!$A:$A,trust!B:B,"NaN"))</f>
        <v>4</v>
      </c>
      <c r="D53" s="2">
        <f>(_xlfn.XLOOKUP($A53,trust!$A:$A,trust!C:C,"NaN"))</f>
        <v>3.6666669999999999</v>
      </c>
      <c r="E53" s="2">
        <f>(_xlfn.XLOOKUP($A53,trust!$A:$A,trust!D:D,"NaN"))</f>
        <v>3.2727270000000002</v>
      </c>
      <c r="F53" s="2">
        <f>(_xlfn.XLOOKUP($A53,trust!$A:$A,trust!E:E,"NaN"))</f>
        <v>3.2727270000000002</v>
      </c>
      <c r="G53" s="2">
        <f>(_xlfn.XLOOKUP($A53,trust!$A:$A,trust!F:F,"NaN"))</f>
        <v>6.1818179999999998</v>
      </c>
      <c r="H53" s="2">
        <f>(_xlfn.XLOOKUP($A53,trust!$A:$A,trust!G:G,"NaN"))</f>
        <v>4.7272730000000003</v>
      </c>
      <c r="I53" s="3">
        <f>IF(_xlfn.XLOOKUP($B53,island_data!$B:$B,island_data!C:C,"NaN")="","NaN",_xlfn.XLOOKUP($B53,island_data!$B:$B,island_data!C:C,"NaN"))</f>
        <v>45015</v>
      </c>
      <c r="J53" s="3">
        <f>IF(_xlfn.XLOOKUP($B53,island_data!$B:$B,island_data!D:D,"NaN")="","NaN",_xlfn.XLOOKUP($B53,island_data!$B:$B,island_data!D:D,"NaN"))</f>
        <v>31616</v>
      </c>
      <c r="K53" s="4">
        <f>IF(_xlfn.XLOOKUP($B53,island_data!$B:$B,island_data!E:E,"NaN")="","NaN",_xlfn.XLOOKUP($B53,island_data!$B:$B,island_data!E:E,"NaN"))</f>
        <v>36.69</v>
      </c>
      <c r="L53" s="5">
        <f>IF(_xlfn.XLOOKUP($B53,rf1_data!$B:$B,rf1_data!D:D,"NaN")="","NaN",(_xlfn.XLOOKUP($B53,rf1_data!$B:$B,rf1_data!D:D,"NaN")))</f>
        <v>36.93</v>
      </c>
      <c r="M53" s="5" t="str">
        <f>IF(_xlfn.XLOOKUP($B53,rf1_data!$B:$B,rf1_data!E:E,"NaN")="","NaN",(_xlfn.XLOOKUP($B53,rf1_data!$B:$B,rf1_data!E:E,"NaN")))</f>
        <v>Asian</v>
      </c>
      <c r="N53" s="5" t="str">
        <f>IF(_xlfn.XLOOKUP($B53,rf1_data!$B:$B,rf1_data!F:F,"NaN")="","NaN",(_xlfn.XLOOKUP($B53,rf1_data!$B:$B,rf1_data!F:F,"NaN")))</f>
        <v>Not Hispanic or Latino</v>
      </c>
      <c r="O53" s="5" t="str">
        <f>IF(_xlfn.XLOOKUP($B53,rf1_data!$B:$B,rf1_data!G:G,"NaN")="","NaN",(_xlfn.XLOOKUP($B53,rf1_data!$B:$B,rf1_data!G:G,"NaN")))</f>
        <v>Female</v>
      </c>
      <c r="P53" s="5">
        <f>IF(_xlfn.XLOOKUP($B53,rf1_data!$B:$B,rf1_data!H:H,"NaN")="","NaN",(_xlfn.XLOOKUP($B53,rf1_data!$B:$B,rf1_data!H:H,"NaN")))</f>
        <v>4.33</v>
      </c>
      <c r="Q53" s="5">
        <f>IF(_xlfn.XLOOKUP($B53,rf1_data!$B:$B,rf1_data!I:I,"NaN")="","NaN",(_xlfn.XLOOKUP($B53,rf1_data!$B:$B,rf1_data!I:I,"NaN")))</f>
        <v>3.8</v>
      </c>
      <c r="R53" s="5">
        <f>IF(_xlfn.XLOOKUP($B53,rf1_data!$B:$B,rf1_data!J:J,"NaN")="","NaN",(_xlfn.XLOOKUP($B53,rf1_data!$B:$B,rf1_data!J:J,"NaN")))</f>
        <v>4</v>
      </c>
      <c r="S53" s="5">
        <f>IF(_xlfn.XLOOKUP($B53,rf1_data!$B:$B,rf1_data!K:K,"NaN")="","NaN",(_xlfn.XLOOKUP($B53,rf1_data!$B:$B,rf1_data!K:K,"NaN")))</f>
        <v>12</v>
      </c>
      <c r="T53" s="5">
        <f>IF(_xlfn.XLOOKUP($B53,rf1_data!$B:$B,rf1_data!L:L,"NaN")="","NaN",(_xlfn.XLOOKUP($B53,rf1_data!$B:$B,rf1_data!L:L,"NaN")))</f>
        <v>0</v>
      </c>
      <c r="U53" s="5">
        <f>IF(_xlfn.XLOOKUP($B53,rf1_data!$B:$B,rf1_data!M:M,"NaN")="","NaN",(_xlfn.XLOOKUP($B53,rf1_data!$B:$B,rf1_data!M:M,"NaN")))</f>
        <v>5.33</v>
      </c>
      <c r="V53" s="5">
        <f>IF(_xlfn.XLOOKUP($B53,rf1_data!$B:$B,rf1_data!N:N,"NaN")="","NaN",(_xlfn.XLOOKUP($B53,rf1_data!$B:$B,rf1_data!N:N,"NaN")))</f>
        <v>3.83</v>
      </c>
      <c r="W53" s="5">
        <f>IF(_xlfn.XLOOKUP($B53,rf1_data!$B:$B,rf1_data!O:O,"NaN")="","NaN",(_xlfn.XLOOKUP($B53,rf1_data!$B:$B,rf1_data!O:O,"NaN")))</f>
        <v>6</v>
      </c>
      <c r="X53" s="5">
        <f>IF(_xlfn.XLOOKUP($B53,rf1_data!$B:$B,rf1_data!P:P,"NaN")="","NaN",(_xlfn.XLOOKUP($B53,rf1_data!$B:$B,rf1_data!P:P,"NaN")))</f>
        <v>5.67</v>
      </c>
      <c r="Y53" s="5">
        <f>IF(_xlfn.XLOOKUP($B53,rf1_data!$B:$B,rf1_data!Q:Q,"NaN")="","NaN",(_xlfn.XLOOKUP($B53,rf1_data!$B:$B,rf1_data!Q:Q,"NaN")))</f>
        <v>5.3</v>
      </c>
      <c r="Z53" s="5">
        <f>IF(_xlfn.XLOOKUP($B53,rf1_data!$B:$B,rf1_data!R:R,"NaN")="","NaN",(_xlfn.XLOOKUP($B53,rf1_data!$B:$B,rf1_data!R:R,"NaN")))</f>
        <v>26</v>
      </c>
      <c r="AA53" s="5">
        <f>IF(_xlfn.XLOOKUP($B53,rf1_data!$B:$B,rf1_data!S:S,"NaN")="","NaN",(_xlfn.XLOOKUP($B53,rf1_data!$B:$B,rf1_data!S:S,"NaN")))</f>
        <v>9</v>
      </c>
      <c r="AB53" s="5">
        <f>IF(_xlfn.XLOOKUP($B53,rf1_data!$B:$B,rf1_data!T:T,"NaN")="","NaN",(_xlfn.XLOOKUP($B53,rf1_data!$B:$B,rf1_data!T:T,"NaN")))</f>
        <v>14</v>
      </c>
      <c r="AC53" s="5">
        <f>IF(_xlfn.XLOOKUP($B53,rf1_data!$B:$B,rf1_data!U:U,"NaN")="","NaN",(_xlfn.XLOOKUP($B53,rf1_data!$B:$B,rf1_data!U:U,"NaN")))</f>
        <v>2</v>
      </c>
      <c r="AD53" s="5">
        <f>IF(_xlfn.XLOOKUP($B53,rf1_data!$B:$B,rf1_data!V:V,"NaN")="","NaN",(_xlfn.XLOOKUP($B53,rf1_data!$B:$B,rf1_data!V:V,"NaN")))</f>
        <v>1</v>
      </c>
      <c r="AE53" s="5">
        <f>IF(_xlfn.XLOOKUP($B53,rf1_data!$B:$B,rf1_data!W:W,"NaN")="","NaN",(_xlfn.XLOOKUP($B53,rf1_data!$B:$B,rf1_data!W:W,"NaN")))</f>
        <v>1</v>
      </c>
      <c r="AF53" s="5">
        <f>IF(_xlfn.XLOOKUP($B53,rf1_data!$B:$B,rf1_data!X:X,"NaN")="","NaN",(_xlfn.XLOOKUP($B53,rf1_data!$B:$B,rf1_data!X:X,"NaN")))</f>
        <v>4</v>
      </c>
      <c r="AG53" s="5">
        <f>IF(_xlfn.XLOOKUP($B53,rf1_data!$B:$B,rf1_data!Y:Y,"NaN")="","NaN",(_xlfn.XLOOKUP($B53,rf1_data!$B:$B,rf1_data!Y:Y,"NaN")))</f>
        <v>6</v>
      </c>
      <c r="AH53" s="5">
        <f>IF(_xlfn.XLOOKUP($B53,rf1_data!$B:$B,rf1_data!Z:Z,"NaN")="","NaN",(_xlfn.XLOOKUP($B53,rf1_data!$B:$B,rf1_data!Z:Z,"NaN")))</f>
        <v>2</v>
      </c>
      <c r="AI53" s="5">
        <f>IF(_xlfn.XLOOKUP($B53,rf1_data!$B:$B,rf1_data!AA:AA,"NaN")="","NaN",(_xlfn.XLOOKUP($B53,rf1_data!$B:$B,rf1_data!AA:AA,"NaN")))</f>
        <v>2</v>
      </c>
      <c r="AJ53" s="5">
        <f>IF(_xlfn.XLOOKUP($B53,rf1_data!$B:$B,rf1_data!AB:AB,"NaN")="","NaN",(_xlfn.XLOOKUP($B53,rf1_data!$B:$B,rf1_data!AB:AB,"NaN")))</f>
        <v>15</v>
      </c>
      <c r="AK53" s="5">
        <f>IF(_xlfn.XLOOKUP($B53,rf1_data!$B:$B,rf1_data!AC:AC,"NaN")="","NaN",(_xlfn.XLOOKUP($B53,rf1_data!$B:$B,rf1_data!AC:AC,"NaN")))</f>
        <v>22</v>
      </c>
      <c r="AL53" s="5">
        <f>IF(_xlfn.XLOOKUP($B53,rf1_data!$B:$B,rf1_data!AD:AD,"NaN")="","NaN",(_xlfn.XLOOKUP($B53,rf1_data!$B:$B,rf1_data!AD:AD,"NaN")))</f>
        <v>10</v>
      </c>
      <c r="AM53" s="5">
        <f>IF(_xlfn.XLOOKUP($B53,rf1_data!$B:$B,rf1_data!AE:AE,"NaN")="","NaN",(_xlfn.XLOOKUP($B53,rf1_data!$B:$B,rf1_data!AE:AE,"NaN")))</f>
        <v>0</v>
      </c>
      <c r="AN53" s="5">
        <f>IF(_xlfn.XLOOKUP($B53,rf1_data!$B:$B,rf1_data!AF:AF,"NaN")="","NaN",(_xlfn.XLOOKUP($B53,rf1_data!$B:$B,rf1_data!AF:AF,"NaN")))</f>
        <v>0</v>
      </c>
      <c r="AO53" s="5">
        <f>IF(_xlfn.XLOOKUP($B53,rf1_data!$B:$B,rf1_data!AG:AG,"NaN")="","NaN",(_xlfn.XLOOKUP($B53,rf1_data!$B:$B,rf1_data!AG:AG,"NaN")))</f>
        <v>6.67</v>
      </c>
      <c r="AP53" s="5">
        <f>IF(_xlfn.XLOOKUP($B53,rf1_data!$B:$B,rf1_data!AH:AH,"NaN")="","NaN",(_xlfn.XLOOKUP($B53,rf1_data!$B:$B,rf1_data!AH:AH,"NaN")))</f>
        <v>7</v>
      </c>
      <c r="AQ53" s="5">
        <f>IF(_xlfn.XLOOKUP($B53,rf1_data!$B:$B,rf1_data!AI:AI,"NaN")="","NaN",(_xlfn.XLOOKUP($B53,rf1_data!$B:$B,rf1_data!AI:AI,"NaN")))</f>
        <v>6</v>
      </c>
      <c r="AR53" s="5">
        <f>IF(_xlfn.XLOOKUP($B53,rf1_data!$B:$B,rf1_data!AJ:AJ,"NaN")="","NaN",(_xlfn.XLOOKUP($B53,rf1_data!$B:$B,rf1_data!AJ:AJ,"NaN")))</f>
        <v>7</v>
      </c>
      <c r="AS53" s="5">
        <f>IF(_xlfn.XLOOKUP($B53,rf1_data!$B:$B,rf1_data!AK:AK,"NaN")="","NaN",(_xlfn.XLOOKUP($B53,rf1_data!$B:$B,rf1_data!AK:AK,"NaN")))</f>
        <v>3.8</v>
      </c>
      <c r="AT53" s="5">
        <f>IF(_xlfn.XLOOKUP($B53,rf1_data!$B:$B,rf1_data!AL:AL,"NaN")="","NaN",(_xlfn.XLOOKUP($B53,rf1_data!$B:$B,rf1_data!AL:AL,"NaN")))</f>
        <v>18</v>
      </c>
      <c r="AU53" s="5">
        <f>IF(_xlfn.XLOOKUP($B53,rf1_data!$B:$B,rf1_data!AM:AM,"NaN")="","NaN",(_xlfn.XLOOKUP($B53,rf1_data!$B:$B,rf1_data!AM:AM,"NaN")))</f>
        <v>2.75</v>
      </c>
      <c r="AV53" s="5">
        <f>IF(_xlfn.XLOOKUP($B53,rf1_data!$B:$B,rf1_data!AN:AN,"NaN")="","NaN",(_xlfn.XLOOKUP($B53,rf1_data!$B:$B,rf1_data!AN:AN,"NaN")))</f>
        <v>0</v>
      </c>
      <c r="AW53" s="5">
        <f>IF(_xlfn.XLOOKUP($B53,rf1_data!$B:$B,rf1_data!AO:AO,"NaN")="","NaN",(_xlfn.XLOOKUP($B53,rf1_data!$B:$B,rf1_data!AO:AO,"NaN")))</f>
        <v>1.67</v>
      </c>
      <c r="AX53" s="5">
        <f>IF(_xlfn.XLOOKUP($B53,rf1_data!$B:$B,rf1_data!AP:AP,"NaN")="","NaN",(_xlfn.XLOOKUP($B53,rf1_data!$B:$B,rf1_data!AP:AP,"NaN")))</f>
        <v>3.14</v>
      </c>
      <c r="AY53" s="5" t="str">
        <f>IF(_xlfn.XLOOKUP($B53,rf1_data!$B:$B,rf1_data!AQ:AQ,"NaN")="","NaN",(_xlfn.XLOOKUP($B53,rf1_data!$B:$B,rf1_data!AQ:AQ,"NaN")))</f>
        <v>NaN</v>
      </c>
      <c r="AZ53" s="5">
        <f>IF(_xlfn.XLOOKUP($B53,rf1_data!$B:$B,rf1_data!AR:AR,"NaN")="","NaN",(_xlfn.XLOOKUP($B53,rf1_data!$B:$B,rf1_data!AR:AR,"NaN")))</f>
        <v>32</v>
      </c>
      <c r="BA53" s="5">
        <f>IF(_xlfn.XLOOKUP($B53,rf1_data!$B:$B,rf1_data!AS:AS,"NaN")="","NaN",(_xlfn.XLOOKUP($B53,rf1_data!$B:$B,rf1_data!AS:AS,"NaN")))</f>
        <v>0</v>
      </c>
      <c r="BB53" s="5">
        <f>IF(_xlfn.XLOOKUP($B53,rf1_data!$B:$B,rf1_data!AT:AT,"NaN")="","NaN",(_xlfn.XLOOKUP($B53,rf1_data!$B:$B,rf1_data!AT:AT,"NaN")))</f>
        <v>1</v>
      </c>
      <c r="BC53" s="5">
        <f>IF(_xlfn.XLOOKUP($B53,rf1_data!$B:$B,rf1_data!AU:AU,"NaN")="","NaN",(_xlfn.XLOOKUP($B53,rf1_data!$B:$B,rf1_data!AU:AU,"NaN")))</f>
        <v>0</v>
      </c>
      <c r="BD53" s="5">
        <f>IF(_xlfn.XLOOKUP($B53,rf1_data!$B:$B,rf1_data!AV:AV,"NaN")="","NaN",(_xlfn.XLOOKUP($B53,rf1_data!$B:$B,rf1_data!AV:AV,"NaN")))</f>
        <v>0.75</v>
      </c>
      <c r="BE53" s="5">
        <f>IF(_xlfn.XLOOKUP($B53,rf1_data!$B:$B,rf1_data!AW:AW,"NaN")="","NaN",(_xlfn.XLOOKUP($B53,rf1_data!$B:$B,rf1_data!AW:AW,"NaN")))</f>
        <v>0.25</v>
      </c>
      <c r="BF53" s="5">
        <f>IF(_xlfn.XLOOKUP($B53,rf1_data!$B:$B,rf1_data!AX:AX,"NaN")="","NaN",(_xlfn.XLOOKUP($B53,rf1_data!$B:$B,rf1_data!AX:AX,"NaN")))</f>
        <v>0.25</v>
      </c>
      <c r="BG53" s="5">
        <f>IF(_xlfn.XLOOKUP($B53,rf1_data!$B:$B,rf1_data!AY:AY,"NaN")="","NaN",(_xlfn.XLOOKUP($B53,rf1_data!$B:$B,rf1_data!AY:AY,"NaN")))</f>
        <v>0</v>
      </c>
      <c r="BH53" s="5">
        <f>IF(_xlfn.XLOOKUP($B53,rf1_data!$B:$B,rf1_data!AZ:AZ,"NaN")="","NaN",(_xlfn.XLOOKUP($B53,rf1_data!$B:$B,rf1_data!AZ:AZ,"NaN")))</f>
        <v>0.32142857142857101</v>
      </c>
      <c r="BI53" s="5">
        <f>IF(_xlfn.XLOOKUP($B53,rf1_data!$B:$B,rf1_data!BA:BA,"NaN")="","NaN",(_xlfn.XLOOKUP($B53,rf1_data!$B:$B,rf1_data!BA:BA,"NaN")))</f>
        <v>101</v>
      </c>
      <c r="BJ53" s="5">
        <f>IF(_xlfn.XLOOKUP($B53,rf1_data!$B:$B,rf1_data!BB:BB,"NaN")="","NaN",(_xlfn.XLOOKUP($B53,rf1_data!$B:$B,rf1_data!BB:BB,"NaN")))</f>
        <v>81</v>
      </c>
      <c r="BK53" s="5" t="str">
        <f>IF(_xlfn.XLOOKUP($B53,rf1_data!$B:$B,rf1_data!BC:BC,"NaN")="","NaN",(_xlfn.XLOOKUP($B53,rf1_data!$B:$B,rf1_data!BC:BC,"NaN")))</f>
        <v>NaN</v>
      </c>
      <c r="BL53" s="5" t="str">
        <f>IF(_xlfn.XLOOKUP($B53,rf1_data!$B:$B,rf1_data!BD:BD,"NaN")="","NaN",(_xlfn.XLOOKUP($B53,rf1_data!$B:$B,rf1_data!BD:BD,"NaN")))</f>
        <v>NaN</v>
      </c>
      <c r="BM53" s="5" t="str">
        <f>IF(_xlfn.XLOOKUP($B53,rf1_data!$B:$B,rf1_data!BE:BE,"NaN")="","NaN",(_xlfn.XLOOKUP($B53,rf1_data!$B:$B,rf1_data!BE:BE,"NaN")))</f>
        <v>NaN</v>
      </c>
      <c r="BN53" s="5" t="str">
        <f>IF(_xlfn.XLOOKUP($B53,rf1_data!$B:$B,rf1_data!BF:BF,"NaN")="","NaN",(_xlfn.XLOOKUP($B53,rf1_data!$B:$B,rf1_data!BF:BF,"NaN")))</f>
        <v>NaN</v>
      </c>
      <c r="BO53" s="5" t="str">
        <f>IF(_xlfn.XLOOKUP($B53,rf1_data!$B:$B,rf1_data!BG:BG,"NaN")="","NaN",(_xlfn.XLOOKUP($B53,rf1_data!$B:$B,rf1_data!BG:BG,"NaN")))</f>
        <v>NaN</v>
      </c>
      <c r="BP53" s="5">
        <f>IF(_xlfn.XLOOKUP($B53,rf1_data!$B:$B,rf1_data!BH:BH,"NaN")="","NaN",(_xlfn.XLOOKUP($B53,rf1_data!$B:$B,rf1_data!BH:BH,"NaN")))</f>
        <v>63</v>
      </c>
      <c r="BQ53" s="5">
        <f>IF(_xlfn.XLOOKUP($B53,rf1_data!$B:$B,rf1_data!BI:BI,"NaN")="","NaN",(_xlfn.XLOOKUP($B53,rf1_data!$B:$B,rf1_data!BI:BI,"NaN")))</f>
        <v>41</v>
      </c>
      <c r="BR53" s="5">
        <f>IF(_xlfn.XLOOKUP($B53,rf1_data!$B:$B,rf1_data!BJ:BJ,"NaN")="","NaN",(_xlfn.XLOOKUP($B53,rf1_data!$B:$B,rf1_data!BJ:BJ,"NaN")))</f>
        <v>8991</v>
      </c>
      <c r="BS53" s="5" t="str">
        <f>IF(_xlfn.XLOOKUP($B53,rf1_data!$B:$B,rf1_data!BK:BK,"NaN")="","NaN",(_xlfn.XLOOKUP($B53,rf1_data!$B:$B,rf1_data!BK:BK,"NaN")))</f>
        <v>NaN</v>
      </c>
      <c r="BT53" s="5" t="str">
        <f>IF(_xlfn.XLOOKUP($B53,rf1_data!$B:$B,rf1_data!BL:BL,"NaN")="","NaN",(_xlfn.XLOOKUP($B53,rf1_data!$B:$B,rf1_data!BL:BL,"NaN")))</f>
        <v>NaN</v>
      </c>
      <c r="BU53" s="5" t="str">
        <f>IF(_xlfn.XLOOKUP($B53,rf1_data!$B:$B,rf1_data!BM:BM,"NaN")="","NaN",(_xlfn.XLOOKUP($B53,rf1_data!$B:$B,rf1_data!BM:BM,"NaN")))</f>
        <v>NaN</v>
      </c>
      <c r="BV53" s="5" t="str">
        <f>IF(_xlfn.XLOOKUP($B53,rf1_data!$B:$B,rf1_data!BN:BN,"NaN")="","NaN",(_xlfn.XLOOKUP($B53,rf1_data!$B:$B,rf1_data!BN:BN,"NaN")))</f>
        <v>NaN</v>
      </c>
      <c r="BW53" s="5">
        <f>IF(_xlfn.XLOOKUP($B53,rf1_data!$B:$B,rf1_data!BO:BO,"NaN")="","NaN",(_xlfn.XLOOKUP($B53,rf1_data!$B:$B,rf1_data!BO:BO,"NaN")))</f>
        <v>4</v>
      </c>
      <c r="BX53" s="5">
        <f>IF(_xlfn.XLOOKUP($B53,rf1_data!$B:$B,rf1_data!BP:BP,"NaN")="","NaN",(_xlfn.XLOOKUP($B53,rf1_data!$B:$B,rf1_data!BP:BP,"NaN")))</f>
        <v>3.5</v>
      </c>
      <c r="BY53" s="5">
        <f>IF(_xlfn.XLOOKUP($B53,rf1_data!$B:$B,rf1_data!BQ:BQ,"NaN")="","NaN",(_xlfn.XLOOKUP($B53,rf1_data!$B:$B,rf1_data!BQ:BQ,"NaN")))</f>
        <v>3.6</v>
      </c>
      <c r="BZ53" s="5">
        <f>IF(_xlfn.XLOOKUP($B53,rf1_data!$B:$B,rf1_data!BR:BR,"NaN")="","NaN",(_xlfn.XLOOKUP($B53,rf1_data!$B:$B,rf1_data!BR:BR,"NaN")))</f>
        <v>3.7</v>
      </c>
      <c r="CA53" s="5">
        <f>IF(_xlfn.XLOOKUP($B53,rf1_data!$B:$B,rf1_data!BS:BS,"NaN")="","NaN",(_xlfn.XLOOKUP($B53,rf1_data!$B:$B,rf1_data!BS:BS,"NaN")))</f>
        <v>3.5</v>
      </c>
      <c r="CB53" s="5">
        <f>IF(_xlfn.XLOOKUP($B53,rf1_data!$B:$B,rf1_data!BT:BT,"NaN")="","NaN",(_xlfn.XLOOKUP($B53,rf1_data!$B:$B,rf1_data!BT:BT,"NaN")))</f>
        <v>3.5</v>
      </c>
      <c r="CC53" s="5">
        <f>IF(_xlfn.XLOOKUP($B53,rf1_data!$B:$B,rf1_data!BU:BU,"NaN")="","NaN",(_xlfn.XLOOKUP($B53,rf1_data!$B:$B,rf1_data!BU:BU,"NaN")))</f>
        <v>3.5</v>
      </c>
      <c r="CD53" s="5">
        <f>IF(_xlfn.XLOOKUP($B53,rf1_data!$B:$B,rf1_data!BV:BV,"NaN")="","NaN",(_xlfn.XLOOKUP($B53,rf1_data!$B:$B,rf1_data!BV:BV,"NaN")))</f>
        <v>6</v>
      </c>
      <c r="CE53" s="5">
        <f>IF(_xlfn.XLOOKUP($B53,rf1_data!$B:$B,rf1_data!BW:BW,"NaN")="","NaN",(_xlfn.XLOOKUP($B53,rf1_data!$B:$B,rf1_data!BW:BW,"NaN")))</f>
        <v>0.95</v>
      </c>
      <c r="CF53" s="5">
        <f>IF(_xlfn.XLOOKUP($B53,rf1_data!$B:$B,rf1_data!BX:BX,"NaN")="","NaN",(_xlfn.XLOOKUP($B53,rf1_data!$B:$B,rf1_data!BX:BX,"NaN")))</f>
        <v>0</v>
      </c>
      <c r="CG53" s="5">
        <f>IF(_xlfn.XLOOKUP($B53,rf1_data!$B:$B,rf1_data!BY:BY,"NaN")="","NaN",(_xlfn.XLOOKUP($B53,rf1_data!$B:$B,rf1_data!BY:BY,"NaN")))</f>
        <v>0</v>
      </c>
      <c r="CH53" s="5">
        <f>IF(_xlfn.XLOOKUP($B53,rf1_data!$B:$B,rf1_data!BZ:BZ,"NaN")="","NaN",(_xlfn.XLOOKUP($B53,rf1_data!$B:$B,rf1_data!BZ:BZ,"NaN")))</f>
        <v>26</v>
      </c>
      <c r="CI53" s="5">
        <f>IF(_xlfn.XLOOKUP($B53,rf1_data!$B:$B,rf1_data!CA:CA,"NaN")="","NaN",(_xlfn.XLOOKUP($B53,rf1_data!$B:$B,rf1_data!CA:CA,"NaN")))</f>
        <v>15</v>
      </c>
      <c r="CJ53" s="5">
        <f>IF(_xlfn.XLOOKUP($B53,rf1_data!$B:$B,rf1_data!CB:CB,"NaN")="","NaN",(_xlfn.XLOOKUP($B53,rf1_data!$B:$B,rf1_data!CB:CB,"NaN")))</f>
        <v>10</v>
      </c>
      <c r="CK53" s="5">
        <f>IF(_xlfn.XLOOKUP($B53,rf1_data!$B:$B,rf1_data!CC:CC,"NaN")="","NaN",(_xlfn.XLOOKUP($B53,rf1_data!$B:$B,rf1_data!CC:CC,"NaN")))</f>
        <v>1</v>
      </c>
      <c r="CL53" s="5">
        <f>IF(_xlfn.XLOOKUP($B53,rf1_data!$B:$B,rf1_data!CD:CD,"NaN")=0,"NaN",(_xlfn.XLOOKUP($B53,rf1_data!$B:$B,rf1_data!CD:CD,"NaN")))</f>
        <v>36</v>
      </c>
      <c r="CM53" s="5" t="str">
        <f>IF(_xlfn.XLOOKUP($B53,rf1_data!$B:$B,rf1_data!CE:CE,"NaN")="","NaN",(_xlfn.XLOOKUP($B53,rf1_data!$B:$B,rf1_data!CE:CE,"NaN")))</f>
        <v>NaN</v>
      </c>
      <c r="CN53" s="5" t="str">
        <f>IF(_xlfn.XLOOKUP($B53,rf1_data!$B:$B,rf1_data!CF:CF,"NaN")="","NaN",(_xlfn.XLOOKUP($B53,rf1_data!$B:$B,rf1_data!CF:CF,"NaN")))</f>
        <v>NaN</v>
      </c>
      <c r="CO53" s="5">
        <f>IF(_xlfn.XLOOKUP($B53,rf1_data!$B:$B,rf1_data!CG:CG,"NaN")="","NaN",(_xlfn.XLOOKUP($B53,rf1_data!$B:$B,rf1_data!CG:CG,"NaN")))</f>
        <v>29</v>
      </c>
      <c r="CP53" s="5">
        <f>IF(_xlfn.XLOOKUP($B53,rf1_data!$B:$B,rf1_data!CH:CH,"NaN")=0,"NaN",(_xlfn.XLOOKUP($B53,rf1_data!$B:$B,rf1_data!CH:CH,"NaN")))</f>
        <v>30</v>
      </c>
      <c r="CQ53" s="5">
        <f>IF(_xlfn.XLOOKUP($B53,rf1_data!$B:$B,rf1_data!CI:CI,"NaN")="","NaN",(_xlfn.XLOOKUP($B53,rf1_data!$B:$B,rf1_data!CI:CI,"NaN")))</f>
        <v>48</v>
      </c>
      <c r="CR53" s="5">
        <f>IF(_xlfn.XLOOKUP($B53,rf1_data!$B:$B,rf1_data!CJ:CJ,"NaN")="","NaN",(_xlfn.XLOOKUP($B53,rf1_data!$B:$B,rf1_data!CJ:CJ,"NaN")))</f>
        <v>60</v>
      </c>
      <c r="CS53" s="5">
        <f>IF(_xlfn.XLOOKUP($B53,rf1_data!$B:$B,rf1_data!CK:CK,"NaN")="","NaN",(_xlfn.XLOOKUP($B53,rf1_data!$B:$B,rf1_data!CK:CK,"NaN")))</f>
        <v>45</v>
      </c>
      <c r="CT53" s="5">
        <f>IF(_xlfn.XLOOKUP($B53,rf1_data!$B:$B,rf1_data!CL:CL,"NaN")="","NaN",(_xlfn.XLOOKUP($B53,rf1_data!$B:$B,rf1_data!CL:CL,"NaN")))</f>
        <v>60</v>
      </c>
      <c r="CU53" s="5" t="str">
        <f>IF(_xlfn.XLOOKUP($B53,rf1_data!$B:$B,rf1_data!CM:CM,"NaN")="","NaN",(_xlfn.XLOOKUP($B53,rf1_data!$B:$B,rf1_data!CM:CM,"NaN")))</f>
        <v>NaN</v>
      </c>
      <c r="CV53" s="5" t="str">
        <f>IF(_xlfn.XLOOKUP($B53,rf1_data!$B:$B,rf1_data!CN:CN,"NaN")="","NaN",(_xlfn.XLOOKUP($B53,rf1_data!$B:$B,rf1_data!CN:CN,"NaN")))</f>
        <v>NaN</v>
      </c>
      <c r="CW53" s="5" t="str">
        <f>IF(_xlfn.XLOOKUP($B53,rf1_data!$B:$B,rf1_data!CO:CO,"NaN")="","NaN",(_xlfn.XLOOKUP($B53,rf1_data!$B:$B,rf1_data!CO:CO,"NaN")))</f>
        <v>NaN</v>
      </c>
      <c r="CX53" s="5" t="str">
        <f>IF(_xlfn.XLOOKUP($B53,rf1_data!$B:$B,rf1_data!CP:CP,"NaN")="","NaN",(_xlfn.XLOOKUP($B53,rf1_data!$B:$B,rf1_data!CP:CP,"NaN")))</f>
        <v>NaN</v>
      </c>
      <c r="CY53" s="5">
        <f>IF(_xlfn.XLOOKUP($B53,rf1_data!$B:$B,rf1_data!CQ:CQ,"NaN")="","NaN",(_xlfn.XLOOKUP($B53,rf1_data!$B:$B,rf1_data!CQ:CQ,"NaN")))</f>
        <v>6</v>
      </c>
      <c r="CZ53" s="5">
        <f>IF(_xlfn.XLOOKUP($B53,rf1_data!$B:$B,rf1_data!CR:CR,"NaN")="","NaN",(_xlfn.XLOOKUP($B53,rf1_data!$B:$B,rf1_data!CR:CR,"NaN")))</f>
        <v>1</v>
      </c>
      <c r="DA53" s="5">
        <f>IF(_xlfn.XLOOKUP($B53,rf1_data!$B:$B,rf1_data!CS:CS,"NaN")="","NaN",(_xlfn.XLOOKUP($B53,rf1_data!$B:$B,rf1_data!CS:CS,"NaN")))</f>
        <v>1</v>
      </c>
      <c r="DB53" s="4">
        <f>IF(_xlfn.XLOOKUP($B53,island_data!$B:$B,island_data!H:H,"NaN")="","NaN",_xlfn.XLOOKUP($B53,island_data!$B:$B,island_data!H:H,"NaN"))</f>
        <v>8</v>
      </c>
      <c r="DC53" s="4">
        <f>IF(_xlfn.XLOOKUP($B53,island_data!$B:$B,island_data!I:I,"NaN")="","NaN",_xlfn.XLOOKUP($B53,island_data!$B:$B,island_data!I:I,"NaN"))</f>
        <v>0</v>
      </c>
      <c r="DD53" s="4">
        <f>IF(_xlfn.XLOOKUP($B53,island_data!$B:$B,island_data!J:J,"NaN")="","NaN",_xlfn.XLOOKUP($B53,island_data!$B:$B,island_data!J:J,"NaN"))</f>
        <v>1</v>
      </c>
      <c r="DE53" s="4">
        <f>IF(_xlfn.XLOOKUP($B53,island_data!$B:$B,island_data!K:K,"NaN")="","NaN",_xlfn.XLOOKUP($B53,island_data!$B:$B,island_data!K:K,"NaN"))</f>
        <v>11</v>
      </c>
      <c r="DF53" s="4">
        <f>IF(_xlfn.XLOOKUP($B53,island_data!$B:$B,island_data!L:L,"NaN")="","NaN",_xlfn.XLOOKUP($B53,island_data!$B:$B,island_data!L:L,"NaN"))</f>
        <v>28</v>
      </c>
      <c r="DG53" s="4">
        <f>IF(_xlfn.XLOOKUP($B53,island_data!$B:$B,island_data!M:M,"NaN")="","NaN",_xlfn.XLOOKUP($B53,island_data!$B:$B,island_data!M:M,"NaN"))</f>
        <v>2.6111111111111098</v>
      </c>
      <c r="DH53" s="4">
        <f>IF(_xlfn.XLOOKUP($B53,island_data!$B:$B,island_data!N:N,"NaN")="","NaN",_xlfn.XLOOKUP($B53,island_data!$B:$B,island_data!N:N,"NaN"))</f>
        <v>9</v>
      </c>
      <c r="DI53" s="4" t="str">
        <f>IF(_xlfn.XLOOKUP($B53,island_data!$B:$B,island_data!O:O,"NaN")=999,"NaN",_xlfn.XLOOKUP($B53,island_data!$B:$B,island_data!O:O,"NaN"))</f>
        <v>NaN</v>
      </c>
      <c r="DJ53" s="4">
        <f>IF(_xlfn.XLOOKUP($B53,island_data!$B:$B,island_data!P:P,"NaN")="","NaN",_xlfn.XLOOKUP($B53,island_data!$B:$B,island_data!P:P,"NaN"))</f>
        <v>8</v>
      </c>
      <c r="DK53" s="4">
        <f>IF(_xlfn.XLOOKUP($B53,island_data!$B:$B,island_data!Q:Q,"NaN")="","NaN",_xlfn.XLOOKUP($B53,island_data!$B:$B,island_data!Q:Q,"NaN"))</f>
        <v>3</v>
      </c>
      <c r="DL53" s="4" t="str">
        <f>IF(_xlfn.XLOOKUP($B53,island_data!$B:$B,island_data!R:R,"NaN")=999,"NaN",_xlfn.XLOOKUP($B53,island_data!$B:$B,island_data!R:R,"NaN"))</f>
        <v>NaN</v>
      </c>
      <c r="DM53" s="4">
        <f>IF(_xlfn.XLOOKUP($B53,island_data!$B:$B,island_data!S:S,"NaN")="","NaN",_xlfn.XLOOKUP($B53,island_data!$B:$B,island_data!S:S,"NaN"))</f>
        <v>7</v>
      </c>
      <c r="DN53" s="4">
        <f>IF(_xlfn.XLOOKUP($B53,island_data!$B:$B,island_data!T:T,"NaN")="","NaN",_xlfn.XLOOKUP($B53,island_data!$B:$B,island_data!T:T,"NaN"))</f>
        <v>4.3333333333333304</v>
      </c>
      <c r="DO53" s="4">
        <f>IF(_xlfn.XLOOKUP($B53,island_data!$B:$B,island_data!U:U,"NaN")="","NaN",_xlfn.XLOOKUP($B53,island_data!$B:$B,island_data!U:U,"NaN"))</f>
        <v>5</v>
      </c>
      <c r="DP53" s="4">
        <f>IF(_xlfn.XLOOKUP($B53,island_data!$B:$B,island_data!V:V,"NaN")="","NaN",_xlfn.XLOOKUP($B53,island_data!$B:$B,island_data!V:V,"NaN"))</f>
        <v>2</v>
      </c>
      <c r="DQ53" s="4">
        <f>IF(_xlfn.XLOOKUP($B53,island_data!$B:$B,island_data!W:W,"NaN")="","NaN",_xlfn.XLOOKUP($B53,island_data!$B:$B,island_data!W:W,"NaN"))</f>
        <v>5</v>
      </c>
      <c r="DR53" s="4">
        <f>IF(_xlfn.XLOOKUP($B53,island_data!$B:$B,island_data!X:X,"NaN")="","NaN",_xlfn.XLOOKUP($B53,island_data!$B:$B,island_data!X:X,"NaN"))</f>
        <v>5</v>
      </c>
      <c r="DS53" s="4" t="str">
        <f>IF(_xlfn.XLOOKUP($B53,island_data!$B:$B,island_data!Y:Y,"NaN")="","NaN",_xlfn.XLOOKUP($B53,island_data!$B:$B,island_data!Y:Y,"NaN"))</f>
        <v>NaN</v>
      </c>
      <c r="DT53" s="4" t="str">
        <f>IF(_xlfn.XLOOKUP($B53,island_data!$B:$B,island_data!Z:Z,"NaN")="","NaN",_xlfn.XLOOKUP($B53,island_data!$B:$B,island_data!Z:Z,"NaN"))</f>
        <v>NaN</v>
      </c>
      <c r="DU53" s="4" t="str">
        <f>IF(_xlfn.XLOOKUP($B53,island_data!$B:$B,island_data!AA:AA,"NaN")="","NaN",_xlfn.XLOOKUP($B53,island_data!$B:$B,island_data!AA:AA,"NaN"))</f>
        <v>NaN</v>
      </c>
      <c r="DV53" s="4" t="str">
        <f>IF(_xlfn.XLOOKUP($B53,island_data!$B:$B,island_data!AB:AB,"NaN")="","NaN",_xlfn.XLOOKUP($B53,island_data!$B:$B,island_data!AB:AB,"NaN"))</f>
        <v>NaN</v>
      </c>
      <c r="DW53" s="4">
        <f>IF(_xlfn.XLOOKUP($B53,island_data!$B:$B,island_data!AC:AC,"NaN")="","NaN",_xlfn.XLOOKUP($B53,island_data!$B:$B,island_data!AC:AC,"NaN"))</f>
        <v>19061</v>
      </c>
      <c r="DX53" s="4">
        <f>IF(_xlfn.XLOOKUP($B53,island_data!$B:$B,island_data!AD:AD,"NaN")="","NaN",_xlfn.XLOOKUP($B53,island_data!$B:$B,island_data!AD:AD,"NaN"))</f>
        <v>5</v>
      </c>
      <c r="DY53" s="4">
        <f>IF(_xlfn.XLOOKUP($B53,island_data!$B:$B,island_data!AE:AE,"NaN")="","NaN",_xlfn.XLOOKUP($B53,island_data!$B:$B,island_data!AE:AE,"NaN"))</f>
        <v>1</v>
      </c>
      <c r="DZ53" s="4" t="str">
        <f>IF(_xlfn.XLOOKUP($B53,island_data!$B:$B,island_data!AF:AF,"NaN")="","NaN",_xlfn.XLOOKUP($B53,island_data!$B:$B,island_data!AF:AF,"NaN"))</f>
        <v>NaN</v>
      </c>
      <c r="EA53" s="4" t="str">
        <f>IF(_xlfn.XLOOKUP($B53,island_data!$B:$B,island_data!AG:AG,"NaN")="","NaN",_xlfn.XLOOKUP($B53,island_data!$B:$B,island_data!AG:AG,"NaN"))</f>
        <v>NaN</v>
      </c>
      <c r="EB53" s="4" t="str">
        <f>IF(_xlfn.XLOOKUP($B53,island_data!$B:$B,island_data!AH:AH,"NaN")="","NaN",_xlfn.XLOOKUP($B53,island_data!$B:$B,island_data!AH:AH,"NaN"))</f>
        <v>NaN</v>
      </c>
      <c r="EC53" s="4" t="str">
        <f>IF(_xlfn.XLOOKUP($B53,island_data!$B:$B,island_data!AI:AI,"NaN")="","NaN",_xlfn.XLOOKUP($B53,island_data!$B:$B,island_data!AI:AI,"NaN"))</f>
        <v>NaN</v>
      </c>
      <c r="ED53" s="4" t="str">
        <f>IF(_xlfn.XLOOKUP($B53,island_data!$B:$B,island_data!AJ:AJ,"NaN")="","NaN",_xlfn.XLOOKUP($B53,island_data!$B:$B,island_data!AJ:AJ,"NaN"))</f>
        <v>NaN</v>
      </c>
      <c r="EE53" s="4" t="str">
        <f>IF(_xlfn.XLOOKUP($B53,island_data!$B:$B,island_data!AK:AK,"NaN")="","NaN",_xlfn.XLOOKUP($B53,island_data!$B:$B,island_data!AK:AK,"NaN"))</f>
        <v>NaN</v>
      </c>
      <c r="EF53" s="4" t="str">
        <f>IF(_xlfn.XLOOKUP($B53,island_data!$B:$B,island_data!AL:AL,"NaN")="","NaN",_xlfn.XLOOKUP($B53,island_data!$B:$B,island_data!AL:AL,"NaN"))</f>
        <v>NaN</v>
      </c>
      <c r="EG53" s="4" t="str">
        <f>IF(_xlfn.XLOOKUP($B53,island_data!$B:$B,island_data!AM:AM,"NaN")="","NaN",_xlfn.XLOOKUP($B53,island_data!$B:$B,island_data!AM:AM,"NaN"))</f>
        <v>NaN</v>
      </c>
      <c r="EH53" s="4" t="str">
        <f>IF(_xlfn.XLOOKUP($B53,island_data!$B:$B,island_data!AN:AN,"NaN")="","NaN",_xlfn.XLOOKUP($B53,island_data!$B:$B,island_data!AN:AN,"NaN"))</f>
        <v>NaN</v>
      </c>
      <c r="EI53" s="4" t="str">
        <f>IF(_xlfn.XLOOKUP($B53,island_data!$B:$B,island_data!AO:AO,"NaN")="","NaN",_xlfn.XLOOKUP($B53,island_data!$B:$B,island_data!AO:AO,"NaN"))</f>
        <v>NaN</v>
      </c>
      <c r="EJ53" s="8">
        <f>IF(_xlfn.XLOOKUP($A53,TabCAT!$A:$A,TabCAT!AU:AU,"NaN")="","NaN",(_xlfn.XLOOKUP($A53,TabCAT!$A:$A,TabCAT!AU:AU,"NaN")))</f>
        <v>170</v>
      </c>
      <c r="EK53" s="8" t="b">
        <f>IF(_xlfn.XLOOKUP($A53,TabCAT!$A:$A,TabCAT!AV:AV,"NaN")="","NaN",(_xlfn.XLOOKUP($A53,TabCAT!$A:$A,TabCAT!AV:AV,"NaN")))</f>
        <v>1</v>
      </c>
      <c r="EL53" s="8">
        <f>IF(_xlfn.XLOOKUP($A53,TabCAT!$A:$A,TabCAT!AW:AW,"NaN")="","NaN",(_xlfn.XLOOKUP($A53,TabCAT!$A:$A,TabCAT!AW:AW,"NaN")))</f>
        <v>5</v>
      </c>
      <c r="EM53" s="8">
        <f>IF(_xlfn.XLOOKUP($A53,TabCAT!$A:$A,TabCAT!AX:AX,"NaN")="","NaN",(_xlfn.XLOOKUP($A53,TabCAT!$A:$A,TabCAT!AX:AX,"NaN")))</f>
        <v>0</v>
      </c>
      <c r="EN53" s="8">
        <f>IF(_xlfn.XLOOKUP($A53,TabCAT!$A:$A,TabCAT!AY:AY,"NaN")="","NaN",(_xlfn.XLOOKUP($A53,TabCAT!$A:$A,TabCAT!AY:AY,"NaN")))</f>
        <v>9.5299999999999994</v>
      </c>
      <c r="EO53" s="8">
        <f>IF(_xlfn.XLOOKUP($A53,TabCAT!$A:$A,TabCAT!AZ:AZ,"NaN")="","NaN",(_xlfn.XLOOKUP($A53,TabCAT!$A:$A,TabCAT!AZ:AZ,"NaN")))</f>
        <v>32</v>
      </c>
      <c r="EP53" s="8">
        <f>IF(_xlfn.XLOOKUP($A53,TabCAT!$A:$A,TabCAT!BA:BA,"NaN")="","NaN",(_xlfn.XLOOKUP($A53,TabCAT!$A:$A,TabCAT!BA:BA,"NaN")))</f>
        <v>0.61061350000000003</v>
      </c>
      <c r="EQ53" s="8">
        <f>IF(_xlfn.XLOOKUP($A53,TabCAT!$A:$A,TabCAT!BB:BB,"NaN")="","NaN",(_xlfn.XLOOKUP($A53,TabCAT!$A:$A,TabCAT!BB:BB,"NaN")))</f>
        <v>7.8912368494458901E-2</v>
      </c>
      <c r="ER53" s="8">
        <f>IF(_xlfn.XLOOKUP($A53,TabCAT!$A:$A,TabCAT!BC:BC,"NaN")="","NaN",(_xlfn.XLOOKUP($A53,TabCAT!$A:$A,TabCAT!BC:BC,"NaN")))</f>
        <v>16</v>
      </c>
      <c r="ES53" s="8">
        <f>IF(_xlfn.XLOOKUP($A53,TabCAT!$A:$A,TabCAT!BD:BD,"NaN")="","NaN",(_xlfn.XLOOKUP($A53,TabCAT!$A:$A,TabCAT!BD:BD,"NaN")))</f>
        <v>0.55232599999999998</v>
      </c>
      <c r="ET53" s="8">
        <f>IF(_xlfn.XLOOKUP($A53,TabCAT!$A:$A,TabCAT!BE:BE,"NaN")="","NaN",(_xlfn.XLOOKUP($A53,TabCAT!$A:$A,TabCAT!BE:BE,"NaN")))</f>
        <v>16</v>
      </c>
      <c r="EU53" s="8">
        <f>IF(_xlfn.XLOOKUP($A53,TabCAT!$A:$A,TabCAT!BF:BF,"NaN")="","NaN",(_xlfn.XLOOKUP($A53,TabCAT!$A:$A,TabCAT!BF:BF,"NaN")))</f>
        <v>0.6439705</v>
      </c>
      <c r="EV53" s="8">
        <f>IF(_xlfn.XLOOKUP($A53,TabCAT!$A:$A,TabCAT!BG:BG,"NaN")="","NaN",(_xlfn.XLOOKUP($A53,TabCAT!$A:$A,TabCAT!BG:BG,"NaN")))</f>
        <v>2.0377360000000002</v>
      </c>
      <c r="EW53" s="8" t="str">
        <f>IF(_xlfn.XLOOKUP($A53,TabCAT!$A:$A,TabCAT!BH:BH,"NaN")="","NaN",(_xlfn.XLOOKUP($A53,TabCAT!$A:$A,TabCAT!BH:BH,"NaN")))</f>
        <v>3.0.0</v>
      </c>
      <c r="EX53" s="8" t="str">
        <f>IF(_xlfn.XLOOKUP($A53,TabCAT!$A:$A,TabCAT!BI:BI,"NaN")="","NaN",(_xlfn.XLOOKUP($A53,TabCAT!$A:$A,TabCAT!BI:BI,"NaN")))</f>
        <v>English</v>
      </c>
      <c r="EY53" s="8">
        <f>IF(_xlfn.XLOOKUP($A53,TabCAT!$A:$A,TabCAT!BJ:BJ,"NaN")="","NaN",(_xlfn.XLOOKUP($A53,TabCAT!$A:$A,TabCAT!BJ:BJ,"NaN")))</f>
        <v>290</v>
      </c>
      <c r="EZ53" s="8">
        <f>IF(_xlfn.XLOOKUP($A53,TabCAT!$A:$A,TabCAT!BK:BK,"NaN")="","NaN",(_xlfn.XLOOKUP($A53,TabCAT!$A:$A,TabCAT!BK:BK,"NaN")))</f>
        <v>1</v>
      </c>
      <c r="FA53" s="8">
        <f>IF(_xlfn.XLOOKUP($A53,TabCAT!$A:$A,TabCAT!BL:BL,"NaN")="","NaN",(_xlfn.XLOOKUP($A53,TabCAT!$A:$A,TabCAT!BL:BL,"NaN")))</f>
        <v>6</v>
      </c>
      <c r="FB53" s="8">
        <f>IF(_xlfn.XLOOKUP($A53,TabCAT!$A:$A,TabCAT!BM:BM,"NaN")="","NaN",(_xlfn.XLOOKUP($A53,TabCAT!$A:$A,TabCAT!BM:BM,"NaN")))</f>
        <v>1</v>
      </c>
      <c r="FC53" s="8">
        <f>IF(_xlfn.XLOOKUP($A53,TabCAT!$A:$A,TabCAT!BN:BN,"NaN")="","NaN",(_xlfn.XLOOKUP($A53,TabCAT!$A:$A,TabCAT!BN:BN,"NaN")))</f>
        <v>6</v>
      </c>
      <c r="FD53" s="8">
        <f>IF(_xlfn.XLOOKUP($A53,TabCAT!$A:$A,TabCAT!BO:BO,"NaN")="","NaN",(_xlfn.XLOOKUP($A53,TabCAT!$A:$A,TabCAT!BO:BO,"NaN")))</f>
        <v>7</v>
      </c>
      <c r="FE53" s="8">
        <f>IF(_xlfn.XLOOKUP($A53,TabCAT!$A:$A,TabCAT!BP:BP,"NaN")="","NaN",(_xlfn.XLOOKUP($A53,TabCAT!$A:$A,TabCAT!BP:BP,"NaN")))</f>
        <v>0.77777777777777701</v>
      </c>
      <c r="FF53" s="8">
        <f>IF(_xlfn.XLOOKUP($A53,TabCAT!$A:$A,TabCAT!BQ:BQ,"NaN")="","NaN",(_xlfn.XLOOKUP($A53,TabCAT!$A:$A,TabCAT!BQ:BQ,"NaN")))</f>
        <v>7</v>
      </c>
      <c r="FG53" s="8">
        <f>IF(_xlfn.XLOOKUP($A53,TabCAT!$A:$A,TabCAT!BR:BR,"NaN")="","NaN",(_xlfn.XLOOKUP($A53,TabCAT!$A:$A,TabCAT!BR:BR,"NaN")))</f>
        <v>10</v>
      </c>
      <c r="FH53" s="8">
        <f>IF(_xlfn.XLOOKUP($A53,TabCAT!$A:$A,TabCAT!BS:BS,"NaN")="","NaN",(_xlfn.XLOOKUP($A53,TabCAT!$A:$A,TabCAT!BS:BS,"NaN")))</f>
        <v>0.83333333333333304</v>
      </c>
      <c r="FI53" s="8">
        <f>IF(_xlfn.XLOOKUP($A53,TabCAT!$A:$A,TabCAT!BT:BT,"NaN")="","NaN",(_xlfn.XLOOKUP($A53,TabCAT!$A:$A,TabCAT!BT:BT,"NaN")))</f>
        <v>8.5</v>
      </c>
      <c r="FJ53" s="8">
        <f>IF(_xlfn.XLOOKUP($A53,TabCAT!$A:$A,TabCAT!BU:BU,"NaN")="","NaN",(_xlfn.XLOOKUP($A53,TabCAT!$A:$A,TabCAT!BU:BU,"NaN")))</f>
        <v>6</v>
      </c>
      <c r="FK53" s="8">
        <f>IF(_xlfn.XLOOKUP($A53,TabCAT!$A:$A,TabCAT!BV:BV,"NaN")="","NaN",(_xlfn.XLOOKUP($A53,TabCAT!$A:$A,TabCAT!BV:BV,"NaN")))</f>
        <v>0.4</v>
      </c>
      <c r="FL53" s="8">
        <f>IF(_xlfn.XLOOKUP($A53,TabCAT!$A:$A,TabCAT!BW:BW,"NaN")="","NaN",(_xlfn.XLOOKUP($A53,TabCAT!$A:$A,TabCAT!BW:BW,"NaN")))</f>
        <v>4</v>
      </c>
      <c r="FM53" s="8">
        <f>IF(_xlfn.XLOOKUP($A53,TabCAT!$A:$A,TabCAT!BX:BX,"NaN")="","NaN",(_xlfn.XLOOKUP($A53,TabCAT!$A:$A,TabCAT!BX:BX,"NaN")))</f>
        <v>29</v>
      </c>
      <c r="FN53" s="8">
        <f>IF(_xlfn.XLOOKUP($A53,TabCAT!$A:$A,TabCAT!BY:BY,"NaN")="","NaN",(_xlfn.XLOOKUP($A53,TabCAT!$A:$A,TabCAT!BY:BY,"NaN")))</f>
        <v>0.69047619047619002</v>
      </c>
      <c r="FO53" s="8">
        <f>IF(_xlfn.XLOOKUP($A53,TabCAT!$A:$A,TabCAT!BZ:BZ,"NaN")="","NaN",(_xlfn.XLOOKUP($A53,TabCAT!$A:$A,TabCAT!BZ:BZ,"NaN")))</f>
        <v>25.5</v>
      </c>
      <c r="FP53" s="8" t="str">
        <f>IF(_xlfn.XLOOKUP($A53,TabCAT!$A:$A,TabCAT!CA:CA,"NaN")="","NaN",(_xlfn.XLOOKUP($A53,TabCAT!$A:$A,TabCAT!CA:CA,"NaN")))</f>
        <v>3.0.0</v>
      </c>
      <c r="FQ53" s="8" t="str">
        <f>IF(_xlfn.XLOOKUP($A53,TabCAT!$A:$A,TabCAT!CB:CB,"NaN")="","NaN",(_xlfn.XLOOKUP($A53,TabCAT!$A:$A,TabCAT!CB:CB,"NaN")))</f>
        <v>English</v>
      </c>
      <c r="FR53" s="8">
        <f>IF(_xlfn.XLOOKUP($A53,TabCAT!$A:$A,TabCAT!CC:CC,"NaN")="","NaN",(_xlfn.XLOOKUP($A53,TabCAT!$A:$A,TabCAT!CC:CC,"NaN")))</f>
        <v>235</v>
      </c>
      <c r="FS53" s="8" t="b">
        <f>IF(_xlfn.XLOOKUP($A53,TabCAT!$A:$A,TabCAT!CD:CD,"NaN")="","NaN",(_xlfn.XLOOKUP($A53,TabCAT!$A:$A,TabCAT!CD:CD,"NaN")))</f>
        <v>1</v>
      </c>
      <c r="FT53" s="8">
        <f>IF(_xlfn.XLOOKUP($A53,TabCAT!$A:$A,TabCAT!CE:CE,"NaN")="","NaN",(_xlfn.XLOOKUP($A53,TabCAT!$A:$A,TabCAT!CE:CE,"NaN")))</f>
        <v>8</v>
      </c>
      <c r="FU53" s="8">
        <f>IF(_xlfn.XLOOKUP($A53,TabCAT!$A:$A,TabCAT!CF:CF,"NaN")="","NaN",(_xlfn.XLOOKUP($A53,TabCAT!$A:$A,TabCAT!CF:CF,"NaN")))</f>
        <v>0</v>
      </c>
      <c r="FV53" s="8">
        <f>IF(_xlfn.XLOOKUP($A53,TabCAT!$A:$A,TabCAT!CG:CG,"NaN")="","NaN",(_xlfn.XLOOKUP($A53,TabCAT!$A:$A,TabCAT!CG:CG,"NaN")))</f>
        <v>7.57</v>
      </c>
      <c r="FW53" s="8">
        <f>IF(_xlfn.XLOOKUP($A53,TabCAT!$A:$A,TabCAT!CH:CH,"NaN")="","NaN",(_xlfn.XLOOKUP($A53,TabCAT!$A:$A,TabCAT!CH:CH,"NaN")))</f>
        <v>15</v>
      </c>
      <c r="FX53" s="8">
        <f>IF(_xlfn.XLOOKUP($A53,TabCAT!$A:$A,TabCAT!CI:CI,"NaN")="","NaN",(_xlfn.XLOOKUP($A53,TabCAT!$A:$A,TabCAT!CI:CI,"NaN")))</f>
        <v>0.57914900000000002</v>
      </c>
      <c r="FY53" s="8">
        <f>IF(_xlfn.XLOOKUP($A53,TabCAT!$A:$A,TabCAT!CJ:CJ,"NaN")="","NaN",(_xlfn.XLOOKUP($A53,TabCAT!$A:$A,TabCAT!CJ:CJ,"NaN")))</f>
        <v>15</v>
      </c>
      <c r="FZ53" s="8">
        <f>IF(_xlfn.XLOOKUP($A53,TabCAT!$A:$A,TabCAT!CK:CK,"NaN")="","NaN",(_xlfn.XLOOKUP($A53,TabCAT!$A:$A,TabCAT!CK:CK,"NaN")))</f>
        <v>0.64557500000000001</v>
      </c>
      <c r="GA53" s="8">
        <f>IF(_xlfn.XLOOKUP($A53,TabCAT!$A:$A,TabCAT!CL:CL,"NaN")="","NaN",(_xlfn.XLOOKUP($A53,TabCAT!$A:$A,TabCAT!CL:CL,"NaN")))</f>
        <v>28</v>
      </c>
      <c r="GB53" s="8">
        <f>IF(_xlfn.XLOOKUP($A53,TabCAT!$A:$A,TabCAT!CM:CM,"NaN")="","NaN",(_xlfn.XLOOKUP($A53,TabCAT!$A:$A,TabCAT!CM:CM,"NaN")))</f>
        <v>0.78093199999999996</v>
      </c>
      <c r="GC53" s="8">
        <f>IF(_xlfn.XLOOKUP($A53,TabCAT!$A:$A,TabCAT!CN:CN,"NaN")="","NaN",(_xlfn.XLOOKUP($A53,TabCAT!$A:$A,TabCAT!CN:CN,"NaN")))</f>
        <v>17</v>
      </c>
      <c r="GD53" s="8">
        <f>IF(_xlfn.XLOOKUP($A53,TabCAT!$A:$A,TabCAT!CO:CO,"NaN")="","NaN",(_xlfn.XLOOKUP($A53,TabCAT!$A:$A,TabCAT!CO:CO,"NaN")))</f>
        <v>0.970804</v>
      </c>
      <c r="GE53" s="8">
        <f>IF(_xlfn.XLOOKUP($A53,TabCAT!$A:$A,TabCAT!CP:CP,"NaN")="","NaN",(_xlfn.XLOOKUP($A53,TabCAT!$A:$A,TabCAT!CP:CP,"NaN")))</f>
        <v>0.19865609025800099</v>
      </c>
      <c r="GF53" s="8">
        <f>IF(_xlfn.XLOOKUP($A53,TabCAT!$A:$A,TabCAT!CQ:CQ,"NaN")="","NaN",(_xlfn.XLOOKUP($A53,TabCAT!$A:$A,TabCAT!CQ:CQ,"NaN")))</f>
        <v>51</v>
      </c>
      <c r="GG53" s="8">
        <f>IF(_xlfn.XLOOKUP($A53,TabCAT!$A:$A,TabCAT!CR:CR,"NaN")="","NaN",(_xlfn.XLOOKUP($A53,TabCAT!$A:$A,TabCAT!CR:CR,"NaN")))</f>
        <v>0.63687499999999997</v>
      </c>
      <c r="GH53" s="8">
        <f>IF(_xlfn.XLOOKUP($A53,TabCAT!$A:$A,TabCAT!CS:CS,"NaN")="","NaN",(_xlfn.XLOOKUP($A53,TabCAT!$A:$A,TabCAT!CS:CS,"NaN")))</f>
        <v>-0.37681199999999998</v>
      </c>
    </row>
    <row r="54" spans="1:190" x14ac:dyDescent="0.2">
      <c r="A54">
        <v>10748</v>
      </c>
      <c r="B54">
        <f>_xlfn.XLOOKUP(bippity_poppity_boo!A54,rf1_data!A:A,rf1_data!B:B)</f>
        <v>130190</v>
      </c>
      <c r="C54" s="2">
        <f>(_xlfn.XLOOKUP($A54,trust!$A:$A,trust!B:B,"NaN"))</f>
        <v>4.3076920000000003</v>
      </c>
      <c r="D54" s="2">
        <f>(_xlfn.XLOOKUP($A54,trust!$A:$A,trust!C:C,"NaN"))</f>
        <v>6.461538</v>
      </c>
      <c r="E54" s="2">
        <f>(_xlfn.XLOOKUP($A54,trust!$A:$A,trust!D:D,"NaN"))</f>
        <v>4.2857139999999996</v>
      </c>
      <c r="F54" s="2">
        <f>(_xlfn.XLOOKUP($A54,trust!$A:$A,trust!E:E,"NaN"))</f>
        <v>4.3076920000000003</v>
      </c>
      <c r="G54" s="2">
        <f>(_xlfn.XLOOKUP($A54,trust!$A:$A,trust!F:F,"NaN"))</f>
        <v>5.538462</v>
      </c>
      <c r="H54" s="2">
        <f>(_xlfn.XLOOKUP($A54,trust!$A:$A,trust!G:G,"NaN"))</f>
        <v>5.3846150000000002</v>
      </c>
      <c r="I54" s="3">
        <f>IF(_xlfn.XLOOKUP($B54,island_data!$B:$B,island_data!C:C,"NaN")="","NaN",_xlfn.XLOOKUP($B54,island_data!$B:$B,island_data!C:C,"NaN"))</f>
        <v>45025</v>
      </c>
      <c r="J54" s="3">
        <f>IF(_xlfn.XLOOKUP($B54,island_data!$B:$B,island_data!D:D,"NaN")="","NaN",_xlfn.XLOOKUP($B54,island_data!$B:$B,island_data!D:D,"NaN"))</f>
        <v>32939</v>
      </c>
      <c r="K54" s="4">
        <f>IF(_xlfn.XLOOKUP($B54,island_data!$B:$B,island_data!E:E,"NaN")="","NaN",_xlfn.XLOOKUP($B54,island_data!$B:$B,island_data!E:E,"NaN"))</f>
        <v>33.090000000000003</v>
      </c>
      <c r="L54" s="5">
        <f>IF(_xlfn.XLOOKUP($B54,rf1_data!$B:$B,rf1_data!D:D,"NaN")="","NaN",(_xlfn.XLOOKUP($B54,rf1_data!$B:$B,rf1_data!D:D,"NaN")))</f>
        <v>33.299999999999997</v>
      </c>
      <c r="M54" s="5" t="str">
        <f>IF(_xlfn.XLOOKUP($B54,rf1_data!$B:$B,rf1_data!E:E,"NaN")="","NaN",(_xlfn.XLOOKUP($B54,rf1_data!$B:$B,rf1_data!E:E,"NaN")))</f>
        <v>Asian</v>
      </c>
      <c r="N54" s="5" t="str">
        <f>IF(_xlfn.XLOOKUP($B54,rf1_data!$B:$B,rf1_data!F:F,"NaN")="","NaN",(_xlfn.XLOOKUP($B54,rf1_data!$B:$B,rf1_data!F:F,"NaN")))</f>
        <v>Not Hispanic or Latino</v>
      </c>
      <c r="O54" s="5" t="str">
        <f>IF(_xlfn.XLOOKUP($B54,rf1_data!$B:$B,rf1_data!G:G,"NaN")="","NaN",(_xlfn.XLOOKUP($B54,rf1_data!$B:$B,rf1_data!G:G,"NaN")))</f>
        <v>Female</v>
      </c>
      <c r="P54" s="5">
        <f>IF(_xlfn.XLOOKUP($B54,rf1_data!$B:$B,rf1_data!H:H,"NaN")="","NaN",(_xlfn.XLOOKUP($B54,rf1_data!$B:$B,rf1_data!H:H,"NaN")))</f>
        <v>3.56</v>
      </c>
      <c r="Q54" s="5">
        <f>IF(_xlfn.XLOOKUP($B54,rf1_data!$B:$B,rf1_data!I:I,"NaN")="","NaN",(_xlfn.XLOOKUP($B54,rf1_data!$B:$B,rf1_data!I:I,"NaN")))</f>
        <v>4.4000000000000004</v>
      </c>
      <c r="R54" s="5">
        <f>IF(_xlfn.XLOOKUP($B54,rf1_data!$B:$B,rf1_data!J:J,"NaN")="","NaN",(_xlfn.XLOOKUP($B54,rf1_data!$B:$B,rf1_data!J:J,"NaN")))</f>
        <v>2</v>
      </c>
      <c r="S54" s="5">
        <f>IF(_xlfn.XLOOKUP($B54,rf1_data!$B:$B,rf1_data!K:K,"NaN")="","NaN",(_xlfn.XLOOKUP($B54,rf1_data!$B:$B,rf1_data!K:K,"NaN")))</f>
        <v>2</v>
      </c>
      <c r="T54" s="5">
        <f>IF(_xlfn.XLOOKUP($B54,rf1_data!$B:$B,rf1_data!L:L,"NaN")="","NaN",(_xlfn.XLOOKUP($B54,rf1_data!$B:$B,rf1_data!L:L,"NaN")))</f>
        <v>0</v>
      </c>
      <c r="U54" s="5">
        <f>IF(_xlfn.XLOOKUP($B54,rf1_data!$B:$B,rf1_data!M:M,"NaN")="","NaN",(_xlfn.XLOOKUP($B54,rf1_data!$B:$B,rf1_data!M:M,"NaN")))</f>
        <v>6.5</v>
      </c>
      <c r="V54" s="5">
        <f>IF(_xlfn.XLOOKUP($B54,rf1_data!$B:$B,rf1_data!N:N,"NaN")="","NaN",(_xlfn.XLOOKUP($B54,rf1_data!$B:$B,rf1_data!N:N,"NaN")))</f>
        <v>5.5</v>
      </c>
      <c r="W54" s="5">
        <f>IF(_xlfn.XLOOKUP($B54,rf1_data!$B:$B,rf1_data!O:O,"NaN")="","NaN",(_xlfn.XLOOKUP($B54,rf1_data!$B:$B,rf1_data!O:O,"NaN")))</f>
        <v>5.38</v>
      </c>
      <c r="X54" s="5">
        <f>IF(_xlfn.XLOOKUP($B54,rf1_data!$B:$B,rf1_data!P:P,"NaN")="","NaN",(_xlfn.XLOOKUP($B54,rf1_data!$B:$B,rf1_data!P:P,"NaN")))</f>
        <v>4.33</v>
      </c>
      <c r="Y54" s="5">
        <f>IF(_xlfn.XLOOKUP($B54,rf1_data!$B:$B,rf1_data!Q:Q,"NaN")="","NaN",(_xlfn.XLOOKUP($B54,rf1_data!$B:$B,rf1_data!Q:Q,"NaN")))</f>
        <v>5.57</v>
      </c>
      <c r="Z54" s="5">
        <f>IF(_xlfn.XLOOKUP($B54,rf1_data!$B:$B,rf1_data!R:R,"NaN")="","NaN",(_xlfn.XLOOKUP($B54,rf1_data!$B:$B,rf1_data!R:R,"NaN")))</f>
        <v>4</v>
      </c>
      <c r="AA54" s="5">
        <f>IF(_xlfn.XLOOKUP($B54,rf1_data!$B:$B,rf1_data!S:S,"NaN")="","NaN",(_xlfn.XLOOKUP($B54,rf1_data!$B:$B,rf1_data!S:S,"NaN")))</f>
        <v>0</v>
      </c>
      <c r="AB54" s="5">
        <f>IF(_xlfn.XLOOKUP($B54,rf1_data!$B:$B,rf1_data!T:T,"NaN")="","NaN",(_xlfn.XLOOKUP($B54,rf1_data!$B:$B,rf1_data!T:T,"NaN")))</f>
        <v>3</v>
      </c>
      <c r="AC54" s="5">
        <f>IF(_xlfn.XLOOKUP($B54,rf1_data!$B:$B,rf1_data!U:U,"NaN")="","NaN",(_xlfn.XLOOKUP($B54,rf1_data!$B:$B,rf1_data!U:U,"NaN")))</f>
        <v>0</v>
      </c>
      <c r="AD54" s="5">
        <f>IF(_xlfn.XLOOKUP($B54,rf1_data!$B:$B,rf1_data!V:V,"NaN")="","NaN",(_xlfn.XLOOKUP($B54,rf1_data!$B:$B,rf1_data!V:V,"NaN")))</f>
        <v>1</v>
      </c>
      <c r="AE54" s="5">
        <f>IF(_xlfn.XLOOKUP($B54,rf1_data!$B:$B,rf1_data!W:W,"NaN")="","NaN",(_xlfn.XLOOKUP($B54,rf1_data!$B:$B,rf1_data!W:W,"NaN")))</f>
        <v>5</v>
      </c>
      <c r="AF54" s="5">
        <f>IF(_xlfn.XLOOKUP($B54,rf1_data!$B:$B,rf1_data!X:X,"NaN")="","NaN",(_xlfn.XLOOKUP($B54,rf1_data!$B:$B,rf1_data!X:X,"NaN")))</f>
        <v>4</v>
      </c>
      <c r="AG54" s="5">
        <f>IF(_xlfn.XLOOKUP($B54,rf1_data!$B:$B,rf1_data!Y:Y,"NaN")="","NaN",(_xlfn.XLOOKUP($B54,rf1_data!$B:$B,rf1_data!Y:Y,"NaN")))</f>
        <v>4</v>
      </c>
      <c r="AH54" s="5">
        <f>IF(_xlfn.XLOOKUP($B54,rf1_data!$B:$B,rf1_data!Z:Z,"NaN")="","NaN",(_xlfn.XLOOKUP($B54,rf1_data!$B:$B,rf1_data!Z:Z,"NaN")))</f>
        <v>5</v>
      </c>
      <c r="AI54" s="5">
        <f>IF(_xlfn.XLOOKUP($B54,rf1_data!$B:$B,rf1_data!AA:AA,"NaN")="","NaN",(_xlfn.XLOOKUP($B54,rf1_data!$B:$B,rf1_data!AA:AA,"NaN")))</f>
        <v>2</v>
      </c>
      <c r="AJ54" s="5">
        <f>IF(_xlfn.XLOOKUP($B54,rf1_data!$B:$B,rf1_data!AB:AB,"NaN")="","NaN",(_xlfn.XLOOKUP($B54,rf1_data!$B:$B,rf1_data!AB:AB,"NaN")))</f>
        <v>20</v>
      </c>
      <c r="AK54" s="5">
        <f>IF(_xlfn.XLOOKUP($B54,rf1_data!$B:$B,rf1_data!AC:AC,"NaN")="","NaN",(_xlfn.XLOOKUP($B54,rf1_data!$B:$B,rf1_data!AC:AC,"NaN")))</f>
        <v>43</v>
      </c>
      <c r="AL54" s="5">
        <f>IF(_xlfn.XLOOKUP($B54,rf1_data!$B:$B,rf1_data!AD:AD,"NaN")="","NaN",(_xlfn.XLOOKUP($B54,rf1_data!$B:$B,rf1_data!AD:AD,"NaN")))</f>
        <v>13</v>
      </c>
      <c r="AM54" s="5">
        <f>IF(_xlfn.XLOOKUP($B54,rf1_data!$B:$B,rf1_data!AE:AE,"NaN")="","NaN",(_xlfn.XLOOKUP($B54,rf1_data!$B:$B,rf1_data!AE:AE,"NaN")))</f>
        <v>1</v>
      </c>
      <c r="AN54" s="5">
        <f>IF(_xlfn.XLOOKUP($B54,rf1_data!$B:$B,rf1_data!AF:AF,"NaN")="","NaN",(_xlfn.XLOOKUP($B54,rf1_data!$B:$B,rf1_data!AF:AF,"NaN")))</f>
        <v>1</v>
      </c>
      <c r="AO54" s="5">
        <f>IF(_xlfn.XLOOKUP($B54,rf1_data!$B:$B,rf1_data!AG:AG,"NaN")="","NaN",(_xlfn.XLOOKUP($B54,rf1_data!$B:$B,rf1_data!AG:AG,"NaN")))</f>
        <v>5.67</v>
      </c>
      <c r="AP54" s="5">
        <f>IF(_xlfn.XLOOKUP($B54,rf1_data!$B:$B,rf1_data!AH:AH,"NaN")="","NaN",(_xlfn.XLOOKUP($B54,rf1_data!$B:$B,rf1_data!AH:AH,"NaN")))</f>
        <v>6.75</v>
      </c>
      <c r="AQ54" s="5">
        <f>IF(_xlfn.XLOOKUP($B54,rf1_data!$B:$B,rf1_data!AI:AI,"NaN")="","NaN",(_xlfn.XLOOKUP($B54,rf1_data!$B:$B,rf1_data!AI:AI,"NaN")))</f>
        <v>5.75</v>
      </c>
      <c r="AR54" s="5">
        <f>IF(_xlfn.XLOOKUP($B54,rf1_data!$B:$B,rf1_data!AJ:AJ,"NaN")="","NaN",(_xlfn.XLOOKUP($B54,rf1_data!$B:$B,rf1_data!AJ:AJ,"NaN")))</f>
        <v>4.5</v>
      </c>
      <c r="AS54" s="5">
        <f>IF(_xlfn.XLOOKUP($B54,rf1_data!$B:$B,rf1_data!AK:AK,"NaN")="","NaN",(_xlfn.XLOOKUP($B54,rf1_data!$B:$B,rf1_data!AK:AK,"NaN")))</f>
        <v>2</v>
      </c>
      <c r="AT54" s="5">
        <f>IF(_xlfn.XLOOKUP($B54,rf1_data!$B:$B,rf1_data!AL:AL,"NaN")="","NaN",(_xlfn.XLOOKUP($B54,rf1_data!$B:$B,rf1_data!AL:AL,"NaN")))</f>
        <v>14</v>
      </c>
      <c r="AU54" s="5">
        <f>IF(_xlfn.XLOOKUP($B54,rf1_data!$B:$B,rf1_data!AM:AM,"NaN")="","NaN",(_xlfn.XLOOKUP($B54,rf1_data!$B:$B,rf1_data!AM:AM,"NaN")))</f>
        <v>4.5</v>
      </c>
      <c r="AV54" s="5">
        <f>IF(_xlfn.XLOOKUP($B54,rf1_data!$B:$B,rf1_data!AN:AN,"NaN")="","NaN",(_xlfn.XLOOKUP($B54,rf1_data!$B:$B,rf1_data!AN:AN,"NaN")))</f>
        <v>20</v>
      </c>
      <c r="AW54" s="5">
        <f>IF(_xlfn.XLOOKUP($B54,rf1_data!$B:$B,rf1_data!AO:AO,"NaN")="","NaN",(_xlfn.XLOOKUP($B54,rf1_data!$B:$B,rf1_data!AO:AO,"NaN")))</f>
        <v>2.83</v>
      </c>
      <c r="AX54" s="5">
        <f>IF(_xlfn.XLOOKUP($B54,rf1_data!$B:$B,rf1_data!AP:AP,"NaN")="","NaN",(_xlfn.XLOOKUP($B54,rf1_data!$B:$B,rf1_data!AP:AP,"NaN")))</f>
        <v>9999</v>
      </c>
      <c r="AY54" s="5" t="str">
        <f>IF(_xlfn.XLOOKUP($B54,rf1_data!$B:$B,rf1_data!AQ:AQ,"NaN")="","NaN",(_xlfn.XLOOKUP($B54,rf1_data!$B:$B,rf1_data!AQ:AQ,"NaN")))</f>
        <v>NaN</v>
      </c>
      <c r="AZ54" s="5" t="str">
        <f>IF(_xlfn.XLOOKUP($B54,rf1_data!$B:$B,rf1_data!AR:AR,"NaN")="","NaN",(_xlfn.XLOOKUP($B54,rf1_data!$B:$B,rf1_data!AR:AR,"NaN")))</f>
        <v>NaN</v>
      </c>
      <c r="BA54" s="5" t="str">
        <f>IF(_xlfn.XLOOKUP($B54,rf1_data!$B:$B,rf1_data!AS:AS,"NaN")="","NaN",(_xlfn.XLOOKUP($B54,rf1_data!$B:$B,rf1_data!AS:AS,"NaN")))</f>
        <v>NaN</v>
      </c>
      <c r="BB54" s="5" t="str">
        <f>IF(_xlfn.XLOOKUP($B54,rf1_data!$B:$B,rf1_data!AT:AT,"NaN")="","NaN",(_xlfn.XLOOKUP($B54,rf1_data!$B:$B,rf1_data!AT:AT,"NaN")))</f>
        <v>NaN</v>
      </c>
      <c r="BC54" s="5" t="str">
        <f>IF(_xlfn.XLOOKUP($B54,rf1_data!$B:$B,rf1_data!AU:AU,"NaN")="","NaN",(_xlfn.XLOOKUP($B54,rf1_data!$B:$B,rf1_data!AU:AU,"NaN")))</f>
        <v>NaN</v>
      </c>
      <c r="BD54" s="5" t="str">
        <f>IF(_xlfn.XLOOKUP($B54,rf1_data!$B:$B,rf1_data!AV:AV,"NaN")="","NaN",(_xlfn.XLOOKUP($B54,rf1_data!$B:$B,rf1_data!AV:AV,"NaN")))</f>
        <v>NaN</v>
      </c>
      <c r="BE54" s="5" t="str">
        <f>IF(_xlfn.XLOOKUP($B54,rf1_data!$B:$B,rf1_data!AW:AW,"NaN")="","NaN",(_xlfn.XLOOKUP($B54,rf1_data!$B:$B,rf1_data!AW:AW,"NaN")))</f>
        <v>NaN</v>
      </c>
      <c r="BF54" s="5" t="str">
        <f>IF(_xlfn.XLOOKUP($B54,rf1_data!$B:$B,rf1_data!AX:AX,"NaN")="","NaN",(_xlfn.XLOOKUP($B54,rf1_data!$B:$B,rf1_data!AX:AX,"NaN")))</f>
        <v>NaN</v>
      </c>
      <c r="BG54" s="5" t="str">
        <f>IF(_xlfn.XLOOKUP($B54,rf1_data!$B:$B,rf1_data!AY:AY,"NaN")="","NaN",(_xlfn.XLOOKUP($B54,rf1_data!$B:$B,rf1_data!AY:AY,"NaN")))</f>
        <v>NaN</v>
      </c>
      <c r="BH54" s="5" t="str">
        <f>IF(_xlfn.XLOOKUP($B54,rf1_data!$B:$B,rf1_data!AZ:AZ,"NaN")="","NaN",(_xlfn.XLOOKUP($B54,rf1_data!$B:$B,rf1_data!AZ:AZ,"NaN")))</f>
        <v>NaN</v>
      </c>
      <c r="BI54" s="5">
        <f>IF(_xlfn.XLOOKUP($B54,rf1_data!$B:$B,rf1_data!BA:BA,"NaN")="","NaN",(_xlfn.XLOOKUP($B54,rf1_data!$B:$B,rf1_data!BA:BA,"NaN")))</f>
        <v>20</v>
      </c>
      <c r="BJ54" s="5" t="str">
        <f>IF(_xlfn.XLOOKUP($B54,rf1_data!$B:$B,rf1_data!BB:BB,"NaN")="","NaN",(_xlfn.XLOOKUP($B54,rf1_data!$B:$B,rf1_data!BB:BB,"NaN")))</f>
        <v>NaN</v>
      </c>
      <c r="BK54" s="5" t="str">
        <f>IF(_xlfn.XLOOKUP($B54,rf1_data!$B:$B,rf1_data!BC:BC,"NaN")="","NaN",(_xlfn.XLOOKUP($B54,rf1_data!$B:$B,rf1_data!BC:BC,"NaN")))</f>
        <v>NaN</v>
      </c>
      <c r="BL54" s="5" t="str">
        <f>IF(_xlfn.XLOOKUP($B54,rf1_data!$B:$B,rf1_data!BD:BD,"NaN")="","NaN",(_xlfn.XLOOKUP($B54,rf1_data!$B:$B,rf1_data!BD:BD,"NaN")))</f>
        <v>NaN</v>
      </c>
      <c r="BM54" s="5" t="str">
        <f>IF(_xlfn.XLOOKUP($B54,rf1_data!$B:$B,rf1_data!BE:BE,"NaN")="","NaN",(_xlfn.XLOOKUP($B54,rf1_data!$B:$B,rf1_data!BE:BE,"NaN")))</f>
        <v>NaN</v>
      </c>
      <c r="BN54" s="5" t="str">
        <f>IF(_xlfn.XLOOKUP($B54,rf1_data!$B:$B,rf1_data!BF:BF,"NaN")="","NaN",(_xlfn.XLOOKUP($B54,rf1_data!$B:$B,rf1_data!BF:BF,"NaN")))</f>
        <v>NaN</v>
      </c>
      <c r="BO54" s="5" t="str">
        <f>IF(_xlfn.XLOOKUP($B54,rf1_data!$B:$B,rf1_data!BG:BG,"NaN")="","NaN",(_xlfn.XLOOKUP($B54,rf1_data!$B:$B,rf1_data!BG:BG,"NaN")))</f>
        <v>NaN</v>
      </c>
      <c r="BP54" s="5" t="str">
        <f>IF(_xlfn.XLOOKUP($B54,rf1_data!$B:$B,rf1_data!BH:BH,"NaN")="","NaN",(_xlfn.XLOOKUP($B54,rf1_data!$B:$B,rf1_data!BH:BH,"NaN")))</f>
        <v>NaN</v>
      </c>
      <c r="BQ54" s="5" t="str">
        <f>IF(_xlfn.XLOOKUP($B54,rf1_data!$B:$B,rf1_data!BI:BI,"NaN")="","NaN",(_xlfn.XLOOKUP($B54,rf1_data!$B:$B,rf1_data!BI:BI,"NaN")))</f>
        <v>NaN</v>
      </c>
      <c r="BR54" s="5">
        <f>IF(_xlfn.XLOOKUP($B54,rf1_data!$B:$B,rf1_data!BJ:BJ,"NaN")="","NaN",(_xlfn.XLOOKUP($B54,rf1_data!$B:$B,rf1_data!BJ:BJ,"NaN")))</f>
        <v>8991</v>
      </c>
      <c r="BS54" s="5" t="str">
        <f>IF(_xlfn.XLOOKUP($B54,rf1_data!$B:$B,rf1_data!BK:BK,"NaN")="","NaN",(_xlfn.XLOOKUP($B54,rf1_data!$B:$B,rf1_data!BK:BK,"NaN")))</f>
        <v>NaN</v>
      </c>
      <c r="BT54" s="5" t="str">
        <f>IF(_xlfn.XLOOKUP($B54,rf1_data!$B:$B,rf1_data!BL:BL,"NaN")="","NaN",(_xlfn.XLOOKUP($B54,rf1_data!$B:$B,rf1_data!BL:BL,"NaN")))</f>
        <v>NaN</v>
      </c>
      <c r="BU54" s="5" t="str">
        <f>IF(_xlfn.XLOOKUP($B54,rf1_data!$B:$B,rf1_data!BM:BM,"NaN")="","NaN",(_xlfn.XLOOKUP($B54,rf1_data!$B:$B,rf1_data!BM:BM,"NaN")))</f>
        <v>NaN</v>
      </c>
      <c r="BV54" s="5" t="str">
        <f>IF(_xlfn.XLOOKUP($B54,rf1_data!$B:$B,rf1_data!BN:BN,"NaN")="","NaN",(_xlfn.XLOOKUP($B54,rf1_data!$B:$B,rf1_data!BN:BN,"NaN")))</f>
        <v>NaN</v>
      </c>
      <c r="BW54" s="5">
        <f>IF(_xlfn.XLOOKUP($B54,rf1_data!$B:$B,rf1_data!BO:BO,"NaN")="","NaN",(_xlfn.XLOOKUP($B54,rf1_data!$B:$B,rf1_data!BO:BO,"NaN")))</f>
        <v>4</v>
      </c>
      <c r="BX54" s="5">
        <f>IF(_xlfn.XLOOKUP($B54,rf1_data!$B:$B,rf1_data!BP:BP,"NaN")="","NaN",(_xlfn.XLOOKUP($B54,rf1_data!$B:$B,rf1_data!BP:BP,"NaN")))</f>
        <v>3.6</v>
      </c>
      <c r="BY54" s="5">
        <f>IF(_xlfn.XLOOKUP($B54,rf1_data!$B:$B,rf1_data!BQ:BQ,"NaN")="","NaN",(_xlfn.XLOOKUP($B54,rf1_data!$B:$B,rf1_data!BQ:BQ,"NaN")))</f>
        <v>3.8</v>
      </c>
      <c r="BZ54" s="5">
        <f>IF(_xlfn.XLOOKUP($B54,rf1_data!$B:$B,rf1_data!BR:BR,"NaN")="","NaN",(_xlfn.XLOOKUP($B54,rf1_data!$B:$B,rf1_data!BR:BR,"NaN")))</f>
        <v>3.8</v>
      </c>
      <c r="CA54" s="5">
        <f>IF(_xlfn.XLOOKUP($B54,rf1_data!$B:$B,rf1_data!BS:BS,"NaN")="","NaN",(_xlfn.XLOOKUP($B54,rf1_data!$B:$B,rf1_data!BS:BS,"NaN")))</f>
        <v>6</v>
      </c>
      <c r="CB54" s="5">
        <f>IF(_xlfn.XLOOKUP($B54,rf1_data!$B:$B,rf1_data!BT:BT,"NaN")="","NaN",(_xlfn.XLOOKUP($B54,rf1_data!$B:$B,rf1_data!BT:BT,"NaN")))</f>
        <v>5.6666666666666599</v>
      </c>
      <c r="CC54" s="5">
        <f>IF(_xlfn.XLOOKUP($B54,rf1_data!$B:$B,rf1_data!BU:BU,"NaN")="","NaN",(_xlfn.XLOOKUP($B54,rf1_data!$B:$B,rf1_data!BU:BU,"NaN")))</f>
        <v>5.6666666666666599</v>
      </c>
      <c r="CD54" s="5">
        <f>IF(_xlfn.XLOOKUP($B54,rf1_data!$B:$B,rf1_data!BV:BV,"NaN")="","NaN",(_xlfn.XLOOKUP($B54,rf1_data!$B:$B,rf1_data!BV:BV,"NaN")))</f>
        <v>5.3333333333333304</v>
      </c>
      <c r="CE54" s="5">
        <f>IF(_xlfn.XLOOKUP($B54,rf1_data!$B:$B,rf1_data!BW:BW,"NaN")="","NaN",(_xlfn.XLOOKUP($B54,rf1_data!$B:$B,rf1_data!BW:BW,"NaN")))</f>
        <v>0.55000000000000004</v>
      </c>
      <c r="CF54" s="5">
        <f>IF(_xlfn.XLOOKUP($B54,rf1_data!$B:$B,rf1_data!BX:BX,"NaN")="","NaN",(_xlfn.XLOOKUP($B54,rf1_data!$B:$B,rf1_data!BX:BX,"NaN")))</f>
        <v>0</v>
      </c>
      <c r="CG54" s="5">
        <f>IF(_xlfn.XLOOKUP($B54,rf1_data!$B:$B,rf1_data!BY:BY,"NaN")="","NaN",(_xlfn.XLOOKUP($B54,rf1_data!$B:$B,rf1_data!BY:BY,"NaN")))</f>
        <v>0</v>
      </c>
      <c r="CH54" s="5">
        <f>IF(_xlfn.XLOOKUP($B54,rf1_data!$B:$B,rf1_data!BZ:BZ,"NaN")="","NaN",(_xlfn.XLOOKUP($B54,rf1_data!$B:$B,rf1_data!BZ:BZ,"NaN")))</f>
        <v>29</v>
      </c>
      <c r="CI54" s="5">
        <f>IF(_xlfn.XLOOKUP($B54,rf1_data!$B:$B,rf1_data!CA:CA,"NaN")="","NaN",(_xlfn.XLOOKUP($B54,rf1_data!$B:$B,rf1_data!CA:CA,"NaN")))</f>
        <v>20</v>
      </c>
      <c r="CJ54" s="5">
        <f>IF(_xlfn.XLOOKUP($B54,rf1_data!$B:$B,rf1_data!CB:CB,"NaN")="","NaN",(_xlfn.XLOOKUP($B54,rf1_data!$B:$B,rf1_data!CB:CB,"NaN")))</f>
        <v>12</v>
      </c>
      <c r="CK54" s="5">
        <f>IF(_xlfn.XLOOKUP($B54,rf1_data!$B:$B,rf1_data!CC:CC,"NaN")="","NaN",(_xlfn.XLOOKUP($B54,rf1_data!$B:$B,rf1_data!CC:CC,"NaN")))</f>
        <v>1</v>
      </c>
      <c r="CL54" s="5">
        <f>IF(_xlfn.XLOOKUP($B54,rf1_data!$B:$B,rf1_data!CD:CD,"NaN")=0,"NaN",(_xlfn.XLOOKUP($B54,rf1_data!$B:$B,rf1_data!CD:CD,"NaN")))</f>
        <v>41</v>
      </c>
      <c r="CM54" s="5">
        <f>IF(_xlfn.XLOOKUP($B54,rf1_data!$B:$B,rf1_data!CE:CE,"NaN")="","NaN",(_xlfn.XLOOKUP($B54,rf1_data!$B:$B,rf1_data!CE:CE,"NaN")))</f>
        <v>35</v>
      </c>
      <c r="CN54" s="5">
        <f>IF(_xlfn.XLOOKUP($B54,rf1_data!$B:$B,rf1_data!CF:CF,"NaN")="","NaN",(_xlfn.XLOOKUP($B54,rf1_data!$B:$B,rf1_data!CF:CF,"NaN")))</f>
        <v>45</v>
      </c>
      <c r="CO54" s="5">
        <f>IF(_xlfn.XLOOKUP($B54,rf1_data!$B:$B,rf1_data!CG:CG,"NaN")="","NaN",(_xlfn.XLOOKUP($B54,rf1_data!$B:$B,rf1_data!CG:CG,"NaN")))</f>
        <v>27</v>
      </c>
      <c r="CP54" s="5">
        <f>IF(_xlfn.XLOOKUP($B54,rf1_data!$B:$B,rf1_data!CH:CH,"NaN")=0,"NaN",(_xlfn.XLOOKUP($B54,rf1_data!$B:$B,rf1_data!CH:CH,"NaN")))</f>
        <v>34</v>
      </c>
      <c r="CQ54" s="5">
        <f>IF(_xlfn.XLOOKUP($B54,rf1_data!$B:$B,rf1_data!CI:CI,"NaN")="","NaN",(_xlfn.XLOOKUP($B54,rf1_data!$B:$B,rf1_data!CI:CI,"NaN")))</f>
        <v>47</v>
      </c>
      <c r="CR54" s="5">
        <f>IF(_xlfn.XLOOKUP($B54,rf1_data!$B:$B,rf1_data!CJ:CJ,"NaN")="","NaN",(_xlfn.XLOOKUP($B54,rf1_data!$B:$B,rf1_data!CJ:CJ,"NaN")))</f>
        <v>50</v>
      </c>
      <c r="CS54" s="5">
        <f>IF(_xlfn.XLOOKUP($B54,rf1_data!$B:$B,rf1_data!CK:CK,"NaN")="","NaN",(_xlfn.XLOOKUP($B54,rf1_data!$B:$B,rf1_data!CK:CK,"NaN")))</f>
        <v>48</v>
      </c>
      <c r="CT54" s="5">
        <f>IF(_xlfn.XLOOKUP($B54,rf1_data!$B:$B,rf1_data!CL:CL,"NaN")="","NaN",(_xlfn.XLOOKUP($B54,rf1_data!$B:$B,rf1_data!CL:CL,"NaN")))</f>
        <v>54</v>
      </c>
      <c r="CU54" s="5">
        <f>IF(_xlfn.XLOOKUP($B54,rf1_data!$B:$B,rf1_data!CM:CM,"NaN")="","NaN",(_xlfn.XLOOKUP($B54,rf1_data!$B:$B,rf1_data!CM:CM,"NaN")))</f>
        <v>45</v>
      </c>
      <c r="CV54" s="5">
        <f>IF(_xlfn.XLOOKUP($B54,rf1_data!$B:$B,rf1_data!CN:CN,"NaN")="","NaN",(_xlfn.XLOOKUP($B54,rf1_data!$B:$B,rf1_data!CN:CN,"NaN")))</f>
        <v>60</v>
      </c>
      <c r="CW54" s="5" t="str">
        <f>IF(_xlfn.XLOOKUP($B54,rf1_data!$B:$B,rf1_data!CO:CO,"NaN")="","NaN",(_xlfn.XLOOKUP($B54,rf1_data!$B:$B,rf1_data!CO:CO,"NaN")))</f>
        <v>NaN</v>
      </c>
      <c r="CX54" s="5">
        <f>IF(_xlfn.XLOOKUP($B54,rf1_data!$B:$B,rf1_data!CP:CP,"NaN")="","NaN",(_xlfn.XLOOKUP($B54,rf1_data!$B:$B,rf1_data!CP:CP,"NaN")))</f>
        <v>2</v>
      </c>
      <c r="CY54" s="5">
        <f>IF(_xlfn.XLOOKUP($B54,rf1_data!$B:$B,rf1_data!CQ:CQ,"NaN")="","NaN",(_xlfn.XLOOKUP($B54,rf1_data!$B:$B,rf1_data!CQ:CQ,"NaN")))</f>
        <v>7</v>
      </c>
      <c r="CZ54" s="5">
        <f>IF(_xlfn.XLOOKUP($B54,rf1_data!$B:$B,rf1_data!CR:CR,"NaN")="","NaN",(_xlfn.XLOOKUP($B54,rf1_data!$B:$B,rf1_data!CR:CR,"NaN")))</f>
        <v>3</v>
      </c>
      <c r="DA54" s="5">
        <f>IF(_xlfn.XLOOKUP($B54,rf1_data!$B:$B,rf1_data!CS:CS,"NaN")="","NaN",(_xlfn.XLOOKUP($B54,rf1_data!$B:$B,rf1_data!CS:CS,"NaN")))</f>
        <v>2</v>
      </c>
      <c r="DB54" s="4">
        <f>IF(_xlfn.XLOOKUP($B54,island_data!$B:$B,island_data!H:H,"NaN")="","NaN",_xlfn.XLOOKUP($B54,island_data!$B:$B,island_data!H:H,"NaN"))</f>
        <v>2</v>
      </c>
      <c r="DC54" s="4">
        <f>IF(_xlfn.XLOOKUP($B54,island_data!$B:$B,island_data!I:I,"NaN")="","NaN",_xlfn.XLOOKUP($B54,island_data!$B:$B,island_data!I:I,"NaN"))</f>
        <v>3</v>
      </c>
      <c r="DD54" s="4">
        <f>IF(_xlfn.XLOOKUP($B54,island_data!$B:$B,island_data!J:J,"NaN")="","NaN",_xlfn.XLOOKUP($B54,island_data!$B:$B,island_data!J:J,"NaN"))</f>
        <v>0</v>
      </c>
      <c r="DE54" s="4">
        <f>IF(_xlfn.XLOOKUP($B54,island_data!$B:$B,island_data!K:K,"NaN")="","NaN",_xlfn.XLOOKUP($B54,island_data!$B:$B,island_data!K:K,"NaN"))</f>
        <v>6</v>
      </c>
      <c r="DF54" s="4">
        <f>IF(_xlfn.XLOOKUP($B54,island_data!$B:$B,island_data!L:L,"NaN")="","NaN",_xlfn.XLOOKUP($B54,island_data!$B:$B,island_data!L:L,"NaN"))</f>
        <v>0</v>
      </c>
      <c r="DG54" s="4">
        <f>IF(_xlfn.XLOOKUP($B54,island_data!$B:$B,island_data!M:M,"NaN")="","NaN",_xlfn.XLOOKUP($B54,island_data!$B:$B,island_data!M:M,"NaN"))</f>
        <v>3.4375</v>
      </c>
      <c r="DH54" s="4">
        <f>IF(_xlfn.XLOOKUP($B54,island_data!$B:$B,island_data!N:N,"NaN")="","NaN",_xlfn.XLOOKUP($B54,island_data!$B:$B,island_data!N:N,"NaN"))</f>
        <v>11</v>
      </c>
      <c r="DI54" s="4">
        <f>IF(_xlfn.XLOOKUP($B54,island_data!$B:$B,island_data!O:O,"NaN")=999,"NaN",_xlfn.XLOOKUP($B54,island_data!$B:$B,island_data!O:O,"NaN"))</f>
        <v>1</v>
      </c>
      <c r="DJ54" s="4">
        <f>IF(_xlfn.XLOOKUP($B54,island_data!$B:$B,island_data!P:P,"NaN")="","NaN",_xlfn.XLOOKUP($B54,island_data!$B:$B,island_data!P:P,"NaN"))</f>
        <v>10</v>
      </c>
      <c r="DK54" s="4">
        <f>IF(_xlfn.XLOOKUP($B54,island_data!$B:$B,island_data!Q:Q,"NaN")="","NaN",_xlfn.XLOOKUP($B54,island_data!$B:$B,island_data!Q:Q,"NaN"))</f>
        <v>4</v>
      </c>
      <c r="DL54" s="4">
        <f>IF(_xlfn.XLOOKUP($B54,island_data!$B:$B,island_data!R:R,"NaN")=999,"NaN",_xlfn.XLOOKUP($B54,island_data!$B:$B,island_data!R:R,"NaN"))</f>
        <v>18</v>
      </c>
      <c r="DM54" s="4">
        <f>IF(_xlfn.XLOOKUP($B54,island_data!$B:$B,island_data!S:S,"NaN")="","NaN",_xlfn.XLOOKUP($B54,island_data!$B:$B,island_data!S:S,"NaN"))</f>
        <v>11</v>
      </c>
      <c r="DN54" s="4">
        <f>IF(_xlfn.XLOOKUP($B54,island_data!$B:$B,island_data!T:T,"NaN")="","NaN",_xlfn.XLOOKUP($B54,island_data!$B:$B,island_data!T:T,"NaN"))</f>
        <v>3.9166666666666599</v>
      </c>
      <c r="DO54" s="4">
        <f>IF(_xlfn.XLOOKUP($B54,island_data!$B:$B,island_data!U:U,"NaN")="","NaN",_xlfn.XLOOKUP($B54,island_data!$B:$B,island_data!U:U,"NaN"))</f>
        <v>6</v>
      </c>
      <c r="DP54" s="4">
        <f>IF(_xlfn.XLOOKUP($B54,island_data!$B:$B,island_data!V:V,"NaN")="","NaN",_xlfn.XLOOKUP($B54,island_data!$B:$B,island_data!V:V,"NaN"))</f>
        <v>2</v>
      </c>
      <c r="DQ54" s="4">
        <f>IF(_xlfn.XLOOKUP($B54,island_data!$B:$B,island_data!W:W,"NaN")="","NaN",_xlfn.XLOOKUP($B54,island_data!$B:$B,island_data!W:W,"NaN"))</f>
        <v>6</v>
      </c>
      <c r="DR54" s="4">
        <f>IF(_xlfn.XLOOKUP($B54,island_data!$B:$B,island_data!X:X,"NaN")="","NaN",_xlfn.XLOOKUP($B54,island_data!$B:$B,island_data!X:X,"NaN"))</f>
        <v>6</v>
      </c>
      <c r="DS54" s="4" t="str">
        <f>IF(_xlfn.XLOOKUP($B54,island_data!$B:$B,island_data!Y:Y,"NaN")="","NaN",_xlfn.XLOOKUP($B54,island_data!$B:$B,island_data!Y:Y,"NaN"))</f>
        <v>NaN</v>
      </c>
      <c r="DT54" s="4" t="str">
        <f>IF(_xlfn.XLOOKUP($B54,island_data!$B:$B,island_data!Z:Z,"NaN")="","NaN",_xlfn.XLOOKUP($B54,island_data!$B:$B,island_data!Z:Z,"NaN"))</f>
        <v>NaN</v>
      </c>
      <c r="DU54" s="4" t="str">
        <f>IF(_xlfn.XLOOKUP($B54,island_data!$B:$B,island_data!AA:AA,"NaN")="","NaN",_xlfn.XLOOKUP($B54,island_data!$B:$B,island_data!AA:AA,"NaN"))</f>
        <v>NaN</v>
      </c>
      <c r="DV54" s="4">
        <f>IF(_xlfn.XLOOKUP($B54,island_data!$B:$B,island_data!AB:AB,"NaN")="","NaN",_xlfn.XLOOKUP($B54,island_data!$B:$B,island_data!AB:AB,"NaN"))</f>
        <v>1</v>
      </c>
      <c r="DW54" s="4">
        <f>IF(_xlfn.XLOOKUP($B54,island_data!$B:$B,island_data!AC:AC,"NaN")="","NaN",_xlfn.XLOOKUP($B54,island_data!$B:$B,island_data!AC:AC,"NaN"))</f>
        <v>19111</v>
      </c>
      <c r="DX54" s="4">
        <f>IF(_xlfn.XLOOKUP($B54,island_data!$B:$B,island_data!AD:AD,"NaN")="","NaN",_xlfn.XLOOKUP($B54,island_data!$B:$B,island_data!AD:AD,"NaN"))</f>
        <v>6</v>
      </c>
      <c r="DY54" s="4">
        <f>IF(_xlfn.XLOOKUP($B54,island_data!$B:$B,island_data!AE:AE,"NaN")="","NaN",_xlfn.XLOOKUP($B54,island_data!$B:$B,island_data!AE:AE,"NaN"))</f>
        <v>1</v>
      </c>
      <c r="DZ54" s="4" t="str">
        <f>IF(_xlfn.XLOOKUP($B54,island_data!$B:$B,island_data!AF:AF,"NaN")="","NaN",_xlfn.XLOOKUP($B54,island_data!$B:$B,island_data!AF:AF,"NaN"))</f>
        <v>NaN</v>
      </c>
      <c r="EA54" s="4" t="str">
        <f>IF(_xlfn.XLOOKUP($B54,island_data!$B:$B,island_data!AG:AG,"NaN")="","NaN",_xlfn.XLOOKUP($B54,island_data!$B:$B,island_data!AG:AG,"NaN"))</f>
        <v>NaN</v>
      </c>
      <c r="EB54" s="4" t="str">
        <f>IF(_xlfn.XLOOKUP($B54,island_data!$B:$B,island_data!AH:AH,"NaN")="","NaN",_xlfn.XLOOKUP($B54,island_data!$B:$B,island_data!AH:AH,"NaN"))</f>
        <v>NaN</v>
      </c>
      <c r="EC54" s="4" t="str">
        <f>IF(_xlfn.XLOOKUP($B54,island_data!$B:$B,island_data!AI:AI,"NaN")="","NaN",_xlfn.XLOOKUP($B54,island_data!$B:$B,island_data!AI:AI,"NaN"))</f>
        <v>NaN</v>
      </c>
      <c r="ED54" s="4" t="str">
        <f>IF(_xlfn.XLOOKUP($B54,island_data!$B:$B,island_data!AJ:AJ,"NaN")="","NaN",_xlfn.XLOOKUP($B54,island_data!$B:$B,island_data!AJ:AJ,"NaN"))</f>
        <v>NaN</v>
      </c>
      <c r="EE54" s="4" t="str">
        <f>IF(_xlfn.XLOOKUP($B54,island_data!$B:$B,island_data!AK:AK,"NaN")="","NaN",_xlfn.XLOOKUP($B54,island_data!$B:$B,island_data!AK:AK,"NaN"))</f>
        <v>NaN</v>
      </c>
      <c r="EF54" s="4" t="str">
        <f>IF(_xlfn.XLOOKUP($B54,island_data!$B:$B,island_data!AL:AL,"NaN")="","NaN",_xlfn.XLOOKUP($B54,island_data!$B:$B,island_data!AL:AL,"NaN"))</f>
        <v>NaN</v>
      </c>
      <c r="EG54" s="4" t="str">
        <f>IF(_xlfn.XLOOKUP($B54,island_data!$B:$B,island_data!AM:AM,"NaN")="","NaN",_xlfn.XLOOKUP($B54,island_data!$B:$B,island_data!AM:AM,"NaN"))</f>
        <v>NaN</v>
      </c>
      <c r="EH54" s="4" t="str">
        <f>IF(_xlfn.XLOOKUP($B54,island_data!$B:$B,island_data!AN:AN,"NaN")="","NaN",_xlfn.XLOOKUP($B54,island_data!$B:$B,island_data!AN:AN,"NaN"))</f>
        <v>NaN</v>
      </c>
      <c r="EI54" s="4" t="str">
        <f>IF(_xlfn.XLOOKUP($B54,island_data!$B:$B,island_data!AO:AO,"NaN")="","NaN",_xlfn.XLOOKUP($B54,island_data!$B:$B,island_data!AO:AO,"NaN"))</f>
        <v>NaN</v>
      </c>
      <c r="EJ54" s="8" t="str">
        <f>IF(_xlfn.XLOOKUP($A54,TabCAT!$A:$A,TabCAT!AU:AU,"NaN")="","NaN",(_xlfn.XLOOKUP($A54,TabCAT!$A:$A,TabCAT!AU:AU,"NaN")))</f>
        <v>NaN</v>
      </c>
      <c r="EK54" s="8" t="str">
        <f>IF(_xlfn.XLOOKUP($A54,TabCAT!$A:$A,TabCAT!AV:AV,"NaN")="","NaN",(_xlfn.XLOOKUP($A54,TabCAT!$A:$A,TabCAT!AV:AV,"NaN")))</f>
        <v>NaN</v>
      </c>
      <c r="EL54" s="8" t="str">
        <f>IF(_xlfn.XLOOKUP($A54,TabCAT!$A:$A,TabCAT!AW:AW,"NaN")="","NaN",(_xlfn.XLOOKUP($A54,TabCAT!$A:$A,TabCAT!AW:AW,"NaN")))</f>
        <v>NaN</v>
      </c>
      <c r="EM54" s="8" t="str">
        <f>IF(_xlfn.XLOOKUP($A54,TabCAT!$A:$A,TabCAT!AX:AX,"NaN")="","NaN",(_xlfn.XLOOKUP($A54,TabCAT!$A:$A,TabCAT!AX:AX,"NaN")))</f>
        <v>NaN</v>
      </c>
      <c r="EN54" s="8" t="str">
        <f>IF(_xlfn.XLOOKUP($A54,TabCAT!$A:$A,TabCAT!AY:AY,"NaN")="","NaN",(_xlfn.XLOOKUP($A54,TabCAT!$A:$A,TabCAT!AY:AY,"NaN")))</f>
        <v>NaN</v>
      </c>
      <c r="EO54" s="8" t="str">
        <f>IF(_xlfn.XLOOKUP($A54,TabCAT!$A:$A,TabCAT!AZ:AZ,"NaN")="","NaN",(_xlfn.XLOOKUP($A54,TabCAT!$A:$A,TabCAT!AZ:AZ,"NaN")))</f>
        <v>NaN</v>
      </c>
      <c r="EP54" s="8" t="str">
        <f>IF(_xlfn.XLOOKUP($A54,TabCAT!$A:$A,TabCAT!BA:BA,"NaN")="","NaN",(_xlfn.XLOOKUP($A54,TabCAT!$A:$A,TabCAT!BA:BA,"NaN")))</f>
        <v>NaN</v>
      </c>
      <c r="EQ54" s="8" t="str">
        <f>IF(_xlfn.XLOOKUP($A54,TabCAT!$A:$A,TabCAT!BB:BB,"NaN")="","NaN",(_xlfn.XLOOKUP($A54,TabCAT!$A:$A,TabCAT!BB:BB,"NaN")))</f>
        <v>NaN</v>
      </c>
      <c r="ER54" s="8" t="str">
        <f>IF(_xlfn.XLOOKUP($A54,TabCAT!$A:$A,TabCAT!BC:BC,"NaN")="","NaN",(_xlfn.XLOOKUP($A54,TabCAT!$A:$A,TabCAT!BC:BC,"NaN")))</f>
        <v>NaN</v>
      </c>
      <c r="ES54" s="8" t="str">
        <f>IF(_xlfn.XLOOKUP($A54,TabCAT!$A:$A,TabCAT!BD:BD,"NaN")="","NaN",(_xlfn.XLOOKUP($A54,TabCAT!$A:$A,TabCAT!BD:BD,"NaN")))</f>
        <v>NaN</v>
      </c>
      <c r="ET54" s="8" t="str">
        <f>IF(_xlfn.XLOOKUP($A54,TabCAT!$A:$A,TabCAT!BE:BE,"NaN")="","NaN",(_xlfn.XLOOKUP($A54,TabCAT!$A:$A,TabCAT!BE:BE,"NaN")))</f>
        <v>NaN</v>
      </c>
      <c r="EU54" s="8" t="str">
        <f>IF(_xlfn.XLOOKUP($A54,TabCAT!$A:$A,TabCAT!BF:BF,"NaN")="","NaN",(_xlfn.XLOOKUP($A54,TabCAT!$A:$A,TabCAT!BF:BF,"NaN")))</f>
        <v>NaN</v>
      </c>
      <c r="EV54" s="8" t="str">
        <f>IF(_xlfn.XLOOKUP($A54,TabCAT!$A:$A,TabCAT!BG:BG,"NaN")="","NaN",(_xlfn.XLOOKUP($A54,TabCAT!$A:$A,TabCAT!BG:BG,"NaN")))</f>
        <v>NaN</v>
      </c>
      <c r="EW54" s="8" t="str">
        <f>IF(_xlfn.XLOOKUP($A54,TabCAT!$A:$A,TabCAT!BH:BH,"NaN")="","NaN",(_xlfn.XLOOKUP($A54,TabCAT!$A:$A,TabCAT!BH:BH,"NaN")))</f>
        <v>NaN</v>
      </c>
      <c r="EX54" s="8" t="str">
        <f>IF(_xlfn.XLOOKUP($A54,TabCAT!$A:$A,TabCAT!BI:BI,"NaN")="","NaN",(_xlfn.XLOOKUP($A54,TabCAT!$A:$A,TabCAT!BI:BI,"NaN")))</f>
        <v>NaN</v>
      </c>
      <c r="EY54" s="8" t="str">
        <f>IF(_xlfn.XLOOKUP($A54,TabCAT!$A:$A,TabCAT!BJ:BJ,"NaN")="","NaN",(_xlfn.XLOOKUP($A54,TabCAT!$A:$A,TabCAT!BJ:BJ,"NaN")))</f>
        <v>NaN</v>
      </c>
      <c r="EZ54" s="8" t="str">
        <f>IF(_xlfn.XLOOKUP($A54,TabCAT!$A:$A,TabCAT!BK:BK,"NaN")="","NaN",(_xlfn.XLOOKUP($A54,TabCAT!$A:$A,TabCAT!BK:BK,"NaN")))</f>
        <v>NaN</v>
      </c>
      <c r="FA54" s="8" t="str">
        <f>IF(_xlfn.XLOOKUP($A54,TabCAT!$A:$A,TabCAT!BL:BL,"NaN")="","NaN",(_xlfn.XLOOKUP($A54,TabCAT!$A:$A,TabCAT!BL:BL,"NaN")))</f>
        <v>NaN</v>
      </c>
      <c r="FB54" s="8" t="str">
        <f>IF(_xlfn.XLOOKUP($A54,TabCAT!$A:$A,TabCAT!BM:BM,"NaN")="","NaN",(_xlfn.XLOOKUP($A54,TabCAT!$A:$A,TabCAT!BM:BM,"NaN")))</f>
        <v>NaN</v>
      </c>
      <c r="FC54" s="8" t="str">
        <f>IF(_xlfn.XLOOKUP($A54,TabCAT!$A:$A,TabCAT!BN:BN,"NaN")="","NaN",(_xlfn.XLOOKUP($A54,TabCAT!$A:$A,TabCAT!BN:BN,"NaN")))</f>
        <v>NaN</v>
      </c>
      <c r="FD54" s="8" t="str">
        <f>IF(_xlfn.XLOOKUP($A54,TabCAT!$A:$A,TabCAT!BO:BO,"NaN")="","NaN",(_xlfn.XLOOKUP($A54,TabCAT!$A:$A,TabCAT!BO:BO,"NaN")))</f>
        <v>NaN</v>
      </c>
      <c r="FE54" s="8" t="str">
        <f>IF(_xlfn.XLOOKUP($A54,TabCAT!$A:$A,TabCAT!BP:BP,"NaN")="","NaN",(_xlfn.XLOOKUP($A54,TabCAT!$A:$A,TabCAT!BP:BP,"NaN")))</f>
        <v>NaN</v>
      </c>
      <c r="FF54" s="8" t="str">
        <f>IF(_xlfn.XLOOKUP($A54,TabCAT!$A:$A,TabCAT!BQ:BQ,"NaN")="","NaN",(_xlfn.XLOOKUP($A54,TabCAT!$A:$A,TabCAT!BQ:BQ,"NaN")))</f>
        <v>NaN</v>
      </c>
      <c r="FG54" s="8" t="str">
        <f>IF(_xlfn.XLOOKUP($A54,TabCAT!$A:$A,TabCAT!BR:BR,"NaN")="","NaN",(_xlfn.XLOOKUP($A54,TabCAT!$A:$A,TabCAT!BR:BR,"NaN")))</f>
        <v>NaN</v>
      </c>
      <c r="FH54" s="8" t="str">
        <f>IF(_xlfn.XLOOKUP($A54,TabCAT!$A:$A,TabCAT!BS:BS,"NaN")="","NaN",(_xlfn.XLOOKUP($A54,TabCAT!$A:$A,TabCAT!BS:BS,"NaN")))</f>
        <v>NaN</v>
      </c>
      <c r="FI54" s="8" t="str">
        <f>IF(_xlfn.XLOOKUP($A54,TabCAT!$A:$A,TabCAT!BT:BT,"NaN")="","NaN",(_xlfn.XLOOKUP($A54,TabCAT!$A:$A,TabCAT!BT:BT,"NaN")))</f>
        <v>NaN</v>
      </c>
      <c r="FJ54" s="8" t="str">
        <f>IF(_xlfn.XLOOKUP($A54,TabCAT!$A:$A,TabCAT!BU:BU,"NaN")="","NaN",(_xlfn.XLOOKUP($A54,TabCAT!$A:$A,TabCAT!BU:BU,"NaN")))</f>
        <v>NaN</v>
      </c>
      <c r="FK54" s="8" t="str">
        <f>IF(_xlfn.XLOOKUP($A54,TabCAT!$A:$A,TabCAT!BV:BV,"NaN")="","NaN",(_xlfn.XLOOKUP($A54,TabCAT!$A:$A,TabCAT!BV:BV,"NaN")))</f>
        <v>NaN</v>
      </c>
      <c r="FL54" s="8" t="str">
        <f>IF(_xlfn.XLOOKUP($A54,TabCAT!$A:$A,TabCAT!BW:BW,"NaN")="","NaN",(_xlfn.XLOOKUP($A54,TabCAT!$A:$A,TabCAT!BW:BW,"NaN")))</f>
        <v>NaN</v>
      </c>
      <c r="FM54" s="8" t="str">
        <f>IF(_xlfn.XLOOKUP($A54,TabCAT!$A:$A,TabCAT!BX:BX,"NaN")="","NaN",(_xlfn.XLOOKUP($A54,TabCAT!$A:$A,TabCAT!BX:BX,"NaN")))</f>
        <v>NaN</v>
      </c>
      <c r="FN54" s="8" t="str">
        <f>IF(_xlfn.XLOOKUP($A54,TabCAT!$A:$A,TabCAT!BY:BY,"NaN")="","NaN",(_xlfn.XLOOKUP($A54,TabCAT!$A:$A,TabCAT!BY:BY,"NaN")))</f>
        <v>NaN</v>
      </c>
      <c r="FO54" s="8" t="str">
        <f>IF(_xlfn.XLOOKUP($A54,TabCAT!$A:$A,TabCAT!BZ:BZ,"NaN")="","NaN",(_xlfn.XLOOKUP($A54,TabCAT!$A:$A,TabCAT!BZ:BZ,"NaN")))</f>
        <v>NaN</v>
      </c>
      <c r="FP54" s="8" t="str">
        <f>IF(_xlfn.XLOOKUP($A54,TabCAT!$A:$A,TabCAT!CA:CA,"NaN")="","NaN",(_xlfn.XLOOKUP($A54,TabCAT!$A:$A,TabCAT!CA:CA,"NaN")))</f>
        <v>NaN</v>
      </c>
      <c r="FQ54" s="8" t="str">
        <f>IF(_xlfn.XLOOKUP($A54,TabCAT!$A:$A,TabCAT!CB:CB,"NaN")="","NaN",(_xlfn.XLOOKUP($A54,TabCAT!$A:$A,TabCAT!CB:CB,"NaN")))</f>
        <v>NaN</v>
      </c>
      <c r="FR54" s="8" t="str">
        <f>IF(_xlfn.XLOOKUP($A54,TabCAT!$A:$A,TabCAT!CC:CC,"NaN")="","NaN",(_xlfn.XLOOKUP($A54,TabCAT!$A:$A,TabCAT!CC:CC,"NaN")))</f>
        <v>NaN</v>
      </c>
      <c r="FS54" s="8" t="str">
        <f>IF(_xlfn.XLOOKUP($A54,TabCAT!$A:$A,TabCAT!CD:CD,"NaN")="","NaN",(_xlfn.XLOOKUP($A54,TabCAT!$A:$A,TabCAT!CD:CD,"NaN")))</f>
        <v>NaN</v>
      </c>
      <c r="FT54" s="8" t="str">
        <f>IF(_xlfn.XLOOKUP($A54,TabCAT!$A:$A,TabCAT!CE:CE,"NaN")="","NaN",(_xlfn.XLOOKUP($A54,TabCAT!$A:$A,TabCAT!CE:CE,"NaN")))</f>
        <v>NaN</v>
      </c>
      <c r="FU54" s="8" t="str">
        <f>IF(_xlfn.XLOOKUP($A54,TabCAT!$A:$A,TabCAT!CF:CF,"NaN")="","NaN",(_xlfn.XLOOKUP($A54,TabCAT!$A:$A,TabCAT!CF:CF,"NaN")))</f>
        <v>NaN</v>
      </c>
      <c r="FV54" s="8" t="str">
        <f>IF(_xlfn.XLOOKUP($A54,TabCAT!$A:$A,TabCAT!CG:CG,"NaN")="","NaN",(_xlfn.XLOOKUP($A54,TabCAT!$A:$A,TabCAT!CG:CG,"NaN")))</f>
        <v>NaN</v>
      </c>
      <c r="FW54" s="8" t="str">
        <f>IF(_xlfn.XLOOKUP($A54,TabCAT!$A:$A,TabCAT!CH:CH,"NaN")="","NaN",(_xlfn.XLOOKUP($A54,TabCAT!$A:$A,TabCAT!CH:CH,"NaN")))</f>
        <v>NaN</v>
      </c>
      <c r="FX54" s="8" t="str">
        <f>IF(_xlfn.XLOOKUP($A54,TabCAT!$A:$A,TabCAT!CI:CI,"NaN")="","NaN",(_xlfn.XLOOKUP($A54,TabCAT!$A:$A,TabCAT!CI:CI,"NaN")))</f>
        <v>NaN</v>
      </c>
      <c r="FY54" s="8" t="str">
        <f>IF(_xlfn.XLOOKUP($A54,TabCAT!$A:$A,TabCAT!CJ:CJ,"NaN")="","NaN",(_xlfn.XLOOKUP($A54,TabCAT!$A:$A,TabCAT!CJ:CJ,"NaN")))</f>
        <v>NaN</v>
      </c>
      <c r="FZ54" s="8" t="str">
        <f>IF(_xlfn.XLOOKUP($A54,TabCAT!$A:$A,TabCAT!CK:CK,"NaN")="","NaN",(_xlfn.XLOOKUP($A54,TabCAT!$A:$A,TabCAT!CK:CK,"NaN")))</f>
        <v>NaN</v>
      </c>
      <c r="GA54" s="8" t="str">
        <f>IF(_xlfn.XLOOKUP($A54,TabCAT!$A:$A,TabCAT!CL:CL,"NaN")="","NaN",(_xlfn.XLOOKUP($A54,TabCAT!$A:$A,TabCAT!CL:CL,"NaN")))</f>
        <v>NaN</v>
      </c>
      <c r="GB54" s="8" t="str">
        <f>IF(_xlfn.XLOOKUP($A54,TabCAT!$A:$A,TabCAT!CM:CM,"NaN")="","NaN",(_xlfn.XLOOKUP($A54,TabCAT!$A:$A,TabCAT!CM:CM,"NaN")))</f>
        <v>NaN</v>
      </c>
      <c r="GC54" s="8" t="str">
        <f>IF(_xlfn.XLOOKUP($A54,TabCAT!$A:$A,TabCAT!CN:CN,"NaN")="","NaN",(_xlfn.XLOOKUP($A54,TabCAT!$A:$A,TabCAT!CN:CN,"NaN")))</f>
        <v>NaN</v>
      </c>
      <c r="GD54" s="8" t="str">
        <f>IF(_xlfn.XLOOKUP($A54,TabCAT!$A:$A,TabCAT!CO:CO,"NaN")="","NaN",(_xlfn.XLOOKUP($A54,TabCAT!$A:$A,TabCAT!CO:CO,"NaN")))</f>
        <v>NaN</v>
      </c>
      <c r="GE54" s="8" t="str">
        <f>IF(_xlfn.XLOOKUP($A54,TabCAT!$A:$A,TabCAT!CP:CP,"NaN")="","NaN",(_xlfn.XLOOKUP($A54,TabCAT!$A:$A,TabCAT!CP:CP,"NaN")))</f>
        <v>NaN</v>
      </c>
      <c r="GF54" s="8" t="str">
        <f>IF(_xlfn.XLOOKUP($A54,TabCAT!$A:$A,TabCAT!CQ:CQ,"NaN")="","NaN",(_xlfn.XLOOKUP($A54,TabCAT!$A:$A,TabCAT!CQ:CQ,"NaN")))</f>
        <v>NaN</v>
      </c>
      <c r="GG54" s="8" t="str">
        <f>IF(_xlfn.XLOOKUP($A54,TabCAT!$A:$A,TabCAT!CR:CR,"NaN")="","NaN",(_xlfn.XLOOKUP($A54,TabCAT!$A:$A,TabCAT!CR:CR,"NaN")))</f>
        <v>NaN</v>
      </c>
      <c r="GH54" s="8" t="str">
        <f>IF(_xlfn.XLOOKUP($A54,TabCAT!$A:$A,TabCAT!CS:CS,"NaN")="","NaN",(_xlfn.XLOOKUP($A54,TabCAT!$A:$A,TabCAT!CS:CS,"NaN")))</f>
        <v>NaN</v>
      </c>
    </row>
    <row r="55" spans="1:190" x14ac:dyDescent="0.2">
      <c r="A55">
        <v>10767</v>
      </c>
      <c r="B55">
        <f>_xlfn.XLOOKUP(bippity_poppity_boo!A55,rf1_data!A:A,rf1_data!B:B)</f>
        <v>130798</v>
      </c>
      <c r="C55" s="2">
        <f>(_xlfn.XLOOKUP($A55,trust!$A:$A,trust!B:B,"NaN"))</f>
        <v>2.25</v>
      </c>
      <c r="D55" s="2">
        <f>(_xlfn.XLOOKUP($A55,trust!$A:$A,trust!C:C,"NaN"))</f>
        <v>2.8571430000000002</v>
      </c>
      <c r="E55" s="2">
        <f>(_xlfn.XLOOKUP($A55,trust!$A:$A,trust!D:D,"NaN"))</f>
        <v>3.538462</v>
      </c>
      <c r="F55" s="2">
        <f>(_xlfn.XLOOKUP($A55,trust!$A:$A,trust!E:E,"NaN"))</f>
        <v>3.714286</v>
      </c>
      <c r="G55" s="2">
        <f>(_xlfn.XLOOKUP($A55,trust!$A:$A,trust!F:F,"NaN"))</f>
        <v>5.8571429999999998</v>
      </c>
      <c r="H55" s="2">
        <f>(_xlfn.XLOOKUP($A55,trust!$A:$A,trust!G:G,"NaN"))</f>
        <v>6.3076920000000003</v>
      </c>
      <c r="I55" s="3">
        <f>IF(_xlfn.XLOOKUP($B55,island_data!$B:$B,island_data!C:C,"NaN")="","NaN",_xlfn.XLOOKUP($B55,island_data!$B:$B,island_data!C:C,"NaN"))</f>
        <v>45096</v>
      </c>
      <c r="J55" s="3">
        <f>IF(_xlfn.XLOOKUP($B55,island_data!$B:$B,island_data!D:D,"NaN")="","NaN",_xlfn.XLOOKUP($B55,island_data!$B:$B,island_data!D:D,"NaN"))</f>
        <v>35821</v>
      </c>
      <c r="K55" s="4">
        <f>IF(_xlfn.XLOOKUP($B55,island_data!$B:$B,island_data!E:E,"NaN")="","NaN",_xlfn.XLOOKUP($B55,island_data!$B:$B,island_data!E:E,"NaN"))</f>
        <v>25.39</v>
      </c>
      <c r="L55" s="5">
        <f>IF(_xlfn.XLOOKUP($B55,rf1_data!$B:$B,rf1_data!D:D,"NaN")="","NaN",(_xlfn.XLOOKUP($B55,rf1_data!$B:$B,rf1_data!D:D,"NaN")))</f>
        <v>25.51</v>
      </c>
      <c r="M55" s="5" t="str">
        <f>IF(_xlfn.XLOOKUP($B55,rf1_data!$B:$B,rf1_data!E:E,"NaN")="","NaN",(_xlfn.XLOOKUP($B55,rf1_data!$B:$B,rf1_data!E:E,"NaN")))</f>
        <v>White</v>
      </c>
      <c r="N55" s="5" t="str">
        <f>IF(_xlfn.XLOOKUP($B55,rf1_data!$B:$B,rf1_data!F:F,"NaN")="","NaN",(_xlfn.XLOOKUP($B55,rf1_data!$B:$B,rf1_data!F:F,"NaN")))</f>
        <v>Not Hispanic or Latino</v>
      </c>
      <c r="O55" s="5" t="str">
        <f>IF(_xlfn.XLOOKUP($B55,rf1_data!$B:$B,rf1_data!G:G,"NaN")="","NaN",(_xlfn.XLOOKUP($B55,rf1_data!$B:$B,rf1_data!G:G,"NaN")))</f>
        <v>Female</v>
      </c>
      <c r="P55" s="5">
        <f>IF(_xlfn.XLOOKUP($B55,rf1_data!$B:$B,rf1_data!H:H,"NaN")="","NaN",(_xlfn.XLOOKUP($B55,rf1_data!$B:$B,rf1_data!H:H,"NaN")))</f>
        <v>4.5599999999999996</v>
      </c>
      <c r="Q55" s="5">
        <f>IF(_xlfn.XLOOKUP($B55,rf1_data!$B:$B,rf1_data!I:I,"NaN")="","NaN",(_xlfn.XLOOKUP($B55,rf1_data!$B:$B,rf1_data!I:I,"NaN")))</f>
        <v>3.7</v>
      </c>
      <c r="R55" s="5">
        <f>IF(_xlfn.XLOOKUP($B55,rf1_data!$B:$B,rf1_data!J:J,"NaN")="","NaN",(_xlfn.XLOOKUP($B55,rf1_data!$B:$B,rf1_data!J:J,"NaN")))</f>
        <v>1</v>
      </c>
      <c r="S55" s="5">
        <f>IF(_xlfn.XLOOKUP($B55,rf1_data!$B:$B,rf1_data!K:K,"NaN")="","NaN",(_xlfn.XLOOKUP($B55,rf1_data!$B:$B,rf1_data!K:K,"NaN")))</f>
        <v>5</v>
      </c>
      <c r="T55" s="5">
        <f>IF(_xlfn.XLOOKUP($B55,rf1_data!$B:$B,rf1_data!L:L,"NaN")="","NaN",(_xlfn.XLOOKUP($B55,rf1_data!$B:$B,rf1_data!L:L,"NaN")))</f>
        <v>0</v>
      </c>
      <c r="U55" s="5">
        <f>IF(_xlfn.XLOOKUP($B55,rf1_data!$B:$B,rf1_data!M:M,"NaN")="","NaN",(_xlfn.XLOOKUP($B55,rf1_data!$B:$B,rf1_data!M:M,"NaN")))</f>
        <v>5</v>
      </c>
      <c r="V55" s="5">
        <f>IF(_xlfn.XLOOKUP($B55,rf1_data!$B:$B,rf1_data!N:N,"NaN")="","NaN",(_xlfn.XLOOKUP($B55,rf1_data!$B:$B,rf1_data!N:N,"NaN")))</f>
        <v>4.17</v>
      </c>
      <c r="W55" s="5">
        <f>IF(_xlfn.XLOOKUP($B55,rf1_data!$B:$B,rf1_data!O:O,"NaN")="","NaN",(_xlfn.XLOOKUP($B55,rf1_data!$B:$B,rf1_data!O:O,"NaN")))</f>
        <v>4.63</v>
      </c>
      <c r="X55" s="5">
        <f>IF(_xlfn.XLOOKUP($B55,rf1_data!$B:$B,rf1_data!P:P,"NaN")="","NaN",(_xlfn.XLOOKUP($B55,rf1_data!$B:$B,rf1_data!P:P,"NaN")))</f>
        <v>4.17</v>
      </c>
      <c r="Y55" s="5">
        <f>IF(_xlfn.XLOOKUP($B55,rf1_data!$B:$B,rf1_data!Q:Q,"NaN")="","NaN",(_xlfn.XLOOKUP($B55,rf1_data!$B:$B,rf1_data!Q:Q,"NaN")))</f>
        <v>4.47</v>
      </c>
      <c r="Z55" s="5">
        <f>IF(_xlfn.XLOOKUP($B55,rf1_data!$B:$B,rf1_data!R:R,"NaN")="","NaN",(_xlfn.XLOOKUP($B55,rf1_data!$B:$B,rf1_data!R:R,"NaN")))</f>
        <v>41</v>
      </c>
      <c r="AA55" s="5">
        <f>IF(_xlfn.XLOOKUP($B55,rf1_data!$B:$B,rf1_data!S:S,"NaN")="","NaN",(_xlfn.XLOOKUP($B55,rf1_data!$B:$B,rf1_data!S:S,"NaN")))</f>
        <v>11</v>
      </c>
      <c r="AB55" s="5">
        <f>IF(_xlfn.XLOOKUP($B55,rf1_data!$B:$B,rf1_data!T:T,"NaN")="","NaN",(_xlfn.XLOOKUP($B55,rf1_data!$B:$B,rf1_data!T:T,"NaN")))</f>
        <v>14</v>
      </c>
      <c r="AC55" s="5">
        <f>IF(_xlfn.XLOOKUP($B55,rf1_data!$B:$B,rf1_data!U:U,"NaN")="","NaN",(_xlfn.XLOOKUP($B55,rf1_data!$B:$B,rf1_data!U:U,"NaN")))</f>
        <v>4</v>
      </c>
      <c r="AD55" s="5">
        <f>IF(_xlfn.XLOOKUP($B55,rf1_data!$B:$B,rf1_data!V:V,"NaN")="","NaN",(_xlfn.XLOOKUP($B55,rf1_data!$B:$B,rf1_data!V:V,"NaN")))</f>
        <v>12</v>
      </c>
      <c r="AE55" s="5">
        <f>IF(_xlfn.XLOOKUP($B55,rf1_data!$B:$B,rf1_data!W:W,"NaN")="","NaN",(_xlfn.XLOOKUP($B55,rf1_data!$B:$B,rf1_data!W:W,"NaN")))</f>
        <v>4</v>
      </c>
      <c r="AF55" s="5">
        <f>IF(_xlfn.XLOOKUP($B55,rf1_data!$B:$B,rf1_data!X:X,"NaN")="","NaN",(_xlfn.XLOOKUP($B55,rf1_data!$B:$B,rf1_data!X:X,"NaN")))</f>
        <v>3</v>
      </c>
      <c r="AG55" s="5">
        <f>IF(_xlfn.XLOOKUP($B55,rf1_data!$B:$B,rf1_data!Y:Y,"NaN")="","NaN",(_xlfn.XLOOKUP($B55,rf1_data!$B:$B,rf1_data!Y:Y,"NaN")))</f>
        <v>4</v>
      </c>
      <c r="AH55" s="5">
        <f>IF(_xlfn.XLOOKUP($B55,rf1_data!$B:$B,rf1_data!Z:Z,"NaN")="","NaN",(_xlfn.XLOOKUP($B55,rf1_data!$B:$B,rf1_data!Z:Z,"NaN")))</f>
        <v>4</v>
      </c>
      <c r="AI55" s="5">
        <f>IF(_xlfn.XLOOKUP($B55,rf1_data!$B:$B,rf1_data!AA:AA,"NaN")="","NaN",(_xlfn.XLOOKUP($B55,rf1_data!$B:$B,rf1_data!AA:AA,"NaN")))</f>
        <v>1</v>
      </c>
      <c r="AJ55" s="5">
        <f>IF(_xlfn.XLOOKUP($B55,rf1_data!$B:$B,rf1_data!AB:AB,"NaN")="","NaN",(_xlfn.XLOOKUP($B55,rf1_data!$B:$B,rf1_data!AB:AB,"NaN")))</f>
        <v>16</v>
      </c>
      <c r="AK55" s="5">
        <f>IF(_xlfn.XLOOKUP($B55,rf1_data!$B:$B,rf1_data!AC:AC,"NaN")="","NaN",(_xlfn.XLOOKUP($B55,rf1_data!$B:$B,rf1_data!AC:AC,"NaN")))</f>
        <v>22</v>
      </c>
      <c r="AL55" s="5">
        <f>IF(_xlfn.XLOOKUP($B55,rf1_data!$B:$B,rf1_data!AD:AD,"NaN")="","NaN",(_xlfn.XLOOKUP($B55,rf1_data!$B:$B,rf1_data!AD:AD,"NaN")))</f>
        <v>13</v>
      </c>
      <c r="AM55" s="5">
        <f>IF(_xlfn.XLOOKUP($B55,rf1_data!$B:$B,rf1_data!AE:AE,"NaN")="","NaN",(_xlfn.XLOOKUP($B55,rf1_data!$B:$B,rf1_data!AE:AE,"NaN")))</f>
        <v>0</v>
      </c>
      <c r="AN55" s="5">
        <f>IF(_xlfn.XLOOKUP($B55,rf1_data!$B:$B,rf1_data!AF:AF,"NaN")="","NaN",(_xlfn.XLOOKUP($B55,rf1_data!$B:$B,rf1_data!AF:AF,"NaN")))</f>
        <v>0</v>
      </c>
      <c r="AO55" s="5">
        <f>IF(_xlfn.XLOOKUP($B55,rf1_data!$B:$B,rf1_data!AG:AG,"NaN")="","NaN",(_xlfn.XLOOKUP($B55,rf1_data!$B:$B,rf1_data!AG:AG,"NaN")))</f>
        <v>6</v>
      </c>
      <c r="AP55" s="5">
        <f>IF(_xlfn.XLOOKUP($B55,rf1_data!$B:$B,rf1_data!AH:AH,"NaN")="","NaN",(_xlfn.XLOOKUP($B55,rf1_data!$B:$B,rf1_data!AH:AH,"NaN")))</f>
        <v>6</v>
      </c>
      <c r="AQ55" s="5">
        <f>IF(_xlfn.XLOOKUP($B55,rf1_data!$B:$B,rf1_data!AI:AI,"NaN")="","NaN",(_xlfn.XLOOKUP($B55,rf1_data!$B:$B,rf1_data!AI:AI,"NaN")))</f>
        <v>6</v>
      </c>
      <c r="AR55" s="5">
        <f>IF(_xlfn.XLOOKUP($B55,rf1_data!$B:$B,rf1_data!AJ:AJ,"NaN")="","NaN",(_xlfn.XLOOKUP($B55,rf1_data!$B:$B,rf1_data!AJ:AJ,"NaN")))</f>
        <v>6</v>
      </c>
      <c r="AS55" s="5">
        <f>IF(_xlfn.XLOOKUP($B55,rf1_data!$B:$B,rf1_data!AK:AK,"NaN")="","NaN",(_xlfn.XLOOKUP($B55,rf1_data!$B:$B,rf1_data!AK:AK,"NaN")))</f>
        <v>3.5</v>
      </c>
      <c r="AT55" s="5">
        <f>IF(_xlfn.XLOOKUP($B55,rf1_data!$B:$B,rf1_data!AL:AL,"NaN")="","NaN",(_xlfn.XLOOKUP($B55,rf1_data!$B:$B,rf1_data!AL:AL,"NaN")))</f>
        <v>12</v>
      </c>
      <c r="AU55" s="5">
        <f>IF(_xlfn.XLOOKUP($B55,rf1_data!$B:$B,rf1_data!AM:AM,"NaN")="","NaN",(_xlfn.XLOOKUP($B55,rf1_data!$B:$B,rf1_data!AM:AM,"NaN")))</f>
        <v>4.5</v>
      </c>
      <c r="AV55" s="5">
        <f>IF(_xlfn.XLOOKUP($B55,rf1_data!$B:$B,rf1_data!AN:AN,"NaN")="","NaN",(_xlfn.XLOOKUP($B55,rf1_data!$B:$B,rf1_data!AN:AN,"NaN")))</f>
        <v>19</v>
      </c>
      <c r="AW55" s="5">
        <f>IF(_xlfn.XLOOKUP($B55,rf1_data!$B:$B,rf1_data!AO:AO,"NaN")="","NaN",(_xlfn.XLOOKUP($B55,rf1_data!$B:$B,rf1_data!AO:AO,"NaN")))</f>
        <v>2.67</v>
      </c>
      <c r="AX55" s="5">
        <f>IF(_xlfn.XLOOKUP($B55,rf1_data!$B:$B,rf1_data!AP:AP,"NaN")="","NaN",(_xlfn.XLOOKUP($B55,rf1_data!$B:$B,rf1_data!AP:AP,"NaN")))</f>
        <v>9999</v>
      </c>
      <c r="AY55" s="5" t="str">
        <f>IF(_xlfn.XLOOKUP($B55,rf1_data!$B:$B,rf1_data!AQ:AQ,"NaN")="","NaN",(_xlfn.XLOOKUP($B55,rf1_data!$B:$B,rf1_data!AQ:AQ,"NaN")))</f>
        <v>NaN</v>
      </c>
      <c r="AZ55" s="5" t="str">
        <f>IF(_xlfn.XLOOKUP($B55,rf1_data!$B:$B,rf1_data!AR:AR,"NaN")="","NaN",(_xlfn.XLOOKUP($B55,rf1_data!$B:$B,rf1_data!AR:AR,"NaN")))</f>
        <v>NaN</v>
      </c>
      <c r="BA55" s="5" t="str">
        <f>IF(_xlfn.XLOOKUP($B55,rf1_data!$B:$B,rf1_data!AS:AS,"NaN")="","NaN",(_xlfn.XLOOKUP($B55,rf1_data!$B:$B,rf1_data!AS:AS,"NaN")))</f>
        <v>NaN</v>
      </c>
      <c r="BB55" s="5" t="str">
        <f>IF(_xlfn.XLOOKUP($B55,rf1_data!$B:$B,rf1_data!AT:AT,"NaN")="","NaN",(_xlfn.XLOOKUP($B55,rf1_data!$B:$B,rf1_data!AT:AT,"NaN")))</f>
        <v>NaN</v>
      </c>
      <c r="BC55" s="5" t="str">
        <f>IF(_xlfn.XLOOKUP($B55,rf1_data!$B:$B,rf1_data!AU:AU,"NaN")="","NaN",(_xlfn.XLOOKUP($B55,rf1_data!$B:$B,rf1_data!AU:AU,"NaN")))</f>
        <v>NaN</v>
      </c>
      <c r="BD55" s="5" t="str">
        <f>IF(_xlfn.XLOOKUP($B55,rf1_data!$B:$B,rf1_data!AV:AV,"NaN")="","NaN",(_xlfn.XLOOKUP($B55,rf1_data!$B:$B,rf1_data!AV:AV,"NaN")))</f>
        <v>NaN</v>
      </c>
      <c r="BE55" s="5" t="str">
        <f>IF(_xlfn.XLOOKUP($B55,rf1_data!$B:$B,rf1_data!AW:AW,"NaN")="","NaN",(_xlfn.XLOOKUP($B55,rf1_data!$B:$B,rf1_data!AW:AW,"NaN")))</f>
        <v>NaN</v>
      </c>
      <c r="BF55" s="5" t="str">
        <f>IF(_xlfn.XLOOKUP($B55,rf1_data!$B:$B,rf1_data!AX:AX,"NaN")="","NaN",(_xlfn.XLOOKUP($B55,rf1_data!$B:$B,rf1_data!AX:AX,"NaN")))</f>
        <v>NaN</v>
      </c>
      <c r="BG55" s="5" t="str">
        <f>IF(_xlfn.XLOOKUP($B55,rf1_data!$B:$B,rf1_data!AY:AY,"NaN")="","NaN",(_xlfn.XLOOKUP($B55,rf1_data!$B:$B,rf1_data!AY:AY,"NaN")))</f>
        <v>NaN</v>
      </c>
      <c r="BH55" s="5" t="str">
        <f>IF(_xlfn.XLOOKUP($B55,rf1_data!$B:$B,rf1_data!AZ:AZ,"NaN")="","NaN",(_xlfn.XLOOKUP($B55,rf1_data!$B:$B,rf1_data!AZ:AZ,"NaN")))</f>
        <v>NaN</v>
      </c>
      <c r="BI55" s="5">
        <f>IF(_xlfn.XLOOKUP($B55,rf1_data!$B:$B,rf1_data!BA:BA,"NaN")="","NaN",(_xlfn.XLOOKUP($B55,rf1_data!$B:$B,rf1_data!BA:BA,"NaN")))</f>
        <v>20</v>
      </c>
      <c r="BJ55" s="5" t="str">
        <f>IF(_xlfn.XLOOKUP($B55,rf1_data!$B:$B,rf1_data!BB:BB,"NaN")="","NaN",(_xlfn.XLOOKUP($B55,rf1_data!$B:$B,rf1_data!BB:BB,"NaN")))</f>
        <v>NaN</v>
      </c>
      <c r="BK55" s="5" t="str">
        <f>IF(_xlfn.XLOOKUP($B55,rf1_data!$B:$B,rf1_data!BC:BC,"NaN")="","NaN",(_xlfn.XLOOKUP($B55,rf1_data!$B:$B,rf1_data!BC:BC,"NaN")))</f>
        <v>NaN</v>
      </c>
      <c r="BL55" s="5" t="str">
        <f>IF(_xlfn.XLOOKUP($B55,rf1_data!$B:$B,rf1_data!BD:BD,"NaN")="","NaN",(_xlfn.XLOOKUP($B55,rf1_data!$B:$B,rf1_data!BD:BD,"NaN")))</f>
        <v>NaN</v>
      </c>
      <c r="BM55" s="5" t="str">
        <f>IF(_xlfn.XLOOKUP($B55,rf1_data!$B:$B,rf1_data!BE:BE,"NaN")="","NaN",(_xlfn.XLOOKUP($B55,rf1_data!$B:$B,rf1_data!BE:BE,"NaN")))</f>
        <v>NaN</v>
      </c>
      <c r="BN55" s="5" t="str">
        <f>IF(_xlfn.XLOOKUP($B55,rf1_data!$B:$B,rf1_data!BF:BF,"NaN")="","NaN",(_xlfn.XLOOKUP($B55,rf1_data!$B:$B,rf1_data!BF:BF,"NaN")))</f>
        <v>NaN</v>
      </c>
      <c r="BO55" s="5" t="str">
        <f>IF(_xlfn.XLOOKUP($B55,rf1_data!$B:$B,rf1_data!BG:BG,"NaN")="","NaN",(_xlfn.XLOOKUP($B55,rf1_data!$B:$B,rf1_data!BG:BG,"NaN")))</f>
        <v>NaN</v>
      </c>
      <c r="BP55" s="5" t="str">
        <f>IF(_xlfn.XLOOKUP($B55,rf1_data!$B:$B,rf1_data!BH:BH,"NaN")="","NaN",(_xlfn.XLOOKUP($B55,rf1_data!$B:$B,rf1_data!BH:BH,"NaN")))</f>
        <v>NaN</v>
      </c>
      <c r="BQ55" s="5" t="str">
        <f>IF(_xlfn.XLOOKUP($B55,rf1_data!$B:$B,rf1_data!BI:BI,"NaN")="","NaN",(_xlfn.XLOOKUP($B55,rf1_data!$B:$B,rf1_data!BI:BI,"NaN")))</f>
        <v>NaN</v>
      </c>
      <c r="BR55" s="5">
        <f>IF(_xlfn.XLOOKUP($B55,rf1_data!$B:$B,rf1_data!BJ:BJ,"NaN")="","NaN",(_xlfn.XLOOKUP($B55,rf1_data!$B:$B,rf1_data!BJ:BJ,"NaN")))</f>
        <v>8991</v>
      </c>
      <c r="BS55" s="5" t="str">
        <f>IF(_xlfn.XLOOKUP($B55,rf1_data!$B:$B,rf1_data!BK:BK,"NaN")="","NaN",(_xlfn.XLOOKUP($B55,rf1_data!$B:$B,rf1_data!BK:BK,"NaN")))</f>
        <v>NaN</v>
      </c>
      <c r="BT55" s="5" t="str">
        <f>IF(_xlfn.XLOOKUP($B55,rf1_data!$B:$B,rf1_data!BL:BL,"NaN")="","NaN",(_xlfn.XLOOKUP($B55,rf1_data!$B:$B,rf1_data!BL:BL,"NaN")))</f>
        <v>NaN</v>
      </c>
      <c r="BU55" s="5" t="str">
        <f>IF(_xlfn.XLOOKUP($B55,rf1_data!$B:$B,rf1_data!BM:BM,"NaN")="","NaN",(_xlfn.XLOOKUP($B55,rf1_data!$B:$B,rf1_data!BM:BM,"NaN")))</f>
        <v>NaN</v>
      </c>
      <c r="BV55" s="5" t="str">
        <f>IF(_xlfn.XLOOKUP($B55,rf1_data!$B:$B,rf1_data!BN:BN,"NaN")="","NaN",(_xlfn.XLOOKUP($B55,rf1_data!$B:$B,rf1_data!BN:BN,"NaN")))</f>
        <v>NaN</v>
      </c>
      <c r="BW55" s="5">
        <f>IF(_xlfn.XLOOKUP($B55,rf1_data!$B:$B,rf1_data!BO:BO,"NaN")="","NaN",(_xlfn.XLOOKUP($B55,rf1_data!$B:$B,rf1_data!BO:BO,"NaN")))</f>
        <v>3.5</v>
      </c>
      <c r="BX55" s="5">
        <f>IF(_xlfn.XLOOKUP($B55,rf1_data!$B:$B,rf1_data!BP:BP,"NaN")="","NaN",(_xlfn.XLOOKUP($B55,rf1_data!$B:$B,rf1_data!BP:BP,"NaN")))</f>
        <v>3.9</v>
      </c>
      <c r="BY55" s="5">
        <f>IF(_xlfn.XLOOKUP($B55,rf1_data!$B:$B,rf1_data!BQ:BQ,"NaN")="","NaN",(_xlfn.XLOOKUP($B55,rf1_data!$B:$B,rf1_data!BQ:BQ,"NaN")))</f>
        <v>3.9</v>
      </c>
      <c r="BZ55" s="5">
        <f>IF(_xlfn.XLOOKUP($B55,rf1_data!$B:$B,rf1_data!BR:BR,"NaN")="","NaN",(_xlfn.XLOOKUP($B55,rf1_data!$B:$B,rf1_data!BR:BR,"NaN")))</f>
        <v>3.77</v>
      </c>
      <c r="CA55" s="5">
        <f>IF(_xlfn.XLOOKUP($B55,rf1_data!$B:$B,rf1_data!BS:BS,"NaN")="","NaN",(_xlfn.XLOOKUP($B55,rf1_data!$B:$B,rf1_data!BS:BS,"NaN")))</f>
        <v>4.1666666666666599</v>
      </c>
      <c r="CB55" s="5">
        <f>IF(_xlfn.XLOOKUP($B55,rf1_data!$B:$B,rf1_data!BT:BT,"NaN")="","NaN",(_xlfn.XLOOKUP($B55,rf1_data!$B:$B,rf1_data!BT:BT,"NaN")))</f>
        <v>4.3333333333333304</v>
      </c>
      <c r="CC55" s="5">
        <f>IF(_xlfn.XLOOKUP($B55,rf1_data!$B:$B,rf1_data!BU:BU,"NaN")="","NaN",(_xlfn.XLOOKUP($B55,rf1_data!$B:$B,rf1_data!BU:BU,"NaN")))</f>
        <v>4.5</v>
      </c>
      <c r="CD55" s="5">
        <f>IF(_xlfn.XLOOKUP($B55,rf1_data!$B:$B,rf1_data!BV:BV,"NaN")="","NaN",(_xlfn.XLOOKUP($B55,rf1_data!$B:$B,rf1_data!BV:BV,"NaN")))</f>
        <v>4.1666666666666599</v>
      </c>
      <c r="CE55" s="5">
        <f>IF(_xlfn.XLOOKUP($B55,rf1_data!$B:$B,rf1_data!BW:BW,"NaN")="","NaN",(_xlfn.XLOOKUP($B55,rf1_data!$B:$B,rf1_data!BW:BW,"NaN")))</f>
        <v>2.2000000000000002</v>
      </c>
      <c r="CF55" s="5">
        <f>IF(_xlfn.XLOOKUP($B55,rf1_data!$B:$B,rf1_data!BX:BX,"NaN")="","NaN",(_xlfn.XLOOKUP($B55,rf1_data!$B:$B,rf1_data!BX:BX,"NaN")))</f>
        <v>0</v>
      </c>
      <c r="CG55" s="5">
        <f>IF(_xlfn.XLOOKUP($B55,rf1_data!$B:$B,rf1_data!BY:BY,"NaN")="","NaN",(_xlfn.XLOOKUP($B55,rf1_data!$B:$B,rf1_data!BY:BY,"NaN")))</f>
        <v>0</v>
      </c>
      <c r="CH55" s="5">
        <f>IF(_xlfn.XLOOKUP($B55,rf1_data!$B:$B,rf1_data!BZ:BZ,"NaN")="","NaN",(_xlfn.XLOOKUP($B55,rf1_data!$B:$B,rf1_data!BZ:BZ,"NaN")))</f>
        <v>33</v>
      </c>
      <c r="CI55" s="5">
        <f>IF(_xlfn.XLOOKUP($B55,rf1_data!$B:$B,rf1_data!CA:CA,"NaN")="","NaN",(_xlfn.XLOOKUP($B55,rf1_data!$B:$B,rf1_data!CA:CA,"NaN")))</f>
        <v>22</v>
      </c>
      <c r="CJ55" s="5">
        <f>IF(_xlfn.XLOOKUP($B55,rf1_data!$B:$B,rf1_data!CB:CB,"NaN")="","NaN",(_xlfn.XLOOKUP($B55,rf1_data!$B:$B,rf1_data!CB:CB,"NaN")))</f>
        <v>10</v>
      </c>
      <c r="CK55" s="5">
        <f>IF(_xlfn.XLOOKUP($B55,rf1_data!$B:$B,rf1_data!CC:CC,"NaN")="","NaN",(_xlfn.XLOOKUP($B55,rf1_data!$B:$B,rf1_data!CC:CC,"NaN")))</f>
        <v>0.83333333333333304</v>
      </c>
      <c r="CL55" s="5">
        <f>IF(_xlfn.XLOOKUP($B55,rf1_data!$B:$B,rf1_data!CD:CD,"NaN")=0,"NaN",(_xlfn.XLOOKUP($B55,rf1_data!$B:$B,rf1_data!CD:CD,"NaN")))</f>
        <v>43</v>
      </c>
      <c r="CM55" s="5">
        <f>IF(_xlfn.XLOOKUP($B55,rf1_data!$B:$B,rf1_data!CE:CE,"NaN")="","NaN",(_xlfn.XLOOKUP($B55,rf1_data!$B:$B,rf1_data!CE:CE,"NaN")))</f>
        <v>45</v>
      </c>
      <c r="CN55" s="5">
        <f>IF(_xlfn.XLOOKUP($B55,rf1_data!$B:$B,rf1_data!CF:CF,"NaN")="","NaN",(_xlfn.XLOOKUP($B55,rf1_data!$B:$B,rf1_data!CF:CF,"NaN")))</f>
        <v>57</v>
      </c>
      <c r="CO55" s="5">
        <f>IF(_xlfn.XLOOKUP($B55,rf1_data!$B:$B,rf1_data!CG:CG,"NaN")="","NaN",(_xlfn.XLOOKUP($B55,rf1_data!$B:$B,rf1_data!CG:CG,"NaN")))</f>
        <v>24</v>
      </c>
      <c r="CP55" s="5">
        <f>IF(_xlfn.XLOOKUP($B55,rf1_data!$B:$B,rf1_data!CH:CH,"NaN")=0,"NaN",(_xlfn.XLOOKUP($B55,rf1_data!$B:$B,rf1_data!CH:CH,"NaN")))</f>
        <v>36</v>
      </c>
      <c r="CQ55" s="5">
        <f>IF(_xlfn.XLOOKUP($B55,rf1_data!$B:$B,rf1_data!CI:CI,"NaN")="","NaN",(_xlfn.XLOOKUP($B55,rf1_data!$B:$B,rf1_data!CI:CI,"NaN")))</f>
        <v>46</v>
      </c>
      <c r="CR55" s="5">
        <f>IF(_xlfn.XLOOKUP($B55,rf1_data!$B:$B,rf1_data!CJ:CJ,"NaN")="","NaN",(_xlfn.XLOOKUP($B55,rf1_data!$B:$B,rf1_data!CJ:CJ,"NaN")))</f>
        <v>60</v>
      </c>
      <c r="CS55" s="5">
        <f>IF(_xlfn.XLOOKUP($B55,rf1_data!$B:$B,rf1_data!CK:CK,"NaN")="","NaN",(_xlfn.XLOOKUP($B55,rf1_data!$B:$B,rf1_data!CK:CK,"NaN")))</f>
        <v>46</v>
      </c>
      <c r="CT55" s="5">
        <f>IF(_xlfn.XLOOKUP($B55,rf1_data!$B:$B,rf1_data!CL:CL,"NaN")="","NaN",(_xlfn.XLOOKUP($B55,rf1_data!$B:$B,rf1_data!CL:CL,"NaN")))</f>
        <v>60</v>
      </c>
      <c r="CU55" s="5">
        <f>IF(_xlfn.XLOOKUP($B55,rf1_data!$B:$B,rf1_data!CM:CM,"NaN")="","NaN",(_xlfn.XLOOKUP($B55,rf1_data!$B:$B,rf1_data!CM:CM,"NaN")))</f>
        <v>35</v>
      </c>
      <c r="CV55" s="5">
        <f>IF(_xlfn.XLOOKUP($B55,rf1_data!$B:$B,rf1_data!CN:CN,"NaN")="","NaN",(_xlfn.XLOOKUP($B55,rf1_data!$B:$B,rf1_data!CN:CN,"NaN")))</f>
        <v>60</v>
      </c>
      <c r="CW55" s="5">
        <f>IF(_xlfn.XLOOKUP($B55,rf1_data!$B:$B,rf1_data!CO:CO,"NaN")="","NaN",(_xlfn.XLOOKUP($B55,rf1_data!$B:$B,rf1_data!CO:CO,"NaN")))</f>
        <v>4</v>
      </c>
      <c r="CX55" s="5">
        <f>IF(_xlfn.XLOOKUP($B55,rf1_data!$B:$B,rf1_data!CP:CP,"NaN")="","NaN",(_xlfn.XLOOKUP($B55,rf1_data!$B:$B,rf1_data!CP:CP,"NaN")))</f>
        <v>4</v>
      </c>
      <c r="CY55" s="5">
        <f>IF(_xlfn.XLOOKUP($B55,rf1_data!$B:$B,rf1_data!CQ:CQ,"NaN")="","NaN",(_xlfn.XLOOKUP($B55,rf1_data!$B:$B,rf1_data!CQ:CQ,"NaN")))</f>
        <v>5</v>
      </c>
      <c r="CZ55" s="5">
        <f>IF(_xlfn.XLOOKUP($B55,rf1_data!$B:$B,rf1_data!CR:CR,"NaN")="","NaN",(_xlfn.XLOOKUP($B55,rf1_data!$B:$B,rf1_data!CR:CR,"NaN")))</f>
        <v>2</v>
      </c>
      <c r="DA55" s="5">
        <f>IF(_xlfn.XLOOKUP($B55,rf1_data!$B:$B,rf1_data!CS:CS,"NaN")="","NaN",(_xlfn.XLOOKUP($B55,rf1_data!$B:$B,rf1_data!CS:CS,"NaN")))</f>
        <v>2</v>
      </c>
      <c r="DB55" s="4">
        <f>IF(_xlfn.XLOOKUP($B55,island_data!$B:$B,island_data!H:H,"NaN")="","NaN",_xlfn.XLOOKUP($B55,island_data!$B:$B,island_data!H:H,"NaN"))</f>
        <v>2</v>
      </c>
      <c r="DC55" s="4">
        <f>IF(_xlfn.XLOOKUP($B55,island_data!$B:$B,island_data!I:I,"NaN")="","NaN",_xlfn.XLOOKUP($B55,island_data!$B:$B,island_data!I:I,"NaN"))</f>
        <v>0</v>
      </c>
      <c r="DD55" s="4">
        <f>IF(_xlfn.XLOOKUP($B55,island_data!$B:$B,island_data!J:J,"NaN")="","NaN",_xlfn.XLOOKUP($B55,island_data!$B:$B,island_data!J:J,"NaN"))</f>
        <v>4</v>
      </c>
      <c r="DE55" s="4">
        <f>IF(_xlfn.XLOOKUP($B55,island_data!$B:$B,island_data!K:K,"NaN")="","NaN",_xlfn.XLOOKUP($B55,island_data!$B:$B,island_data!K:K,"NaN"))</f>
        <v>14</v>
      </c>
      <c r="DF55" s="4">
        <f>IF(_xlfn.XLOOKUP($B55,island_data!$B:$B,island_data!L:L,"NaN")="","NaN",_xlfn.XLOOKUP($B55,island_data!$B:$B,island_data!L:L,"NaN"))</f>
        <v>27</v>
      </c>
      <c r="DG55" s="4">
        <f>IF(_xlfn.XLOOKUP($B55,island_data!$B:$B,island_data!M:M,"NaN")="","NaN",_xlfn.XLOOKUP($B55,island_data!$B:$B,island_data!M:M,"NaN"))</f>
        <v>3.375</v>
      </c>
      <c r="DH55" s="4">
        <f>IF(_xlfn.XLOOKUP($B55,island_data!$B:$B,island_data!N:N,"NaN")="","NaN",_xlfn.XLOOKUP($B55,island_data!$B:$B,island_data!N:N,"NaN"))</f>
        <v>5</v>
      </c>
      <c r="DI55" s="4">
        <f>IF(_xlfn.XLOOKUP($B55,island_data!$B:$B,island_data!O:O,"NaN")=999,"NaN",_xlfn.XLOOKUP($B55,island_data!$B:$B,island_data!O:O,"NaN"))</f>
        <v>8</v>
      </c>
      <c r="DJ55" s="4">
        <f>IF(_xlfn.XLOOKUP($B55,island_data!$B:$B,island_data!P:P,"NaN")="","NaN",_xlfn.XLOOKUP($B55,island_data!$B:$B,island_data!P:P,"NaN"))</f>
        <v>11</v>
      </c>
      <c r="DK55" s="4">
        <f>IF(_xlfn.XLOOKUP($B55,island_data!$B:$B,island_data!Q:Q,"NaN")="","NaN",_xlfn.XLOOKUP($B55,island_data!$B:$B,island_data!Q:Q,"NaN"))</f>
        <v>3</v>
      </c>
      <c r="DL55" s="4">
        <f>IF(_xlfn.XLOOKUP($B55,island_data!$B:$B,island_data!R:R,"NaN")=999,"NaN",_xlfn.XLOOKUP($B55,island_data!$B:$B,island_data!R:R,"NaN"))</f>
        <v>15</v>
      </c>
      <c r="DM55" s="4">
        <f>IF(_xlfn.XLOOKUP($B55,island_data!$B:$B,island_data!S:S,"NaN")="","NaN",_xlfn.XLOOKUP($B55,island_data!$B:$B,island_data!S:S,"NaN"))</f>
        <v>12</v>
      </c>
      <c r="DN55" s="4">
        <f>IF(_xlfn.XLOOKUP($B55,island_data!$B:$B,island_data!T:T,"NaN")="","NaN",_xlfn.XLOOKUP($B55,island_data!$B:$B,island_data!T:T,"NaN"))</f>
        <v>4.8333333333333304</v>
      </c>
      <c r="DO55" s="4">
        <f>IF(_xlfn.XLOOKUP($B55,island_data!$B:$B,island_data!U:U,"NaN")="","NaN",_xlfn.XLOOKUP($B55,island_data!$B:$B,island_data!U:U,"NaN"))</f>
        <v>5</v>
      </c>
      <c r="DP55" s="4">
        <f>IF(_xlfn.XLOOKUP($B55,island_data!$B:$B,island_data!V:V,"NaN")="","NaN",_xlfn.XLOOKUP($B55,island_data!$B:$B,island_data!V:V,"NaN"))</f>
        <v>0</v>
      </c>
      <c r="DQ55" s="4">
        <f>IF(_xlfn.XLOOKUP($B55,island_data!$B:$B,island_data!W:W,"NaN")="","NaN",_xlfn.XLOOKUP($B55,island_data!$B:$B,island_data!W:W,"NaN"))</f>
        <v>5</v>
      </c>
      <c r="DR55" s="4">
        <f>IF(_xlfn.XLOOKUP($B55,island_data!$B:$B,island_data!X:X,"NaN")="","NaN",_xlfn.XLOOKUP($B55,island_data!$B:$B,island_data!X:X,"NaN"))</f>
        <v>5</v>
      </c>
      <c r="DS55" s="4" t="str">
        <f>IF(_xlfn.XLOOKUP($B55,island_data!$B:$B,island_data!Y:Y,"NaN")="","NaN",_xlfn.XLOOKUP($B55,island_data!$B:$B,island_data!Y:Y,"NaN"))</f>
        <v>NaN</v>
      </c>
      <c r="DT55" s="4" t="str">
        <f>IF(_xlfn.XLOOKUP($B55,island_data!$B:$B,island_data!Z:Z,"NaN")="","NaN",_xlfn.XLOOKUP($B55,island_data!$B:$B,island_data!Z:Z,"NaN"))</f>
        <v>NaN</v>
      </c>
      <c r="DU55" s="4" t="str">
        <f>IF(_xlfn.XLOOKUP($B55,island_data!$B:$B,island_data!AA:AA,"NaN")="","NaN",_xlfn.XLOOKUP($B55,island_data!$B:$B,island_data!AA:AA,"NaN"))</f>
        <v>NaN</v>
      </c>
      <c r="DV55" s="4">
        <f>IF(_xlfn.XLOOKUP($B55,island_data!$B:$B,island_data!AB:AB,"NaN")="","NaN",_xlfn.XLOOKUP($B55,island_data!$B:$B,island_data!AB:AB,"NaN"))</f>
        <v>0</v>
      </c>
      <c r="DW55" s="4">
        <f>IF(_xlfn.XLOOKUP($B55,island_data!$B:$B,island_data!AC:AC,"NaN")="","NaN",_xlfn.XLOOKUP($B55,island_data!$B:$B,island_data!AC:AC,"NaN"))</f>
        <v>95129</v>
      </c>
      <c r="DX55" s="4">
        <f>IF(_xlfn.XLOOKUP($B55,island_data!$B:$B,island_data!AD:AD,"NaN")="","NaN",_xlfn.XLOOKUP($B55,island_data!$B:$B,island_data!AD:AD,"NaN"))</f>
        <v>5</v>
      </c>
      <c r="DY55" s="4">
        <f>IF(_xlfn.XLOOKUP($B55,island_data!$B:$B,island_data!AE:AE,"NaN")="","NaN",_xlfn.XLOOKUP($B55,island_data!$B:$B,island_data!AE:AE,"NaN"))</f>
        <v>0</v>
      </c>
      <c r="DZ55" s="4" t="str">
        <f>IF(_xlfn.XLOOKUP($B55,island_data!$B:$B,island_data!AF:AF,"NaN")="","NaN",_xlfn.XLOOKUP($B55,island_data!$B:$B,island_data!AF:AF,"NaN"))</f>
        <v>NaN</v>
      </c>
      <c r="EA55" s="4" t="str">
        <f>IF(_xlfn.XLOOKUP($B55,island_data!$B:$B,island_data!AG:AG,"NaN")="","NaN",_xlfn.XLOOKUP($B55,island_data!$B:$B,island_data!AG:AG,"NaN"))</f>
        <v>NaN</v>
      </c>
      <c r="EB55" s="4" t="str">
        <f>IF(_xlfn.XLOOKUP($B55,island_data!$B:$B,island_data!AH:AH,"NaN")="","NaN",_xlfn.XLOOKUP($B55,island_data!$B:$B,island_data!AH:AH,"NaN"))</f>
        <v>NaN</v>
      </c>
      <c r="EC55" s="4">
        <f>IF(_xlfn.XLOOKUP($B55,island_data!$B:$B,island_data!AI:AI,"NaN")="","NaN",_xlfn.XLOOKUP($B55,island_data!$B:$B,island_data!AI:AI,"NaN"))</f>
        <v>14</v>
      </c>
      <c r="ED55" s="4">
        <f>IF(_xlfn.XLOOKUP($B55,island_data!$B:$B,island_data!AJ:AJ,"NaN")="","NaN",_xlfn.XLOOKUP($B55,island_data!$B:$B,island_data!AJ:AJ,"NaN"))</f>
        <v>14</v>
      </c>
      <c r="EE55" s="4">
        <f>IF(_xlfn.XLOOKUP($B55,island_data!$B:$B,island_data!AK:AK,"NaN")="","NaN",_xlfn.XLOOKUP($B55,island_data!$B:$B,island_data!AK:AK,"NaN"))</f>
        <v>12</v>
      </c>
      <c r="EF55" s="4">
        <f>IF(_xlfn.XLOOKUP($B55,island_data!$B:$B,island_data!AL:AL,"NaN")="","NaN",_xlfn.XLOOKUP($B55,island_data!$B:$B,island_data!AL:AL,"NaN"))</f>
        <v>12</v>
      </c>
      <c r="EG55" s="4">
        <f>IF(_xlfn.XLOOKUP($B55,island_data!$B:$B,island_data!AM:AM,"NaN")="","NaN",_xlfn.XLOOKUP($B55,island_data!$B:$B,island_data!AM:AM,"NaN"))</f>
        <v>16</v>
      </c>
      <c r="EH55" s="4" t="str">
        <f>IF(_xlfn.XLOOKUP($B55,island_data!$B:$B,island_data!AN:AN,"NaN")="","NaN",_xlfn.XLOOKUP($B55,island_data!$B:$B,island_data!AN:AN,"NaN"))</f>
        <v>NaN</v>
      </c>
      <c r="EI55" s="4" t="str">
        <f>IF(_xlfn.XLOOKUP($B55,island_data!$B:$B,island_data!AO:AO,"NaN")="","NaN",_xlfn.XLOOKUP($B55,island_data!$B:$B,island_data!AO:AO,"NaN"))</f>
        <v>NaN</v>
      </c>
      <c r="EJ55" s="8">
        <f>IF(_xlfn.XLOOKUP($A55,TabCAT!$A:$A,TabCAT!AU:AU,"NaN")="","NaN",(_xlfn.XLOOKUP($A55,TabCAT!$A:$A,TabCAT!AU:AU,"NaN")))</f>
        <v>144</v>
      </c>
      <c r="EK55" s="8" t="b">
        <f>IF(_xlfn.XLOOKUP($A55,TabCAT!$A:$A,TabCAT!AV:AV,"NaN")="","NaN",(_xlfn.XLOOKUP($A55,TabCAT!$A:$A,TabCAT!AV:AV,"NaN")))</f>
        <v>1</v>
      </c>
      <c r="EL55" s="8">
        <f>IF(_xlfn.XLOOKUP($A55,TabCAT!$A:$A,TabCAT!AW:AW,"NaN")="","NaN",(_xlfn.XLOOKUP($A55,TabCAT!$A:$A,TabCAT!AW:AW,"NaN")))</f>
        <v>6</v>
      </c>
      <c r="EM55" s="8">
        <f>IF(_xlfn.XLOOKUP($A55,TabCAT!$A:$A,TabCAT!AX:AX,"NaN")="","NaN",(_xlfn.XLOOKUP($A55,TabCAT!$A:$A,TabCAT!AX:AX,"NaN")))</f>
        <v>0</v>
      </c>
      <c r="EN55" s="8">
        <f>IF(_xlfn.XLOOKUP($A55,TabCAT!$A:$A,TabCAT!AY:AY,"NaN")="","NaN",(_xlfn.XLOOKUP($A55,TabCAT!$A:$A,TabCAT!AY:AY,"NaN")))</f>
        <v>10</v>
      </c>
      <c r="EO55" s="8">
        <f>IF(_xlfn.XLOOKUP($A55,TabCAT!$A:$A,TabCAT!AZ:AZ,"NaN")="","NaN",(_xlfn.XLOOKUP($A55,TabCAT!$A:$A,TabCAT!AZ:AZ,"NaN")))</f>
        <v>32</v>
      </c>
      <c r="EP55" s="8">
        <f>IF(_xlfn.XLOOKUP($A55,TabCAT!$A:$A,TabCAT!BA:BA,"NaN")="","NaN",(_xlfn.XLOOKUP($A55,TabCAT!$A:$A,TabCAT!BA:BA,"NaN")))</f>
        <v>0.51486349999999903</v>
      </c>
      <c r="EQ55" s="8">
        <f>IF(_xlfn.XLOOKUP($A55,TabCAT!$A:$A,TabCAT!BB:BB,"NaN")="","NaN",(_xlfn.XLOOKUP($A55,TabCAT!$A:$A,TabCAT!BB:BB,"NaN")))</f>
        <v>6.5034442212587196E-2</v>
      </c>
      <c r="ER55" s="8">
        <f>IF(_xlfn.XLOOKUP($A55,TabCAT!$A:$A,TabCAT!BC:BC,"NaN")="","NaN",(_xlfn.XLOOKUP($A55,TabCAT!$A:$A,TabCAT!BC:BC,"NaN")))</f>
        <v>16</v>
      </c>
      <c r="ES55" s="8">
        <f>IF(_xlfn.XLOOKUP($A55,TabCAT!$A:$A,TabCAT!BD:BD,"NaN")="","NaN",(_xlfn.XLOOKUP($A55,TabCAT!$A:$A,TabCAT!BD:BD,"NaN")))</f>
        <v>0.47757949999999999</v>
      </c>
      <c r="ET55" s="8">
        <f>IF(_xlfn.XLOOKUP($A55,TabCAT!$A:$A,TabCAT!BE:BE,"NaN")="","NaN",(_xlfn.XLOOKUP($A55,TabCAT!$A:$A,TabCAT!BE:BE,"NaN")))</f>
        <v>16</v>
      </c>
      <c r="EU55" s="8">
        <f>IF(_xlfn.XLOOKUP($A55,TabCAT!$A:$A,TabCAT!BF:BF,"NaN")="","NaN",(_xlfn.XLOOKUP($A55,TabCAT!$A:$A,TabCAT!BF:BF,"NaN")))</f>
        <v>0.531941</v>
      </c>
      <c r="EV55" s="8">
        <f>IF(_xlfn.XLOOKUP($A55,TabCAT!$A:$A,TabCAT!BG:BG,"NaN")="","NaN",(_xlfn.XLOOKUP($A55,TabCAT!$A:$A,TabCAT!BG:BG,"NaN")))</f>
        <v>2.924528</v>
      </c>
      <c r="EW55" s="8" t="str">
        <f>IF(_xlfn.XLOOKUP($A55,TabCAT!$A:$A,TabCAT!BH:BH,"NaN")="","NaN",(_xlfn.XLOOKUP($A55,TabCAT!$A:$A,TabCAT!BH:BH,"NaN")))</f>
        <v>3.0.0</v>
      </c>
      <c r="EX55" s="8" t="str">
        <f>IF(_xlfn.XLOOKUP($A55,TabCAT!$A:$A,TabCAT!BI:BI,"NaN")="","NaN",(_xlfn.XLOOKUP($A55,TabCAT!$A:$A,TabCAT!BI:BI,"NaN")))</f>
        <v>English</v>
      </c>
      <c r="EY55" s="8">
        <f>IF(_xlfn.XLOOKUP($A55,TabCAT!$A:$A,TabCAT!BJ:BJ,"NaN")="","NaN",(_xlfn.XLOOKUP($A55,TabCAT!$A:$A,TabCAT!BJ:BJ,"NaN")))</f>
        <v>227</v>
      </c>
      <c r="EZ55" s="8">
        <f>IF(_xlfn.XLOOKUP($A55,TabCAT!$A:$A,TabCAT!BK:BK,"NaN")="","NaN",(_xlfn.XLOOKUP($A55,TabCAT!$A:$A,TabCAT!BK:BK,"NaN")))</f>
        <v>1</v>
      </c>
      <c r="FA55" s="8">
        <f>IF(_xlfn.XLOOKUP($A55,TabCAT!$A:$A,TabCAT!BL:BL,"NaN")="","NaN",(_xlfn.XLOOKUP($A55,TabCAT!$A:$A,TabCAT!BL:BL,"NaN")))</f>
        <v>6</v>
      </c>
      <c r="FB55" s="8">
        <f>IF(_xlfn.XLOOKUP($A55,TabCAT!$A:$A,TabCAT!BM:BM,"NaN")="","NaN",(_xlfn.XLOOKUP($A55,TabCAT!$A:$A,TabCAT!BM:BM,"NaN")))</f>
        <v>1</v>
      </c>
      <c r="FC55" s="8">
        <f>IF(_xlfn.XLOOKUP($A55,TabCAT!$A:$A,TabCAT!BN:BN,"NaN")="","NaN",(_xlfn.XLOOKUP($A55,TabCAT!$A:$A,TabCAT!BN:BN,"NaN")))</f>
        <v>6</v>
      </c>
      <c r="FD55" s="8">
        <f>IF(_xlfn.XLOOKUP($A55,TabCAT!$A:$A,TabCAT!BO:BO,"NaN")="","NaN",(_xlfn.XLOOKUP($A55,TabCAT!$A:$A,TabCAT!BO:BO,"NaN")))</f>
        <v>9</v>
      </c>
      <c r="FE55" s="8">
        <f>IF(_xlfn.XLOOKUP($A55,TabCAT!$A:$A,TabCAT!BP:BP,"NaN")="","NaN",(_xlfn.XLOOKUP($A55,TabCAT!$A:$A,TabCAT!BP:BP,"NaN")))</f>
        <v>1</v>
      </c>
      <c r="FF55" s="8">
        <f>IF(_xlfn.XLOOKUP($A55,TabCAT!$A:$A,TabCAT!BQ:BQ,"NaN")="","NaN",(_xlfn.XLOOKUP($A55,TabCAT!$A:$A,TabCAT!BQ:BQ,"NaN")))</f>
        <v>9</v>
      </c>
      <c r="FG55" s="8">
        <f>IF(_xlfn.XLOOKUP($A55,TabCAT!$A:$A,TabCAT!BR:BR,"NaN")="","NaN",(_xlfn.XLOOKUP($A55,TabCAT!$A:$A,TabCAT!BR:BR,"NaN")))</f>
        <v>11</v>
      </c>
      <c r="FH55" s="8">
        <f>IF(_xlfn.XLOOKUP($A55,TabCAT!$A:$A,TabCAT!BS:BS,"NaN")="","NaN",(_xlfn.XLOOKUP($A55,TabCAT!$A:$A,TabCAT!BS:BS,"NaN")))</f>
        <v>0.91666666666666596</v>
      </c>
      <c r="FI55" s="8">
        <f>IF(_xlfn.XLOOKUP($A55,TabCAT!$A:$A,TabCAT!BT:BT,"NaN")="","NaN",(_xlfn.XLOOKUP($A55,TabCAT!$A:$A,TabCAT!BT:BT,"NaN")))</f>
        <v>11</v>
      </c>
      <c r="FJ55" s="8">
        <f>IF(_xlfn.XLOOKUP($A55,TabCAT!$A:$A,TabCAT!BU:BU,"NaN")="","NaN",(_xlfn.XLOOKUP($A55,TabCAT!$A:$A,TabCAT!BU:BU,"NaN")))</f>
        <v>13</v>
      </c>
      <c r="FK55" s="8">
        <f>IF(_xlfn.XLOOKUP($A55,TabCAT!$A:$A,TabCAT!BV:BV,"NaN")="","NaN",(_xlfn.XLOOKUP($A55,TabCAT!$A:$A,TabCAT!BV:BV,"NaN")))</f>
        <v>0.86666666666666603</v>
      </c>
      <c r="FL55" s="8">
        <f>IF(_xlfn.XLOOKUP($A55,TabCAT!$A:$A,TabCAT!BW:BW,"NaN")="","NaN",(_xlfn.XLOOKUP($A55,TabCAT!$A:$A,TabCAT!BW:BW,"NaN")))</f>
        <v>10</v>
      </c>
      <c r="FM55" s="8">
        <f>IF(_xlfn.XLOOKUP($A55,TabCAT!$A:$A,TabCAT!BX:BX,"NaN")="","NaN",(_xlfn.XLOOKUP($A55,TabCAT!$A:$A,TabCAT!BX:BX,"NaN")))</f>
        <v>39</v>
      </c>
      <c r="FN55" s="8">
        <f>IF(_xlfn.XLOOKUP($A55,TabCAT!$A:$A,TabCAT!BY:BY,"NaN")="","NaN",(_xlfn.XLOOKUP($A55,TabCAT!$A:$A,TabCAT!BY:BY,"NaN")))</f>
        <v>0.92857142857142805</v>
      </c>
      <c r="FO55" s="8">
        <f>IF(_xlfn.XLOOKUP($A55,TabCAT!$A:$A,TabCAT!BZ:BZ,"NaN")="","NaN",(_xlfn.XLOOKUP($A55,TabCAT!$A:$A,TabCAT!BZ:BZ,"NaN")))</f>
        <v>36</v>
      </c>
      <c r="FP55" s="8" t="str">
        <f>IF(_xlfn.XLOOKUP($A55,TabCAT!$A:$A,TabCAT!CA:CA,"NaN")="","NaN",(_xlfn.XLOOKUP($A55,TabCAT!$A:$A,TabCAT!CA:CA,"NaN")))</f>
        <v>3.0.0</v>
      </c>
      <c r="FQ55" s="8" t="str">
        <f>IF(_xlfn.XLOOKUP($A55,TabCAT!$A:$A,TabCAT!CB:CB,"NaN")="","NaN",(_xlfn.XLOOKUP($A55,TabCAT!$A:$A,TabCAT!CB:CB,"NaN")))</f>
        <v>English</v>
      </c>
      <c r="FR55" s="8">
        <f>IF(_xlfn.XLOOKUP($A55,TabCAT!$A:$A,TabCAT!CC:CC,"NaN")="","NaN",(_xlfn.XLOOKUP($A55,TabCAT!$A:$A,TabCAT!CC:CC,"NaN")))</f>
        <v>198</v>
      </c>
      <c r="FS55" s="8" t="b">
        <f>IF(_xlfn.XLOOKUP($A55,TabCAT!$A:$A,TabCAT!CD:CD,"NaN")="","NaN",(_xlfn.XLOOKUP($A55,TabCAT!$A:$A,TabCAT!CD:CD,"NaN")))</f>
        <v>1</v>
      </c>
      <c r="FT55" s="8">
        <f>IF(_xlfn.XLOOKUP($A55,TabCAT!$A:$A,TabCAT!CE:CE,"NaN")="","NaN",(_xlfn.XLOOKUP($A55,TabCAT!$A:$A,TabCAT!CE:CE,"NaN")))</f>
        <v>8</v>
      </c>
      <c r="FU55" s="8">
        <f>IF(_xlfn.XLOOKUP($A55,TabCAT!$A:$A,TabCAT!CF:CF,"NaN")="","NaN",(_xlfn.XLOOKUP($A55,TabCAT!$A:$A,TabCAT!CF:CF,"NaN")))</f>
        <v>0</v>
      </c>
      <c r="FV55" s="8">
        <f>IF(_xlfn.XLOOKUP($A55,TabCAT!$A:$A,TabCAT!CG:CG,"NaN")="","NaN",(_xlfn.XLOOKUP($A55,TabCAT!$A:$A,TabCAT!CG:CG,"NaN")))</f>
        <v>9.24</v>
      </c>
      <c r="FW55" s="8">
        <f>IF(_xlfn.XLOOKUP($A55,TabCAT!$A:$A,TabCAT!CH:CH,"NaN")="","NaN",(_xlfn.XLOOKUP($A55,TabCAT!$A:$A,TabCAT!CH:CH,"NaN")))</f>
        <v>15</v>
      </c>
      <c r="FX55" s="8">
        <f>IF(_xlfn.XLOOKUP($A55,TabCAT!$A:$A,TabCAT!CI:CI,"NaN")="","NaN",(_xlfn.XLOOKUP($A55,TabCAT!$A:$A,TabCAT!CI:CI,"NaN")))</f>
        <v>0.56093599999999999</v>
      </c>
      <c r="FY55" s="8">
        <f>IF(_xlfn.XLOOKUP($A55,TabCAT!$A:$A,TabCAT!CJ:CJ,"NaN")="","NaN",(_xlfn.XLOOKUP($A55,TabCAT!$A:$A,TabCAT!CJ:CJ,"NaN")))</f>
        <v>16</v>
      </c>
      <c r="FZ55" s="8">
        <f>IF(_xlfn.XLOOKUP($A55,TabCAT!$A:$A,TabCAT!CK:CK,"NaN")="","NaN",(_xlfn.XLOOKUP($A55,TabCAT!$A:$A,TabCAT!CK:CK,"NaN")))</f>
        <v>0.4756145</v>
      </c>
      <c r="GA55" s="8">
        <f>IF(_xlfn.XLOOKUP($A55,TabCAT!$A:$A,TabCAT!CL:CL,"NaN")="","NaN",(_xlfn.XLOOKUP($A55,TabCAT!$A:$A,TabCAT!CL:CL,"NaN")))</f>
        <v>32</v>
      </c>
      <c r="GB55" s="8">
        <f>IF(_xlfn.XLOOKUP($A55,TabCAT!$A:$A,TabCAT!CM:CM,"NaN")="","NaN",(_xlfn.XLOOKUP($A55,TabCAT!$A:$A,TabCAT!CM:CM,"NaN")))</f>
        <v>0.57484849999999998</v>
      </c>
      <c r="GC55" s="8">
        <f>IF(_xlfn.XLOOKUP($A55,TabCAT!$A:$A,TabCAT!CN:CN,"NaN")="","NaN",(_xlfn.XLOOKUP($A55,TabCAT!$A:$A,TabCAT!CN:CN,"NaN")))</f>
        <v>19</v>
      </c>
      <c r="GD55" s="8">
        <f>IF(_xlfn.XLOOKUP($A55,TabCAT!$A:$A,TabCAT!CO:CO,"NaN")="","NaN",(_xlfn.XLOOKUP($A55,TabCAT!$A:$A,TabCAT!CO:CO,"NaN")))</f>
        <v>0.562338</v>
      </c>
      <c r="GE55" s="8">
        <f>IF(_xlfn.XLOOKUP($A55,TabCAT!$A:$A,TabCAT!CP:CP,"NaN")="","NaN",(_xlfn.XLOOKUP($A55,TabCAT!$A:$A,TabCAT!CP:CP,"NaN")))</f>
        <v>0.147841884044184</v>
      </c>
      <c r="GF55" s="8">
        <f>IF(_xlfn.XLOOKUP($A55,TabCAT!$A:$A,TabCAT!CQ:CQ,"NaN")="","NaN",(_xlfn.XLOOKUP($A55,TabCAT!$A:$A,TabCAT!CQ:CQ,"NaN")))</f>
        <v>54</v>
      </c>
      <c r="GG55" s="8">
        <f>IF(_xlfn.XLOOKUP($A55,TabCAT!$A:$A,TabCAT!CR:CR,"NaN")="","NaN",(_xlfn.XLOOKUP($A55,TabCAT!$A:$A,TabCAT!CR:CR,"NaN")))</f>
        <v>0.56225400000000003</v>
      </c>
      <c r="GH55" s="8">
        <f>IF(_xlfn.XLOOKUP($A55,TabCAT!$A:$A,TabCAT!CS:CS,"NaN")="","NaN",(_xlfn.XLOOKUP($A55,TabCAT!$A:$A,TabCAT!CS:CS,"NaN")))</f>
        <v>2.0434779999999999</v>
      </c>
    </row>
    <row r="56" spans="1:190" x14ac:dyDescent="0.2">
      <c r="A56">
        <v>10770</v>
      </c>
      <c r="B56">
        <f>_xlfn.XLOOKUP(bippity_poppity_boo!A56,rf1_data!A:A,rf1_data!B:B)</f>
        <v>10259</v>
      </c>
      <c r="C56" s="2">
        <f>(_xlfn.XLOOKUP($A56,trust!$A:$A,trust!B:B,"NaN"))</f>
        <v>6</v>
      </c>
      <c r="D56" s="2">
        <f>(_xlfn.XLOOKUP($A56,trust!$A:$A,trust!C:C,"NaN"))</f>
        <v>4.3333329999999997</v>
      </c>
      <c r="E56" s="2">
        <f>(_xlfn.XLOOKUP($A56,trust!$A:$A,trust!D:D,"NaN"))</f>
        <v>4</v>
      </c>
      <c r="F56" s="2">
        <f>(_xlfn.XLOOKUP($A56,trust!$A:$A,trust!E:E,"NaN"))</f>
        <v>4.8333329999999997</v>
      </c>
      <c r="G56" s="2">
        <f>(_xlfn.XLOOKUP($A56,trust!$A:$A,trust!F:F,"NaN"))</f>
        <v>5.8333329999999997</v>
      </c>
      <c r="H56" s="2">
        <f>(_xlfn.XLOOKUP($A56,trust!$A:$A,trust!G:G,"NaN"))</f>
        <v>3.6923080000000001</v>
      </c>
      <c r="I56" s="3">
        <f>IF(_xlfn.XLOOKUP($B56,island_data!$B:$B,island_data!C:C,"NaN")="","NaN",_xlfn.XLOOKUP($B56,island_data!$B:$B,island_data!C:C,"NaN"))</f>
        <v>45000</v>
      </c>
      <c r="J56" s="3">
        <f>IF(_xlfn.XLOOKUP($B56,island_data!$B:$B,island_data!D:D,"NaN")="","NaN",_xlfn.XLOOKUP($B56,island_data!$B:$B,island_data!D:D,"NaN"))</f>
        <v>21650</v>
      </c>
      <c r="K56" s="4">
        <f>IF(_xlfn.XLOOKUP($B56,island_data!$B:$B,island_data!E:E,"NaN")="","NaN",_xlfn.XLOOKUP($B56,island_data!$B:$B,island_data!E:E,"NaN"))</f>
        <v>63.93</v>
      </c>
      <c r="L56" s="5">
        <f>IF(_xlfn.XLOOKUP($B56,rf1_data!$B:$B,rf1_data!D:D,"NaN")="","NaN",(_xlfn.XLOOKUP($B56,rf1_data!$B:$B,rf1_data!D:D,"NaN")))</f>
        <v>64.52</v>
      </c>
      <c r="M56" s="5" t="str">
        <f>IF(_xlfn.XLOOKUP($B56,rf1_data!$B:$B,rf1_data!E:E,"NaN")="","NaN",(_xlfn.XLOOKUP($B56,rf1_data!$B:$B,rf1_data!E:E,"NaN")))</f>
        <v>Black or African American</v>
      </c>
      <c r="N56" s="5" t="str">
        <f>IF(_xlfn.XLOOKUP($B56,rf1_data!$B:$B,rf1_data!F:F,"NaN")="","NaN",(_xlfn.XLOOKUP($B56,rf1_data!$B:$B,rf1_data!F:F,"NaN")))</f>
        <v>Not Hispanic or Latino</v>
      </c>
      <c r="O56" s="5" t="str">
        <f>IF(_xlfn.XLOOKUP($B56,rf1_data!$B:$B,rf1_data!G:G,"NaN")="","NaN",(_xlfn.XLOOKUP($B56,rf1_data!$B:$B,rf1_data!G:G,"NaN")))</f>
        <v>Male</v>
      </c>
      <c r="P56" s="5">
        <f>IF(_xlfn.XLOOKUP($B56,rf1_data!$B:$B,rf1_data!H:H,"NaN")="","NaN",(_xlfn.XLOOKUP($B56,rf1_data!$B:$B,rf1_data!H:H,"NaN")))</f>
        <v>3.78</v>
      </c>
      <c r="Q56" s="5">
        <f>IF(_xlfn.XLOOKUP($B56,rf1_data!$B:$B,rf1_data!I:I,"NaN")="","NaN",(_xlfn.XLOOKUP($B56,rf1_data!$B:$B,rf1_data!I:I,"NaN")))</f>
        <v>3.8</v>
      </c>
      <c r="R56" s="5">
        <f>IF(_xlfn.XLOOKUP($B56,rf1_data!$B:$B,rf1_data!J:J,"NaN")="","NaN",(_xlfn.XLOOKUP($B56,rf1_data!$B:$B,rf1_data!J:J,"NaN")))</f>
        <v>0</v>
      </c>
      <c r="S56" s="5">
        <f>IF(_xlfn.XLOOKUP($B56,rf1_data!$B:$B,rf1_data!K:K,"NaN")="","NaN",(_xlfn.XLOOKUP($B56,rf1_data!$B:$B,rf1_data!K:K,"NaN")))</f>
        <v>1</v>
      </c>
      <c r="T56" s="5">
        <f>IF(_xlfn.XLOOKUP($B56,rf1_data!$B:$B,rf1_data!L:L,"NaN")="","NaN",(_xlfn.XLOOKUP($B56,rf1_data!$B:$B,rf1_data!L:L,"NaN")))</f>
        <v>0</v>
      </c>
      <c r="U56" s="5">
        <f>IF(_xlfn.XLOOKUP($B56,rf1_data!$B:$B,rf1_data!M:M,"NaN")="","NaN",(_xlfn.XLOOKUP($B56,rf1_data!$B:$B,rf1_data!M:M,"NaN")))</f>
        <v>6.83</v>
      </c>
      <c r="V56" s="5">
        <f>IF(_xlfn.XLOOKUP($B56,rf1_data!$B:$B,rf1_data!N:N,"NaN")="","NaN",(_xlfn.XLOOKUP($B56,rf1_data!$B:$B,rf1_data!N:N,"NaN")))</f>
        <v>6.17</v>
      </c>
      <c r="W56" s="5">
        <f>IF(_xlfn.XLOOKUP($B56,rf1_data!$B:$B,rf1_data!O:O,"NaN")="","NaN",(_xlfn.XLOOKUP($B56,rf1_data!$B:$B,rf1_data!O:O,"NaN")))</f>
        <v>4</v>
      </c>
      <c r="X56" s="5">
        <f>IF(_xlfn.XLOOKUP($B56,rf1_data!$B:$B,rf1_data!P:P,"NaN")="","NaN",(_xlfn.XLOOKUP($B56,rf1_data!$B:$B,rf1_data!P:P,"NaN")))</f>
        <v>4.33</v>
      </c>
      <c r="Y56" s="5">
        <f>IF(_xlfn.XLOOKUP($B56,rf1_data!$B:$B,rf1_data!Q:Q,"NaN")="","NaN",(_xlfn.XLOOKUP($B56,rf1_data!$B:$B,rf1_data!Q:Q,"NaN")))</f>
        <v>5.4</v>
      </c>
      <c r="Z56" s="5">
        <f>IF(_xlfn.XLOOKUP($B56,rf1_data!$B:$B,rf1_data!R:R,"NaN")="","NaN",(_xlfn.XLOOKUP($B56,rf1_data!$B:$B,rf1_data!R:R,"NaN")))</f>
        <v>8</v>
      </c>
      <c r="AA56" s="5">
        <f>IF(_xlfn.XLOOKUP($B56,rf1_data!$B:$B,rf1_data!S:S,"NaN")="","NaN",(_xlfn.XLOOKUP($B56,rf1_data!$B:$B,rf1_data!S:S,"NaN")))</f>
        <v>0</v>
      </c>
      <c r="AB56" s="5">
        <f>IF(_xlfn.XLOOKUP($B56,rf1_data!$B:$B,rf1_data!T:T,"NaN")="","NaN",(_xlfn.XLOOKUP($B56,rf1_data!$B:$B,rf1_data!T:T,"NaN")))</f>
        <v>8</v>
      </c>
      <c r="AC56" s="5">
        <f>IF(_xlfn.XLOOKUP($B56,rf1_data!$B:$B,rf1_data!U:U,"NaN")="","NaN",(_xlfn.XLOOKUP($B56,rf1_data!$B:$B,rf1_data!U:U,"NaN")))</f>
        <v>0</v>
      </c>
      <c r="AD56" s="5">
        <f>IF(_xlfn.XLOOKUP($B56,rf1_data!$B:$B,rf1_data!V:V,"NaN")="","NaN",(_xlfn.XLOOKUP($B56,rf1_data!$B:$B,rf1_data!V:V,"NaN")))</f>
        <v>0</v>
      </c>
      <c r="AE56" s="5">
        <f>IF(_xlfn.XLOOKUP($B56,rf1_data!$B:$B,rf1_data!W:W,"NaN")="","NaN",(_xlfn.XLOOKUP($B56,rf1_data!$B:$B,rf1_data!W:W,"NaN")))</f>
        <v>3</v>
      </c>
      <c r="AF56" s="5">
        <f>IF(_xlfn.XLOOKUP($B56,rf1_data!$B:$B,rf1_data!X:X,"NaN")="","NaN",(_xlfn.XLOOKUP($B56,rf1_data!$B:$B,rf1_data!X:X,"NaN")))</f>
        <v>3</v>
      </c>
      <c r="AG56" s="5">
        <f>IF(_xlfn.XLOOKUP($B56,rf1_data!$B:$B,rf1_data!Y:Y,"NaN")="","NaN",(_xlfn.XLOOKUP($B56,rf1_data!$B:$B,rf1_data!Y:Y,"NaN")))</f>
        <v>3</v>
      </c>
      <c r="AH56" s="5">
        <f>IF(_xlfn.XLOOKUP($B56,rf1_data!$B:$B,rf1_data!Z:Z,"NaN")="","NaN",(_xlfn.XLOOKUP($B56,rf1_data!$B:$B,rf1_data!Z:Z,"NaN")))</f>
        <v>1</v>
      </c>
      <c r="AI56" s="5">
        <f>IF(_xlfn.XLOOKUP($B56,rf1_data!$B:$B,rf1_data!AA:AA,"NaN")="","NaN",(_xlfn.XLOOKUP($B56,rf1_data!$B:$B,rf1_data!AA:AA,"NaN")))</f>
        <v>1</v>
      </c>
      <c r="AJ56" s="5">
        <f>IF(_xlfn.XLOOKUP($B56,rf1_data!$B:$B,rf1_data!AB:AB,"NaN")="","NaN",(_xlfn.XLOOKUP($B56,rf1_data!$B:$B,rf1_data!AB:AB,"NaN")))</f>
        <v>11</v>
      </c>
      <c r="AK56" s="5">
        <f>IF(_xlfn.XLOOKUP($B56,rf1_data!$B:$B,rf1_data!AC:AC,"NaN")="","NaN",(_xlfn.XLOOKUP($B56,rf1_data!$B:$B,rf1_data!AC:AC,"NaN")))</f>
        <v>41</v>
      </c>
      <c r="AL56" s="5">
        <f>IF(_xlfn.XLOOKUP($B56,rf1_data!$B:$B,rf1_data!AD:AD,"NaN")="","NaN",(_xlfn.XLOOKUP($B56,rf1_data!$B:$B,rf1_data!AD:AD,"NaN")))</f>
        <v>12</v>
      </c>
      <c r="AM56" s="5">
        <f>IF(_xlfn.XLOOKUP($B56,rf1_data!$B:$B,rf1_data!AE:AE,"NaN")="","NaN",(_xlfn.XLOOKUP($B56,rf1_data!$B:$B,rf1_data!AE:AE,"NaN")))</f>
        <v>0</v>
      </c>
      <c r="AN56" s="5">
        <f>IF(_xlfn.XLOOKUP($B56,rf1_data!$B:$B,rf1_data!AF:AF,"NaN")="","NaN",(_xlfn.XLOOKUP($B56,rf1_data!$B:$B,rf1_data!AF:AF,"NaN")))</f>
        <v>0</v>
      </c>
      <c r="AO56" s="5">
        <f>IF(_xlfn.XLOOKUP($B56,rf1_data!$B:$B,rf1_data!AG:AG,"NaN")="","NaN",(_xlfn.XLOOKUP($B56,rf1_data!$B:$B,rf1_data!AG:AG,"NaN")))</f>
        <v>4.92</v>
      </c>
      <c r="AP56" s="5">
        <f>IF(_xlfn.XLOOKUP($B56,rf1_data!$B:$B,rf1_data!AH:AH,"NaN")="","NaN",(_xlfn.XLOOKUP($B56,rf1_data!$B:$B,rf1_data!AH:AH,"NaN")))</f>
        <v>4.5</v>
      </c>
      <c r="AQ56" s="5">
        <f>IF(_xlfn.XLOOKUP($B56,rf1_data!$B:$B,rf1_data!AI:AI,"NaN")="","NaN",(_xlfn.XLOOKUP($B56,rf1_data!$B:$B,rf1_data!AI:AI,"NaN")))</f>
        <v>3.75</v>
      </c>
      <c r="AR56" s="5">
        <f>IF(_xlfn.XLOOKUP($B56,rf1_data!$B:$B,rf1_data!AJ:AJ,"NaN")="","NaN",(_xlfn.XLOOKUP($B56,rf1_data!$B:$B,rf1_data!AJ:AJ,"NaN")))</f>
        <v>6.5</v>
      </c>
      <c r="AS56" s="5">
        <f>IF(_xlfn.XLOOKUP($B56,rf1_data!$B:$B,rf1_data!AK:AK,"NaN")="","NaN",(_xlfn.XLOOKUP($B56,rf1_data!$B:$B,rf1_data!AK:AK,"NaN")))</f>
        <v>2.5</v>
      </c>
      <c r="AT56" s="5">
        <f>IF(_xlfn.XLOOKUP($B56,rf1_data!$B:$B,rf1_data!AL:AL,"NaN")="","NaN",(_xlfn.XLOOKUP($B56,rf1_data!$B:$B,rf1_data!AL:AL,"NaN")))</f>
        <v>6</v>
      </c>
      <c r="AU56" s="5">
        <f>IF(_xlfn.XLOOKUP($B56,rf1_data!$B:$B,rf1_data!AM:AM,"NaN")="","NaN",(_xlfn.XLOOKUP($B56,rf1_data!$B:$B,rf1_data!AM:AM,"NaN")))</f>
        <v>2.25</v>
      </c>
      <c r="AV56" s="5">
        <f>IF(_xlfn.XLOOKUP($B56,rf1_data!$B:$B,rf1_data!AN:AN,"NaN")="","NaN",(_xlfn.XLOOKUP($B56,rf1_data!$B:$B,rf1_data!AN:AN,"NaN")))</f>
        <v>2</v>
      </c>
      <c r="AW56" s="5">
        <f>IF(_xlfn.XLOOKUP($B56,rf1_data!$B:$B,rf1_data!AO:AO,"NaN")="","NaN",(_xlfn.XLOOKUP($B56,rf1_data!$B:$B,rf1_data!AO:AO,"NaN")))</f>
        <v>3</v>
      </c>
      <c r="AX56" s="5">
        <f>IF(_xlfn.XLOOKUP($B56,rf1_data!$B:$B,rf1_data!AP:AP,"NaN")="","NaN",(_xlfn.XLOOKUP($B56,rf1_data!$B:$B,rf1_data!AP:AP,"NaN")))</f>
        <v>9999</v>
      </c>
      <c r="AY56" s="5" t="str">
        <f>IF(_xlfn.XLOOKUP($B56,rf1_data!$B:$B,rf1_data!AQ:AQ,"NaN")="","NaN",(_xlfn.XLOOKUP($B56,rf1_data!$B:$B,rf1_data!AQ:AQ,"NaN")))</f>
        <v>NaN</v>
      </c>
      <c r="AZ56" s="5" t="str">
        <f>IF(_xlfn.XLOOKUP($B56,rf1_data!$B:$B,rf1_data!AR:AR,"NaN")="","NaN",(_xlfn.XLOOKUP($B56,rf1_data!$B:$B,rf1_data!AR:AR,"NaN")))</f>
        <v>NaN</v>
      </c>
      <c r="BA56" s="5" t="str">
        <f>IF(_xlfn.XLOOKUP($B56,rf1_data!$B:$B,rf1_data!AS:AS,"NaN")="","NaN",(_xlfn.XLOOKUP($B56,rf1_data!$B:$B,rf1_data!AS:AS,"NaN")))</f>
        <v>NaN</v>
      </c>
      <c r="BB56" s="5" t="str">
        <f>IF(_xlfn.XLOOKUP($B56,rf1_data!$B:$B,rf1_data!AT:AT,"NaN")="","NaN",(_xlfn.XLOOKUP($B56,rf1_data!$B:$B,rf1_data!AT:AT,"NaN")))</f>
        <v>NaN</v>
      </c>
      <c r="BC56" s="5" t="str">
        <f>IF(_xlfn.XLOOKUP($B56,rf1_data!$B:$B,rf1_data!AU:AU,"NaN")="","NaN",(_xlfn.XLOOKUP($B56,rf1_data!$B:$B,rf1_data!AU:AU,"NaN")))</f>
        <v>NaN</v>
      </c>
      <c r="BD56" s="5" t="str">
        <f>IF(_xlfn.XLOOKUP($B56,rf1_data!$B:$B,rf1_data!AV:AV,"NaN")="","NaN",(_xlfn.XLOOKUP($B56,rf1_data!$B:$B,rf1_data!AV:AV,"NaN")))</f>
        <v>NaN</v>
      </c>
      <c r="BE56" s="5" t="str">
        <f>IF(_xlfn.XLOOKUP($B56,rf1_data!$B:$B,rf1_data!AW:AW,"NaN")="","NaN",(_xlfn.XLOOKUP($B56,rf1_data!$B:$B,rf1_data!AW:AW,"NaN")))</f>
        <v>NaN</v>
      </c>
      <c r="BF56" s="5" t="str">
        <f>IF(_xlfn.XLOOKUP($B56,rf1_data!$B:$B,rf1_data!AX:AX,"NaN")="","NaN",(_xlfn.XLOOKUP($B56,rf1_data!$B:$B,rf1_data!AX:AX,"NaN")))</f>
        <v>NaN</v>
      </c>
      <c r="BG56" s="5" t="str">
        <f>IF(_xlfn.XLOOKUP($B56,rf1_data!$B:$B,rf1_data!AY:AY,"NaN")="","NaN",(_xlfn.XLOOKUP($B56,rf1_data!$B:$B,rf1_data!AY:AY,"NaN")))</f>
        <v>NaN</v>
      </c>
      <c r="BH56" s="5" t="str">
        <f>IF(_xlfn.XLOOKUP($B56,rf1_data!$B:$B,rf1_data!AZ:AZ,"NaN")="","NaN",(_xlfn.XLOOKUP($B56,rf1_data!$B:$B,rf1_data!AZ:AZ,"NaN")))</f>
        <v>NaN</v>
      </c>
      <c r="BI56" s="5">
        <f>IF(_xlfn.XLOOKUP($B56,rf1_data!$B:$B,rf1_data!BA:BA,"NaN")="","NaN",(_xlfn.XLOOKUP($B56,rf1_data!$B:$B,rf1_data!BA:BA,"NaN")))</f>
        <v>20</v>
      </c>
      <c r="BJ56" s="5" t="str">
        <f>IF(_xlfn.XLOOKUP($B56,rf1_data!$B:$B,rf1_data!BB:BB,"NaN")="","NaN",(_xlfn.XLOOKUP($B56,rf1_data!$B:$B,rf1_data!BB:BB,"NaN")))</f>
        <v>NaN</v>
      </c>
      <c r="BK56" s="5" t="str">
        <f>IF(_xlfn.XLOOKUP($B56,rf1_data!$B:$B,rf1_data!BC:BC,"NaN")="","NaN",(_xlfn.XLOOKUP($B56,rf1_data!$B:$B,rf1_data!BC:BC,"NaN")))</f>
        <v>NaN</v>
      </c>
      <c r="BL56" s="5" t="str">
        <f>IF(_xlfn.XLOOKUP($B56,rf1_data!$B:$B,rf1_data!BD:BD,"NaN")="","NaN",(_xlfn.XLOOKUP($B56,rf1_data!$B:$B,rf1_data!BD:BD,"NaN")))</f>
        <v>NaN</v>
      </c>
      <c r="BM56" s="5" t="str">
        <f>IF(_xlfn.XLOOKUP($B56,rf1_data!$B:$B,rf1_data!BE:BE,"NaN")="","NaN",(_xlfn.XLOOKUP($B56,rf1_data!$B:$B,rf1_data!BE:BE,"NaN")))</f>
        <v>NaN</v>
      </c>
      <c r="BN56" s="5" t="str">
        <f>IF(_xlfn.XLOOKUP($B56,rf1_data!$B:$B,rf1_data!BF:BF,"NaN")="","NaN",(_xlfn.XLOOKUP($B56,rf1_data!$B:$B,rf1_data!BF:BF,"NaN")))</f>
        <v>NaN</v>
      </c>
      <c r="BO56" s="5" t="str">
        <f>IF(_xlfn.XLOOKUP($B56,rf1_data!$B:$B,rf1_data!BG:BG,"NaN")="","NaN",(_xlfn.XLOOKUP($B56,rf1_data!$B:$B,rf1_data!BG:BG,"NaN")))</f>
        <v>NaN</v>
      </c>
      <c r="BP56" s="5" t="str">
        <f>IF(_xlfn.XLOOKUP($B56,rf1_data!$B:$B,rf1_data!BH:BH,"NaN")="","NaN",(_xlfn.XLOOKUP($B56,rf1_data!$B:$B,rf1_data!BH:BH,"NaN")))</f>
        <v>NaN</v>
      </c>
      <c r="BQ56" s="5" t="str">
        <f>IF(_xlfn.XLOOKUP($B56,rf1_data!$B:$B,rf1_data!BI:BI,"NaN")="","NaN",(_xlfn.XLOOKUP($B56,rf1_data!$B:$B,rf1_data!BI:BI,"NaN")))</f>
        <v>NaN</v>
      </c>
      <c r="BR56" s="5">
        <f>IF(_xlfn.XLOOKUP($B56,rf1_data!$B:$B,rf1_data!BJ:BJ,"NaN")="","NaN",(_xlfn.XLOOKUP($B56,rf1_data!$B:$B,rf1_data!BJ:BJ,"NaN")))</f>
        <v>8991</v>
      </c>
      <c r="BS56" s="5" t="str">
        <f>IF(_xlfn.XLOOKUP($B56,rf1_data!$B:$B,rf1_data!BK:BK,"NaN")="","NaN",(_xlfn.XLOOKUP($B56,rf1_data!$B:$B,rf1_data!BK:BK,"NaN")))</f>
        <v>NaN</v>
      </c>
      <c r="BT56" s="5" t="str">
        <f>IF(_xlfn.XLOOKUP($B56,rf1_data!$B:$B,rf1_data!BL:BL,"NaN")="","NaN",(_xlfn.XLOOKUP($B56,rf1_data!$B:$B,rf1_data!BL:BL,"NaN")))</f>
        <v>NaN</v>
      </c>
      <c r="BU56" s="5" t="str">
        <f>IF(_xlfn.XLOOKUP($B56,rf1_data!$B:$B,rf1_data!BM:BM,"NaN")="","NaN",(_xlfn.XLOOKUP($B56,rf1_data!$B:$B,rf1_data!BM:BM,"NaN")))</f>
        <v>NaN</v>
      </c>
      <c r="BV56" s="5" t="str">
        <f>IF(_xlfn.XLOOKUP($B56,rf1_data!$B:$B,rf1_data!BN:BN,"NaN")="","NaN",(_xlfn.XLOOKUP($B56,rf1_data!$B:$B,rf1_data!BN:BN,"NaN")))</f>
        <v>NaN</v>
      </c>
      <c r="BW56" s="5">
        <f>IF(_xlfn.XLOOKUP($B56,rf1_data!$B:$B,rf1_data!BO:BO,"NaN")="","NaN",(_xlfn.XLOOKUP($B56,rf1_data!$B:$B,rf1_data!BO:BO,"NaN")))</f>
        <v>3.8</v>
      </c>
      <c r="BX56" s="5">
        <f>IF(_xlfn.XLOOKUP($B56,rf1_data!$B:$B,rf1_data!BP:BP,"NaN")="","NaN",(_xlfn.XLOOKUP($B56,rf1_data!$B:$B,rf1_data!BP:BP,"NaN")))</f>
        <v>3.7</v>
      </c>
      <c r="BY56" s="5">
        <f>IF(_xlfn.XLOOKUP($B56,rf1_data!$B:$B,rf1_data!BQ:BQ,"NaN")="","NaN",(_xlfn.XLOOKUP($B56,rf1_data!$B:$B,rf1_data!BQ:BQ,"NaN")))</f>
        <v>3.8</v>
      </c>
      <c r="BZ56" s="5">
        <f>IF(_xlfn.XLOOKUP($B56,rf1_data!$B:$B,rf1_data!BR:BR,"NaN")="","NaN",(_xlfn.XLOOKUP($B56,rf1_data!$B:$B,rf1_data!BR:BR,"NaN")))</f>
        <v>3.77</v>
      </c>
      <c r="CA56" s="5">
        <f>IF(_xlfn.XLOOKUP($B56,rf1_data!$B:$B,rf1_data!BS:BS,"NaN")="","NaN",(_xlfn.XLOOKUP($B56,rf1_data!$B:$B,rf1_data!BS:BS,"NaN")))</f>
        <v>2.6666666666666599</v>
      </c>
      <c r="CB56" s="5">
        <f>IF(_xlfn.XLOOKUP($B56,rf1_data!$B:$B,rf1_data!BT:BT,"NaN")="","NaN",(_xlfn.XLOOKUP($B56,rf1_data!$B:$B,rf1_data!BT:BT,"NaN")))</f>
        <v>2.6666666666666599</v>
      </c>
      <c r="CC56" s="5">
        <f>IF(_xlfn.XLOOKUP($B56,rf1_data!$B:$B,rf1_data!BU:BU,"NaN")="","NaN",(_xlfn.XLOOKUP($B56,rf1_data!$B:$B,rf1_data!BU:BU,"NaN")))</f>
        <v>2.6666666666666599</v>
      </c>
      <c r="CD56" s="5">
        <f>IF(_xlfn.XLOOKUP($B56,rf1_data!$B:$B,rf1_data!BV:BV,"NaN")="","NaN",(_xlfn.XLOOKUP($B56,rf1_data!$B:$B,rf1_data!BV:BV,"NaN")))</f>
        <v>2.6666666666666599</v>
      </c>
      <c r="CE56" s="5">
        <f>IF(_xlfn.XLOOKUP($B56,rf1_data!$B:$B,rf1_data!BW:BW,"NaN")="","NaN",(_xlfn.XLOOKUP($B56,rf1_data!$B:$B,rf1_data!BW:BW,"NaN")))</f>
        <v>0.35</v>
      </c>
      <c r="CF56" s="5">
        <f>IF(_xlfn.XLOOKUP($B56,rf1_data!$B:$B,rf1_data!BX:BX,"NaN")="","NaN",(_xlfn.XLOOKUP($B56,rf1_data!$B:$B,rf1_data!BX:BX,"NaN")))</f>
        <v>0</v>
      </c>
      <c r="CG56" s="5">
        <f>IF(_xlfn.XLOOKUP($B56,rf1_data!$B:$B,rf1_data!BY:BY,"NaN")="","NaN",(_xlfn.XLOOKUP($B56,rf1_data!$B:$B,rf1_data!BY:BY,"NaN")))</f>
        <v>0</v>
      </c>
      <c r="CH56" s="5">
        <f>IF(_xlfn.XLOOKUP($B56,rf1_data!$B:$B,rf1_data!BZ:BZ,"NaN")="","NaN",(_xlfn.XLOOKUP($B56,rf1_data!$B:$B,rf1_data!BZ:BZ,"NaN")))</f>
        <v>14</v>
      </c>
      <c r="CI56" s="5">
        <f>IF(_xlfn.XLOOKUP($B56,rf1_data!$B:$B,rf1_data!CA:CA,"NaN")="","NaN",(_xlfn.XLOOKUP($B56,rf1_data!$B:$B,rf1_data!CA:CA,"NaN")))</f>
        <v>36</v>
      </c>
      <c r="CJ56" s="5">
        <f>IF(_xlfn.XLOOKUP($B56,rf1_data!$B:$B,rf1_data!CB:CB,"NaN")="","NaN",(_xlfn.XLOOKUP($B56,rf1_data!$B:$B,rf1_data!CB:CB,"NaN")))</f>
        <v>2</v>
      </c>
      <c r="CK56" s="5">
        <f>IF(_xlfn.XLOOKUP($B56,rf1_data!$B:$B,rf1_data!CC:CC,"NaN")="","NaN",(_xlfn.XLOOKUP($B56,rf1_data!$B:$B,rf1_data!CC:CC,"NaN")))</f>
        <v>0.33333333333333298</v>
      </c>
      <c r="CL56" s="5">
        <f>IF(_xlfn.XLOOKUP($B56,rf1_data!$B:$B,rf1_data!CD:CD,"NaN")=0,"NaN",(_xlfn.XLOOKUP($B56,rf1_data!$B:$B,rf1_data!CD:CD,"NaN")))</f>
        <v>5</v>
      </c>
      <c r="CM56" s="5">
        <f>IF(_xlfn.XLOOKUP($B56,rf1_data!$B:$B,rf1_data!CE:CE,"NaN")="","NaN",(_xlfn.XLOOKUP($B56,rf1_data!$B:$B,rf1_data!CE:CE,"NaN")))</f>
        <v>23</v>
      </c>
      <c r="CN56" s="5">
        <f>IF(_xlfn.XLOOKUP($B56,rf1_data!$B:$B,rf1_data!CF:CF,"NaN")="","NaN",(_xlfn.XLOOKUP($B56,rf1_data!$B:$B,rf1_data!CF:CF,"NaN")))</f>
        <v>42</v>
      </c>
      <c r="CO56" s="5">
        <f>IF(_xlfn.XLOOKUP($B56,rf1_data!$B:$B,rf1_data!CG:CG,"NaN")="","NaN",(_xlfn.XLOOKUP($B56,rf1_data!$B:$B,rf1_data!CG:CG,"NaN")))</f>
        <v>17</v>
      </c>
      <c r="CP56" s="5">
        <f>IF(_xlfn.XLOOKUP($B56,rf1_data!$B:$B,rf1_data!CH:CH,"NaN")=0,"NaN",(_xlfn.XLOOKUP($B56,rf1_data!$B:$B,rf1_data!CH:CH,"NaN")))</f>
        <v>25</v>
      </c>
      <c r="CQ56" s="5">
        <f>IF(_xlfn.XLOOKUP($B56,rf1_data!$B:$B,rf1_data!CI:CI,"NaN")="","NaN",(_xlfn.XLOOKUP($B56,rf1_data!$B:$B,rf1_data!CI:CI,"NaN")))</f>
        <v>33</v>
      </c>
      <c r="CR56" s="5">
        <f>IF(_xlfn.XLOOKUP($B56,rf1_data!$B:$B,rf1_data!CJ:CJ,"NaN")="","NaN",(_xlfn.XLOOKUP($B56,rf1_data!$B:$B,rf1_data!CJ:CJ,"NaN")))</f>
        <v>60</v>
      </c>
      <c r="CS56" s="5">
        <f>IF(_xlfn.XLOOKUP($B56,rf1_data!$B:$B,rf1_data!CK:CK,"NaN")="","NaN",(_xlfn.XLOOKUP($B56,rf1_data!$B:$B,rf1_data!CK:CK,"NaN")))</f>
        <v>27</v>
      </c>
      <c r="CT56" s="5">
        <f>IF(_xlfn.XLOOKUP($B56,rf1_data!$B:$B,rf1_data!CL:CL,"NaN")="","NaN",(_xlfn.XLOOKUP($B56,rf1_data!$B:$B,rf1_data!CL:CL,"NaN")))</f>
        <v>60</v>
      </c>
      <c r="CU56" s="5">
        <f>IF(_xlfn.XLOOKUP($B56,rf1_data!$B:$B,rf1_data!CM:CM,"NaN")="","NaN",(_xlfn.XLOOKUP($B56,rf1_data!$B:$B,rf1_data!CM:CM,"NaN")))</f>
        <v>22</v>
      </c>
      <c r="CV56" s="5">
        <f>IF(_xlfn.XLOOKUP($B56,rf1_data!$B:$B,rf1_data!CN:CN,"NaN")="","NaN",(_xlfn.XLOOKUP($B56,rf1_data!$B:$B,rf1_data!CN:CN,"NaN")))</f>
        <v>60</v>
      </c>
      <c r="CW56" s="5">
        <f>IF(_xlfn.XLOOKUP($B56,rf1_data!$B:$B,rf1_data!CO:CO,"NaN")="","NaN",(_xlfn.XLOOKUP($B56,rf1_data!$B:$B,rf1_data!CO:CO,"NaN")))</f>
        <v>3</v>
      </c>
      <c r="CX56" s="5">
        <f>IF(_xlfn.XLOOKUP($B56,rf1_data!$B:$B,rf1_data!CP:CP,"NaN")="","NaN",(_xlfn.XLOOKUP($B56,rf1_data!$B:$B,rf1_data!CP:CP,"NaN")))</f>
        <v>2</v>
      </c>
      <c r="CY56" s="5">
        <f>IF(_xlfn.XLOOKUP($B56,rf1_data!$B:$B,rf1_data!CQ:CQ,"NaN")="","NaN",(_xlfn.XLOOKUP($B56,rf1_data!$B:$B,rf1_data!CQ:CQ,"NaN")))</f>
        <v>7</v>
      </c>
      <c r="CZ56" s="5">
        <f>IF(_xlfn.XLOOKUP($B56,rf1_data!$B:$B,rf1_data!CR:CR,"NaN")="","NaN",(_xlfn.XLOOKUP($B56,rf1_data!$B:$B,rf1_data!CR:CR,"NaN")))</f>
        <v>5</v>
      </c>
      <c r="DA56" s="5">
        <f>IF(_xlfn.XLOOKUP($B56,rf1_data!$B:$B,rf1_data!CS:CS,"NaN")="","NaN",(_xlfn.XLOOKUP($B56,rf1_data!$B:$B,rf1_data!CS:CS,"NaN")))</f>
        <v>1</v>
      </c>
      <c r="DB56" s="4">
        <f>IF(_xlfn.XLOOKUP($B56,island_data!$B:$B,island_data!H:H,"NaN")="","NaN",_xlfn.XLOOKUP($B56,island_data!$B:$B,island_data!H:H,"NaN"))</f>
        <v>2</v>
      </c>
      <c r="DC56" s="4">
        <f>IF(_xlfn.XLOOKUP($B56,island_data!$B:$B,island_data!I:I,"NaN")="","NaN",_xlfn.XLOOKUP($B56,island_data!$B:$B,island_data!I:I,"NaN"))</f>
        <v>4</v>
      </c>
      <c r="DD56" s="4">
        <f>IF(_xlfn.XLOOKUP($B56,island_data!$B:$B,island_data!J:J,"NaN")="","NaN",_xlfn.XLOOKUP($B56,island_data!$B:$B,island_data!J:J,"NaN"))</f>
        <v>0</v>
      </c>
      <c r="DE56" s="4" t="str">
        <f>IF(_xlfn.XLOOKUP($B56,island_data!$B:$B,island_data!K:K,"NaN")="","NaN",_xlfn.XLOOKUP($B56,island_data!$B:$B,island_data!K:K,"NaN"))</f>
        <v>NaN</v>
      </c>
      <c r="DF56" s="4">
        <f>IF(_xlfn.XLOOKUP($B56,island_data!$B:$B,island_data!L:L,"NaN")="","NaN",_xlfn.XLOOKUP($B56,island_data!$B:$B,island_data!L:L,"NaN"))</f>
        <v>28</v>
      </c>
      <c r="DG56" s="4">
        <f>IF(_xlfn.XLOOKUP($B56,island_data!$B:$B,island_data!M:M,"NaN")="","NaN",_xlfn.XLOOKUP($B56,island_data!$B:$B,island_data!M:M,"NaN"))</f>
        <v>2.1666666666666998</v>
      </c>
      <c r="DH56" s="4">
        <f>IF(_xlfn.XLOOKUP($B56,island_data!$B:$B,island_data!N:N,"NaN")="","NaN",_xlfn.XLOOKUP($B56,island_data!$B:$B,island_data!N:N,"NaN"))</f>
        <v>9</v>
      </c>
      <c r="DI56" s="4" t="str">
        <f>IF(_xlfn.XLOOKUP($B56,island_data!$B:$B,island_data!O:O,"NaN")=999,"NaN",_xlfn.XLOOKUP($B56,island_data!$B:$B,island_data!O:O,"NaN"))</f>
        <v>NaN</v>
      </c>
      <c r="DJ56" s="4">
        <f>IF(_xlfn.XLOOKUP($B56,island_data!$B:$B,island_data!P:P,"NaN")="","NaN",_xlfn.XLOOKUP($B56,island_data!$B:$B,island_data!P:P,"NaN"))</f>
        <v>6</v>
      </c>
      <c r="DK56" s="4">
        <f>IF(_xlfn.XLOOKUP($B56,island_data!$B:$B,island_data!Q:Q,"NaN")="","NaN",_xlfn.XLOOKUP($B56,island_data!$B:$B,island_data!Q:Q,"NaN"))</f>
        <v>1</v>
      </c>
      <c r="DL56" s="4" t="str">
        <f>IF(_xlfn.XLOOKUP($B56,island_data!$B:$B,island_data!R:R,"NaN")=999,"NaN",_xlfn.XLOOKUP($B56,island_data!$B:$B,island_data!R:R,"NaN"))</f>
        <v>NaN</v>
      </c>
      <c r="DM56" s="4">
        <f>IF(_xlfn.XLOOKUP($B56,island_data!$B:$B,island_data!S:S,"NaN")="","NaN",_xlfn.XLOOKUP($B56,island_data!$B:$B,island_data!S:S,"NaN"))</f>
        <v>7</v>
      </c>
      <c r="DN56" s="4">
        <f>IF(_xlfn.XLOOKUP($B56,island_data!$B:$B,island_data!T:T,"NaN")="","NaN",_xlfn.XLOOKUP($B56,island_data!$B:$B,island_data!T:T,"NaN"))</f>
        <v>3.6666666666666998</v>
      </c>
      <c r="DO56" s="4">
        <f>IF(_xlfn.XLOOKUP($B56,island_data!$B:$B,island_data!U:U,"NaN")="","NaN",_xlfn.XLOOKUP($B56,island_data!$B:$B,island_data!U:U,"NaN"))</f>
        <v>4</v>
      </c>
      <c r="DP56" s="4">
        <f>IF(_xlfn.XLOOKUP($B56,island_data!$B:$B,island_data!V:V,"NaN")="","NaN",_xlfn.XLOOKUP($B56,island_data!$B:$B,island_data!V:V,"NaN"))</f>
        <v>0</v>
      </c>
      <c r="DQ56" s="4">
        <f>IF(_xlfn.XLOOKUP($B56,island_data!$B:$B,island_data!W:W,"NaN")="","NaN",_xlfn.XLOOKUP($B56,island_data!$B:$B,island_data!W:W,"NaN"))</f>
        <v>4</v>
      </c>
      <c r="DR56" s="4">
        <f>IF(_xlfn.XLOOKUP($B56,island_data!$B:$B,island_data!X:X,"NaN")="","NaN",_xlfn.XLOOKUP($B56,island_data!$B:$B,island_data!X:X,"NaN"))</f>
        <v>4</v>
      </c>
      <c r="DS56" s="4" t="str">
        <f>IF(_xlfn.XLOOKUP($B56,island_data!$B:$B,island_data!Y:Y,"NaN")="","NaN",_xlfn.XLOOKUP($B56,island_data!$B:$B,island_data!Y:Y,"NaN"))</f>
        <v>NaN</v>
      </c>
      <c r="DT56" s="4" t="str">
        <f>IF(_xlfn.XLOOKUP($B56,island_data!$B:$B,island_data!Z:Z,"NaN")="","NaN",_xlfn.XLOOKUP($B56,island_data!$B:$B,island_data!Z:Z,"NaN"))</f>
        <v>NaN</v>
      </c>
      <c r="DU56" s="4" t="str">
        <f>IF(_xlfn.XLOOKUP($B56,island_data!$B:$B,island_data!AA:AA,"NaN")="","NaN",_xlfn.XLOOKUP($B56,island_data!$B:$B,island_data!AA:AA,"NaN"))</f>
        <v>NaN</v>
      </c>
      <c r="DV56" s="4" t="str">
        <f>IF(_xlfn.XLOOKUP($B56,island_data!$B:$B,island_data!AB:AB,"NaN")="","NaN",_xlfn.XLOOKUP($B56,island_data!$B:$B,island_data!AB:AB,"NaN"))</f>
        <v>NaN</v>
      </c>
      <c r="DW56" s="4">
        <f>IF(_xlfn.XLOOKUP($B56,island_data!$B:$B,island_data!AC:AC,"NaN")="","NaN",_xlfn.XLOOKUP($B56,island_data!$B:$B,island_data!AC:AC,"NaN"))</f>
        <v>19132</v>
      </c>
      <c r="DX56" s="4">
        <f>IF(_xlfn.XLOOKUP($B56,island_data!$B:$B,island_data!AD:AD,"NaN")="","NaN",_xlfn.XLOOKUP($B56,island_data!$B:$B,island_data!AD:AD,"NaN"))</f>
        <v>4</v>
      </c>
      <c r="DY56" s="4">
        <f>IF(_xlfn.XLOOKUP($B56,island_data!$B:$B,island_data!AE:AE,"NaN")="","NaN",_xlfn.XLOOKUP($B56,island_data!$B:$B,island_data!AE:AE,"NaN"))</f>
        <v>0</v>
      </c>
      <c r="DZ56" s="4" t="str">
        <f>IF(_xlfn.XLOOKUP($B56,island_data!$B:$B,island_data!AF:AF,"NaN")="","NaN",_xlfn.XLOOKUP($B56,island_data!$B:$B,island_data!AF:AF,"NaN"))</f>
        <v>NaN</v>
      </c>
      <c r="EA56" s="4" t="str">
        <f>IF(_xlfn.XLOOKUP($B56,island_data!$B:$B,island_data!AG:AG,"NaN")="","NaN",_xlfn.XLOOKUP($B56,island_data!$B:$B,island_data!AG:AG,"NaN"))</f>
        <v>NaN</v>
      </c>
      <c r="EB56" s="4" t="str">
        <f>IF(_xlfn.XLOOKUP($B56,island_data!$B:$B,island_data!AH:AH,"NaN")="","NaN",_xlfn.XLOOKUP($B56,island_data!$B:$B,island_data!AH:AH,"NaN"))</f>
        <v>NaN</v>
      </c>
      <c r="EC56" s="4" t="str">
        <f>IF(_xlfn.XLOOKUP($B56,island_data!$B:$B,island_data!AI:AI,"NaN")="","NaN",_xlfn.XLOOKUP($B56,island_data!$B:$B,island_data!AI:AI,"NaN"))</f>
        <v>NaN</v>
      </c>
      <c r="ED56" s="4" t="str">
        <f>IF(_xlfn.XLOOKUP($B56,island_data!$B:$B,island_data!AJ:AJ,"NaN")="","NaN",_xlfn.XLOOKUP($B56,island_data!$B:$B,island_data!AJ:AJ,"NaN"))</f>
        <v>NaN</v>
      </c>
      <c r="EE56" s="4" t="str">
        <f>IF(_xlfn.XLOOKUP($B56,island_data!$B:$B,island_data!AK:AK,"NaN")="","NaN",_xlfn.XLOOKUP($B56,island_data!$B:$B,island_data!AK:AK,"NaN"))</f>
        <v>NaN</v>
      </c>
      <c r="EF56" s="4" t="str">
        <f>IF(_xlfn.XLOOKUP($B56,island_data!$B:$B,island_data!AL:AL,"NaN")="","NaN",_xlfn.XLOOKUP($B56,island_data!$B:$B,island_data!AL:AL,"NaN"))</f>
        <v>NaN</v>
      </c>
      <c r="EG56" s="4" t="str">
        <f>IF(_xlfn.XLOOKUP($B56,island_data!$B:$B,island_data!AM:AM,"NaN")="","NaN",_xlfn.XLOOKUP($B56,island_data!$B:$B,island_data!AM:AM,"NaN"))</f>
        <v>NaN</v>
      </c>
      <c r="EH56" s="4">
        <f>IF(_xlfn.XLOOKUP($B56,island_data!$B:$B,island_data!AN:AN,"NaN")="","NaN",_xlfn.XLOOKUP($B56,island_data!$B:$B,island_data!AN:AN,"NaN"))</f>
        <v>0</v>
      </c>
      <c r="EI56" s="4" t="str">
        <f>IF(_xlfn.XLOOKUP($B56,island_data!$B:$B,island_data!AO:AO,"NaN")="","NaN",_xlfn.XLOOKUP($B56,island_data!$B:$B,island_data!AO:AO,"NaN"))</f>
        <v>NaN</v>
      </c>
      <c r="EJ56" s="8" t="str">
        <f>IF(_xlfn.XLOOKUP($A56,TabCAT!$A:$A,TabCAT!AU:AU,"NaN")="","NaN",(_xlfn.XLOOKUP($A56,TabCAT!$A:$A,TabCAT!AU:AU,"NaN")))</f>
        <v>NaN</v>
      </c>
      <c r="EK56" s="8" t="str">
        <f>IF(_xlfn.XLOOKUP($A56,TabCAT!$A:$A,TabCAT!AV:AV,"NaN")="","NaN",(_xlfn.XLOOKUP($A56,TabCAT!$A:$A,TabCAT!AV:AV,"NaN")))</f>
        <v>NaN</v>
      </c>
      <c r="EL56" s="8" t="str">
        <f>IF(_xlfn.XLOOKUP($A56,TabCAT!$A:$A,TabCAT!AW:AW,"NaN")="","NaN",(_xlfn.XLOOKUP($A56,TabCAT!$A:$A,TabCAT!AW:AW,"NaN")))</f>
        <v>NaN</v>
      </c>
      <c r="EM56" s="8" t="str">
        <f>IF(_xlfn.XLOOKUP($A56,TabCAT!$A:$A,TabCAT!AX:AX,"NaN")="","NaN",(_xlfn.XLOOKUP($A56,TabCAT!$A:$A,TabCAT!AX:AX,"NaN")))</f>
        <v>NaN</v>
      </c>
      <c r="EN56" s="8" t="str">
        <f>IF(_xlfn.XLOOKUP($A56,TabCAT!$A:$A,TabCAT!AY:AY,"NaN")="","NaN",(_xlfn.XLOOKUP($A56,TabCAT!$A:$A,TabCAT!AY:AY,"NaN")))</f>
        <v>NaN</v>
      </c>
      <c r="EO56" s="8" t="str">
        <f>IF(_xlfn.XLOOKUP($A56,TabCAT!$A:$A,TabCAT!AZ:AZ,"NaN")="","NaN",(_xlfn.XLOOKUP($A56,TabCAT!$A:$A,TabCAT!AZ:AZ,"NaN")))</f>
        <v>NaN</v>
      </c>
      <c r="EP56" s="8" t="str">
        <f>IF(_xlfn.XLOOKUP($A56,TabCAT!$A:$A,TabCAT!BA:BA,"NaN")="","NaN",(_xlfn.XLOOKUP($A56,TabCAT!$A:$A,TabCAT!BA:BA,"NaN")))</f>
        <v>NaN</v>
      </c>
      <c r="EQ56" s="8" t="str">
        <f>IF(_xlfn.XLOOKUP($A56,TabCAT!$A:$A,TabCAT!BB:BB,"NaN")="","NaN",(_xlfn.XLOOKUP($A56,TabCAT!$A:$A,TabCAT!BB:BB,"NaN")))</f>
        <v>NaN</v>
      </c>
      <c r="ER56" s="8" t="str">
        <f>IF(_xlfn.XLOOKUP($A56,TabCAT!$A:$A,TabCAT!BC:BC,"NaN")="","NaN",(_xlfn.XLOOKUP($A56,TabCAT!$A:$A,TabCAT!BC:BC,"NaN")))</f>
        <v>NaN</v>
      </c>
      <c r="ES56" s="8" t="str">
        <f>IF(_xlfn.XLOOKUP($A56,TabCAT!$A:$A,TabCAT!BD:BD,"NaN")="","NaN",(_xlfn.XLOOKUP($A56,TabCAT!$A:$A,TabCAT!BD:BD,"NaN")))</f>
        <v>NaN</v>
      </c>
      <c r="ET56" s="8" t="str">
        <f>IF(_xlfn.XLOOKUP($A56,TabCAT!$A:$A,TabCAT!BE:BE,"NaN")="","NaN",(_xlfn.XLOOKUP($A56,TabCAT!$A:$A,TabCAT!BE:BE,"NaN")))</f>
        <v>NaN</v>
      </c>
      <c r="EU56" s="8" t="str">
        <f>IF(_xlfn.XLOOKUP($A56,TabCAT!$A:$A,TabCAT!BF:BF,"NaN")="","NaN",(_xlfn.XLOOKUP($A56,TabCAT!$A:$A,TabCAT!BF:BF,"NaN")))</f>
        <v>NaN</v>
      </c>
      <c r="EV56" s="8" t="str">
        <f>IF(_xlfn.XLOOKUP($A56,TabCAT!$A:$A,TabCAT!BG:BG,"NaN")="","NaN",(_xlfn.XLOOKUP($A56,TabCAT!$A:$A,TabCAT!BG:BG,"NaN")))</f>
        <v>NaN</v>
      </c>
      <c r="EW56" s="8" t="str">
        <f>IF(_xlfn.XLOOKUP($A56,TabCAT!$A:$A,TabCAT!BH:BH,"NaN")="","NaN",(_xlfn.XLOOKUP($A56,TabCAT!$A:$A,TabCAT!BH:BH,"NaN")))</f>
        <v>NaN</v>
      </c>
      <c r="EX56" s="8" t="str">
        <f>IF(_xlfn.XLOOKUP($A56,TabCAT!$A:$A,TabCAT!BI:BI,"NaN")="","NaN",(_xlfn.XLOOKUP($A56,TabCAT!$A:$A,TabCAT!BI:BI,"NaN")))</f>
        <v>NaN</v>
      </c>
      <c r="EY56" s="8" t="str">
        <f>IF(_xlfn.XLOOKUP($A56,TabCAT!$A:$A,TabCAT!BJ:BJ,"NaN")="","NaN",(_xlfn.XLOOKUP($A56,TabCAT!$A:$A,TabCAT!BJ:BJ,"NaN")))</f>
        <v>NaN</v>
      </c>
      <c r="EZ56" s="8" t="str">
        <f>IF(_xlfn.XLOOKUP($A56,TabCAT!$A:$A,TabCAT!BK:BK,"NaN")="","NaN",(_xlfn.XLOOKUP($A56,TabCAT!$A:$A,TabCAT!BK:BK,"NaN")))</f>
        <v>NaN</v>
      </c>
      <c r="FA56" s="8" t="str">
        <f>IF(_xlfn.XLOOKUP($A56,TabCAT!$A:$A,TabCAT!BL:BL,"NaN")="","NaN",(_xlfn.XLOOKUP($A56,TabCAT!$A:$A,TabCAT!BL:BL,"NaN")))</f>
        <v>NaN</v>
      </c>
      <c r="FB56" s="8" t="str">
        <f>IF(_xlfn.XLOOKUP($A56,TabCAT!$A:$A,TabCAT!BM:BM,"NaN")="","NaN",(_xlfn.XLOOKUP($A56,TabCAT!$A:$A,TabCAT!BM:BM,"NaN")))</f>
        <v>NaN</v>
      </c>
      <c r="FC56" s="8" t="str">
        <f>IF(_xlfn.XLOOKUP($A56,TabCAT!$A:$A,TabCAT!BN:BN,"NaN")="","NaN",(_xlfn.XLOOKUP($A56,TabCAT!$A:$A,TabCAT!BN:BN,"NaN")))</f>
        <v>NaN</v>
      </c>
      <c r="FD56" s="8" t="str">
        <f>IF(_xlfn.XLOOKUP($A56,TabCAT!$A:$A,TabCAT!BO:BO,"NaN")="","NaN",(_xlfn.XLOOKUP($A56,TabCAT!$A:$A,TabCAT!BO:BO,"NaN")))</f>
        <v>NaN</v>
      </c>
      <c r="FE56" s="8" t="str">
        <f>IF(_xlfn.XLOOKUP($A56,TabCAT!$A:$A,TabCAT!BP:BP,"NaN")="","NaN",(_xlfn.XLOOKUP($A56,TabCAT!$A:$A,TabCAT!BP:BP,"NaN")))</f>
        <v>NaN</v>
      </c>
      <c r="FF56" s="8" t="str">
        <f>IF(_xlfn.XLOOKUP($A56,TabCAT!$A:$A,TabCAT!BQ:BQ,"NaN")="","NaN",(_xlfn.XLOOKUP($A56,TabCAT!$A:$A,TabCAT!BQ:BQ,"NaN")))</f>
        <v>NaN</v>
      </c>
      <c r="FG56" s="8" t="str">
        <f>IF(_xlfn.XLOOKUP($A56,TabCAT!$A:$A,TabCAT!BR:BR,"NaN")="","NaN",(_xlfn.XLOOKUP($A56,TabCAT!$A:$A,TabCAT!BR:BR,"NaN")))</f>
        <v>NaN</v>
      </c>
      <c r="FH56" s="8" t="str">
        <f>IF(_xlfn.XLOOKUP($A56,TabCAT!$A:$A,TabCAT!BS:BS,"NaN")="","NaN",(_xlfn.XLOOKUP($A56,TabCAT!$A:$A,TabCAT!BS:BS,"NaN")))</f>
        <v>NaN</v>
      </c>
      <c r="FI56" s="8" t="str">
        <f>IF(_xlfn.XLOOKUP($A56,TabCAT!$A:$A,TabCAT!BT:BT,"NaN")="","NaN",(_xlfn.XLOOKUP($A56,TabCAT!$A:$A,TabCAT!BT:BT,"NaN")))</f>
        <v>NaN</v>
      </c>
      <c r="FJ56" s="8" t="str">
        <f>IF(_xlfn.XLOOKUP($A56,TabCAT!$A:$A,TabCAT!BU:BU,"NaN")="","NaN",(_xlfn.XLOOKUP($A56,TabCAT!$A:$A,TabCAT!BU:BU,"NaN")))</f>
        <v>NaN</v>
      </c>
      <c r="FK56" s="8" t="str">
        <f>IF(_xlfn.XLOOKUP($A56,TabCAT!$A:$A,TabCAT!BV:BV,"NaN")="","NaN",(_xlfn.XLOOKUP($A56,TabCAT!$A:$A,TabCAT!BV:BV,"NaN")))</f>
        <v>NaN</v>
      </c>
      <c r="FL56" s="8" t="str">
        <f>IF(_xlfn.XLOOKUP($A56,TabCAT!$A:$A,TabCAT!BW:BW,"NaN")="","NaN",(_xlfn.XLOOKUP($A56,TabCAT!$A:$A,TabCAT!BW:BW,"NaN")))</f>
        <v>NaN</v>
      </c>
      <c r="FM56" s="8" t="str">
        <f>IF(_xlfn.XLOOKUP($A56,TabCAT!$A:$A,TabCAT!BX:BX,"NaN")="","NaN",(_xlfn.XLOOKUP($A56,TabCAT!$A:$A,TabCAT!BX:BX,"NaN")))</f>
        <v>NaN</v>
      </c>
      <c r="FN56" s="8" t="str">
        <f>IF(_xlfn.XLOOKUP($A56,TabCAT!$A:$A,TabCAT!BY:BY,"NaN")="","NaN",(_xlfn.XLOOKUP($A56,TabCAT!$A:$A,TabCAT!BY:BY,"NaN")))</f>
        <v>NaN</v>
      </c>
      <c r="FO56" s="8" t="str">
        <f>IF(_xlfn.XLOOKUP($A56,TabCAT!$A:$A,TabCAT!BZ:BZ,"NaN")="","NaN",(_xlfn.XLOOKUP($A56,TabCAT!$A:$A,TabCAT!BZ:BZ,"NaN")))</f>
        <v>NaN</v>
      </c>
      <c r="FP56" s="8" t="str">
        <f>IF(_xlfn.XLOOKUP($A56,TabCAT!$A:$A,TabCAT!CA:CA,"NaN")="","NaN",(_xlfn.XLOOKUP($A56,TabCAT!$A:$A,TabCAT!CA:CA,"NaN")))</f>
        <v>NaN</v>
      </c>
      <c r="FQ56" s="8" t="str">
        <f>IF(_xlfn.XLOOKUP($A56,TabCAT!$A:$A,TabCAT!CB:CB,"NaN")="","NaN",(_xlfn.XLOOKUP($A56,TabCAT!$A:$A,TabCAT!CB:CB,"NaN")))</f>
        <v>NaN</v>
      </c>
      <c r="FR56" s="8" t="str">
        <f>IF(_xlfn.XLOOKUP($A56,TabCAT!$A:$A,TabCAT!CC:CC,"NaN")="","NaN",(_xlfn.XLOOKUP($A56,TabCAT!$A:$A,TabCAT!CC:CC,"NaN")))</f>
        <v>NaN</v>
      </c>
      <c r="FS56" s="8" t="str">
        <f>IF(_xlfn.XLOOKUP($A56,TabCAT!$A:$A,TabCAT!CD:CD,"NaN")="","NaN",(_xlfn.XLOOKUP($A56,TabCAT!$A:$A,TabCAT!CD:CD,"NaN")))</f>
        <v>NaN</v>
      </c>
      <c r="FT56" s="8" t="str">
        <f>IF(_xlfn.XLOOKUP($A56,TabCAT!$A:$A,TabCAT!CE:CE,"NaN")="","NaN",(_xlfn.XLOOKUP($A56,TabCAT!$A:$A,TabCAT!CE:CE,"NaN")))</f>
        <v>NaN</v>
      </c>
      <c r="FU56" s="8" t="str">
        <f>IF(_xlfn.XLOOKUP($A56,TabCAT!$A:$A,TabCAT!CF:CF,"NaN")="","NaN",(_xlfn.XLOOKUP($A56,TabCAT!$A:$A,TabCAT!CF:CF,"NaN")))</f>
        <v>NaN</v>
      </c>
      <c r="FV56" s="8" t="str">
        <f>IF(_xlfn.XLOOKUP($A56,TabCAT!$A:$A,TabCAT!CG:CG,"NaN")="","NaN",(_xlfn.XLOOKUP($A56,TabCAT!$A:$A,TabCAT!CG:CG,"NaN")))</f>
        <v>NaN</v>
      </c>
      <c r="FW56" s="8" t="str">
        <f>IF(_xlfn.XLOOKUP($A56,TabCAT!$A:$A,TabCAT!CH:CH,"NaN")="","NaN",(_xlfn.XLOOKUP($A56,TabCAT!$A:$A,TabCAT!CH:CH,"NaN")))</f>
        <v>NaN</v>
      </c>
      <c r="FX56" s="8" t="str">
        <f>IF(_xlfn.XLOOKUP($A56,TabCAT!$A:$A,TabCAT!CI:CI,"NaN")="","NaN",(_xlfn.XLOOKUP($A56,TabCAT!$A:$A,TabCAT!CI:CI,"NaN")))</f>
        <v>NaN</v>
      </c>
      <c r="FY56" s="8" t="str">
        <f>IF(_xlfn.XLOOKUP($A56,TabCAT!$A:$A,TabCAT!CJ:CJ,"NaN")="","NaN",(_xlfn.XLOOKUP($A56,TabCAT!$A:$A,TabCAT!CJ:CJ,"NaN")))</f>
        <v>NaN</v>
      </c>
      <c r="FZ56" s="8" t="str">
        <f>IF(_xlfn.XLOOKUP($A56,TabCAT!$A:$A,TabCAT!CK:CK,"NaN")="","NaN",(_xlfn.XLOOKUP($A56,TabCAT!$A:$A,TabCAT!CK:CK,"NaN")))</f>
        <v>NaN</v>
      </c>
      <c r="GA56" s="8" t="str">
        <f>IF(_xlfn.XLOOKUP($A56,TabCAT!$A:$A,TabCAT!CL:CL,"NaN")="","NaN",(_xlfn.XLOOKUP($A56,TabCAT!$A:$A,TabCAT!CL:CL,"NaN")))</f>
        <v>NaN</v>
      </c>
      <c r="GB56" s="8" t="str">
        <f>IF(_xlfn.XLOOKUP($A56,TabCAT!$A:$A,TabCAT!CM:CM,"NaN")="","NaN",(_xlfn.XLOOKUP($A56,TabCAT!$A:$A,TabCAT!CM:CM,"NaN")))</f>
        <v>NaN</v>
      </c>
      <c r="GC56" s="8" t="str">
        <f>IF(_xlfn.XLOOKUP($A56,TabCAT!$A:$A,TabCAT!CN:CN,"NaN")="","NaN",(_xlfn.XLOOKUP($A56,TabCAT!$A:$A,TabCAT!CN:CN,"NaN")))</f>
        <v>NaN</v>
      </c>
      <c r="GD56" s="8" t="str">
        <f>IF(_xlfn.XLOOKUP($A56,TabCAT!$A:$A,TabCAT!CO:CO,"NaN")="","NaN",(_xlfn.XLOOKUP($A56,TabCAT!$A:$A,TabCAT!CO:CO,"NaN")))</f>
        <v>NaN</v>
      </c>
      <c r="GE56" s="8" t="str">
        <f>IF(_xlfn.XLOOKUP($A56,TabCAT!$A:$A,TabCAT!CP:CP,"NaN")="","NaN",(_xlfn.XLOOKUP($A56,TabCAT!$A:$A,TabCAT!CP:CP,"NaN")))</f>
        <v>NaN</v>
      </c>
      <c r="GF56" s="8" t="str">
        <f>IF(_xlfn.XLOOKUP($A56,TabCAT!$A:$A,TabCAT!CQ:CQ,"NaN")="","NaN",(_xlfn.XLOOKUP($A56,TabCAT!$A:$A,TabCAT!CQ:CQ,"NaN")))</f>
        <v>NaN</v>
      </c>
      <c r="GG56" s="8" t="str">
        <f>IF(_xlfn.XLOOKUP($A56,TabCAT!$A:$A,TabCAT!CR:CR,"NaN")="","NaN",(_xlfn.XLOOKUP($A56,TabCAT!$A:$A,TabCAT!CR:CR,"NaN")))</f>
        <v>NaN</v>
      </c>
      <c r="GH56" s="8" t="str">
        <f>IF(_xlfn.XLOOKUP($A56,TabCAT!$A:$A,TabCAT!CS:CS,"NaN")="","NaN",(_xlfn.XLOOKUP($A56,TabCAT!$A:$A,TabCAT!CS:CS,"NaN")))</f>
        <v>NaN</v>
      </c>
    </row>
    <row r="57" spans="1:190" x14ac:dyDescent="0.2">
      <c r="A57">
        <v>10774</v>
      </c>
      <c r="B57">
        <f>_xlfn.XLOOKUP(bippity_poppity_boo!A57,rf1_data!A:A,rf1_data!B:B)</f>
        <v>41376</v>
      </c>
      <c r="C57" s="2" t="str">
        <f>(_xlfn.XLOOKUP($A57,trust!$A:$A,trust!B:B,"NaN"))</f>
        <v>NaN</v>
      </c>
      <c r="D57" s="2" t="str">
        <f>(_xlfn.XLOOKUP($A57,trust!$A:$A,trust!C:C,"NaN"))</f>
        <v>NaN</v>
      </c>
      <c r="E57" s="2" t="str">
        <f>(_xlfn.XLOOKUP($A57,trust!$A:$A,trust!D:D,"NaN"))</f>
        <v>NaN</v>
      </c>
      <c r="F57" s="2" t="str">
        <f>(_xlfn.XLOOKUP($A57,trust!$A:$A,trust!E:E,"NaN"))</f>
        <v>NaN</v>
      </c>
      <c r="G57" s="2" t="str">
        <f>(_xlfn.XLOOKUP($A57,trust!$A:$A,trust!F:F,"NaN"))</f>
        <v>NaN</v>
      </c>
      <c r="H57" s="2" t="str">
        <f>(_xlfn.XLOOKUP($A57,trust!$A:$A,trust!G:G,"NaN"))</f>
        <v>NaN</v>
      </c>
      <c r="I57" s="3">
        <f>IF(_xlfn.XLOOKUP($B57,island_data!$B:$B,island_data!C:C,"NaN")="","NaN",_xlfn.XLOOKUP($B57,island_data!$B:$B,island_data!C:C,"NaN"))</f>
        <v>45116</v>
      </c>
      <c r="J57" s="3">
        <f>IF(_xlfn.XLOOKUP($B57,island_data!$B:$B,island_data!D:D,"NaN")="","NaN",_xlfn.XLOOKUP($B57,island_data!$B:$B,island_data!D:D,"NaN"))</f>
        <v>28026</v>
      </c>
      <c r="K57" s="4">
        <f>IF(_xlfn.XLOOKUP($B57,island_data!$B:$B,island_data!E:E,"NaN")="","NaN",_xlfn.XLOOKUP($B57,island_data!$B:$B,island_data!E:E,"NaN"))</f>
        <v>46.79</v>
      </c>
      <c r="L57" s="5">
        <f>IF(_xlfn.XLOOKUP($B57,rf1_data!$B:$B,rf1_data!D:D,"NaN")="","NaN",(_xlfn.XLOOKUP($B57,rf1_data!$B:$B,rf1_data!D:D,"NaN")))</f>
        <v>46.3</v>
      </c>
      <c r="M57" s="5" t="str">
        <f>IF(_xlfn.XLOOKUP($B57,rf1_data!$B:$B,rf1_data!E:E,"NaN")="","NaN",(_xlfn.XLOOKUP($B57,rf1_data!$B:$B,rf1_data!E:E,"NaN")))</f>
        <v>American Indian/Alaska Native</v>
      </c>
      <c r="N57" s="5" t="str">
        <f>IF(_xlfn.XLOOKUP($B57,rf1_data!$B:$B,rf1_data!F:F,"NaN")="","NaN",(_xlfn.XLOOKUP($B57,rf1_data!$B:$B,rf1_data!F:F,"NaN")))</f>
        <v>Not Hispanic or Latino</v>
      </c>
      <c r="O57" s="5" t="str">
        <f>IF(_xlfn.XLOOKUP($B57,rf1_data!$B:$B,rf1_data!G:G,"NaN")="","NaN",(_xlfn.XLOOKUP($B57,rf1_data!$B:$B,rf1_data!G:G,"NaN")))</f>
        <v>Female</v>
      </c>
      <c r="P57" s="5">
        <f>IF(_xlfn.XLOOKUP($B57,rf1_data!$B:$B,rf1_data!H:H,"NaN")="","NaN",(_xlfn.XLOOKUP($B57,rf1_data!$B:$B,rf1_data!H:H,"NaN")))</f>
        <v>3.44</v>
      </c>
      <c r="Q57" s="5">
        <f>IF(_xlfn.XLOOKUP($B57,rf1_data!$B:$B,rf1_data!I:I,"NaN")="","NaN",(_xlfn.XLOOKUP($B57,rf1_data!$B:$B,rf1_data!I:I,"NaN")))</f>
        <v>3.7</v>
      </c>
      <c r="R57" s="5">
        <f>IF(_xlfn.XLOOKUP($B57,rf1_data!$B:$B,rf1_data!J:J,"NaN")="","NaN",(_xlfn.XLOOKUP($B57,rf1_data!$B:$B,rf1_data!J:J,"NaN")))</f>
        <v>0</v>
      </c>
      <c r="S57" s="5">
        <f>IF(_xlfn.XLOOKUP($B57,rf1_data!$B:$B,rf1_data!K:K,"NaN")="","NaN",(_xlfn.XLOOKUP($B57,rf1_data!$B:$B,rf1_data!K:K,"NaN")))</f>
        <v>0</v>
      </c>
      <c r="T57" s="5">
        <f>IF(_xlfn.XLOOKUP($B57,rf1_data!$B:$B,rf1_data!L:L,"NaN")="","NaN",(_xlfn.XLOOKUP($B57,rf1_data!$B:$B,rf1_data!L:L,"NaN")))</f>
        <v>0</v>
      </c>
      <c r="U57" s="5">
        <f>IF(_xlfn.XLOOKUP($B57,rf1_data!$B:$B,rf1_data!M:M,"NaN")="","NaN",(_xlfn.XLOOKUP($B57,rf1_data!$B:$B,rf1_data!M:M,"NaN")))</f>
        <v>5.5</v>
      </c>
      <c r="V57" s="5">
        <f>IF(_xlfn.XLOOKUP($B57,rf1_data!$B:$B,rf1_data!N:N,"NaN")="","NaN",(_xlfn.XLOOKUP($B57,rf1_data!$B:$B,rf1_data!N:N,"NaN")))</f>
        <v>5.83</v>
      </c>
      <c r="W57" s="5">
        <f>IF(_xlfn.XLOOKUP($B57,rf1_data!$B:$B,rf1_data!O:O,"NaN")="","NaN",(_xlfn.XLOOKUP($B57,rf1_data!$B:$B,rf1_data!O:O,"NaN")))</f>
        <v>5.88</v>
      </c>
      <c r="X57" s="5">
        <f>IF(_xlfn.XLOOKUP($B57,rf1_data!$B:$B,rf1_data!P:P,"NaN")="","NaN",(_xlfn.XLOOKUP($B57,rf1_data!$B:$B,rf1_data!P:P,"NaN")))</f>
        <v>5.17</v>
      </c>
      <c r="Y57" s="5">
        <f>IF(_xlfn.XLOOKUP($B57,rf1_data!$B:$B,rf1_data!Q:Q,"NaN")="","NaN",(_xlfn.XLOOKUP($B57,rf1_data!$B:$B,rf1_data!Q:Q,"NaN")))</f>
        <v>5.6</v>
      </c>
      <c r="Z57" s="5">
        <f>IF(_xlfn.XLOOKUP($B57,rf1_data!$B:$B,rf1_data!R:R,"NaN")="","NaN",(_xlfn.XLOOKUP($B57,rf1_data!$B:$B,rf1_data!R:R,"NaN")))</f>
        <v>5</v>
      </c>
      <c r="AA57" s="5">
        <f>IF(_xlfn.XLOOKUP($B57,rf1_data!$B:$B,rf1_data!S:S,"NaN")="","NaN",(_xlfn.XLOOKUP($B57,rf1_data!$B:$B,rf1_data!S:S,"NaN")))</f>
        <v>1</v>
      </c>
      <c r="AB57" s="5">
        <f>IF(_xlfn.XLOOKUP($B57,rf1_data!$B:$B,rf1_data!T:T,"NaN")="","NaN",(_xlfn.XLOOKUP($B57,rf1_data!$B:$B,rf1_data!T:T,"NaN")))</f>
        <v>1</v>
      </c>
      <c r="AC57" s="5">
        <f>IF(_xlfn.XLOOKUP($B57,rf1_data!$B:$B,rf1_data!U:U,"NaN")="","NaN",(_xlfn.XLOOKUP($B57,rf1_data!$B:$B,rf1_data!U:U,"NaN")))</f>
        <v>1</v>
      </c>
      <c r="AD57" s="5">
        <f>IF(_xlfn.XLOOKUP($B57,rf1_data!$B:$B,rf1_data!V:V,"NaN")="","NaN",(_xlfn.XLOOKUP($B57,rf1_data!$B:$B,rf1_data!V:V,"NaN")))</f>
        <v>2</v>
      </c>
      <c r="AE57" s="5">
        <f>IF(_xlfn.XLOOKUP($B57,rf1_data!$B:$B,rf1_data!W:W,"NaN")="","NaN",(_xlfn.XLOOKUP($B57,rf1_data!$B:$B,rf1_data!W:W,"NaN")))</f>
        <v>5</v>
      </c>
      <c r="AF57" s="5">
        <f>IF(_xlfn.XLOOKUP($B57,rf1_data!$B:$B,rf1_data!X:X,"NaN")="","NaN",(_xlfn.XLOOKUP($B57,rf1_data!$B:$B,rf1_data!X:X,"NaN")))</f>
        <v>3</v>
      </c>
      <c r="AG57" s="5">
        <f>IF(_xlfn.XLOOKUP($B57,rf1_data!$B:$B,rf1_data!Y:Y,"NaN")="","NaN",(_xlfn.XLOOKUP($B57,rf1_data!$B:$B,rf1_data!Y:Y,"NaN")))</f>
        <v>7</v>
      </c>
      <c r="AH57" s="5">
        <f>IF(_xlfn.XLOOKUP($B57,rf1_data!$B:$B,rf1_data!Z:Z,"NaN")="","NaN",(_xlfn.XLOOKUP($B57,rf1_data!$B:$B,rf1_data!Z:Z,"NaN")))</f>
        <v>5</v>
      </c>
      <c r="AI57" s="5">
        <f>IF(_xlfn.XLOOKUP($B57,rf1_data!$B:$B,rf1_data!AA:AA,"NaN")="","NaN",(_xlfn.XLOOKUP($B57,rf1_data!$B:$B,rf1_data!AA:AA,"NaN")))</f>
        <v>7</v>
      </c>
      <c r="AJ57" s="5">
        <f>IF(_xlfn.XLOOKUP($B57,rf1_data!$B:$B,rf1_data!AB:AB,"NaN")="","NaN",(_xlfn.XLOOKUP($B57,rf1_data!$B:$B,rf1_data!AB:AB,"NaN")))</f>
        <v>27</v>
      </c>
      <c r="AK57" s="5">
        <f>IF(_xlfn.XLOOKUP($B57,rf1_data!$B:$B,rf1_data!AC:AC,"NaN")="","NaN",(_xlfn.XLOOKUP($B57,rf1_data!$B:$B,rf1_data!AC:AC,"NaN")))</f>
        <v>21</v>
      </c>
      <c r="AL57" s="5">
        <f>IF(_xlfn.XLOOKUP($B57,rf1_data!$B:$B,rf1_data!AD:AD,"NaN")="","NaN",(_xlfn.XLOOKUP($B57,rf1_data!$B:$B,rf1_data!AD:AD,"NaN")))</f>
        <v>10</v>
      </c>
      <c r="AM57" s="5">
        <f>IF(_xlfn.XLOOKUP($B57,rf1_data!$B:$B,rf1_data!AE:AE,"NaN")="","NaN",(_xlfn.XLOOKUP($B57,rf1_data!$B:$B,rf1_data!AE:AE,"NaN")))</f>
        <v>0</v>
      </c>
      <c r="AN57" s="5">
        <f>IF(_xlfn.XLOOKUP($B57,rf1_data!$B:$B,rf1_data!AF:AF,"NaN")="","NaN",(_xlfn.XLOOKUP($B57,rf1_data!$B:$B,rf1_data!AF:AF,"NaN")))</f>
        <v>0</v>
      </c>
      <c r="AO57" s="5">
        <f>IF(_xlfn.XLOOKUP($B57,rf1_data!$B:$B,rf1_data!AG:AG,"NaN")="","NaN",(_xlfn.XLOOKUP($B57,rf1_data!$B:$B,rf1_data!AG:AG,"NaN")))</f>
        <v>5.58</v>
      </c>
      <c r="AP57" s="5">
        <f>IF(_xlfn.XLOOKUP($B57,rf1_data!$B:$B,rf1_data!AH:AH,"NaN")="","NaN",(_xlfn.XLOOKUP($B57,rf1_data!$B:$B,rf1_data!AH:AH,"NaN")))</f>
        <v>5.75</v>
      </c>
      <c r="AQ57" s="5">
        <f>IF(_xlfn.XLOOKUP($B57,rf1_data!$B:$B,rf1_data!AI:AI,"NaN")="","NaN",(_xlfn.XLOOKUP($B57,rf1_data!$B:$B,rf1_data!AI:AI,"NaN")))</f>
        <v>5</v>
      </c>
      <c r="AR57" s="5">
        <f>IF(_xlfn.XLOOKUP($B57,rf1_data!$B:$B,rf1_data!AJ:AJ,"NaN")="","NaN",(_xlfn.XLOOKUP($B57,rf1_data!$B:$B,rf1_data!AJ:AJ,"NaN")))</f>
        <v>6</v>
      </c>
      <c r="AS57" s="5">
        <f>IF(_xlfn.XLOOKUP($B57,rf1_data!$B:$B,rf1_data!AK:AK,"NaN")="","NaN",(_xlfn.XLOOKUP($B57,rf1_data!$B:$B,rf1_data!AK:AK,"NaN")))</f>
        <v>1.9</v>
      </c>
      <c r="AT57" s="5">
        <f>IF(_xlfn.XLOOKUP($B57,rf1_data!$B:$B,rf1_data!AL:AL,"NaN")="","NaN",(_xlfn.XLOOKUP($B57,rf1_data!$B:$B,rf1_data!AL:AL,"NaN")))</f>
        <v>6</v>
      </c>
      <c r="AU57" s="5">
        <f>IF(_xlfn.XLOOKUP($B57,rf1_data!$B:$B,rf1_data!AM:AM,"NaN")="","NaN",(_xlfn.XLOOKUP($B57,rf1_data!$B:$B,rf1_data!AM:AM,"NaN")))</f>
        <v>1.75</v>
      </c>
      <c r="AV57" s="5">
        <f>IF(_xlfn.XLOOKUP($B57,rf1_data!$B:$B,rf1_data!AN:AN,"NaN")="","NaN",(_xlfn.XLOOKUP($B57,rf1_data!$B:$B,rf1_data!AN:AN,"NaN")))</f>
        <v>12</v>
      </c>
      <c r="AW57" s="5">
        <f>IF(_xlfn.XLOOKUP($B57,rf1_data!$B:$B,rf1_data!AO:AO,"NaN")="","NaN",(_xlfn.XLOOKUP($B57,rf1_data!$B:$B,rf1_data!AO:AO,"NaN")))</f>
        <v>2.17</v>
      </c>
      <c r="AX57" s="5">
        <f>IF(_xlfn.XLOOKUP($B57,rf1_data!$B:$B,rf1_data!AP:AP,"NaN")="","NaN",(_xlfn.XLOOKUP($B57,rf1_data!$B:$B,rf1_data!AP:AP,"NaN")))</f>
        <v>9999</v>
      </c>
      <c r="AY57" s="5" t="str">
        <f>IF(_xlfn.XLOOKUP($B57,rf1_data!$B:$B,rf1_data!AQ:AQ,"NaN")="","NaN",(_xlfn.XLOOKUP($B57,rf1_data!$B:$B,rf1_data!AQ:AQ,"NaN")))</f>
        <v>NaN</v>
      </c>
      <c r="AZ57" s="5" t="str">
        <f>IF(_xlfn.XLOOKUP($B57,rf1_data!$B:$B,rf1_data!AR:AR,"NaN")="","NaN",(_xlfn.XLOOKUP($B57,rf1_data!$B:$B,rf1_data!AR:AR,"NaN")))</f>
        <v>NaN</v>
      </c>
      <c r="BA57" s="5" t="str">
        <f>IF(_xlfn.XLOOKUP($B57,rf1_data!$B:$B,rf1_data!AS:AS,"NaN")="","NaN",(_xlfn.XLOOKUP($B57,rf1_data!$B:$B,rf1_data!AS:AS,"NaN")))</f>
        <v>NaN</v>
      </c>
      <c r="BB57" s="5" t="str">
        <f>IF(_xlfn.XLOOKUP($B57,rf1_data!$B:$B,rf1_data!AT:AT,"NaN")="","NaN",(_xlfn.XLOOKUP($B57,rf1_data!$B:$B,rf1_data!AT:AT,"NaN")))</f>
        <v>NaN</v>
      </c>
      <c r="BC57" s="5" t="str">
        <f>IF(_xlfn.XLOOKUP($B57,rf1_data!$B:$B,rf1_data!AU:AU,"NaN")="","NaN",(_xlfn.XLOOKUP($B57,rf1_data!$B:$B,rf1_data!AU:AU,"NaN")))</f>
        <v>NaN</v>
      </c>
      <c r="BD57" s="5" t="str">
        <f>IF(_xlfn.XLOOKUP($B57,rf1_data!$B:$B,rf1_data!AV:AV,"NaN")="","NaN",(_xlfn.XLOOKUP($B57,rf1_data!$B:$B,rf1_data!AV:AV,"NaN")))</f>
        <v>NaN</v>
      </c>
      <c r="BE57" s="5" t="str">
        <f>IF(_xlfn.XLOOKUP($B57,rf1_data!$B:$B,rf1_data!AW:AW,"NaN")="","NaN",(_xlfn.XLOOKUP($B57,rf1_data!$B:$B,rf1_data!AW:AW,"NaN")))</f>
        <v>NaN</v>
      </c>
      <c r="BF57" s="5" t="str">
        <f>IF(_xlfn.XLOOKUP($B57,rf1_data!$B:$B,rf1_data!AX:AX,"NaN")="","NaN",(_xlfn.XLOOKUP($B57,rf1_data!$B:$B,rf1_data!AX:AX,"NaN")))</f>
        <v>NaN</v>
      </c>
      <c r="BG57" s="5" t="str">
        <f>IF(_xlfn.XLOOKUP($B57,rf1_data!$B:$B,rf1_data!AY:AY,"NaN")="","NaN",(_xlfn.XLOOKUP($B57,rf1_data!$B:$B,rf1_data!AY:AY,"NaN")))</f>
        <v>NaN</v>
      </c>
      <c r="BH57" s="5" t="str">
        <f>IF(_xlfn.XLOOKUP($B57,rf1_data!$B:$B,rf1_data!AZ:AZ,"NaN")="","NaN",(_xlfn.XLOOKUP($B57,rf1_data!$B:$B,rf1_data!AZ:AZ,"NaN")))</f>
        <v>NaN</v>
      </c>
      <c r="BI57" s="5">
        <f>IF(_xlfn.XLOOKUP($B57,rf1_data!$B:$B,rf1_data!BA:BA,"NaN")="","NaN",(_xlfn.XLOOKUP($B57,rf1_data!$B:$B,rf1_data!BA:BA,"NaN")))</f>
        <v>20</v>
      </c>
      <c r="BJ57" s="5" t="str">
        <f>IF(_xlfn.XLOOKUP($B57,rf1_data!$B:$B,rf1_data!BB:BB,"NaN")="","NaN",(_xlfn.XLOOKUP($B57,rf1_data!$B:$B,rf1_data!BB:BB,"NaN")))</f>
        <v>NaN</v>
      </c>
      <c r="BK57" s="5" t="str">
        <f>IF(_xlfn.XLOOKUP($B57,rf1_data!$B:$B,rf1_data!BC:BC,"NaN")="","NaN",(_xlfn.XLOOKUP($B57,rf1_data!$B:$B,rf1_data!BC:BC,"NaN")))</f>
        <v>NaN</v>
      </c>
      <c r="BL57" s="5" t="str">
        <f>IF(_xlfn.XLOOKUP($B57,rf1_data!$B:$B,rf1_data!BD:BD,"NaN")="","NaN",(_xlfn.XLOOKUP($B57,rf1_data!$B:$B,rf1_data!BD:BD,"NaN")))</f>
        <v>NaN</v>
      </c>
      <c r="BM57" s="5" t="str">
        <f>IF(_xlfn.XLOOKUP($B57,rf1_data!$B:$B,rf1_data!BE:BE,"NaN")="","NaN",(_xlfn.XLOOKUP($B57,rf1_data!$B:$B,rf1_data!BE:BE,"NaN")))</f>
        <v>NaN</v>
      </c>
      <c r="BN57" s="5" t="str">
        <f>IF(_xlfn.XLOOKUP($B57,rf1_data!$B:$B,rf1_data!BF:BF,"NaN")="","NaN",(_xlfn.XLOOKUP($B57,rf1_data!$B:$B,rf1_data!BF:BF,"NaN")))</f>
        <v>NaN</v>
      </c>
      <c r="BO57" s="5" t="str">
        <f>IF(_xlfn.XLOOKUP($B57,rf1_data!$B:$B,rf1_data!BG:BG,"NaN")="","NaN",(_xlfn.XLOOKUP($B57,rf1_data!$B:$B,rf1_data!BG:BG,"NaN")))</f>
        <v>NaN</v>
      </c>
      <c r="BP57" s="5" t="str">
        <f>IF(_xlfn.XLOOKUP($B57,rf1_data!$B:$B,rf1_data!BH:BH,"NaN")="","NaN",(_xlfn.XLOOKUP($B57,rf1_data!$B:$B,rf1_data!BH:BH,"NaN")))</f>
        <v>NaN</v>
      </c>
      <c r="BQ57" s="5" t="str">
        <f>IF(_xlfn.XLOOKUP($B57,rf1_data!$B:$B,rf1_data!BI:BI,"NaN")="","NaN",(_xlfn.XLOOKUP($B57,rf1_data!$B:$B,rf1_data!BI:BI,"NaN")))</f>
        <v>NaN</v>
      </c>
      <c r="BR57" s="5">
        <f>IF(_xlfn.XLOOKUP($B57,rf1_data!$B:$B,rf1_data!BJ:BJ,"NaN")="","NaN",(_xlfn.XLOOKUP($B57,rf1_data!$B:$B,rf1_data!BJ:BJ,"NaN")))</f>
        <v>8991</v>
      </c>
      <c r="BS57" s="5" t="str">
        <f>IF(_xlfn.XLOOKUP($B57,rf1_data!$B:$B,rf1_data!BK:BK,"NaN")="","NaN",(_xlfn.XLOOKUP($B57,rf1_data!$B:$B,rf1_data!BK:BK,"NaN")))</f>
        <v>NaN</v>
      </c>
      <c r="BT57" s="5" t="str">
        <f>IF(_xlfn.XLOOKUP($B57,rf1_data!$B:$B,rf1_data!BL:BL,"NaN")="","NaN",(_xlfn.XLOOKUP($B57,rf1_data!$B:$B,rf1_data!BL:BL,"NaN")))</f>
        <v>NaN</v>
      </c>
      <c r="BU57" s="5" t="str">
        <f>IF(_xlfn.XLOOKUP($B57,rf1_data!$B:$B,rf1_data!BM:BM,"NaN")="","NaN",(_xlfn.XLOOKUP($B57,rf1_data!$B:$B,rf1_data!BM:BM,"NaN")))</f>
        <v>NaN</v>
      </c>
      <c r="BV57" s="5" t="str">
        <f>IF(_xlfn.XLOOKUP($B57,rf1_data!$B:$B,rf1_data!BN:BN,"NaN")="","NaN",(_xlfn.XLOOKUP($B57,rf1_data!$B:$B,rf1_data!BN:BN,"NaN")))</f>
        <v>NaN</v>
      </c>
      <c r="BW57" s="5">
        <f>IF(_xlfn.XLOOKUP($B57,rf1_data!$B:$B,rf1_data!BO:BO,"NaN")="","NaN",(_xlfn.XLOOKUP($B57,rf1_data!$B:$B,rf1_data!BO:BO,"NaN")))</f>
        <v>4</v>
      </c>
      <c r="BX57" s="5">
        <f>IF(_xlfn.XLOOKUP($B57,rf1_data!$B:$B,rf1_data!BP:BP,"NaN")="","NaN",(_xlfn.XLOOKUP($B57,rf1_data!$B:$B,rf1_data!BP:BP,"NaN")))</f>
        <v>3.7</v>
      </c>
      <c r="BY57" s="5">
        <f>IF(_xlfn.XLOOKUP($B57,rf1_data!$B:$B,rf1_data!BQ:BQ,"NaN")="","NaN",(_xlfn.XLOOKUP($B57,rf1_data!$B:$B,rf1_data!BQ:BQ,"NaN")))</f>
        <v>4.0999999999999996</v>
      </c>
      <c r="BZ57" s="5">
        <f>IF(_xlfn.XLOOKUP($B57,rf1_data!$B:$B,rf1_data!BR:BR,"NaN")="","NaN",(_xlfn.XLOOKUP($B57,rf1_data!$B:$B,rf1_data!BR:BR,"NaN")))</f>
        <v>3.93</v>
      </c>
      <c r="CA57" s="5">
        <f>IF(_xlfn.XLOOKUP($B57,rf1_data!$B:$B,rf1_data!BS:BS,"NaN")="","NaN",(_xlfn.XLOOKUP($B57,rf1_data!$B:$B,rf1_data!BS:BS,"NaN")))</f>
        <v>4.3333333333333002</v>
      </c>
      <c r="CB57" s="5">
        <f>IF(_xlfn.XLOOKUP($B57,rf1_data!$B:$B,rf1_data!BT:BT,"NaN")="","NaN",(_xlfn.XLOOKUP($B57,rf1_data!$B:$B,rf1_data!BT:BT,"NaN")))</f>
        <v>3.5</v>
      </c>
      <c r="CC57" s="5">
        <f>IF(_xlfn.XLOOKUP($B57,rf1_data!$B:$B,rf1_data!BU:BU,"NaN")="","NaN",(_xlfn.XLOOKUP($B57,rf1_data!$B:$B,rf1_data!BU:BU,"NaN")))</f>
        <v>2.6666666666666998</v>
      </c>
      <c r="CD57" s="5">
        <f>IF(_xlfn.XLOOKUP($B57,rf1_data!$B:$B,rf1_data!BV:BV,"NaN")="","NaN",(_xlfn.XLOOKUP($B57,rf1_data!$B:$B,rf1_data!BV:BV,"NaN")))</f>
        <v>3.5</v>
      </c>
      <c r="CE57" s="5">
        <f>IF(_xlfn.XLOOKUP($B57,rf1_data!$B:$B,rf1_data!BW:BW,"NaN")="","NaN",(_xlfn.XLOOKUP($B57,rf1_data!$B:$B,rf1_data!BW:BW,"NaN")))</f>
        <v>1.2</v>
      </c>
      <c r="CF57" s="5">
        <f>IF(_xlfn.XLOOKUP($B57,rf1_data!$B:$B,rf1_data!BX:BX,"NaN")="","NaN",(_xlfn.XLOOKUP($B57,rf1_data!$B:$B,rf1_data!BX:BX,"NaN")))</f>
        <v>0</v>
      </c>
      <c r="CG57" s="5">
        <f>IF(_xlfn.XLOOKUP($B57,rf1_data!$B:$B,rf1_data!BY:BY,"NaN")="","NaN",(_xlfn.XLOOKUP($B57,rf1_data!$B:$B,rf1_data!BY:BY,"NaN")))</f>
        <v>0</v>
      </c>
      <c r="CH57" s="5">
        <f>IF(_xlfn.XLOOKUP($B57,rf1_data!$B:$B,rf1_data!BZ:BZ,"NaN")="","NaN",(_xlfn.XLOOKUP($B57,rf1_data!$B:$B,rf1_data!BZ:BZ,"NaN")))</f>
        <v>26</v>
      </c>
      <c r="CI57" s="5">
        <f>IF(_xlfn.XLOOKUP($B57,rf1_data!$B:$B,rf1_data!CA:CA,"NaN")="","NaN",(_xlfn.XLOOKUP($B57,rf1_data!$B:$B,rf1_data!CA:CA,"NaN")))</f>
        <v>25</v>
      </c>
      <c r="CJ57" s="5">
        <f>IF(_xlfn.XLOOKUP($B57,rf1_data!$B:$B,rf1_data!CB:CB,"NaN")="","NaN",(_xlfn.XLOOKUP($B57,rf1_data!$B:$B,rf1_data!CB:CB,"NaN")))</f>
        <v>8</v>
      </c>
      <c r="CK57" s="5">
        <f>IF(_xlfn.XLOOKUP($B57,rf1_data!$B:$B,rf1_data!CC:CC,"NaN")="","NaN",(_xlfn.XLOOKUP($B57,rf1_data!$B:$B,rf1_data!CC:CC,"NaN")))</f>
        <v>0.8</v>
      </c>
      <c r="CL57" s="5">
        <f>IF(_xlfn.XLOOKUP($B57,rf1_data!$B:$B,rf1_data!CD:CD,"NaN")=0,"NaN",(_xlfn.XLOOKUP($B57,rf1_data!$B:$B,rf1_data!CD:CD,"NaN")))</f>
        <v>32</v>
      </c>
      <c r="CM57" s="5">
        <f>IF(_xlfn.XLOOKUP($B57,rf1_data!$B:$B,rf1_data!CE:CE,"NaN")="","NaN",(_xlfn.XLOOKUP($B57,rf1_data!$B:$B,rf1_data!CE:CE,"NaN")))</f>
        <v>26</v>
      </c>
      <c r="CN57" s="5">
        <f>IF(_xlfn.XLOOKUP($B57,rf1_data!$B:$B,rf1_data!CF:CF,"NaN")="","NaN",(_xlfn.XLOOKUP($B57,rf1_data!$B:$B,rf1_data!CF:CF,"NaN")))</f>
        <v>51</v>
      </c>
      <c r="CO57" s="5">
        <f>IF(_xlfn.XLOOKUP($B57,rf1_data!$B:$B,rf1_data!CG:CG,"NaN")="","NaN",(_xlfn.XLOOKUP($B57,rf1_data!$B:$B,rf1_data!CG:CG,"NaN")))</f>
        <v>21</v>
      </c>
      <c r="CP57" s="5">
        <f>IF(_xlfn.XLOOKUP($B57,rf1_data!$B:$B,rf1_data!CH:CH,"NaN")=0,"NaN",(_xlfn.XLOOKUP($B57,rf1_data!$B:$B,rf1_data!CH:CH,"NaN")))</f>
        <v>29</v>
      </c>
      <c r="CQ57" s="5">
        <f>IF(_xlfn.XLOOKUP($B57,rf1_data!$B:$B,rf1_data!CI:CI,"NaN")="","NaN",(_xlfn.XLOOKUP($B57,rf1_data!$B:$B,rf1_data!CI:CI,"NaN")))</f>
        <v>48</v>
      </c>
      <c r="CR57" s="5">
        <f>IF(_xlfn.XLOOKUP($B57,rf1_data!$B:$B,rf1_data!CJ:CJ,"NaN")="","NaN",(_xlfn.XLOOKUP($B57,rf1_data!$B:$B,rf1_data!CJ:CJ,"NaN")))</f>
        <v>52</v>
      </c>
      <c r="CS57" s="5">
        <f>IF(_xlfn.XLOOKUP($B57,rf1_data!$B:$B,rf1_data!CK:CK,"NaN")="","NaN",(_xlfn.XLOOKUP($B57,rf1_data!$B:$B,rf1_data!CK:CK,"NaN")))</f>
        <v>48</v>
      </c>
      <c r="CT57" s="5">
        <f>IF(_xlfn.XLOOKUP($B57,rf1_data!$B:$B,rf1_data!CL:CL,"NaN")="","NaN",(_xlfn.XLOOKUP($B57,rf1_data!$B:$B,rf1_data!CL:CL,"NaN")))</f>
        <v>47</v>
      </c>
      <c r="CU57" s="5">
        <f>IF(_xlfn.XLOOKUP($B57,rf1_data!$B:$B,rf1_data!CM:CM,"NaN")="","NaN",(_xlfn.XLOOKUP($B57,rf1_data!$B:$B,rf1_data!CM:CM,"NaN")))</f>
        <v>48</v>
      </c>
      <c r="CV57" s="5">
        <f>IF(_xlfn.XLOOKUP($B57,rf1_data!$B:$B,rf1_data!CN:CN,"NaN")="","NaN",(_xlfn.XLOOKUP($B57,rf1_data!$B:$B,rf1_data!CN:CN,"NaN")))</f>
        <v>47</v>
      </c>
      <c r="CW57" s="5" t="str">
        <f>IF(_xlfn.XLOOKUP($B57,rf1_data!$B:$B,rf1_data!CO:CO,"NaN")="","NaN",(_xlfn.XLOOKUP($B57,rf1_data!$B:$B,rf1_data!CO:CO,"NaN")))</f>
        <v>NaN</v>
      </c>
      <c r="CX57" s="5" t="str">
        <f>IF(_xlfn.XLOOKUP($B57,rf1_data!$B:$B,rf1_data!CP:CP,"NaN")="","NaN",(_xlfn.XLOOKUP($B57,rf1_data!$B:$B,rf1_data!CP:CP,"NaN")))</f>
        <v>NaN</v>
      </c>
      <c r="CY57" s="5">
        <f>IF(_xlfn.XLOOKUP($B57,rf1_data!$B:$B,rf1_data!CQ:CQ,"NaN")="","NaN",(_xlfn.XLOOKUP($B57,rf1_data!$B:$B,rf1_data!CQ:CQ,"NaN")))</f>
        <v>6</v>
      </c>
      <c r="CZ57" s="5">
        <f>IF(_xlfn.XLOOKUP($B57,rf1_data!$B:$B,rf1_data!CR:CR,"NaN")="","NaN",(_xlfn.XLOOKUP($B57,rf1_data!$B:$B,rf1_data!CR:CR,"NaN")))</f>
        <v>3</v>
      </c>
      <c r="DA57" s="5">
        <f>IF(_xlfn.XLOOKUP($B57,rf1_data!$B:$B,rf1_data!CS:CS,"NaN")="","NaN",(_xlfn.XLOOKUP($B57,rf1_data!$B:$B,rf1_data!CS:CS,"NaN")))</f>
        <v>4</v>
      </c>
      <c r="DB57" s="4">
        <f>IF(_xlfn.XLOOKUP($B57,island_data!$B:$B,island_data!H:H,"NaN")="","NaN",_xlfn.XLOOKUP($B57,island_data!$B:$B,island_data!H:H,"NaN"))</f>
        <v>2</v>
      </c>
      <c r="DC57" s="4">
        <f>IF(_xlfn.XLOOKUP($B57,island_data!$B:$B,island_data!I:I,"NaN")="","NaN",_xlfn.XLOOKUP($B57,island_data!$B:$B,island_data!I:I,"NaN"))</f>
        <v>2</v>
      </c>
      <c r="DD57" s="4">
        <f>IF(_xlfn.XLOOKUP($B57,island_data!$B:$B,island_data!J:J,"NaN")="","NaN",_xlfn.XLOOKUP($B57,island_data!$B:$B,island_data!J:J,"NaN"))</f>
        <v>0</v>
      </c>
      <c r="DE57" s="4">
        <f>IF(_xlfn.XLOOKUP($B57,island_data!$B:$B,island_data!K:K,"NaN")="","NaN",_xlfn.XLOOKUP($B57,island_data!$B:$B,island_data!K:K,"NaN"))</f>
        <v>0</v>
      </c>
      <c r="DF57" s="4">
        <f>IF(_xlfn.XLOOKUP($B57,island_data!$B:$B,island_data!L:L,"NaN")="","NaN",_xlfn.XLOOKUP($B57,island_data!$B:$B,island_data!L:L,"NaN"))</f>
        <v>0</v>
      </c>
      <c r="DG57" s="4">
        <f>IF(_xlfn.XLOOKUP($B57,island_data!$B:$B,island_data!M:M,"NaN")="","NaN",_xlfn.XLOOKUP($B57,island_data!$B:$B,island_data!M:M,"NaN"))</f>
        <v>3.875</v>
      </c>
      <c r="DH57" s="4">
        <f>IF(_xlfn.XLOOKUP($B57,island_data!$B:$B,island_data!N:N,"NaN")="","NaN",_xlfn.XLOOKUP($B57,island_data!$B:$B,island_data!N:N,"NaN"))</f>
        <v>12</v>
      </c>
      <c r="DI57" s="4">
        <f>IF(_xlfn.XLOOKUP($B57,island_data!$B:$B,island_data!O:O,"NaN")=999,"NaN",_xlfn.XLOOKUP($B57,island_data!$B:$B,island_data!O:O,"NaN"))</f>
        <v>6</v>
      </c>
      <c r="DJ57" s="4">
        <f>IF(_xlfn.XLOOKUP($B57,island_data!$B:$B,island_data!P:P,"NaN")="","NaN",_xlfn.XLOOKUP($B57,island_data!$B:$B,island_data!P:P,"NaN"))</f>
        <v>12</v>
      </c>
      <c r="DK57" s="4">
        <f>IF(_xlfn.XLOOKUP($B57,island_data!$B:$B,island_data!Q:Q,"NaN")="","NaN",_xlfn.XLOOKUP($B57,island_data!$B:$B,island_data!Q:Q,"NaN"))</f>
        <v>4</v>
      </c>
      <c r="DL57" s="4">
        <f>IF(_xlfn.XLOOKUP($B57,island_data!$B:$B,island_data!R:R,"NaN")=999,"NaN",_xlfn.XLOOKUP($B57,island_data!$B:$B,island_data!R:R,"NaN"))</f>
        <v>18</v>
      </c>
      <c r="DM57" s="4">
        <f>IF(_xlfn.XLOOKUP($B57,island_data!$B:$B,island_data!S:S,"NaN")="","NaN",_xlfn.XLOOKUP($B57,island_data!$B:$B,island_data!S:S,"NaN"))</f>
        <v>10</v>
      </c>
      <c r="DN57" s="4">
        <f>IF(_xlfn.XLOOKUP($B57,island_data!$B:$B,island_data!T:T,"NaN")="","NaN",_xlfn.XLOOKUP($B57,island_data!$B:$B,island_data!T:T,"NaN"))</f>
        <v>6.3333333333333304</v>
      </c>
      <c r="DO57" s="4">
        <f>IF(_xlfn.XLOOKUP($B57,island_data!$B:$B,island_data!U:U,"NaN")="","NaN",_xlfn.XLOOKUP($B57,island_data!$B:$B,island_data!U:U,"NaN"))</f>
        <v>6</v>
      </c>
      <c r="DP57" s="4">
        <f>IF(_xlfn.XLOOKUP($B57,island_data!$B:$B,island_data!V:V,"NaN")="","NaN",_xlfn.XLOOKUP($B57,island_data!$B:$B,island_data!V:V,"NaN"))</f>
        <v>4</v>
      </c>
      <c r="DQ57" s="4">
        <f>IF(_xlfn.XLOOKUP($B57,island_data!$B:$B,island_data!W:W,"NaN")="","NaN",_xlfn.XLOOKUP($B57,island_data!$B:$B,island_data!W:W,"NaN"))</f>
        <v>8</v>
      </c>
      <c r="DR57" s="4">
        <f>IF(_xlfn.XLOOKUP($B57,island_data!$B:$B,island_data!X:X,"NaN")="","NaN",_xlfn.XLOOKUP($B57,island_data!$B:$B,island_data!X:X,"NaN"))</f>
        <v>6</v>
      </c>
      <c r="DS57" s="4" t="str">
        <f>IF(_xlfn.XLOOKUP($B57,island_data!$B:$B,island_data!Y:Y,"NaN")="","NaN",_xlfn.XLOOKUP($B57,island_data!$B:$B,island_data!Y:Y,"NaN"))</f>
        <v>NaN</v>
      </c>
      <c r="DT57" s="4" t="str">
        <f>IF(_xlfn.XLOOKUP($B57,island_data!$B:$B,island_data!Z:Z,"NaN")="","NaN",_xlfn.XLOOKUP($B57,island_data!$B:$B,island_data!Z:Z,"NaN"))</f>
        <v>NaN</v>
      </c>
      <c r="DU57" s="4" t="str">
        <f>IF(_xlfn.XLOOKUP($B57,island_data!$B:$B,island_data!AA:AA,"NaN")="","NaN",_xlfn.XLOOKUP($B57,island_data!$B:$B,island_data!AA:AA,"NaN"))</f>
        <v>NaN</v>
      </c>
      <c r="DV57" s="4">
        <f>IF(_xlfn.XLOOKUP($B57,island_data!$B:$B,island_data!AB:AB,"NaN")="","NaN",_xlfn.XLOOKUP($B57,island_data!$B:$B,island_data!AB:AB,"NaN"))</f>
        <v>1</v>
      </c>
      <c r="DW57" s="4">
        <f>IF(_xlfn.XLOOKUP($B57,island_data!$B:$B,island_data!AC:AC,"NaN")="","NaN",_xlfn.XLOOKUP($B57,island_data!$B:$B,island_data!AC:AC,"NaN"))</f>
        <v>8024</v>
      </c>
      <c r="DX57" s="4">
        <f>IF(_xlfn.XLOOKUP($B57,island_data!$B:$B,island_data!AD:AD,"NaN")="","NaN",_xlfn.XLOOKUP($B57,island_data!$B:$B,island_data!AD:AD,"NaN"))</f>
        <v>8</v>
      </c>
      <c r="DY57" s="4">
        <f>IF(_xlfn.XLOOKUP($B57,island_data!$B:$B,island_data!AE:AE,"NaN")="","NaN",_xlfn.XLOOKUP($B57,island_data!$B:$B,island_data!AE:AE,"NaN"))</f>
        <v>0</v>
      </c>
      <c r="DZ57" s="4" t="str">
        <f>IF(_xlfn.XLOOKUP($B57,island_data!$B:$B,island_data!AF:AF,"NaN")="","NaN",_xlfn.XLOOKUP($B57,island_data!$B:$B,island_data!AF:AF,"NaN"))</f>
        <v>NaN</v>
      </c>
      <c r="EA57" s="4" t="str">
        <f>IF(_xlfn.XLOOKUP($B57,island_data!$B:$B,island_data!AG:AG,"NaN")="","NaN",_xlfn.XLOOKUP($B57,island_data!$B:$B,island_data!AG:AG,"NaN"))</f>
        <v>NaN</v>
      </c>
      <c r="EB57" s="4" t="str">
        <f>IF(_xlfn.XLOOKUP($B57,island_data!$B:$B,island_data!AH:AH,"NaN")="","NaN",_xlfn.XLOOKUP($B57,island_data!$B:$B,island_data!AH:AH,"NaN"))</f>
        <v>NaN</v>
      </c>
      <c r="EC57" s="4">
        <f>IF(_xlfn.XLOOKUP($B57,island_data!$B:$B,island_data!AI:AI,"NaN")="","NaN",_xlfn.XLOOKUP($B57,island_data!$B:$B,island_data!AI:AI,"NaN"))</f>
        <v>12</v>
      </c>
      <c r="ED57" s="4">
        <f>IF(_xlfn.XLOOKUP($B57,island_data!$B:$B,island_data!AJ:AJ,"NaN")="","NaN",_xlfn.XLOOKUP($B57,island_data!$B:$B,island_data!AJ:AJ,"NaN"))</f>
        <v>13</v>
      </c>
      <c r="EE57" s="4">
        <f>IF(_xlfn.XLOOKUP($B57,island_data!$B:$B,island_data!AK:AK,"NaN")="","NaN",_xlfn.XLOOKUP($B57,island_data!$B:$B,island_data!AK:AK,"NaN"))</f>
        <v>15</v>
      </c>
      <c r="EF57" s="4">
        <f>IF(_xlfn.XLOOKUP($B57,island_data!$B:$B,island_data!AL:AL,"NaN")="","NaN",_xlfn.XLOOKUP($B57,island_data!$B:$B,island_data!AL:AL,"NaN"))</f>
        <v>19</v>
      </c>
      <c r="EG57" s="4">
        <f>IF(_xlfn.XLOOKUP($B57,island_data!$B:$B,island_data!AM:AM,"NaN")="","NaN",_xlfn.XLOOKUP($B57,island_data!$B:$B,island_data!AM:AM,"NaN"))</f>
        <v>16</v>
      </c>
      <c r="EH57" s="4" t="str">
        <f>IF(_xlfn.XLOOKUP($B57,island_data!$B:$B,island_data!AN:AN,"NaN")="","NaN",_xlfn.XLOOKUP($B57,island_data!$B:$B,island_data!AN:AN,"NaN"))</f>
        <v>NaN</v>
      </c>
      <c r="EI57" s="4" t="str">
        <f>IF(_xlfn.XLOOKUP($B57,island_data!$B:$B,island_data!AO:AO,"NaN")="","NaN",_xlfn.XLOOKUP($B57,island_data!$B:$B,island_data!AO:AO,"NaN"))</f>
        <v>NaN</v>
      </c>
      <c r="EJ57" s="8">
        <f>IF(_xlfn.XLOOKUP($A57,TabCAT!$A:$A,TabCAT!AU:AU,"NaN")="","NaN",(_xlfn.XLOOKUP($A57,TabCAT!$A:$A,TabCAT!AU:AU,"NaN")))</f>
        <v>154</v>
      </c>
      <c r="EK57" s="8" t="b">
        <f>IF(_xlfn.XLOOKUP($A57,TabCAT!$A:$A,TabCAT!AV:AV,"NaN")="","NaN",(_xlfn.XLOOKUP($A57,TabCAT!$A:$A,TabCAT!AV:AV,"NaN")))</f>
        <v>1</v>
      </c>
      <c r="EL57" s="8">
        <f>IF(_xlfn.XLOOKUP($A57,TabCAT!$A:$A,TabCAT!AW:AW,"NaN")="","NaN",(_xlfn.XLOOKUP($A57,TabCAT!$A:$A,TabCAT!AW:AW,"NaN")))</f>
        <v>6</v>
      </c>
      <c r="EM57" s="8">
        <f>IF(_xlfn.XLOOKUP($A57,TabCAT!$A:$A,TabCAT!AX:AX,"NaN")="","NaN",(_xlfn.XLOOKUP($A57,TabCAT!$A:$A,TabCAT!AX:AX,"NaN")))</f>
        <v>0</v>
      </c>
      <c r="EN57" s="8">
        <f>IF(_xlfn.XLOOKUP($A57,TabCAT!$A:$A,TabCAT!AY:AY,"NaN")="","NaN",(_xlfn.XLOOKUP($A57,TabCAT!$A:$A,TabCAT!AY:AY,"NaN")))</f>
        <v>9.35</v>
      </c>
      <c r="EO57" s="8">
        <f>IF(_xlfn.XLOOKUP($A57,TabCAT!$A:$A,TabCAT!AZ:AZ,"NaN")="","NaN",(_xlfn.XLOOKUP($A57,TabCAT!$A:$A,TabCAT!AZ:AZ,"NaN")))</f>
        <v>31</v>
      </c>
      <c r="EP57" s="8">
        <f>IF(_xlfn.XLOOKUP($A57,TabCAT!$A:$A,TabCAT!BA:BA,"NaN")="","NaN",(_xlfn.XLOOKUP($A57,TabCAT!$A:$A,TabCAT!BA:BA,"NaN")))</f>
        <v>0.59814199999999995</v>
      </c>
      <c r="EQ57" s="8">
        <f>IF(_xlfn.XLOOKUP($A57,TabCAT!$A:$A,TabCAT!BB:BB,"NaN")="","NaN",(_xlfn.XLOOKUP($A57,TabCAT!$A:$A,TabCAT!BB:BB,"NaN")))</f>
        <v>0.164808108718526</v>
      </c>
      <c r="ER57" s="8">
        <f>IF(_xlfn.XLOOKUP($A57,TabCAT!$A:$A,TabCAT!BC:BC,"NaN")="","NaN",(_xlfn.XLOOKUP($A57,TabCAT!$A:$A,TabCAT!BC:BC,"NaN")))</f>
        <v>16</v>
      </c>
      <c r="ES57" s="8">
        <f>IF(_xlfn.XLOOKUP($A57,TabCAT!$A:$A,TabCAT!BD:BD,"NaN")="","NaN",(_xlfn.XLOOKUP($A57,TabCAT!$A:$A,TabCAT!BD:BD,"NaN")))</f>
        <v>0.577403</v>
      </c>
      <c r="ET57" s="8">
        <f>IF(_xlfn.XLOOKUP($A57,TabCAT!$A:$A,TabCAT!BE:BE,"NaN")="","NaN",(_xlfn.XLOOKUP($A57,TabCAT!$A:$A,TabCAT!BE:BE,"NaN")))</f>
        <v>15</v>
      </c>
      <c r="EU57" s="8">
        <f>IF(_xlfn.XLOOKUP($A57,TabCAT!$A:$A,TabCAT!BF:BF,"NaN")="","NaN",(_xlfn.XLOOKUP($A57,TabCAT!$A:$A,TabCAT!BF:BF,"NaN")))</f>
        <v>0.62306300000000003</v>
      </c>
      <c r="EV57" s="8">
        <f>IF(_xlfn.XLOOKUP($A57,TabCAT!$A:$A,TabCAT!BG:BG,"NaN")="","NaN",(_xlfn.XLOOKUP($A57,TabCAT!$A:$A,TabCAT!BG:BG,"NaN")))</f>
        <v>1.698113</v>
      </c>
      <c r="EW57" s="8" t="str">
        <f>IF(_xlfn.XLOOKUP($A57,TabCAT!$A:$A,TabCAT!BH:BH,"NaN")="","NaN",(_xlfn.XLOOKUP($A57,TabCAT!$A:$A,TabCAT!BH:BH,"NaN")))</f>
        <v>3.0.0</v>
      </c>
      <c r="EX57" s="8" t="str">
        <f>IF(_xlfn.XLOOKUP($A57,TabCAT!$A:$A,TabCAT!BI:BI,"NaN")="","NaN",(_xlfn.XLOOKUP($A57,TabCAT!$A:$A,TabCAT!BI:BI,"NaN")))</f>
        <v>English</v>
      </c>
      <c r="EY57" s="8">
        <f>IF(_xlfn.XLOOKUP($A57,TabCAT!$A:$A,TabCAT!BJ:BJ,"NaN")="","NaN",(_xlfn.XLOOKUP($A57,TabCAT!$A:$A,TabCAT!BJ:BJ,"NaN")))</f>
        <v>235</v>
      </c>
      <c r="EZ57" s="8">
        <f>IF(_xlfn.XLOOKUP($A57,TabCAT!$A:$A,TabCAT!BK:BK,"NaN")="","NaN",(_xlfn.XLOOKUP($A57,TabCAT!$A:$A,TabCAT!BK:BK,"NaN")))</f>
        <v>1</v>
      </c>
      <c r="FA57" s="8">
        <f>IF(_xlfn.XLOOKUP($A57,TabCAT!$A:$A,TabCAT!BL:BL,"NaN")="","NaN",(_xlfn.XLOOKUP($A57,TabCAT!$A:$A,TabCAT!BL:BL,"NaN")))</f>
        <v>6</v>
      </c>
      <c r="FB57" s="8">
        <f>IF(_xlfn.XLOOKUP($A57,TabCAT!$A:$A,TabCAT!BM:BM,"NaN")="","NaN",(_xlfn.XLOOKUP($A57,TabCAT!$A:$A,TabCAT!BM:BM,"NaN")))</f>
        <v>1</v>
      </c>
      <c r="FC57" s="8">
        <f>IF(_xlfn.XLOOKUP($A57,TabCAT!$A:$A,TabCAT!BN:BN,"NaN")="","NaN",(_xlfn.XLOOKUP($A57,TabCAT!$A:$A,TabCAT!BN:BN,"NaN")))</f>
        <v>6</v>
      </c>
      <c r="FD57" s="8">
        <f>IF(_xlfn.XLOOKUP($A57,TabCAT!$A:$A,TabCAT!BO:BO,"NaN")="","NaN",(_xlfn.XLOOKUP($A57,TabCAT!$A:$A,TabCAT!BO:BO,"NaN")))</f>
        <v>7</v>
      </c>
      <c r="FE57" s="8">
        <f>IF(_xlfn.XLOOKUP($A57,TabCAT!$A:$A,TabCAT!BP:BP,"NaN")="","NaN",(_xlfn.XLOOKUP($A57,TabCAT!$A:$A,TabCAT!BP:BP,"NaN")))</f>
        <v>0.77777777777777701</v>
      </c>
      <c r="FF57" s="8">
        <f>IF(_xlfn.XLOOKUP($A57,TabCAT!$A:$A,TabCAT!BQ:BQ,"NaN")="","NaN",(_xlfn.XLOOKUP($A57,TabCAT!$A:$A,TabCAT!BQ:BQ,"NaN")))</f>
        <v>7</v>
      </c>
      <c r="FG57" s="8">
        <f>IF(_xlfn.XLOOKUP($A57,TabCAT!$A:$A,TabCAT!BR:BR,"NaN")="","NaN",(_xlfn.XLOOKUP($A57,TabCAT!$A:$A,TabCAT!BR:BR,"NaN")))</f>
        <v>11</v>
      </c>
      <c r="FH57" s="8">
        <f>IF(_xlfn.XLOOKUP($A57,TabCAT!$A:$A,TabCAT!BS:BS,"NaN")="","NaN",(_xlfn.XLOOKUP($A57,TabCAT!$A:$A,TabCAT!BS:BS,"NaN")))</f>
        <v>0.91666666666666596</v>
      </c>
      <c r="FI57" s="8">
        <f>IF(_xlfn.XLOOKUP($A57,TabCAT!$A:$A,TabCAT!BT:BT,"NaN")="","NaN",(_xlfn.XLOOKUP($A57,TabCAT!$A:$A,TabCAT!BT:BT,"NaN")))</f>
        <v>9.5</v>
      </c>
      <c r="FJ57" s="8">
        <f>IF(_xlfn.XLOOKUP($A57,TabCAT!$A:$A,TabCAT!BU:BU,"NaN")="","NaN",(_xlfn.XLOOKUP($A57,TabCAT!$A:$A,TabCAT!BU:BU,"NaN")))</f>
        <v>8</v>
      </c>
      <c r="FK57" s="8">
        <f>IF(_xlfn.XLOOKUP($A57,TabCAT!$A:$A,TabCAT!BV:BV,"NaN")="","NaN",(_xlfn.XLOOKUP($A57,TabCAT!$A:$A,TabCAT!BV:BV,"NaN")))</f>
        <v>0.53333333333333299</v>
      </c>
      <c r="FL57" s="8">
        <f>IF(_xlfn.XLOOKUP($A57,TabCAT!$A:$A,TabCAT!BW:BW,"NaN")="","NaN",(_xlfn.XLOOKUP($A57,TabCAT!$A:$A,TabCAT!BW:BW,"NaN")))</f>
        <v>6.5</v>
      </c>
      <c r="FM57" s="8">
        <f>IF(_xlfn.XLOOKUP($A57,TabCAT!$A:$A,TabCAT!BX:BX,"NaN")="","NaN",(_xlfn.XLOOKUP($A57,TabCAT!$A:$A,TabCAT!BX:BX,"NaN")))</f>
        <v>32</v>
      </c>
      <c r="FN57" s="8">
        <f>IF(_xlfn.XLOOKUP($A57,TabCAT!$A:$A,TabCAT!BY:BY,"NaN")="","NaN",(_xlfn.XLOOKUP($A57,TabCAT!$A:$A,TabCAT!BY:BY,"NaN")))</f>
        <v>0.76190476190476097</v>
      </c>
      <c r="FO57" s="8">
        <f>IF(_xlfn.XLOOKUP($A57,TabCAT!$A:$A,TabCAT!BZ:BZ,"NaN")="","NaN",(_xlfn.XLOOKUP($A57,TabCAT!$A:$A,TabCAT!BZ:BZ,"NaN")))</f>
        <v>29</v>
      </c>
      <c r="FP57" s="8" t="str">
        <f>IF(_xlfn.XLOOKUP($A57,TabCAT!$A:$A,TabCAT!CA:CA,"NaN")="","NaN",(_xlfn.XLOOKUP($A57,TabCAT!$A:$A,TabCAT!CA:CA,"NaN")))</f>
        <v>3.0.0</v>
      </c>
      <c r="FQ57" s="8" t="str">
        <f>IF(_xlfn.XLOOKUP($A57,TabCAT!$A:$A,TabCAT!CB:CB,"NaN")="","NaN",(_xlfn.XLOOKUP($A57,TabCAT!$A:$A,TabCAT!CB:CB,"NaN")))</f>
        <v>English</v>
      </c>
      <c r="FR57" s="8">
        <f>IF(_xlfn.XLOOKUP($A57,TabCAT!$A:$A,TabCAT!CC:CC,"NaN")="","NaN",(_xlfn.XLOOKUP($A57,TabCAT!$A:$A,TabCAT!CC:CC,"NaN")))</f>
        <v>246</v>
      </c>
      <c r="FS57" s="8" t="b">
        <f>IF(_xlfn.XLOOKUP($A57,TabCAT!$A:$A,TabCAT!CD:CD,"NaN")="","NaN",(_xlfn.XLOOKUP($A57,TabCAT!$A:$A,TabCAT!CD:CD,"NaN")))</f>
        <v>1</v>
      </c>
      <c r="FT57" s="8">
        <f>IF(_xlfn.XLOOKUP($A57,TabCAT!$A:$A,TabCAT!CE:CE,"NaN")="","NaN",(_xlfn.XLOOKUP($A57,TabCAT!$A:$A,TabCAT!CE:CE,"NaN")))</f>
        <v>8</v>
      </c>
      <c r="FU57" s="8">
        <f>IF(_xlfn.XLOOKUP($A57,TabCAT!$A:$A,TabCAT!CF:CF,"NaN")="","NaN",(_xlfn.XLOOKUP($A57,TabCAT!$A:$A,TabCAT!CF:CF,"NaN")))</f>
        <v>0</v>
      </c>
      <c r="FV57" s="8">
        <f>IF(_xlfn.XLOOKUP($A57,TabCAT!$A:$A,TabCAT!CG:CG,"NaN")="","NaN",(_xlfn.XLOOKUP($A57,TabCAT!$A:$A,TabCAT!CG:CG,"NaN")))</f>
        <v>8.2200000000000006</v>
      </c>
      <c r="FW57" s="8">
        <f>IF(_xlfn.XLOOKUP($A57,TabCAT!$A:$A,TabCAT!CH:CH,"NaN")="","NaN",(_xlfn.XLOOKUP($A57,TabCAT!$A:$A,TabCAT!CH:CH,"NaN")))</f>
        <v>16</v>
      </c>
      <c r="FX57" s="8">
        <f>IF(_xlfn.XLOOKUP($A57,TabCAT!$A:$A,TabCAT!CI:CI,"NaN")="","NaN",(_xlfn.XLOOKUP($A57,TabCAT!$A:$A,TabCAT!CI:CI,"NaN")))</f>
        <v>0.70015399999999905</v>
      </c>
      <c r="FY57" s="8">
        <f>IF(_xlfn.XLOOKUP($A57,TabCAT!$A:$A,TabCAT!CJ:CJ,"NaN")="","NaN",(_xlfn.XLOOKUP($A57,TabCAT!$A:$A,TabCAT!CJ:CJ,"NaN")))</f>
        <v>16</v>
      </c>
      <c r="FZ57" s="8">
        <f>IF(_xlfn.XLOOKUP($A57,TabCAT!$A:$A,TabCAT!CK:CK,"NaN")="","NaN",(_xlfn.XLOOKUP($A57,TabCAT!$A:$A,TabCAT!CK:CK,"NaN")))</f>
        <v>0.74153049999999998</v>
      </c>
      <c r="GA57" s="8">
        <f>IF(_xlfn.XLOOKUP($A57,TabCAT!$A:$A,TabCAT!CL:CL,"NaN")="","NaN",(_xlfn.XLOOKUP($A57,TabCAT!$A:$A,TabCAT!CL:CL,"NaN")))</f>
        <v>32</v>
      </c>
      <c r="GB57" s="8">
        <f>IF(_xlfn.XLOOKUP($A57,TabCAT!$A:$A,TabCAT!CM:CM,"NaN")="","NaN",(_xlfn.XLOOKUP($A57,TabCAT!$A:$A,TabCAT!CM:CM,"NaN")))</f>
        <v>0.77527849999999998</v>
      </c>
      <c r="GC57" s="8">
        <f>IF(_xlfn.XLOOKUP($A57,TabCAT!$A:$A,TabCAT!CN:CN,"NaN")="","NaN",(_xlfn.XLOOKUP($A57,TabCAT!$A:$A,TabCAT!CN:CN,"NaN")))</f>
        <v>23</v>
      </c>
      <c r="GD57" s="8">
        <f>IF(_xlfn.XLOOKUP($A57,TabCAT!$A:$A,TabCAT!CO:CO,"NaN")="","NaN",(_xlfn.XLOOKUP($A57,TabCAT!$A:$A,TabCAT!CO:CO,"NaN")))</f>
        <v>0.72890100000000002</v>
      </c>
      <c r="GE57" s="8">
        <f>IF(_xlfn.XLOOKUP($A57,TabCAT!$A:$A,TabCAT!CP:CP,"NaN")="","NaN",(_xlfn.XLOOKUP($A57,TabCAT!$A:$A,TabCAT!CP:CP,"NaN")))</f>
        <v>0.35200530546467801</v>
      </c>
      <c r="GF57" s="8">
        <f>IF(_xlfn.XLOOKUP($A57,TabCAT!$A:$A,TabCAT!CQ:CQ,"NaN")="","NaN",(_xlfn.XLOOKUP($A57,TabCAT!$A:$A,TabCAT!CQ:CQ,"NaN")))</f>
        <v>51</v>
      </c>
      <c r="GG57" s="8">
        <f>IF(_xlfn.XLOOKUP($A57,TabCAT!$A:$A,TabCAT!CR:CR,"NaN")="","NaN",(_xlfn.XLOOKUP($A57,TabCAT!$A:$A,TabCAT!CR:CR,"NaN")))</f>
        <v>0.77133099999999999</v>
      </c>
      <c r="GH57" s="8">
        <f>IF(_xlfn.XLOOKUP($A57,TabCAT!$A:$A,TabCAT!CS:CS,"NaN")="","NaN",(_xlfn.XLOOKUP($A57,TabCAT!$A:$A,TabCAT!CS:CS,"NaN")))</f>
        <v>0.56521699999999997</v>
      </c>
    </row>
    <row r="58" spans="1:190" x14ac:dyDescent="0.2">
      <c r="A58">
        <v>10777</v>
      </c>
      <c r="B58">
        <f>_xlfn.XLOOKUP(bippity_poppity_boo!A58,rf1_data!A:A,rf1_data!B:B)</f>
        <v>161685</v>
      </c>
      <c r="C58" s="2" t="str">
        <f>(_xlfn.XLOOKUP($A58,trust!$A:$A,trust!B:B,"NaN"))</f>
        <v>NaN</v>
      </c>
      <c r="D58" s="2" t="str">
        <f>(_xlfn.XLOOKUP($A58,trust!$A:$A,trust!C:C,"NaN"))</f>
        <v>NaN</v>
      </c>
      <c r="E58" s="2" t="str">
        <f>(_xlfn.XLOOKUP($A58,trust!$A:$A,trust!D:D,"NaN"))</f>
        <v>NaN</v>
      </c>
      <c r="F58" s="2" t="str">
        <f>(_xlfn.XLOOKUP($A58,trust!$A:$A,trust!E:E,"NaN"))</f>
        <v>NaN</v>
      </c>
      <c r="G58" s="2" t="str">
        <f>(_xlfn.XLOOKUP($A58,trust!$A:$A,trust!F:F,"NaN"))</f>
        <v>NaN</v>
      </c>
      <c r="H58" s="2" t="str">
        <f>(_xlfn.XLOOKUP($A58,trust!$A:$A,trust!G:G,"NaN"))</f>
        <v>NaN</v>
      </c>
      <c r="I58" s="3">
        <f>IF(_xlfn.XLOOKUP($B58,island_data!$B:$B,island_data!C:C,"NaN")="","NaN",_xlfn.XLOOKUP($B58,island_data!$B:$B,island_data!C:C,"NaN"))</f>
        <v>45117</v>
      </c>
      <c r="J58" s="3">
        <f>IF(_xlfn.XLOOKUP($B58,island_data!$B:$B,island_data!D:D,"NaN")="","NaN",_xlfn.XLOOKUP($B58,island_data!$B:$B,island_data!D:D,"NaN"))</f>
        <v>31129</v>
      </c>
      <c r="K58" s="4">
        <f>IF(_xlfn.XLOOKUP($B58,island_data!$B:$B,island_data!E:E,"NaN")="","NaN",_xlfn.XLOOKUP($B58,island_data!$B:$B,island_data!E:E,"NaN"))</f>
        <v>38.299999999999997</v>
      </c>
      <c r="L58" s="5">
        <f>IF(_xlfn.XLOOKUP($B58,rf1_data!$B:$B,rf1_data!D:D,"NaN")="","NaN",(_xlfn.XLOOKUP($B58,rf1_data!$B:$B,rf1_data!D:D,"NaN")))</f>
        <v>38.36</v>
      </c>
      <c r="M58" s="5" t="str">
        <f>IF(_xlfn.XLOOKUP($B58,rf1_data!$B:$B,rf1_data!E:E,"NaN")="","NaN",(_xlfn.XLOOKUP($B58,rf1_data!$B:$B,rf1_data!E:E,"NaN")))</f>
        <v>White</v>
      </c>
      <c r="N58" s="5" t="str">
        <f>IF(_xlfn.XLOOKUP($B58,rf1_data!$B:$B,rf1_data!F:F,"NaN")="","NaN",(_xlfn.XLOOKUP($B58,rf1_data!$B:$B,rf1_data!F:F,"NaN")))</f>
        <v>Not Hispanic or Latino</v>
      </c>
      <c r="O58" s="5" t="str">
        <f>IF(_xlfn.XLOOKUP($B58,rf1_data!$B:$B,rf1_data!G:G,"NaN")="","NaN",(_xlfn.XLOOKUP($B58,rf1_data!$B:$B,rf1_data!G:G,"NaN")))</f>
        <v>Male</v>
      </c>
      <c r="P58" s="5">
        <f>IF(_xlfn.XLOOKUP($B58,rf1_data!$B:$B,rf1_data!H:H,"NaN")="","NaN",(_xlfn.XLOOKUP($B58,rf1_data!$B:$B,rf1_data!H:H,"NaN")))</f>
        <v>3.33</v>
      </c>
      <c r="Q58" s="5">
        <f>IF(_xlfn.XLOOKUP($B58,rf1_data!$B:$B,rf1_data!I:I,"NaN")="","NaN",(_xlfn.XLOOKUP($B58,rf1_data!$B:$B,rf1_data!I:I,"NaN")))</f>
        <v>3.2</v>
      </c>
      <c r="R58" s="5">
        <f>IF(_xlfn.XLOOKUP($B58,rf1_data!$B:$B,rf1_data!J:J,"NaN")="","NaN",(_xlfn.XLOOKUP($B58,rf1_data!$B:$B,rf1_data!J:J,"NaN")))</f>
        <v>10</v>
      </c>
      <c r="S58" s="5">
        <f>IF(_xlfn.XLOOKUP($B58,rf1_data!$B:$B,rf1_data!K:K,"NaN")="","NaN",(_xlfn.XLOOKUP($B58,rf1_data!$B:$B,rf1_data!K:K,"NaN")))</f>
        <v>15</v>
      </c>
      <c r="T58" s="5">
        <f>IF(_xlfn.XLOOKUP($B58,rf1_data!$B:$B,rf1_data!L:L,"NaN")="","NaN",(_xlfn.XLOOKUP($B58,rf1_data!$B:$B,rf1_data!L:L,"NaN")))</f>
        <v>0</v>
      </c>
      <c r="U58" s="5">
        <f>IF(_xlfn.XLOOKUP($B58,rf1_data!$B:$B,rf1_data!M:M,"NaN")="","NaN",(_xlfn.XLOOKUP($B58,rf1_data!$B:$B,rf1_data!M:M,"NaN")))</f>
        <v>3.5</v>
      </c>
      <c r="V58" s="5">
        <f>IF(_xlfn.XLOOKUP($B58,rf1_data!$B:$B,rf1_data!N:N,"NaN")="","NaN",(_xlfn.XLOOKUP($B58,rf1_data!$B:$B,rf1_data!N:N,"NaN")))</f>
        <v>3</v>
      </c>
      <c r="W58" s="5">
        <f>IF(_xlfn.XLOOKUP($B58,rf1_data!$B:$B,rf1_data!O:O,"NaN")="","NaN",(_xlfn.XLOOKUP($B58,rf1_data!$B:$B,rf1_data!O:O,"NaN")))</f>
        <v>5.88</v>
      </c>
      <c r="X58" s="5">
        <f>IF(_xlfn.XLOOKUP($B58,rf1_data!$B:$B,rf1_data!P:P,"NaN")="","NaN",(_xlfn.XLOOKUP($B58,rf1_data!$B:$B,rf1_data!P:P,"NaN")))</f>
        <v>4.83</v>
      </c>
      <c r="Y58" s="5">
        <f>IF(_xlfn.XLOOKUP($B58,rf1_data!$B:$B,rf1_data!Q:Q,"NaN")="","NaN",(_xlfn.XLOOKUP($B58,rf1_data!$B:$B,rf1_data!Q:Q,"NaN")))</f>
        <v>4.2</v>
      </c>
      <c r="Z58" s="5">
        <f>IF(_xlfn.XLOOKUP($B58,rf1_data!$B:$B,rf1_data!R:R,"NaN")="","NaN",(_xlfn.XLOOKUP($B58,rf1_data!$B:$B,rf1_data!R:R,"NaN")))</f>
        <v>46</v>
      </c>
      <c r="AA58" s="5">
        <f>IF(_xlfn.XLOOKUP($B58,rf1_data!$B:$B,rf1_data!S:S,"NaN")="","NaN",(_xlfn.XLOOKUP($B58,rf1_data!$B:$B,rf1_data!S:S,"NaN")))</f>
        <v>15</v>
      </c>
      <c r="AB58" s="5">
        <f>IF(_xlfn.XLOOKUP($B58,rf1_data!$B:$B,rf1_data!T:T,"NaN")="","NaN",(_xlfn.XLOOKUP($B58,rf1_data!$B:$B,rf1_data!T:T,"NaN")))</f>
        <v>22</v>
      </c>
      <c r="AC58" s="5">
        <f>IF(_xlfn.XLOOKUP($B58,rf1_data!$B:$B,rf1_data!U:U,"NaN")="","NaN",(_xlfn.XLOOKUP($B58,rf1_data!$B:$B,rf1_data!U:U,"NaN")))</f>
        <v>6</v>
      </c>
      <c r="AD58" s="5">
        <f>IF(_xlfn.XLOOKUP($B58,rf1_data!$B:$B,rf1_data!V:V,"NaN")="","NaN",(_xlfn.XLOOKUP($B58,rf1_data!$B:$B,rf1_data!V:V,"NaN")))</f>
        <v>3</v>
      </c>
      <c r="AE58" s="5">
        <f>IF(_xlfn.XLOOKUP($B58,rf1_data!$B:$B,rf1_data!W:W,"NaN")="","NaN",(_xlfn.XLOOKUP($B58,rf1_data!$B:$B,rf1_data!W:W,"NaN")))</f>
        <v>1</v>
      </c>
      <c r="AF58" s="5">
        <f>IF(_xlfn.XLOOKUP($B58,rf1_data!$B:$B,rf1_data!X:X,"NaN")="","NaN",(_xlfn.XLOOKUP($B58,rf1_data!$B:$B,rf1_data!X:X,"NaN")))</f>
        <v>7</v>
      </c>
      <c r="AG58" s="5">
        <f>IF(_xlfn.XLOOKUP($B58,rf1_data!$B:$B,rf1_data!Y:Y,"NaN")="","NaN",(_xlfn.XLOOKUP($B58,rf1_data!$B:$B,rf1_data!Y:Y,"NaN")))</f>
        <v>5</v>
      </c>
      <c r="AH58" s="5">
        <f>IF(_xlfn.XLOOKUP($B58,rf1_data!$B:$B,rf1_data!Z:Z,"NaN")="","NaN",(_xlfn.XLOOKUP($B58,rf1_data!$B:$B,rf1_data!Z:Z,"NaN")))</f>
        <v>4</v>
      </c>
      <c r="AI58" s="5">
        <f>IF(_xlfn.XLOOKUP($B58,rf1_data!$B:$B,rf1_data!AA:AA,"NaN")="","NaN",(_xlfn.XLOOKUP($B58,rf1_data!$B:$B,rf1_data!AA:AA,"NaN")))</f>
        <v>4</v>
      </c>
      <c r="AJ58" s="5">
        <f>IF(_xlfn.XLOOKUP($B58,rf1_data!$B:$B,rf1_data!AB:AB,"NaN")="","NaN",(_xlfn.XLOOKUP($B58,rf1_data!$B:$B,rf1_data!AB:AB,"NaN")))</f>
        <v>21</v>
      </c>
      <c r="AK58" s="5">
        <f>IF(_xlfn.XLOOKUP($B58,rf1_data!$B:$B,rf1_data!AC:AC,"NaN")="","NaN",(_xlfn.XLOOKUP($B58,rf1_data!$B:$B,rf1_data!AC:AC,"NaN")))</f>
        <v>25</v>
      </c>
      <c r="AL58" s="5">
        <f>IF(_xlfn.XLOOKUP($B58,rf1_data!$B:$B,rf1_data!AD:AD,"NaN")="","NaN",(_xlfn.XLOOKUP($B58,rf1_data!$B:$B,rf1_data!AD:AD,"NaN")))</f>
        <v>15</v>
      </c>
      <c r="AM58" s="5">
        <f>IF(_xlfn.XLOOKUP($B58,rf1_data!$B:$B,rf1_data!AE:AE,"NaN")="","NaN",(_xlfn.XLOOKUP($B58,rf1_data!$B:$B,rf1_data!AE:AE,"NaN")))</f>
        <v>1</v>
      </c>
      <c r="AN58" s="5">
        <f>IF(_xlfn.XLOOKUP($B58,rf1_data!$B:$B,rf1_data!AF:AF,"NaN")="","NaN",(_xlfn.XLOOKUP($B58,rf1_data!$B:$B,rf1_data!AF:AF,"NaN")))</f>
        <v>0</v>
      </c>
      <c r="AO58" s="5">
        <f>IF(_xlfn.XLOOKUP($B58,rf1_data!$B:$B,rf1_data!AG:AG,"NaN")="","NaN",(_xlfn.XLOOKUP($B58,rf1_data!$B:$B,rf1_data!AG:AG,"NaN")))</f>
        <v>5.17</v>
      </c>
      <c r="AP58" s="5">
        <f>IF(_xlfn.XLOOKUP($B58,rf1_data!$B:$B,rf1_data!AH:AH,"NaN")="","NaN",(_xlfn.XLOOKUP($B58,rf1_data!$B:$B,rf1_data!AH:AH,"NaN")))</f>
        <v>4.25</v>
      </c>
      <c r="AQ58" s="5">
        <f>IF(_xlfn.XLOOKUP($B58,rf1_data!$B:$B,rf1_data!AI:AI,"NaN")="","NaN",(_xlfn.XLOOKUP($B58,rf1_data!$B:$B,rf1_data!AI:AI,"NaN")))</f>
        <v>5.75</v>
      </c>
      <c r="AR58" s="5">
        <f>IF(_xlfn.XLOOKUP($B58,rf1_data!$B:$B,rf1_data!AJ:AJ,"NaN")="","NaN",(_xlfn.XLOOKUP($B58,rf1_data!$B:$B,rf1_data!AJ:AJ,"NaN")))</f>
        <v>5.5</v>
      </c>
      <c r="AS58" s="5">
        <f>IF(_xlfn.XLOOKUP($B58,rf1_data!$B:$B,rf1_data!AK:AK,"NaN")="","NaN",(_xlfn.XLOOKUP($B58,rf1_data!$B:$B,rf1_data!AK:AK,"NaN")))</f>
        <v>3.8</v>
      </c>
      <c r="AT58" s="5">
        <f>IF(_xlfn.XLOOKUP($B58,rf1_data!$B:$B,rf1_data!AL:AL,"NaN")="","NaN",(_xlfn.XLOOKUP($B58,rf1_data!$B:$B,rf1_data!AL:AL,"NaN")))</f>
        <v>19</v>
      </c>
      <c r="AU58" s="5">
        <f>IF(_xlfn.XLOOKUP($B58,rf1_data!$B:$B,rf1_data!AM:AM,"NaN")="","NaN",(_xlfn.XLOOKUP($B58,rf1_data!$B:$B,rf1_data!AM:AM,"NaN")))</f>
        <v>2.58</v>
      </c>
      <c r="AV58" s="5">
        <f>IF(_xlfn.XLOOKUP($B58,rf1_data!$B:$B,rf1_data!AN:AN,"NaN")="","NaN",(_xlfn.XLOOKUP($B58,rf1_data!$B:$B,rf1_data!AN:AN,"NaN")))</f>
        <v>35</v>
      </c>
      <c r="AW58" s="5">
        <f>IF(_xlfn.XLOOKUP($B58,rf1_data!$B:$B,rf1_data!AO:AO,"NaN")="","NaN",(_xlfn.XLOOKUP($B58,rf1_data!$B:$B,rf1_data!AO:AO,"NaN")))</f>
        <v>3</v>
      </c>
      <c r="AX58" s="5">
        <f>IF(_xlfn.XLOOKUP($B58,rf1_data!$B:$B,rf1_data!AP:AP,"NaN")="","NaN",(_xlfn.XLOOKUP($B58,rf1_data!$B:$B,rf1_data!AP:AP,"NaN")))</f>
        <v>9999</v>
      </c>
      <c r="AY58" s="5" t="str">
        <f>IF(_xlfn.XLOOKUP($B58,rf1_data!$B:$B,rf1_data!AQ:AQ,"NaN")="","NaN",(_xlfn.XLOOKUP($B58,rf1_data!$B:$B,rf1_data!AQ:AQ,"NaN")))</f>
        <v>NaN</v>
      </c>
      <c r="AZ58" s="5" t="str">
        <f>IF(_xlfn.XLOOKUP($B58,rf1_data!$B:$B,rf1_data!AR:AR,"NaN")="","NaN",(_xlfn.XLOOKUP($B58,rf1_data!$B:$B,rf1_data!AR:AR,"NaN")))</f>
        <v>NaN</v>
      </c>
      <c r="BA58" s="5" t="str">
        <f>IF(_xlfn.XLOOKUP($B58,rf1_data!$B:$B,rf1_data!AS:AS,"NaN")="","NaN",(_xlfn.XLOOKUP($B58,rf1_data!$B:$B,rf1_data!AS:AS,"NaN")))</f>
        <v>NaN</v>
      </c>
      <c r="BB58" s="5" t="str">
        <f>IF(_xlfn.XLOOKUP($B58,rf1_data!$B:$B,rf1_data!AT:AT,"NaN")="","NaN",(_xlfn.XLOOKUP($B58,rf1_data!$B:$B,rf1_data!AT:AT,"NaN")))</f>
        <v>NaN</v>
      </c>
      <c r="BC58" s="5" t="str">
        <f>IF(_xlfn.XLOOKUP($B58,rf1_data!$B:$B,rf1_data!AU:AU,"NaN")="","NaN",(_xlfn.XLOOKUP($B58,rf1_data!$B:$B,rf1_data!AU:AU,"NaN")))</f>
        <v>NaN</v>
      </c>
      <c r="BD58" s="5" t="str">
        <f>IF(_xlfn.XLOOKUP($B58,rf1_data!$B:$B,rf1_data!AV:AV,"NaN")="","NaN",(_xlfn.XLOOKUP($B58,rf1_data!$B:$B,rf1_data!AV:AV,"NaN")))</f>
        <v>NaN</v>
      </c>
      <c r="BE58" s="5" t="str">
        <f>IF(_xlfn.XLOOKUP($B58,rf1_data!$B:$B,rf1_data!AW:AW,"NaN")="","NaN",(_xlfn.XLOOKUP($B58,rf1_data!$B:$B,rf1_data!AW:AW,"NaN")))</f>
        <v>NaN</v>
      </c>
      <c r="BF58" s="5" t="str">
        <f>IF(_xlfn.XLOOKUP($B58,rf1_data!$B:$B,rf1_data!AX:AX,"NaN")="","NaN",(_xlfn.XLOOKUP($B58,rf1_data!$B:$B,rf1_data!AX:AX,"NaN")))</f>
        <v>NaN</v>
      </c>
      <c r="BG58" s="5" t="str">
        <f>IF(_xlfn.XLOOKUP($B58,rf1_data!$B:$B,rf1_data!AY:AY,"NaN")="","NaN",(_xlfn.XLOOKUP($B58,rf1_data!$B:$B,rf1_data!AY:AY,"NaN")))</f>
        <v>NaN</v>
      </c>
      <c r="BH58" s="5" t="str">
        <f>IF(_xlfn.XLOOKUP($B58,rf1_data!$B:$B,rf1_data!AZ:AZ,"NaN")="","NaN",(_xlfn.XLOOKUP($B58,rf1_data!$B:$B,rf1_data!AZ:AZ,"NaN")))</f>
        <v>NaN</v>
      </c>
      <c r="BI58" s="5">
        <f>IF(_xlfn.XLOOKUP($B58,rf1_data!$B:$B,rf1_data!BA:BA,"NaN")="","NaN",(_xlfn.XLOOKUP($B58,rf1_data!$B:$B,rf1_data!BA:BA,"NaN")))</f>
        <v>20</v>
      </c>
      <c r="BJ58" s="5" t="str">
        <f>IF(_xlfn.XLOOKUP($B58,rf1_data!$B:$B,rf1_data!BB:BB,"NaN")="","NaN",(_xlfn.XLOOKUP($B58,rf1_data!$B:$B,rf1_data!BB:BB,"NaN")))</f>
        <v>NaN</v>
      </c>
      <c r="BK58" s="5" t="str">
        <f>IF(_xlfn.XLOOKUP($B58,rf1_data!$B:$B,rf1_data!BC:BC,"NaN")="","NaN",(_xlfn.XLOOKUP($B58,rf1_data!$B:$B,rf1_data!BC:BC,"NaN")))</f>
        <v>NaN</v>
      </c>
      <c r="BL58" s="5" t="str">
        <f>IF(_xlfn.XLOOKUP($B58,rf1_data!$B:$B,rf1_data!BD:BD,"NaN")="","NaN",(_xlfn.XLOOKUP($B58,rf1_data!$B:$B,rf1_data!BD:BD,"NaN")))</f>
        <v>NaN</v>
      </c>
      <c r="BM58" s="5" t="str">
        <f>IF(_xlfn.XLOOKUP($B58,rf1_data!$B:$B,rf1_data!BE:BE,"NaN")="","NaN",(_xlfn.XLOOKUP($B58,rf1_data!$B:$B,rf1_data!BE:BE,"NaN")))</f>
        <v>NaN</v>
      </c>
      <c r="BN58" s="5" t="str">
        <f>IF(_xlfn.XLOOKUP($B58,rf1_data!$B:$B,rf1_data!BF:BF,"NaN")="","NaN",(_xlfn.XLOOKUP($B58,rf1_data!$B:$B,rf1_data!BF:BF,"NaN")))</f>
        <v>NaN</v>
      </c>
      <c r="BO58" s="5" t="str">
        <f>IF(_xlfn.XLOOKUP($B58,rf1_data!$B:$B,rf1_data!BG:BG,"NaN")="","NaN",(_xlfn.XLOOKUP($B58,rf1_data!$B:$B,rf1_data!BG:BG,"NaN")))</f>
        <v>NaN</v>
      </c>
      <c r="BP58" s="5" t="str">
        <f>IF(_xlfn.XLOOKUP($B58,rf1_data!$B:$B,rf1_data!BH:BH,"NaN")="","NaN",(_xlfn.XLOOKUP($B58,rf1_data!$B:$B,rf1_data!BH:BH,"NaN")))</f>
        <v>NaN</v>
      </c>
      <c r="BQ58" s="5" t="str">
        <f>IF(_xlfn.XLOOKUP($B58,rf1_data!$B:$B,rf1_data!BI:BI,"NaN")="","NaN",(_xlfn.XLOOKUP($B58,rf1_data!$B:$B,rf1_data!BI:BI,"NaN")))</f>
        <v>NaN</v>
      </c>
      <c r="BR58" s="5">
        <f>IF(_xlfn.XLOOKUP($B58,rf1_data!$B:$B,rf1_data!BJ:BJ,"NaN")="","NaN",(_xlfn.XLOOKUP($B58,rf1_data!$B:$B,rf1_data!BJ:BJ,"NaN")))</f>
        <v>8991</v>
      </c>
      <c r="BS58" s="5" t="str">
        <f>IF(_xlfn.XLOOKUP($B58,rf1_data!$B:$B,rf1_data!BK:BK,"NaN")="","NaN",(_xlfn.XLOOKUP($B58,rf1_data!$B:$B,rf1_data!BK:BK,"NaN")))</f>
        <v>NaN</v>
      </c>
      <c r="BT58" s="5" t="str">
        <f>IF(_xlfn.XLOOKUP($B58,rf1_data!$B:$B,rf1_data!BL:BL,"NaN")="","NaN",(_xlfn.XLOOKUP($B58,rf1_data!$B:$B,rf1_data!BL:BL,"NaN")))</f>
        <v>NaN</v>
      </c>
      <c r="BU58" s="5" t="str">
        <f>IF(_xlfn.XLOOKUP($B58,rf1_data!$B:$B,rf1_data!BM:BM,"NaN")="","NaN",(_xlfn.XLOOKUP($B58,rf1_data!$B:$B,rf1_data!BM:BM,"NaN")))</f>
        <v>NaN</v>
      </c>
      <c r="BV58" s="5" t="str">
        <f>IF(_xlfn.XLOOKUP($B58,rf1_data!$B:$B,rf1_data!BN:BN,"NaN")="","NaN",(_xlfn.XLOOKUP($B58,rf1_data!$B:$B,rf1_data!BN:BN,"NaN")))</f>
        <v>NaN</v>
      </c>
      <c r="BW58" s="5">
        <f>IF(_xlfn.XLOOKUP($B58,rf1_data!$B:$B,rf1_data!BO:BO,"NaN")="","NaN",(_xlfn.XLOOKUP($B58,rf1_data!$B:$B,rf1_data!BO:BO,"NaN")))</f>
        <v>1.7</v>
      </c>
      <c r="BX58" s="5">
        <f>IF(_xlfn.XLOOKUP($B58,rf1_data!$B:$B,rf1_data!BP:BP,"NaN")="","NaN",(_xlfn.XLOOKUP($B58,rf1_data!$B:$B,rf1_data!BP:BP,"NaN")))</f>
        <v>3.5</v>
      </c>
      <c r="BY58" s="5">
        <f>IF(_xlfn.XLOOKUP($B58,rf1_data!$B:$B,rf1_data!BQ:BQ,"NaN")="","NaN",(_xlfn.XLOOKUP($B58,rf1_data!$B:$B,rf1_data!BQ:BQ,"NaN")))</f>
        <v>3.1</v>
      </c>
      <c r="BZ58" s="5">
        <f>IF(_xlfn.XLOOKUP($B58,rf1_data!$B:$B,rf1_data!BR:BR,"NaN")="","NaN",(_xlfn.XLOOKUP($B58,rf1_data!$B:$B,rf1_data!BR:BR,"NaN")))</f>
        <v>2.77</v>
      </c>
      <c r="CA58" s="5">
        <f>IF(_xlfn.XLOOKUP($B58,rf1_data!$B:$B,rf1_data!BS:BS,"NaN")="","NaN",(_xlfn.XLOOKUP($B58,rf1_data!$B:$B,rf1_data!BS:BS,"NaN")))</f>
        <v>3.5</v>
      </c>
      <c r="CB58" s="5">
        <f>IF(_xlfn.XLOOKUP($B58,rf1_data!$B:$B,rf1_data!BT:BT,"NaN")="","NaN",(_xlfn.XLOOKUP($B58,rf1_data!$B:$B,rf1_data!BT:BT,"NaN")))</f>
        <v>3.5</v>
      </c>
      <c r="CC58" s="5">
        <f>IF(_xlfn.XLOOKUP($B58,rf1_data!$B:$B,rf1_data!BU:BU,"NaN")="","NaN",(_xlfn.XLOOKUP($B58,rf1_data!$B:$B,rf1_data!BU:BU,"NaN")))</f>
        <v>3.5</v>
      </c>
      <c r="CD58" s="5">
        <f>IF(_xlfn.XLOOKUP($B58,rf1_data!$B:$B,rf1_data!BV:BV,"NaN")="","NaN",(_xlfn.XLOOKUP($B58,rf1_data!$B:$B,rf1_data!BV:BV,"NaN")))</f>
        <v>3.5</v>
      </c>
      <c r="CE58" s="5">
        <f>IF(_xlfn.XLOOKUP($B58,rf1_data!$B:$B,rf1_data!BW:BW,"NaN")="","NaN",(_xlfn.XLOOKUP($B58,rf1_data!$B:$B,rf1_data!BW:BW,"NaN")))</f>
        <v>2.5499999999999998</v>
      </c>
      <c r="CF58" s="5">
        <f>IF(_xlfn.XLOOKUP($B58,rf1_data!$B:$B,rf1_data!BX:BX,"NaN")="","NaN",(_xlfn.XLOOKUP($B58,rf1_data!$B:$B,rf1_data!BX:BX,"NaN")))</f>
        <v>0</v>
      </c>
      <c r="CG58" s="5">
        <f>IF(_xlfn.XLOOKUP($B58,rf1_data!$B:$B,rf1_data!BY:BY,"NaN")="","NaN",(_xlfn.XLOOKUP($B58,rf1_data!$B:$B,rf1_data!BY:BY,"NaN")))</f>
        <v>0</v>
      </c>
      <c r="CH58" s="5">
        <f>IF(_xlfn.XLOOKUP($B58,rf1_data!$B:$B,rf1_data!BZ:BZ,"NaN")="","NaN",(_xlfn.XLOOKUP($B58,rf1_data!$B:$B,rf1_data!BZ:BZ,"NaN")))</f>
        <v>19</v>
      </c>
      <c r="CI58" s="5">
        <f>IF(_xlfn.XLOOKUP($B58,rf1_data!$B:$B,rf1_data!CA:CA,"NaN")="","NaN",(_xlfn.XLOOKUP($B58,rf1_data!$B:$B,rf1_data!CA:CA,"NaN")))</f>
        <v>18</v>
      </c>
      <c r="CJ58" s="5">
        <f>IF(_xlfn.XLOOKUP($B58,rf1_data!$B:$B,rf1_data!CB:CB,"NaN")="","NaN",(_xlfn.XLOOKUP($B58,rf1_data!$B:$B,rf1_data!CB:CB,"NaN")))</f>
        <v>5</v>
      </c>
      <c r="CK58" s="5">
        <f>IF(_xlfn.XLOOKUP($B58,rf1_data!$B:$B,rf1_data!CC:CC,"NaN")="","NaN",(_xlfn.XLOOKUP($B58,rf1_data!$B:$B,rf1_data!CC:CC,"NaN")))</f>
        <v>0.625</v>
      </c>
      <c r="CL58" s="5">
        <f>IF(_xlfn.XLOOKUP($B58,rf1_data!$B:$B,rf1_data!CD:CD,"NaN")=0,"NaN",(_xlfn.XLOOKUP($B58,rf1_data!$B:$B,rf1_data!CD:CD,"NaN")))</f>
        <v>22</v>
      </c>
      <c r="CM58" s="5">
        <f>IF(_xlfn.XLOOKUP($B58,rf1_data!$B:$B,rf1_data!CE:CE,"NaN")="","NaN",(_xlfn.XLOOKUP($B58,rf1_data!$B:$B,rf1_data!CE:CE,"NaN")))</f>
        <v>50</v>
      </c>
      <c r="CN58" s="5">
        <f>IF(_xlfn.XLOOKUP($B58,rf1_data!$B:$B,rf1_data!CF:CF,"NaN")="","NaN",(_xlfn.XLOOKUP($B58,rf1_data!$B:$B,rf1_data!CF:CF,"NaN")))</f>
        <v>57</v>
      </c>
      <c r="CO58" s="5">
        <f>IF(_xlfn.XLOOKUP($B58,rf1_data!$B:$B,rf1_data!CG:CG,"NaN")="","NaN",(_xlfn.XLOOKUP($B58,rf1_data!$B:$B,rf1_data!CG:CG,"NaN")))</f>
        <v>30</v>
      </c>
      <c r="CP58" s="5">
        <f>IF(_xlfn.XLOOKUP($B58,rf1_data!$B:$B,rf1_data!CH:CH,"NaN")=0,"NaN",(_xlfn.XLOOKUP($B58,rf1_data!$B:$B,rf1_data!CH:CH,"NaN")))</f>
        <v>36</v>
      </c>
      <c r="CQ58" s="5">
        <f>IF(_xlfn.XLOOKUP($B58,rf1_data!$B:$B,rf1_data!CI:CI,"NaN")="","NaN",(_xlfn.XLOOKUP($B58,rf1_data!$B:$B,rf1_data!CI:CI,"NaN")))</f>
        <v>48</v>
      </c>
      <c r="CR58" s="5">
        <f>IF(_xlfn.XLOOKUP($B58,rf1_data!$B:$B,rf1_data!CJ:CJ,"NaN")="","NaN",(_xlfn.XLOOKUP($B58,rf1_data!$B:$B,rf1_data!CJ:CJ,"NaN")))</f>
        <v>60</v>
      </c>
      <c r="CS58" s="5">
        <f>IF(_xlfn.XLOOKUP($B58,rf1_data!$B:$B,rf1_data!CK:CK,"NaN")="","NaN",(_xlfn.XLOOKUP($B58,rf1_data!$B:$B,rf1_data!CK:CK,"NaN")))</f>
        <v>46</v>
      </c>
      <c r="CT58" s="5">
        <f>IF(_xlfn.XLOOKUP($B58,rf1_data!$B:$B,rf1_data!CL:CL,"NaN")="","NaN",(_xlfn.XLOOKUP($B58,rf1_data!$B:$B,rf1_data!CL:CL,"NaN")))</f>
        <v>60</v>
      </c>
      <c r="CU58" s="5">
        <f>IF(_xlfn.XLOOKUP($B58,rf1_data!$B:$B,rf1_data!CM:CM,"NaN")="","NaN",(_xlfn.XLOOKUP($B58,rf1_data!$B:$B,rf1_data!CM:CM,"NaN")))</f>
        <v>37</v>
      </c>
      <c r="CV58" s="5">
        <f>IF(_xlfn.XLOOKUP($B58,rf1_data!$B:$B,rf1_data!CN:CN,"NaN")="","NaN",(_xlfn.XLOOKUP($B58,rf1_data!$B:$B,rf1_data!CN:CN,"NaN")))</f>
        <v>60</v>
      </c>
      <c r="CW58" s="5" t="str">
        <f>IF(_xlfn.XLOOKUP($B58,rf1_data!$B:$B,rf1_data!CO:CO,"NaN")="","NaN",(_xlfn.XLOOKUP($B58,rf1_data!$B:$B,rf1_data!CO:CO,"NaN")))</f>
        <v>NaN</v>
      </c>
      <c r="CX58" s="5" t="str">
        <f>IF(_xlfn.XLOOKUP($B58,rf1_data!$B:$B,rf1_data!CP:CP,"NaN")="","NaN",(_xlfn.XLOOKUP($B58,rf1_data!$B:$B,rf1_data!CP:CP,"NaN")))</f>
        <v>NaN</v>
      </c>
      <c r="CY58" s="5">
        <f>IF(_xlfn.XLOOKUP($B58,rf1_data!$B:$B,rf1_data!CQ:CQ,"NaN")="","NaN",(_xlfn.XLOOKUP($B58,rf1_data!$B:$B,rf1_data!CQ:CQ,"NaN")))</f>
        <v>5</v>
      </c>
      <c r="CZ58" s="5">
        <f>IF(_xlfn.XLOOKUP($B58,rf1_data!$B:$B,rf1_data!CR:CR,"NaN")="","NaN",(_xlfn.XLOOKUP($B58,rf1_data!$B:$B,rf1_data!CR:CR,"NaN")))</f>
        <v>4</v>
      </c>
      <c r="DA58" s="5">
        <f>IF(_xlfn.XLOOKUP($B58,rf1_data!$B:$B,rf1_data!CS:CS,"NaN")="","NaN",(_xlfn.XLOOKUP($B58,rf1_data!$B:$B,rf1_data!CS:CS,"NaN")))</f>
        <v>2</v>
      </c>
      <c r="DB58" s="4">
        <f>IF(_xlfn.XLOOKUP($B58,island_data!$B:$B,island_data!H:H,"NaN")="","NaN",_xlfn.XLOOKUP($B58,island_data!$B:$B,island_data!H:H,"NaN"))</f>
        <v>9</v>
      </c>
      <c r="DC58" s="4">
        <f>IF(_xlfn.XLOOKUP($B58,island_data!$B:$B,island_data!I:I,"NaN")="","NaN",_xlfn.XLOOKUP($B58,island_data!$B:$B,island_data!I:I,"NaN"))</f>
        <v>12</v>
      </c>
      <c r="DD58" s="4">
        <f>IF(_xlfn.XLOOKUP($B58,island_data!$B:$B,island_data!J:J,"NaN")="","NaN",_xlfn.XLOOKUP($B58,island_data!$B:$B,island_data!J:J,"NaN"))</f>
        <v>5</v>
      </c>
      <c r="DE58" s="4">
        <f>IF(_xlfn.XLOOKUP($B58,island_data!$B:$B,island_data!K:K,"NaN")="","NaN",_xlfn.XLOOKUP($B58,island_data!$B:$B,island_data!K:K,"NaN"))</f>
        <v>17</v>
      </c>
      <c r="DF58" s="4">
        <f>IF(_xlfn.XLOOKUP($B58,island_data!$B:$B,island_data!L:L,"NaN")="","NaN",_xlfn.XLOOKUP($B58,island_data!$B:$B,island_data!L:L,"NaN"))</f>
        <v>28</v>
      </c>
      <c r="DG58" s="4">
        <f>IF(_xlfn.XLOOKUP($B58,island_data!$B:$B,island_data!M:M,"NaN")="","NaN",_xlfn.XLOOKUP($B58,island_data!$B:$B,island_data!M:M,"NaN"))</f>
        <v>3.0625</v>
      </c>
      <c r="DH58" s="4">
        <f>IF(_xlfn.XLOOKUP($B58,island_data!$B:$B,island_data!N:N,"NaN")="","NaN",_xlfn.XLOOKUP($B58,island_data!$B:$B,island_data!N:N,"NaN"))</f>
        <v>2</v>
      </c>
      <c r="DI58" s="4">
        <f>IF(_xlfn.XLOOKUP($B58,island_data!$B:$B,island_data!O:O,"NaN")=999,"NaN",_xlfn.XLOOKUP($B58,island_data!$B:$B,island_data!O:O,"NaN"))</f>
        <v>9</v>
      </c>
      <c r="DJ58" s="4">
        <f>IF(_xlfn.XLOOKUP($B58,island_data!$B:$B,island_data!P:P,"NaN")="","NaN",_xlfn.XLOOKUP($B58,island_data!$B:$B,island_data!P:P,"NaN"))</f>
        <v>8</v>
      </c>
      <c r="DK58" s="4">
        <f>IF(_xlfn.XLOOKUP($B58,island_data!$B:$B,island_data!Q:Q,"NaN")="","NaN",_xlfn.XLOOKUP($B58,island_data!$B:$B,island_data!Q:Q,"NaN"))</f>
        <v>7</v>
      </c>
      <c r="DL58" s="4">
        <f>IF(_xlfn.XLOOKUP($B58,island_data!$B:$B,island_data!R:R,"NaN")=999,"NaN",_xlfn.XLOOKUP($B58,island_data!$B:$B,island_data!R:R,"NaN"))</f>
        <v>15</v>
      </c>
      <c r="DM58" s="4">
        <f>IF(_xlfn.XLOOKUP($B58,island_data!$B:$B,island_data!S:S,"NaN")="","NaN",_xlfn.XLOOKUP($B58,island_data!$B:$B,island_data!S:S,"NaN"))</f>
        <v>8</v>
      </c>
      <c r="DN58" s="4">
        <f>IF(_xlfn.XLOOKUP($B58,island_data!$B:$B,island_data!T:T,"NaN")="","NaN",_xlfn.XLOOKUP($B58,island_data!$B:$B,island_data!T:T,"NaN"))</f>
        <v>3.6666666666666599</v>
      </c>
      <c r="DO58" s="4">
        <f>IF(_xlfn.XLOOKUP($B58,island_data!$B:$B,island_data!U:U,"NaN")="","NaN",_xlfn.XLOOKUP($B58,island_data!$B:$B,island_data!U:U,"NaN"))</f>
        <v>5</v>
      </c>
      <c r="DP58" s="4">
        <f>IF(_xlfn.XLOOKUP($B58,island_data!$B:$B,island_data!V:V,"NaN")="","NaN",_xlfn.XLOOKUP($B58,island_data!$B:$B,island_data!V:V,"NaN"))</f>
        <v>2</v>
      </c>
      <c r="DQ58" s="4">
        <f>IF(_xlfn.XLOOKUP($B58,island_data!$B:$B,island_data!W:W,"NaN")="","NaN",_xlfn.XLOOKUP($B58,island_data!$B:$B,island_data!W:W,"NaN"))</f>
        <v>3</v>
      </c>
      <c r="DR58" s="4">
        <f>IF(_xlfn.XLOOKUP($B58,island_data!$B:$B,island_data!X:X,"NaN")="","NaN",_xlfn.XLOOKUP($B58,island_data!$B:$B,island_data!X:X,"NaN"))</f>
        <v>5</v>
      </c>
      <c r="DS58" s="4" t="str">
        <f>IF(_xlfn.XLOOKUP($B58,island_data!$B:$B,island_data!Y:Y,"NaN")="","NaN",_xlfn.XLOOKUP($B58,island_data!$B:$B,island_data!Y:Y,"NaN"))</f>
        <v>NaN</v>
      </c>
      <c r="DT58" s="4" t="str">
        <f>IF(_xlfn.XLOOKUP($B58,island_data!$B:$B,island_data!Z:Z,"NaN")="","NaN",_xlfn.XLOOKUP($B58,island_data!$B:$B,island_data!Z:Z,"NaN"))</f>
        <v>NaN</v>
      </c>
      <c r="DU58" s="4" t="str">
        <f>IF(_xlfn.XLOOKUP($B58,island_data!$B:$B,island_data!AA:AA,"NaN")="","NaN",_xlfn.XLOOKUP($B58,island_data!$B:$B,island_data!AA:AA,"NaN"))</f>
        <v>NaN</v>
      </c>
      <c r="DV58" s="4">
        <f>IF(_xlfn.XLOOKUP($B58,island_data!$B:$B,island_data!AB:AB,"NaN")="","NaN",_xlfn.XLOOKUP($B58,island_data!$B:$B,island_data!AB:AB,"NaN"))</f>
        <v>0</v>
      </c>
      <c r="DW58" s="4">
        <f>IF(_xlfn.XLOOKUP($B58,island_data!$B:$B,island_data!AC:AC,"NaN")="","NaN",_xlfn.XLOOKUP($B58,island_data!$B:$B,island_data!AC:AC,"NaN"))</f>
        <v>85234</v>
      </c>
      <c r="DX58" s="4">
        <f>IF(_xlfn.XLOOKUP($B58,island_data!$B:$B,island_data!AD:AD,"NaN")="","NaN",_xlfn.XLOOKUP($B58,island_data!$B:$B,island_data!AD:AD,"NaN"))</f>
        <v>3</v>
      </c>
      <c r="DY58" s="4">
        <f>IF(_xlfn.XLOOKUP($B58,island_data!$B:$B,island_data!AE:AE,"NaN")="","NaN",_xlfn.XLOOKUP($B58,island_data!$B:$B,island_data!AE:AE,"NaN"))</f>
        <v>1</v>
      </c>
      <c r="DZ58" s="4" t="str">
        <f>IF(_xlfn.XLOOKUP($B58,island_data!$B:$B,island_data!AF:AF,"NaN")="","NaN",_xlfn.XLOOKUP($B58,island_data!$B:$B,island_data!AF:AF,"NaN"))</f>
        <v>NaN</v>
      </c>
      <c r="EA58" s="4" t="str">
        <f>IF(_xlfn.XLOOKUP($B58,island_data!$B:$B,island_data!AG:AG,"NaN")="","NaN",_xlfn.XLOOKUP($B58,island_data!$B:$B,island_data!AG:AG,"NaN"))</f>
        <v>NaN</v>
      </c>
      <c r="EB58" s="4" t="str">
        <f>IF(_xlfn.XLOOKUP($B58,island_data!$B:$B,island_data!AH:AH,"NaN")="","NaN",_xlfn.XLOOKUP($B58,island_data!$B:$B,island_data!AH:AH,"NaN"))</f>
        <v>NaN</v>
      </c>
      <c r="EC58" s="4">
        <f>IF(_xlfn.XLOOKUP($B58,island_data!$B:$B,island_data!AI:AI,"NaN")="","NaN",_xlfn.XLOOKUP($B58,island_data!$B:$B,island_data!AI:AI,"NaN"))</f>
        <v>18</v>
      </c>
      <c r="ED58" s="4">
        <f>IF(_xlfn.XLOOKUP($B58,island_data!$B:$B,island_data!AJ:AJ,"NaN")="","NaN",_xlfn.XLOOKUP($B58,island_data!$B:$B,island_data!AJ:AJ,"NaN"))</f>
        <v>20</v>
      </c>
      <c r="EE58" s="4">
        <f>IF(_xlfn.XLOOKUP($B58,island_data!$B:$B,island_data!AK:AK,"NaN")="","NaN",_xlfn.XLOOKUP($B58,island_data!$B:$B,island_data!AK:AK,"NaN"))</f>
        <v>22</v>
      </c>
      <c r="EF58" s="4">
        <f>IF(_xlfn.XLOOKUP($B58,island_data!$B:$B,island_data!AL:AL,"NaN")="","NaN",_xlfn.XLOOKUP($B58,island_data!$B:$B,island_data!AL:AL,"NaN"))</f>
        <v>22</v>
      </c>
      <c r="EG58" s="4">
        <f>IF(_xlfn.XLOOKUP($B58,island_data!$B:$B,island_data!AM:AM,"NaN")="","NaN",_xlfn.XLOOKUP($B58,island_data!$B:$B,island_data!AM:AM,"NaN"))</f>
        <v>21</v>
      </c>
      <c r="EH58" s="4" t="str">
        <f>IF(_xlfn.XLOOKUP($B58,island_data!$B:$B,island_data!AN:AN,"NaN")="","NaN",_xlfn.XLOOKUP($B58,island_data!$B:$B,island_data!AN:AN,"NaN"))</f>
        <v>NaN</v>
      </c>
      <c r="EI58" s="4" t="str">
        <f>IF(_xlfn.XLOOKUP($B58,island_data!$B:$B,island_data!AO:AO,"NaN")="","NaN",_xlfn.XLOOKUP($B58,island_data!$B:$B,island_data!AO:AO,"NaN"))</f>
        <v>NaN</v>
      </c>
      <c r="EJ58" s="8">
        <f>IF(_xlfn.XLOOKUP($A58,TabCAT!$A:$A,TabCAT!AU:AU,"NaN")="","NaN",(_xlfn.XLOOKUP($A58,TabCAT!$A:$A,TabCAT!AU:AU,"NaN")))</f>
        <v>155</v>
      </c>
      <c r="EK58" s="8" t="b">
        <f>IF(_xlfn.XLOOKUP($A58,TabCAT!$A:$A,TabCAT!AV:AV,"NaN")="","NaN",(_xlfn.XLOOKUP($A58,TabCAT!$A:$A,TabCAT!AV:AV,"NaN")))</f>
        <v>1</v>
      </c>
      <c r="EL58" s="8">
        <f>IF(_xlfn.XLOOKUP($A58,TabCAT!$A:$A,TabCAT!AW:AW,"NaN")="","NaN",(_xlfn.XLOOKUP($A58,TabCAT!$A:$A,TabCAT!AW:AW,"NaN")))</f>
        <v>5</v>
      </c>
      <c r="EM58" s="8">
        <f>IF(_xlfn.XLOOKUP($A58,TabCAT!$A:$A,TabCAT!AX:AX,"NaN")="","NaN",(_xlfn.XLOOKUP($A58,TabCAT!$A:$A,TabCAT!AX:AX,"NaN")))</f>
        <v>0</v>
      </c>
      <c r="EN58" s="8">
        <f>IF(_xlfn.XLOOKUP($A58,TabCAT!$A:$A,TabCAT!AY:AY,"NaN")="","NaN",(_xlfn.XLOOKUP($A58,TabCAT!$A:$A,TabCAT!AY:AY,"NaN")))</f>
        <v>9.8699999999999992</v>
      </c>
      <c r="EO58" s="8">
        <f>IF(_xlfn.XLOOKUP($A58,TabCAT!$A:$A,TabCAT!AZ:AZ,"NaN")="","NaN",(_xlfn.XLOOKUP($A58,TabCAT!$A:$A,TabCAT!AZ:AZ,"NaN")))</f>
        <v>32</v>
      </c>
      <c r="EP58" s="8">
        <f>IF(_xlfn.XLOOKUP($A58,TabCAT!$A:$A,TabCAT!BA:BA,"NaN")="","NaN",(_xlfn.XLOOKUP($A58,TabCAT!$A:$A,TabCAT!BA:BA,"NaN")))</f>
        <v>0.53708599999999995</v>
      </c>
      <c r="EQ58" s="8">
        <f>IF(_xlfn.XLOOKUP($A58,TabCAT!$A:$A,TabCAT!BB:BB,"NaN")="","NaN",(_xlfn.XLOOKUP($A58,TabCAT!$A:$A,TabCAT!BB:BB,"NaN")))</f>
        <v>8.4810190454091994E-2</v>
      </c>
      <c r="ER58" s="8">
        <f>IF(_xlfn.XLOOKUP($A58,TabCAT!$A:$A,TabCAT!BC:BC,"NaN")="","NaN",(_xlfn.XLOOKUP($A58,TabCAT!$A:$A,TabCAT!BC:BC,"NaN")))</f>
        <v>16</v>
      </c>
      <c r="ES58" s="8">
        <f>IF(_xlfn.XLOOKUP($A58,TabCAT!$A:$A,TabCAT!BD:BD,"NaN")="","NaN",(_xlfn.XLOOKUP($A58,TabCAT!$A:$A,TabCAT!BD:BD,"NaN")))</f>
        <v>0.48904749999999902</v>
      </c>
      <c r="ET58" s="8">
        <f>IF(_xlfn.XLOOKUP($A58,TabCAT!$A:$A,TabCAT!BE:BE,"NaN")="","NaN",(_xlfn.XLOOKUP($A58,TabCAT!$A:$A,TabCAT!BE:BE,"NaN")))</f>
        <v>16</v>
      </c>
      <c r="EU58" s="8">
        <f>IF(_xlfn.XLOOKUP($A58,TabCAT!$A:$A,TabCAT!BF:BF,"NaN")="","NaN",(_xlfn.XLOOKUP($A58,TabCAT!$A:$A,TabCAT!BF:BF,"NaN")))</f>
        <v>0.59281049999999902</v>
      </c>
      <c r="EV58" s="8">
        <f>IF(_xlfn.XLOOKUP($A58,TabCAT!$A:$A,TabCAT!BG:BG,"NaN")="","NaN",(_xlfn.XLOOKUP($A58,TabCAT!$A:$A,TabCAT!BG:BG,"NaN")))</f>
        <v>2.6792449999999999</v>
      </c>
      <c r="EW58" s="8" t="str">
        <f>IF(_xlfn.XLOOKUP($A58,TabCAT!$A:$A,TabCAT!BH:BH,"NaN")="","NaN",(_xlfn.XLOOKUP($A58,TabCAT!$A:$A,TabCAT!BH:BH,"NaN")))</f>
        <v>3.0.0</v>
      </c>
      <c r="EX58" s="8" t="str">
        <f>IF(_xlfn.XLOOKUP($A58,TabCAT!$A:$A,TabCAT!BI:BI,"NaN")="","NaN",(_xlfn.XLOOKUP($A58,TabCAT!$A:$A,TabCAT!BI:BI,"NaN")))</f>
        <v>English</v>
      </c>
      <c r="EY58" s="8">
        <f>IF(_xlfn.XLOOKUP($A58,TabCAT!$A:$A,TabCAT!BJ:BJ,"NaN")="","NaN",(_xlfn.XLOOKUP($A58,TabCAT!$A:$A,TabCAT!BJ:BJ,"NaN")))</f>
        <v>257</v>
      </c>
      <c r="EZ58" s="8">
        <f>IF(_xlfn.XLOOKUP($A58,TabCAT!$A:$A,TabCAT!BK:BK,"NaN")="","NaN",(_xlfn.XLOOKUP($A58,TabCAT!$A:$A,TabCAT!BK:BK,"NaN")))</f>
        <v>1</v>
      </c>
      <c r="FA58" s="8">
        <f>IF(_xlfn.XLOOKUP($A58,TabCAT!$A:$A,TabCAT!BL:BL,"NaN")="","NaN",(_xlfn.XLOOKUP($A58,TabCAT!$A:$A,TabCAT!BL:BL,"NaN")))</f>
        <v>6</v>
      </c>
      <c r="FB58" s="8">
        <f>IF(_xlfn.XLOOKUP($A58,TabCAT!$A:$A,TabCAT!BM:BM,"NaN")="","NaN",(_xlfn.XLOOKUP($A58,TabCAT!$A:$A,TabCAT!BM:BM,"NaN")))</f>
        <v>1</v>
      </c>
      <c r="FC58" s="8">
        <f>IF(_xlfn.XLOOKUP($A58,TabCAT!$A:$A,TabCAT!BN:BN,"NaN")="","NaN",(_xlfn.XLOOKUP($A58,TabCAT!$A:$A,TabCAT!BN:BN,"NaN")))</f>
        <v>6</v>
      </c>
      <c r="FD58" s="8">
        <f>IF(_xlfn.XLOOKUP($A58,TabCAT!$A:$A,TabCAT!BO:BO,"NaN")="","NaN",(_xlfn.XLOOKUP($A58,TabCAT!$A:$A,TabCAT!BO:BO,"NaN")))</f>
        <v>9</v>
      </c>
      <c r="FE58" s="8">
        <f>IF(_xlfn.XLOOKUP($A58,TabCAT!$A:$A,TabCAT!BP:BP,"NaN")="","NaN",(_xlfn.XLOOKUP($A58,TabCAT!$A:$A,TabCAT!BP:BP,"NaN")))</f>
        <v>1</v>
      </c>
      <c r="FF58" s="8">
        <f>IF(_xlfn.XLOOKUP($A58,TabCAT!$A:$A,TabCAT!BQ:BQ,"NaN")="","NaN",(_xlfn.XLOOKUP($A58,TabCAT!$A:$A,TabCAT!BQ:BQ,"NaN")))</f>
        <v>9</v>
      </c>
      <c r="FG58" s="8">
        <f>IF(_xlfn.XLOOKUP($A58,TabCAT!$A:$A,TabCAT!BR:BR,"NaN")="","NaN",(_xlfn.XLOOKUP($A58,TabCAT!$A:$A,TabCAT!BR:BR,"NaN")))</f>
        <v>9</v>
      </c>
      <c r="FH58" s="8">
        <f>IF(_xlfn.XLOOKUP($A58,TabCAT!$A:$A,TabCAT!BS:BS,"NaN")="","NaN",(_xlfn.XLOOKUP($A58,TabCAT!$A:$A,TabCAT!BS:BS,"NaN")))</f>
        <v>0.75</v>
      </c>
      <c r="FI58" s="8">
        <f>IF(_xlfn.XLOOKUP($A58,TabCAT!$A:$A,TabCAT!BT:BT,"NaN")="","NaN",(_xlfn.XLOOKUP($A58,TabCAT!$A:$A,TabCAT!BT:BT,"NaN")))</f>
        <v>9</v>
      </c>
      <c r="FJ58" s="8">
        <f>IF(_xlfn.XLOOKUP($A58,TabCAT!$A:$A,TabCAT!BU:BU,"NaN")="","NaN",(_xlfn.XLOOKUP($A58,TabCAT!$A:$A,TabCAT!BU:BU,"NaN")))</f>
        <v>12</v>
      </c>
      <c r="FK58" s="8">
        <f>IF(_xlfn.XLOOKUP($A58,TabCAT!$A:$A,TabCAT!BV:BV,"NaN")="","NaN",(_xlfn.XLOOKUP($A58,TabCAT!$A:$A,TabCAT!BV:BV,"NaN")))</f>
        <v>0.8</v>
      </c>
      <c r="FL58" s="8">
        <f>IF(_xlfn.XLOOKUP($A58,TabCAT!$A:$A,TabCAT!BW:BW,"NaN")="","NaN",(_xlfn.XLOOKUP($A58,TabCAT!$A:$A,TabCAT!BW:BW,"NaN")))</f>
        <v>10.5</v>
      </c>
      <c r="FM58" s="8">
        <f>IF(_xlfn.XLOOKUP($A58,TabCAT!$A:$A,TabCAT!BX:BX,"NaN")="","NaN",(_xlfn.XLOOKUP($A58,TabCAT!$A:$A,TabCAT!BX:BX,"NaN")))</f>
        <v>36</v>
      </c>
      <c r="FN58" s="8">
        <f>IF(_xlfn.XLOOKUP($A58,TabCAT!$A:$A,TabCAT!BY:BY,"NaN")="","NaN",(_xlfn.XLOOKUP($A58,TabCAT!$A:$A,TabCAT!BY:BY,"NaN")))</f>
        <v>0.85714285714285698</v>
      </c>
      <c r="FO58" s="8">
        <f>IF(_xlfn.XLOOKUP($A58,TabCAT!$A:$A,TabCAT!BZ:BZ,"NaN")="","NaN",(_xlfn.XLOOKUP($A58,TabCAT!$A:$A,TabCAT!BZ:BZ,"NaN")))</f>
        <v>34.5</v>
      </c>
      <c r="FP58" s="8" t="str">
        <f>IF(_xlfn.XLOOKUP($A58,TabCAT!$A:$A,TabCAT!CA:CA,"NaN")="","NaN",(_xlfn.XLOOKUP($A58,TabCAT!$A:$A,TabCAT!CA:CA,"NaN")))</f>
        <v>3.0.0</v>
      </c>
      <c r="FQ58" s="8" t="str">
        <f>IF(_xlfn.XLOOKUP($A58,TabCAT!$A:$A,TabCAT!CB:CB,"NaN")="","NaN",(_xlfn.XLOOKUP($A58,TabCAT!$A:$A,TabCAT!CB:CB,"NaN")))</f>
        <v>English</v>
      </c>
      <c r="FR58" s="8">
        <f>IF(_xlfn.XLOOKUP($A58,TabCAT!$A:$A,TabCAT!CC:CC,"NaN")="","NaN",(_xlfn.XLOOKUP($A58,TabCAT!$A:$A,TabCAT!CC:CC,"NaN")))</f>
        <v>216</v>
      </c>
      <c r="FS58" s="8" t="b">
        <f>IF(_xlfn.XLOOKUP($A58,TabCAT!$A:$A,TabCAT!CD:CD,"NaN")="","NaN",(_xlfn.XLOOKUP($A58,TabCAT!$A:$A,TabCAT!CD:CD,"NaN")))</f>
        <v>1</v>
      </c>
      <c r="FT58" s="8">
        <f>IF(_xlfn.XLOOKUP($A58,TabCAT!$A:$A,TabCAT!CE:CE,"NaN")="","NaN",(_xlfn.XLOOKUP($A58,TabCAT!$A:$A,TabCAT!CE:CE,"NaN")))</f>
        <v>8</v>
      </c>
      <c r="FU58" s="8">
        <f>IF(_xlfn.XLOOKUP($A58,TabCAT!$A:$A,TabCAT!CF:CF,"NaN")="","NaN",(_xlfn.XLOOKUP($A58,TabCAT!$A:$A,TabCAT!CF:CF,"NaN")))</f>
        <v>0</v>
      </c>
      <c r="FV58" s="8">
        <f>IF(_xlfn.XLOOKUP($A58,TabCAT!$A:$A,TabCAT!CG:CG,"NaN")="","NaN",(_xlfn.XLOOKUP($A58,TabCAT!$A:$A,TabCAT!CG:CG,"NaN")))</f>
        <v>10</v>
      </c>
      <c r="FW58" s="8">
        <f>IF(_xlfn.XLOOKUP($A58,TabCAT!$A:$A,TabCAT!CH:CH,"NaN")="","NaN",(_xlfn.XLOOKUP($A58,TabCAT!$A:$A,TabCAT!CH:CH,"NaN")))</f>
        <v>16</v>
      </c>
      <c r="FX58" s="8">
        <f>IF(_xlfn.XLOOKUP($A58,TabCAT!$A:$A,TabCAT!CI:CI,"NaN")="","NaN",(_xlfn.XLOOKUP($A58,TabCAT!$A:$A,TabCAT!CI:CI,"NaN")))</f>
        <v>0.40144449999999998</v>
      </c>
      <c r="FY58" s="8">
        <f>IF(_xlfn.XLOOKUP($A58,TabCAT!$A:$A,TabCAT!CJ:CJ,"NaN")="","NaN",(_xlfn.XLOOKUP($A58,TabCAT!$A:$A,TabCAT!CJ:CJ,"NaN")))</f>
        <v>15</v>
      </c>
      <c r="FZ58" s="8">
        <f>IF(_xlfn.XLOOKUP($A58,TabCAT!$A:$A,TabCAT!CK:CK,"NaN")="","NaN",(_xlfn.XLOOKUP($A58,TabCAT!$A:$A,TabCAT!CK:CK,"NaN")))</f>
        <v>0.39754800000000001</v>
      </c>
      <c r="GA58" s="8">
        <f>IF(_xlfn.XLOOKUP($A58,TabCAT!$A:$A,TabCAT!CL:CL,"NaN")="","NaN",(_xlfn.XLOOKUP($A58,TabCAT!$A:$A,TabCAT!CL:CL,"NaN")))</f>
        <v>32</v>
      </c>
      <c r="GB58" s="8">
        <f>IF(_xlfn.XLOOKUP($A58,TabCAT!$A:$A,TabCAT!CM:CM,"NaN")="","NaN",(_xlfn.XLOOKUP($A58,TabCAT!$A:$A,TabCAT!CM:CM,"NaN")))</f>
        <v>0.4276065</v>
      </c>
      <c r="GC58" s="8">
        <f>IF(_xlfn.XLOOKUP($A58,TabCAT!$A:$A,TabCAT!CN:CN,"NaN")="","NaN",(_xlfn.XLOOKUP($A58,TabCAT!$A:$A,TabCAT!CN:CN,"NaN")))</f>
        <v>19</v>
      </c>
      <c r="GD58" s="8">
        <f>IF(_xlfn.XLOOKUP($A58,TabCAT!$A:$A,TabCAT!CO:CO,"NaN")="","NaN",(_xlfn.XLOOKUP($A58,TabCAT!$A:$A,TabCAT!CO:CO,"NaN")))</f>
        <v>0.45176699999999997</v>
      </c>
      <c r="GE58" s="8">
        <f>IF(_xlfn.XLOOKUP($A58,TabCAT!$A:$A,TabCAT!CP:CP,"NaN")="","NaN",(_xlfn.XLOOKUP($A58,TabCAT!$A:$A,TabCAT!CP:CP,"NaN")))</f>
        <v>0.20570593210323199</v>
      </c>
      <c r="GF58" s="8">
        <f>IF(_xlfn.XLOOKUP($A58,TabCAT!$A:$A,TabCAT!CQ:CQ,"NaN")="","NaN",(_xlfn.XLOOKUP($A58,TabCAT!$A:$A,TabCAT!CQ:CQ,"NaN")))</f>
        <v>54</v>
      </c>
      <c r="GG58" s="8">
        <f>IF(_xlfn.XLOOKUP($A58,TabCAT!$A:$A,TabCAT!CR:CR,"NaN")="","NaN",(_xlfn.XLOOKUP($A58,TabCAT!$A:$A,TabCAT!CR:CR,"NaN")))</f>
        <v>0.40663549999999998</v>
      </c>
      <c r="GH58" s="8">
        <f>IF(_xlfn.XLOOKUP($A58,TabCAT!$A:$A,TabCAT!CS:CS,"NaN")="","NaN",(_xlfn.XLOOKUP($A58,TabCAT!$A:$A,TabCAT!CS:CS,"NaN")))</f>
        <v>3.1449280000000002</v>
      </c>
    </row>
    <row r="59" spans="1:190" x14ac:dyDescent="0.2">
      <c r="A59">
        <v>10781</v>
      </c>
      <c r="B59">
        <f>_xlfn.XLOOKUP(bippity_poppity_boo!A59,rf1_data!A:A,rf1_data!B:B)</f>
        <v>191986</v>
      </c>
      <c r="C59" s="2">
        <f>(_xlfn.XLOOKUP($A59,trust!$A:$A,trust!B:B,"NaN"))</f>
        <v>3.4285709999999998</v>
      </c>
      <c r="D59" s="2">
        <f>(_xlfn.XLOOKUP($A59,trust!$A:$A,trust!C:C,"NaN"))</f>
        <v>3.2727270000000002</v>
      </c>
      <c r="E59" s="2">
        <f>(_xlfn.XLOOKUP($A59,trust!$A:$A,trust!D:D,"NaN"))</f>
        <v>2.4444439999999998</v>
      </c>
      <c r="F59" s="2">
        <f>(_xlfn.XLOOKUP($A59,trust!$A:$A,trust!E:E,"NaN"))</f>
        <v>2.5</v>
      </c>
      <c r="G59" s="2">
        <f>(_xlfn.XLOOKUP($A59,trust!$A:$A,trust!F:F,"NaN"))</f>
        <v>6.5714290000000002</v>
      </c>
      <c r="H59" s="2">
        <f>(_xlfn.XLOOKUP($A59,trust!$A:$A,trust!G:G,"NaN"))</f>
        <v>4.8333329999999997</v>
      </c>
      <c r="I59" s="3">
        <f>IF(_xlfn.XLOOKUP($B59,island_data!$B:$B,island_data!C:C,"NaN")="","NaN",_xlfn.XLOOKUP($B59,island_data!$B:$B,island_data!C:C,"NaN"))</f>
        <v>45118</v>
      </c>
      <c r="J59" s="3">
        <f>IF(_xlfn.XLOOKUP($B59,island_data!$B:$B,island_data!D:D,"NaN")="","NaN",_xlfn.XLOOKUP($B59,island_data!$B:$B,island_data!D:D,"NaN"))</f>
        <v>31426</v>
      </c>
      <c r="K59" s="4">
        <f>IF(_xlfn.XLOOKUP($B59,island_data!$B:$B,island_data!E:E,"NaN")="","NaN",_xlfn.XLOOKUP($B59,island_data!$B:$B,island_data!E:E,"NaN"))</f>
        <v>37.49</v>
      </c>
      <c r="L59" s="5">
        <f>IF(_xlfn.XLOOKUP($B59,rf1_data!$B:$B,rf1_data!D:D,"NaN")="","NaN",(_xlfn.XLOOKUP($B59,rf1_data!$B:$B,rf1_data!D:D,"NaN")))</f>
        <v>37.53</v>
      </c>
      <c r="M59" s="5" t="str">
        <f>IF(_xlfn.XLOOKUP($B59,rf1_data!$B:$B,rf1_data!E:E,"NaN")="","NaN",(_xlfn.XLOOKUP($B59,rf1_data!$B:$B,rf1_data!E:E,"NaN")))</f>
        <v>White</v>
      </c>
      <c r="N59" s="5" t="str">
        <f>IF(_xlfn.XLOOKUP($B59,rf1_data!$B:$B,rf1_data!F:F,"NaN")="","NaN",(_xlfn.XLOOKUP($B59,rf1_data!$B:$B,rf1_data!F:F,"NaN")))</f>
        <v>Not Hispanic or Latino</v>
      </c>
      <c r="O59" s="5" t="str">
        <f>IF(_xlfn.XLOOKUP($B59,rf1_data!$B:$B,rf1_data!G:G,"NaN")="","NaN",(_xlfn.XLOOKUP($B59,rf1_data!$B:$B,rf1_data!G:G,"NaN")))</f>
        <v>Male</v>
      </c>
      <c r="P59" s="5">
        <f>IF(_xlfn.XLOOKUP($B59,rf1_data!$B:$B,rf1_data!H:H,"NaN")="","NaN",(_xlfn.XLOOKUP($B59,rf1_data!$B:$B,rf1_data!H:H,"NaN")))</f>
        <v>3.33</v>
      </c>
      <c r="Q59" s="5">
        <f>IF(_xlfn.XLOOKUP($B59,rf1_data!$B:$B,rf1_data!I:I,"NaN")="","NaN",(_xlfn.XLOOKUP($B59,rf1_data!$B:$B,rf1_data!I:I,"NaN")))</f>
        <v>2.7</v>
      </c>
      <c r="R59" s="5">
        <f>IF(_xlfn.XLOOKUP($B59,rf1_data!$B:$B,rf1_data!J:J,"NaN")="","NaN",(_xlfn.XLOOKUP($B59,rf1_data!$B:$B,rf1_data!J:J,"NaN")))</f>
        <v>2</v>
      </c>
      <c r="S59" s="5">
        <f>IF(_xlfn.XLOOKUP($B59,rf1_data!$B:$B,rf1_data!K:K,"NaN")="","NaN",(_xlfn.XLOOKUP($B59,rf1_data!$B:$B,rf1_data!K:K,"NaN")))</f>
        <v>6</v>
      </c>
      <c r="T59" s="5">
        <f>IF(_xlfn.XLOOKUP($B59,rf1_data!$B:$B,rf1_data!L:L,"NaN")="","NaN",(_xlfn.XLOOKUP($B59,rf1_data!$B:$B,rf1_data!L:L,"NaN")))</f>
        <v>0</v>
      </c>
      <c r="U59" s="5">
        <f>IF(_xlfn.XLOOKUP($B59,rf1_data!$B:$B,rf1_data!M:M,"NaN")="","NaN",(_xlfn.XLOOKUP($B59,rf1_data!$B:$B,rf1_data!M:M,"NaN")))</f>
        <v>5.83</v>
      </c>
      <c r="V59" s="5">
        <f>IF(_xlfn.XLOOKUP($B59,rf1_data!$B:$B,rf1_data!N:N,"NaN")="","NaN",(_xlfn.XLOOKUP($B59,rf1_data!$B:$B,rf1_data!N:N,"NaN")))</f>
        <v>5.33</v>
      </c>
      <c r="W59" s="5">
        <f>IF(_xlfn.XLOOKUP($B59,rf1_data!$B:$B,rf1_data!O:O,"NaN")="","NaN",(_xlfn.XLOOKUP($B59,rf1_data!$B:$B,rf1_data!O:O,"NaN")))</f>
        <v>6.63</v>
      </c>
      <c r="X59" s="5">
        <f>IF(_xlfn.XLOOKUP($B59,rf1_data!$B:$B,rf1_data!P:P,"NaN")="","NaN",(_xlfn.XLOOKUP($B59,rf1_data!$B:$B,rf1_data!P:P,"NaN")))</f>
        <v>4.83</v>
      </c>
      <c r="Y59" s="5">
        <f>IF(_xlfn.XLOOKUP($B59,rf1_data!$B:$B,rf1_data!Q:Q,"NaN")="","NaN",(_xlfn.XLOOKUP($B59,rf1_data!$B:$B,rf1_data!Q:Q,"NaN")))</f>
        <v>5.77</v>
      </c>
      <c r="Z59" s="5">
        <f>IF(_xlfn.XLOOKUP($B59,rf1_data!$B:$B,rf1_data!R:R,"NaN")="","NaN",(_xlfn.XLOOKUP($B59,rf1_data!$B:$B,rf1_data!R:R,"NaN")))</f>
        <v>18</v>
      </c>
      <c r="AA59" s="5">
        <f>IF(_xlfn.XLOOKUP($B59,rf1_data!$B:$B,rf1_data!S:S,"NaN")="","NaN",(_xlfn.XLOOKUP($B59,rf1_data!$B:$B,rf1_data!S:S,"NaN")))</f>
        <v>4</v>
      </c>
      <c r="AB59" s="5">
        <f>IF(_xlfn.XLOOKUP($B59,rf1_data!$B:$B,rf1_data!T:T,"NaN")="","NaN",(_xlfn.XLOOKUP($B59,rf1_data!$B:$B,rf1_data!T:T,"NaN")))</f>
        <v>10</v>
      </c>
      <c r="AC59" s="5">
        <f>IF(_xlfn.XLOOKUP($B59,rf1_data!$B:$B,rf1_data!U:U,"NaN")="","NaN",(_xlfn.XLOOKUP($B59,rf1_data!$B:$B,rf1_data!U:U,"NaN")))</f>
        <v>1</v>
      </c>
      <c r="AD59" s="5">
        <f>IF(_xlfn.XLOOKUP($B59,rf1_data!$B:$B,rf1_data!V:V,"NaN")="","NaN",(_xlfn.XLOOKUP($B59,rf1_data!$B:$B,rf1_data!V:V,"NaN")))</f>
        <v>3</v>
      </c>
      <c r="AE59" s="5">
        <f>IF(_xlfn.XLOOKUP($B59,rf1_data!$B:$B,rf1_data!W:W,"NaN")="","NaN",(_xlfn.XLOOKUP($B59,rf1_data!$B:$B,rf1_data!W:W,"NaN")))</f>
        <v>0</v>
      </c>
      <c r="AF59" s="5">
        <f>IF(_xlfn.XLOOKUP($B59,rf1_data!$B:$B,rf1_data!X:X,"NaN")="","NaN",(_xlfn.XLOOKUP($B59,rf1_data!$B:$B,rf1_data!X:X,"NaN")))</f>
        <v>3</v>
      </c>
      <c r="AG59" s="5">
        <f>IF(_xlfn.XLOOKUP($B59,rf1_data!$B:$B,rf1_data!Y:Y,"NaN")="","NaN",(_xlfn.XLOOKUP($B59,rf1_data!$B:$B,rf1_data!Y:Y,"NaN")))</f>
        <v>1</v>
      </c>
      <c r="AH59" s="5">
        <f>IF(_xlfn.XLOOKUP($B59,rf1_data!$B:$B,rf1_data!Z:Z,"NaN")="","NaN",(_xlfn.XLOOKUP($B59,rf1_data!$B:$B,rf1_data!Z:Z,"NaN")))</f>
        <v>0</v>
      </c>
      <c r="AI59" s="5">
        <f>IF(_xlfn.XLOOKUP($B59,rf1_data!$B:$B,rf1_data!AA:AA,"NaN")="","NaN",(_xlfn.XLOOKUP($B59,rf1_data!$B:$B,rf1_data!AA:AA,"NaN")))</f>
        <v>3</v>
      </c>
      <c r="AJ59" s="5">
        <f>IF(_xlfn.XLOOKUP($B59,rf1_data!$B:$B,rf1_data!AB:AB,"NaN")="","NaN",(_xlfn.XLOOKUP($B59,rf1_data!$B:$B,rf1_data!AB:AB,"NaN")))</f>
        <v>7</v>
      </c>
      <c r="AK59" s="5">
        <f>IF(_xlfn.XLOOKUP($B59,rf1_data!$B:$B,rf1_data!AC:AC,"NaN")="","NaN",(_xlfn.XLOOKUP($B59,rf1_data!$B:$B,rf1_data!AC:AC,"NaN")))</f>
        <v>26</v>
      </c>
      <c r="AL59" s="5">
        <f>IF(_xlfn.XLOOKUP($B59,rf1_data!$B:$B,rf1_data!AD:AD,"NaN")="","NaN",(_xlfn.XLOOKUP($B59,rf1_data!$B:$B,rf1_data!AD:AD,"NaN")))</f>
        <v>12</v>
      </c>
      <c r="AM59" s="5">
        <f>IF(_xlfn.XLOOKUP($B59,rf1_data!$B:$B,rf1_data!AE:AE,"NaN")="","NaN",(_xlfn.XLOOKUP($B59,rf1_data!$B:$B,rf1_data!AE:AE,"NaN")))</f>
        <v>4</v>
      </c>
      <c r="AN59" s="5">
        <f>IF(_xlfn.XLOOKUP($B59,rf1_data!$B:$B,rf1_data!AF:AF,"NaN")="","NaN",(_xlfn.XLOOKUP($B59,rf1_data!$B:$B,rf1_data!AF:AF,"NaN")))</f>
        <v>0</v>
      </c>
      <c r="AO59" s="5">
        <f>IF(_xlfn.XLOOKUP($B59,rf1_data!$B:$B,rf1_data!AG:AG,"NaN")="","NaN",(_xlfn.XLOOKUP($B59,rf1_data!$B:$B,rf1_data!AG:AG,"NaN")))</f>
        <v>6.75</v>
      </c>
      <c r="AP59" s="5">
        <f>IF(_xlfn.XLOOKUP($B59,rf1_data!$B:$B,rf1_data!AH:AH,"NaN")="","NaN",(_xlfn.XLOOKUP($B59,rf1_data!$B:$B,rf1_data!AH:AH,"NaN")))</f>
        <v>7</v>
      </c>
      <c r="AQ59" s="5">
        <f>IF(_xlfn.XLOOKUP($B59,rf1_data!$B:$B,rf1_data!AI:AI,"NaN")="","NaN",(_xlfn.XLOOKUP($B59,rf1_data!$B:$B,rf1_data!AI:AI,"NaN")))</f>
        <v>6.25</v>
      </c>
      <c r="AR59" s="5">
        <f>IF(_xlfn.XLOOKUP($B59,rf1_data!$B:$B,rf1_data!AJ:AJ,"NaN")="","NaN",(_xlfn.XLOOKUP($B59,rf1_data!$B:$B,rf1_data!AJ:AJ,"NaN")))</f>
        <v>7</v>
      </c>
      <c r="AS59" s="5">
        <f>IF(_xlfn.XLOOKUP($B59,rf1_data!$B:$B,rf1_data!AK:AK,"NaN")="","NaN",(_xlfn.XLOOKUP($B59,rf1_data!$B:$B,rf1_data!AK:AK,"NaN")))</f>
        <v>4.3</v>
      </c>
      <c r="AT59" s="5">
        <f>IF(_xlfn.XLOOKUP($B59,rf1_data!$B:$B,rf1_data!AL:AL,"NaN")="","NaN",(_xlfn.XLOOKUP($B59,rf1_data!$B:$B,rf1_data!AL:AL,"NaN")))</f>
        <v>10</v>
      </c>
      <c r="AU59" s="5">
        <f>IF(_xlfn.XLOOKUP($B59,rf1_data!$B:$B,rf1_data!AM:AM,"NaN")="","NaN",(_xlfn.XLOOKUP($B59,rf1_data!$B:$B,rf1_data!AM:AM,"NaN")))</f>
        <v>4.25</v>
      </c>
      <c r="AV59" s="5">
        <f>IF(_xlfn.XLOOKUP($B59,rf1_data!$B:$B,rf1_data!AN:AN,"NaN")="","NaN",(_xlfn.XLOOKUP($B59,rf1_data!$B:$B,rf1_data!AN:AN,"NaN")))</f>
        <v>8</v>
      </c>
      <c r="AW59" s="5">
        <f>IF(_xlfn.XLOOKUP($B59,rf1_data!$B:$B,rf1_data!AO:AO,"NaN")="","NaN",(_xlfn.XLOOKUP($B59,rf1_data!$B:$B,rf1_data!AO:AO,"NaN")))</f>
        <v>3</v>
      </c>
      <c r="AX59" s="5">
        <f>IF(_xlfn.XLOOKUP($B59,rf1_data!$B:$B,rf1_data!AP:AP,"NaN")="","NaN",(_xlfn.XLOOKUP($B59,rf1_data!$B:$B,rf1_data!AP:AP,"NaN")))</f>
        <v>9999</v>
      </c>
      <c r="AY59" s="5" t="str">
        <f>IF(_xlfn.XLOOKUP($B59,rf1_data!$B:$B,rf1_data!AQ:AQ,"NaN")="","NaN",(_xlfn.XLOOKUP($B59,rf1_data!$B:$B,rf1_data!AQ:AQ,"NaN")))</f>
        <v>NaN</v>
      </c>
      <c r="AZ59" s="5" t="str">
        <f>IF(_xlfn.XLOOKUP($B59,rf1_data!$B:$B,rf1_data!AR:AR,"NaN")="","NaN",(_xlfn.XLOOKUP($B59,rf1_data!$B:$B,rf1_data!AR:AR,"NaN")))</f>
        <v>NaN</v>
      </c>
      <c r="BA59" s="5" t="str">
        <f>IF(_xlfn.XLOOKUP($B59,rf1_data!$B:$B,rf1_data!AS:AS,"NaN")="","NaN",(_xlfn.XLOOKUP($B59,rf1_data!$B:$B,rf1_data!AS:AS,"NaN")))</f>
        <v>NaN</v>
      </c>
      <c r="BB59" s="5" t="str">
        <f>IF(_xlfn.XLOOKUP($B59,rf1_data!$B:$B,rf1_data!AT:AT,"NaN")="","NaN",(_xlfn.XLOOKUP($B59,rf1_data!$B:$B,rf1_data!AT:AT,"NaN")))</f>
        <v>NaN</v>
      </c>
      <c r="BC59" s="5" t="str">
        <f>IF(_xlfn.XLOOKUP($B59,rf1_data!$B:$B,rf1_data!AU:AU,"NaN")="","NaN",(_xlfn.XLOOKUP($B59,rf1_data!$B:$B,rf1_data!AU:AU,"NaN")))</f>
        <v>NaN</v>
      </c>
      <c r="BD59" s="5" t="str">
        <f>IF(_xlfn.XLOOKUP($B59,rf1_data!$B:$B,rf1_data!AV:AV,"NaN")="","NaN",(_xlfn.XLOOKUP($B59,rf1_data!$B:$B,rf1_data!AV:AV,"NaN")))</f>
        <v>NaN</v>
      </c>
      <c r="BE59" s="5" t="str">
        <f>IF(_xlfn.XLOOKUP($B59,rf1_data!$B:$B,rf1_data!AW:AW,"NaN")="","NaN",(_xlfn.XLOOKUP($B59,rf1_data!$B:$B,rf1_data!AW:AW,"NaN")))</f>
        <v>NaN</v>
      </c>
      <c r="BF59" s="5" t="str">
        <f>IF(_xlfn.XLOOKUP($B59,rf1_data!$B:$B,rf1_data!AX:AX,"NaN")="","NaN",(_xlfn.XLOOKUP($B59,rf1_data!$B:$B,rf1_data!AX:AX,"NaN")))</f>
        <v>NaN</v>
      </c>
      <c r="BG59" s="5" t="str">
        <f>IF(_xlfn.XLOOKUP($B59,rf1_data!$B:$B,rf1_data!AY:AY,"NaN")="","NaN",(_xlfn.XLOOKUP($B59,rf1_data!$B:$B,rf1_data!AY:AY,"NaN")))</f>
        <v>NaN</v>
      </c>
      <c r="BH59" s="5" t="str">
        <f>IF(_xlfn.XLOOKUP($B59,rf1_data!$B:$B,rf1_data!AZ:AZ,"NaN")="","NaN",(_xlfn.XLOOKUP($B59,rf1_data!$B:$B,rf1_data!AZ:AZ,"NaN")))</f>
        <v>NaN</v>
      </c>
      <c r="BI59" s="5">
        <f>IF(_xlfn.XLOOKUP($B59,rf1_data!$B:$B,rf1_data!BA:BA,"NaN")="","NaN",(_xlfn.XLOOKUP($B59,rf1_data!$B:$B,rf1_data!BA:BA,"NaN")))</f>
        <v>20</v>
      </c>
      <c r="BJ59" s="5" t="str">
        <f>IF(_xlfn.XLOOKUP($B59,rf1_data!$B:$B,rf1_data!BB:BB,"NaN")="","NaN",(_xlfn.XLOOKUP($B59,rf1_data!$B:$B,rf1_data!BB:BB,"NaN")))</f>
        <v>NaN</v>
      </c>
      <c r="BK59" s="5" t="str">
        <f>IF(_xlfn.XLOOKUP($B59,rf1_data!$B:$B,rf1_data!BC:BC,"NaN")="","NaN",(_xlfn.XLOOKUP($B59,rf1_data!$B:$B,rf1_data!BC:BC,"NaN")))</f>
        <v>NaN</v>
      </c>
      <c r="BL59" s="5" t="str">
        <f>IF(_xlfn.XLOOKUP($B59,rf1_data!$B:$B,rf1_data!BD:BD,"NaN")="","NaN",(_xlfn.XLOOKUP($B59,rf1_data!$B:$B,rf1_data!BD:BD,"NaN")))</f>
        <v>NaN</v>
      </c>
      <c r="BM59" s="5" t="str">
        <f>IF(_xlfn.XLOOKUP($B59,rf1_data!$B:$B,rf1_data!BE:BE,"NaN")="","NaN",(_xlfn.XLOOKUP($B59,rf1_data!$B:$B,rf1_data!BE:BE,"NaN")))</f>
        <v>NaN</v>
      </c>
      <c r="BN59" s="5" t="str">
        <f>IF(_xlfn.XLOOKUP($B59,rf1_data!$B:$B,rf1_data!BF:BF,"NaN")="","NaN",(_xlfn.XLOOKUP($B59,rf1_data!$B:$B,rf1_data!BF:BF,"NaN")))</f>
        <v>NaN</v>
      </c>
      <c r="BO59" s="5" t="str">
        <f>IF(_xlfn.XLOOKUP($B59,rf1_data!$B:$B,rf1_data!BG:BG,"NaN")="","NaN",(_xlfn.XLOOKUP($B59,rf1_data!$B:$B,rf1_data!BG:BG,"NaN")))</f>
        <v>NaN</v>
      </c>
      <c r="BP59" s="5" t="str">
        <f>IF(_xlfn.XLOOKUP($B59,rf1_data!$B:$B,rf1_data!BH:BH,"NaN")="","NaN",(_xlfn.XLOOKUP($B59,rf1_data!$B:$B,rf1_data!BH:BH,"NaN")))</f>
        <v>NaN</v>
      </c>
      <c r="BQ59" s="5" t="str">
        <f>IF(_xlfn.XLOOKUP($B59,rf1_data!$B:$B,rf1_data!BI:BI,"NaN")="","NaN",(_xlfn.XLOOKUP($B59,rf1_data!$B:$B,rf1_data!BI:BI,"NaN")))</f>
        <v>NaN</v>
      </c>
      <c r="BR59" s="5">
        <f>IF(_xlfn.XLOOKUP($B59,rf1_data!$B:$B,rf1_data!BJ:BJ,"NaN")="","NaN",(_xlfn.XLOOKUP($B59,rf1_data!$B:$B,rf1_data!BJ:BJ,"NaN")))</f>
        <v>8991</v>
      </c>
      <c r="BS59" s="5" t="str">
        <f>IF(_xlfn.XLOOKUP($B59,rf1_data!$B:$B,rf1_data!BK:BK,"NaN")="","NaN",(_xlfn.XLOOKUP($B59,rf1_data!$B:$B,rf1_data!BK:BK,"NaN")))</f>
        <v>NaN</v>
      </c>
      <c r="BT59" s="5" t="str">
        <f>IF(_xlfn.XLOOKUP($B59,rf1_data!$B:$B,rf1_data!BL:BL,"NaN")="","NaN",(_xlfn.XLOOKUP($B59,rf1_data!$B:$B,rf1_data!BL:BL,"NaN")))</f>
        <v>NaN</v>
      </c>
      <c r="BU59" s="5" t="str">
        <f>IF(_xlfn.XLOOKUP($B59,rf1_data!$B:$B,rf1_data!BM:BM,"NaN")="","NaN",(_xlfn.XLOOKUP($B59,rf1_data!$B:$B,rf1_data!BM:BM,"NaN")))</f>
        <v>NaN</v>
      </c>
      <c r="BV59" s="5" t="str">
        <f>IF(_xlfn.XLOOKUP($B59,rf1_data!$B:$B,rf1_data!BN:BN,"NaN")="","NaN",(_xlfn.XLOOKUP($B59,rf1_data!$B:$B,rf1_data!BN:BN,"NaN")))</f>
        <v>NaN</v>
      </c>
      <c r="BW59" s="5">
        <f>IF(_xlfn.XLOOKUP($B59,rf1_data!$B:$B,rf1_data!BO:BO,"NaN")="","NaN",(_xlfn.XLOOKUP($B59,rf1_data!$B:$B,rf1_data!BO:BO,"NaN")))</f>
        <v>4</v>
      </c>
      <c r="BX59" s="5">
        <f>IF(_xlfn.XLOOKUP($B59,rf1_data!$B:$B,rf1_data!BP:BP,"NaN")="","NaN",(_xlfn.XLOOKUP($B59,rf1_data!$B:$B,rf1_data!BP:BP,"NaN")))</f>
        <v>4.4000000000000004</v>
      </c>
      <c r="BY59" s="5">
        <f>IF(_xlfn.XLOOKUP($B59,rf1_data!$B:$B,rf1_data!BQ:BQ,"NaN")="","NaN",(_xlfn.XLOOKUP($B59,rf1_data!$B:$B,rf1_data!BQ:BQ,"NaN")))</f>
        <v>3</v>
      </c>
      <c r="BZ59" s="5">
        <f>IF(_xlfn.XLOOKUP($B59,rf1_data!$B:$B,rf1_data!BR:BR,"NaN")="","NaN",(_xlfn.XLOOKUP($B59,rf1_data!$B:$B,rf1_data!BR:BR,"NaN")))</f>
        <v>3.8</v>
      </c>
      <c r="CA59" s="5">
        <f>IF(_xlfn.XLOOKUP($B59,rf1_data!$B:$B,rf1_data!BS:BS,"NaN")="","NaN",(_xlfn.XLOOKUP($B59,rf1_data!$B:$B,rf1_data!BS:BS,"NaN")))</f>
        <v>6</v>
      </c>
      <c r="CB59" s="5">
        <f>IF(_xlfn.XLOOKUP($B59,rf1_data!$B:$B,rf1_data!BT:BT,"NaN")="","NaN",(_xlfn.XLOOKUP($B59,rf1_data!$B:$B,rf1_data!BT:BT,"NaN")))</f>
        <v>5.1666666666666998</v>
      </c>
      <c r="CC59" s="5">
        <f>IF(_xlfn.XLOOKUP($B59,rf1_data!$B:$B,rf1_data!BU:BU,"NaN")="","NaN",(_xlfn.XLOOKUP($B59,rf1_data!$B:$B,rf1_data!BU:BU,"NaN")))</f>
        <v>6</v>
      </c>
      <c r="CD59" s="5">
        <f>IF(_xlfn.XLOOKUP($B59,rf1_data!$B:$B,rf1_data!BV:BV,"NaN")="","NaN",(_xlfn.XLOOKUP($B59,rf1_data!$B:$B,rf1_data!BV:BV,"NaN")))</f>
        <v>5.1666666666666998</v>
      </c>
      <c r="CE59" s="5">
        <f>IF(_xlfn.XLOOKUP($B59,rf1_data!$B:$B,rf1_data!BW:BW,"NaN")="","NaN",(_xlfn.XLOOKUP($B59,rf1_data!$B:$B,rf1_data!BW:BW,"NaN")))</f>
        <v>1.05</v>
      </c>
      <c r="CF59" s="5">
        <f>IF(_xlfn.XLOOKUP($B59,rf1_data!$B:$B,rf1_data!BX:BX,"NaN")="","NaN",(_xlfn.XLOOKUP($B59,rf1_data!$B:$B,rf1_data!BX:BX,"NaN")))</f>
        <v>0</v>
      </c>
      <c r="CG59" s="5">
        <f>IF(_xlfn.XLOOKUP($B59,rf1_data!$B:$B,rf1_data!BY:BY,"NaN")="","NaN",(_xlfn.XLOOKUP($B59,rf1_data!$B:$B,rf1_data!BY:BY,"NaN")))</f>
        <v>0</v>
      </c>
      <c r="CH59" s="5">
        <f>IF(_xlfn.XLOOKUP($B59,rf1_data!$B:$B,rf1_data!BZ:BZ,"NaN")="","NaN",(_xlfn.XLOOKUP($B59,rf1_data!$B:$B,rf1_data!BZ:BZ,"NaN")))</f>
        <v>29</v>
      </c>
      <c r="CI59" s="5">
        <f>IF(_xlfn.XLOOKUP($B59,rf1_data!$B:$B,rf1_data!CA:CA,"NaN")="","NaN",(_xlfn.XLOOKUP($B59,rf1_data!$B:$B,rf1_data!CA:CA,"NaN")))</f>
        <v>23</v>
      </c>
      <c r="CJ59" s="5">
        <f>IF(_xlfn.XLOOKUP($B59,rf1_data!$B:$B,rf1_data!CB:CB,"NaN")="","NaN",(_xlfn.XLOOKUP($B59,rf1_data!$B:$B,rf1_data!CB:CB,"NaN")))</f>
        <v>12</v>
      </c>
      <c r="CK59" s="5">
        <f>IF(_xlfn.XLOOKUP($B59,rf1_data!$B:$B,rf1_data!CC:CC,"NaN")="","NaN",(_xlfn.XLOOKUP($B59,rf1_data!$B:$B,rf1_data!CC:CC,"NaN")))</f>
        <v>1</v>
      </c>
      <c r="CL59" s="5">
        <f>IF(_xlfn.XLOOKUP($B59,rf1_data!$B:$B,rf1_data!CD:CD,"NaN")=0,"NaN",(_xlfn.XLOOKUP($B59,rf1_data!$B:$B,rf1_data!CD:CD,"NaN")))</f>
        <v>41</v>
      </c>
      <c r="CM59" s="5">
        <f>IF(_xlfn.XLOOKUP($B59,rf1_data!$B:$B,rf1_data!CE:CE,"NaN")="","NaN",(_xlfn.XLOOKUP($B59,rf1_data!$B:$B,rf1_data!CE:CE,"NaN")))</f>
        <v>42</v>
      </c>
      <c r="CN59" s="5">
        <f>IF(_xlfn.XLOOKUP($B59,rf1_data!$B:$B,rf1_data!CF:CF,"NaN")="","NaN",(_xlfn.XLOOKUP($B59,rf1_data!$B:$B,rf1_data!CF:CF,"NaN")))</f>
        <v>54</v>
      </c>
      <c r="CO59" s="5">
        <f>IF(_xlfn.XLOOKUP($B59,rf1_data!$B:$B,rf1_data!CG:CG,"NaN")="","NaN",(_xlfn.XLOOKUP($B59,rf1_data!$B:$B,rf1_data!CG:CG,"NaN")))</f>
        <v>28</v>
      </c>
      <c r="CP59" s="5">
        <f>IF(_xlfn.XLOOKUP($B59,rf1_data!$B:$B,rf1_data!CH:CH,"NaN")=0,"NaN",(_xlfn.XLOOKUP($B59,rf1_data!$B:$B,rf1_data!CH:CH,"NaN")))</f>
        <v>38</v>
      </c>
      <c r="CQ59" s="5">
        <f>IF(_xlfn.XLOOKUP($B59,rf1_data!$B:$B,rf1_data!CI:CI,"NaN")="","NaN",(_xlfn.XLOOKUP($B59,rf1_data!$B:$B,rf1_data!CI:CI,"NaN")))</f>
        <v>48</v>
      </c>
      <c r="CR59" s="5">
        <f>IF(_xlfn.XLOOKUP($B59,rf1_data!$B:$B,rf1_data!CJ:CJ,"NaN")="","NaN",(_xlfn.XLOOKUP($B59,rf1_data!$B:$B,rf1_data!CJ:CJ,"NaN")))</f>
        <v>50</v>
      </c>
      <c r="CS59" s="5">
        <f>IF(_xlfn.XLOOKUP($B59,rf1_data!$B:$B,rf1_data!CK:CK,"NaN")="","NaN",(_xlfn.XLOOKUP($B59,rf1_data!$B:$B,rf1_data!CK:CK,"NaN")))</f>
        <v>48</v>
      </c>
      <c r="CT59" s="5">
        <f>IF(_xlfn.XLOOKUP($B59,rf1_data!$B:$B,rf1_data!CL:CL,"NaN")="","NaN",(_xlfn.XLOOKUP($B59,rf1_data!$B:$B,rf1_data!CL:CL,"NaN")))</f>
        <v>55</v>
      </c>
      <c r="CU59" s="5">
        <f>IF(_xlfn.XLOOKUP($B59,rf1_data!$B:$B,rf1_data!CM:CM,"NaN")="","NaN",(_xlfn.XLOOKUP($B59,rf1_data!$B:$B,rf1_data!CM:CM,"NaN")))</f>
        <v>48</v>
      </c>
      <c r="CV59" s="5">
        <f>IF(_xlfn.XLOOKUP($B59,rf1_data!$B:$B,rf1_data!CN:CN,"NaN")="","NaN",(_xlfn.XLOOKUP($B59,rf1_data!$B:$B,rf1_data!CN:CN,"NaN")))</f>
        <v>60</v>
      </c>
      <c r="CW59" s="5" t="str">
        <f>IF(_xlfn.XLOOKUP($B59,rf1_data!$B:$B,rf1_data!CO:CO,"NaN")="","NaN",(_xlfn.XLOOKUP($B59,rf1_data!$B:$B,rf1_data!CO:CO,"NaN")))</f>
        <v>NaN</v>
      </c>
      <c r="CX59" s="5" t="str">
        <f>IF(_xlfn.XLOOKUP($B59,rf1_data!$B:$B,rf1_data!CP:CP,"NaN")="","NaN",(_xlfn.XLOOKUP($B59,rf1_data!$B:$B,rf1_data!CP:CP,"NaN")))</f>
        <v>NaN</v>
      </c>
      <c r="CY59" s="5">
        <f>IF(_xlfn.XLOOKUP($B59,rf1_data!$B:$B,rf1_data!CQ:CQ,"NaN")="","NaN",(_xlfn.XLOOKUP($B59,rf1_data!$B:$B,rf1_data!CQ:CQ,"NaN")))</f>
        <v>4</v>
      </c>
      <c r="CZ59" s="5">
        <f>IF(_xlfn.XLOOKUP($B59,rf1_data!$B:$B,rf1_data!CR:CR,"NaN")="","NaN",(_xlfn.XLOOKUP($B59,rf1_data!$B:$B,rf1_data!CR:CR,"NaN")))</f>
        <v>1</v>
      </c>
      <c r="DA59" s="5">
        <f>IF(_xlfn.XLOOKUP($B59,rf1_data!$B:$B,rf1_data!CS:CS,"NaN")="","NaN",(_xlfn.XLOOKUP($B59,rf1_data!$B:$B,rf1_data!CS:CS,"NaN")))</f>
        <v>1</v>
      </c>
      <c r="DB59" s="4">
        <f>IF(_xlfn.XLOOKUP($B59,island_data!$B:$B,island_data!H:H,"NaN")="","NaN",_xlfn.XLOOKUP($B59,island_data!$B:$B,island_data!H:H,"NaN"))</f>
        <v>10</v>
      </c>
      <c r="DC59" s="4">
        <f>IF(_xlfn.XLOOKUP($B59,island_data!$B:$B,island_data!I:I,"NaN")="","NaN",_xlfn.XLOOKUP($B59,island_data!$B:$B,island_data!I:I,"NaN"))</f>
        <v>3</v>
      </c>
      <c r="DD59" s="4">
        <f>IF(_xlfn.XLOOKUP($B59,island_data!$B:$B,island_data!J:J,"NaN")="","NaN",_xlfn.XLOOKUP($B59,island_data!$B:$B,island_data!J:J,"NaN"))</f>
        <v>1</v>
      </c>
      <c r="DE59" s="4">
        <f>IF(_xlfn.XLOOKUP($B59,island_data!$B:$B,island_data!K:K,"NaN")="","NaN",_xlfn.XLOOKUP($B59,island_data!$B:$B,island_data!K:K,"NaN"))</f>
        <v>8</v>
      </c>
      <c r="DF59" s="4">
        <f>IF(_xlfn.XLOOKUP($B59,island_data!$B:$B,island_data!L:L,"NaN")="","NaN",_xlfn.XLOOKUP($B59,island_data!$B:$B,island_data!L:L,"NaN"))</f>
        <v>0</v>
      </c>
      <c r="DG59" s="4">
        <f>IF(_xlfn.XLOOKUP($B59,island_data!$B:$B,island_data!M:M,"NaN")="","NaN",_xlfn.XLOOKUP($B59,island_data!$B:$B,island_data!M:M,"NaN"))</f>
        <v>3.4375</v>
      </c>
      <c r="DH59" s="4">
        <f>IF(_xlfn.XLOOKUP($B59,island_data!$B:$B,island_data!N:N,"NaN")="","NaN",_xlfn.XLOOKUP($B59,island_data!$B:$B,island_data!N:N,"NaN"))</f>
        <v>12</v>
      </c>
      <c r="DI59" s="4">
        <f>IF(_xlfn.XLOOKUP($B59,island_data!$B:$B,island_data!O:O,"NaN")=999,"NaN",_xlfn.XLOOKUP($B59,island_data!$B:$B,island_data!O:O,"NaN"))</f>
        <v>5</v>
      </c>
      <c r="DJ59" s="4">
        <f>IF(_xlfn.XLOOKUP($B59,island_data!$B:$B,island_data!P:P,"NaN")="","NaN",_xlfn.XLOOKUP($B59,island_data!$B:$B,island_data!P:P,"NaN"))</f>
        <v>10</v>
      </c>
      <c r="DK59" s="4">
        <f>IF(_xlfn.XLOOKUP($B59,island_data!$B:$B,island_data!Q:Q,"NaN")="","NaN",_xlfn.XLOOKUP($B59,island_data!$B:$B,island_data!Q:Q,"NaN"))</f>
        <v>2</v>
      </c>
      <c r="DL59" s="4">
        <f>IF(_xlfn.XLOOKUP($B59,island_data!$B:$B,island_data!R:R,"NaN")=999,"NaN",_xlfn.XLOOKUP($B59,island_data!$B:$B,island_data!R:R,"NaN"))</f>
        <v>15</v>
      </c>
      <c r="DM59" s="4">
        <f>IF(_xlfn.XLOOKUP($B59,island_data!$B:$B,island_data!S:S,"NaN")="","NaN",_xlfn.XLOOKUP($B59,island_data!$B:$B,island_data!S:S,"NaN"))</f>
        <v>11</v>
      </c>
      <c r="DN59" s="4">
        <f>IF(_xlfn.XLOOKUP($B59,island_data!$B:$B,island_data!T:T,"NaN")="","NaN",_xlfn.XLOOKUP($B59,island_data!$B:$B,island_data!T:T,"NaN"))</f>
        <v>6.1666666666666599</v>
      </c>
      <c r="DO59" s="4">
        <f>IF(_xlfn.XLOOKUP($B59,island_data!$B:$B,island_data!U:U,"NaN")="","NaN",_xlfn.XLOOKUP($B59,island_data!$B:$B,island_data!U:U,"NaN"))</f>
        <v>5</v>
      </c>
      <c r="DP59" s="4">
        <f>IF(_xlfn.XLOOKUP($B59,island_data!$B:$B,island_data!V:V,"NaN")="","NaN",_xlfn.XLOOKUP($B59,island_data!$B:$B,island_data!V:V,"NaN"))</f>
        <v>1</v>
      </c>
      <c r="DQ59" s="4">
        <f>IF(_xlfn.XLOOKUP($B59,island_data!$B:$B,island_data!W:W,"NaN")="","NaN",_xlfn.XLOOKUP($B59,island_data!$B:$B,island_data!W:W,"NaN"))</f>
        <v>7</v>
      </c>
      <c r="DR59" s="4">
        <f>IF(_xlfn.XLOOKUP($B59,island_data!$B:$B,island_data!X:X,"NaN")="","NaN",_xlfn.XLOOKUP($B59,island_data!$B:$B,island_data!X:X,"NaN"))</f>
        <v>5</v>
      </c>
      <c r="DS59" s="4" t="str">
        <f>IF(_xlfn.XLOOKUP($B59,island_data!$B:$B,island_data!Y:Y,"NaN")="","NaN",_xlfn.XLOOKUP($B59,island_data!$B:$B,island_data!Y:Y,"NaN"))</f>
        <v>NaN</v>
      </c>
      <c r="DT59" s="4" t="str">
        <f>IF(_xlfn.XLOOKUP($B59,island_data!$B:$B,island_data!Z:Z,"NaN")="","NaN",_xlfn.XLOOKUP($B59,island_data!$B:$B,island_data!Z:Z,"NaN"))</f>
        <v>NaN</v>
      </c>
      <c r="DU59" s="4" t="str">
        <f>IF(_xlfn.XLOOKUP($B59,island_data!$B:$B,island_data!AA:AA,"NaN")="","NaN",_xlfn.XLOOKUP($B59,island_data!$B:$B,island_data!AA:AA,"NaN"))</f>
        <v>NaN</v>
      </c>
      <c r="DV59" s="4">
        <f>IF(_xlfn.XLOOKUP($B59,island_data!$B:$B,island_data!AB:AB,"NaN")="","NaN",_xlfn.XLOOKUP($B59,island_data!$B:$B,island_data!AB:AB,"NaN"))</f>
        <v>1</v>
      </c>
      <c r="DW59" s="4">
        <f>IF(_xlfn.XLOOKUP($B59,island_data!$B:$B,island_data!AC:AC,"NaN")="","NaN",_xlfn.XLOOKUP($B59,island_data!$B:$B,island_data!AC:AC,"NaN"))</f>
        <v>19009</v>
      </c>
      <c r="DX59" s="4">
        <f>IF(_xlfn.XLOOKUP($B59,island_data!$B:$B,island_data!AD:AD,"NaN")="","NaN",_xlfn.XLOOKUP($B59,island_data!$B:$B,island_data!AD:AD,"NaN"))</f>
        <v>7</v>
      </c>
      <c r="DY59" s="4">
        <f>IF(_xlfn.XLOOKUP($B59,island_data!$B:$B,island_data!AE:AE,"NaN")="","NaN",_xlfn.XLOOKUP($B59,island_data!$B:$B,island_data!AE:AE,"NaN"))</f>
        <v>0</v>
      </c>
      <c r="DZ59" s="4" t="str">
        <f>IF(_xlfn.XLOOKUP($B59,island_data!$B:$B,island_data!AF:AF,"NaN")="","NaN",_xlfn.XLOOKUP($B59,island_data!$B:$B,island_data!AF:AF,"NaN"))</f>
        <v>NaN</v>
      </c>
      <c r="EA59" s="4" t="str">
        <f>IF(_xlfn.XLOOKUP($B59,island_data!$B:$B,island_data!AG:AG,"NaN")="","NaN",_xlfn.XLOOKUP($B59,island_data!$B:$B,island_data!AG:AG,"NaN"))</f>
        <v>NaN</v>
      </c>
      <c r="EB59" s="4" t="str">
        <f>IF(_xlfn.XLOOKUP($B59,island_data!$B:$B,island_data!AH:AH,"NaN")="","NaN",_xlfn.XLOOKUP($B59,island_data!$B:$B,island_data!AH:AH,"NaN"))</f>
        <v>NaN</v>
      </c>
      <c r="EC59" s="4">
        <f>IF(_xlfn.XLOOKUP($B59,island_data!$B:$B,island_data!AI:AI,"NaN")="","NaN",_xlfn.XLOOKUP($B59,island_data!$B:$B,island_data!AI:AI,"NaN"))</f>
        <v>13</v>
      </c>
      <c r="ED59" s="4">
        <f>IF(_xlfn.XLOOKUP($B59,island_data!$B:$B,island_data!AJ:AJ,"NaN")="","NaN",_xlfn.XLOOKUP($B59,island_data!$B:$B,island_data!AJ:AJ,"NaN"))</f>
        <v>18</v>
      </c>
      <c r="EE59" s="4">
        <f>IF(_xlfn.XLOOKUP($B59,island_data!$B:$B,island_data!AK:AK,"NaN")="","NaN",_xlfn.XLOOKUP($B59,island_data!$B:$B,island_data!AK:AK,"NaN"))</f>
        <v>16</v>
      </c>
      <c r="EF59" s="4">
        <f>IF(_xlfn.XLOOKUP($B59,island_data!$B:$B,island_data!AL:AL,"NaN")="","NaN",_xlfn.XLOOKUP($B59,island_data!$B:$B,island_data!AL:AL,"NaN"))</f>
        <v>14</v>
      </c>
      <c r="EG59" s="4">
        <f>IF(_xlfn.XLOOKUP($B59,island_data!$B:$B,island_data!AM:AM,"NaN")="","NaN",_xlfn.XLOOKUP($B59,island_data!$B:$B,island_data!AM:AM,"NaN"))</f>
        <v>20</v>
      </c>
      <c r="EH59" s="4" t="str">
        <f>IF(_xlfn.XLOOKUP($B59,island_data!$B:$B,island_data!AN:AN,"NaN")="","NaN",_xlfn.XLOOKUP($B59,island_data!$B:$B,island_data!AN:AN,"NaN"))</f>
        <v>NaN</v>
      </c>
      <c r="EI59" s="4" t="str">
        <f>IF(_xlfn.XLOOKUP($B59,island_data!$B:$B,island_data!AO:AO,"NaN")="","NaN",_xlfn.XLOOKUP($B59,island_data!$B:$B,island_data!AO:AO,"NaN"))</f>
        <v>NaN</v>
      </c>
      <c r="EJ59" s="8">
        <f>IF(_xlfn.XLOOKUP($A59,TabCAT!$A:$A,TabCAT!AU:AU,"NaN")="","NaN",(_xlfn.XLOOKUP($A59,TabCAT!$A:$A,TabCAT!AU:AU,"NaN")))</f>
        <v>149</v>
      </c>
      <c r="EK59" s="8" t="b">
        <f>IF(_xlfn.XLOOKUP($A59,TabCAT!$A:$A,TabCAT!AV:AV,"NaN")="","NaN",(_xlfn.XLOOKUP($A59,TabCAT!$A:$A,TabCAT!AV:AV,"NaN")))</f>
        <v>1</v>
      </c>
      <c r="EL59" s="8">
        <f>IF(_xlfn.XLOOKUP($A59,TabCAT!$A:$A,TabCAT!AW:AW,"NaN")="","NaN",(_xlfn.XLOOKUP($A59,TabCAT!$A:$A,TabCAT!AW:AW,"NaN")))</f>
        <v>6</v>
      </c>
      <c r="EM59" s="8">
        <f>IF(_xlfn.XLOOKUP($A59,TabCAT!$A:$A,TabCAT!AX:AX,"NaN")="","NaN",(_xlfn.XLOOKUP($A59,TabCAT!$A:$A,TabCAT!AX:AX,"NaN")))</f>
        <v>0</v>
      </c>
      <c r="EN59" s="8">
        <f>IF(_xlfn.XLOOKUP($A59,TabCAT!$A:$A,TabCAT!AY:AY,"NaN")="","NaN",(_xlfn.XLOOKUP($A59,TabCAT!$A:$A,TabCAT!AY:AY,"NaN")))</f>
        <v>9.92</v>
      </c>
      <c r="EO59" s="8">
        <f>IF(_xlfn.XLOOKUP($A59,TabCAT!$A:$A,TabCAT!AZ:AZ,"NaN")="","NaN",(_xlfn.XLOOKUP($A59,TabCAT!$A:$A,TabCAT!AZ:AZ,"NaN")))</f>
        <v>32</v>
      </c>
      <c r="EP59" s="8">
        <f>IF(_xlfn.XLOOKUP($A59,TabCAT!$A:$A,TabCAT!BA:BA,"NaN")="","NaN",(_xlfn.XLOOKUP($A59,TabCAT!$A:$A,TabCAT!BA:BA,"NaN")))</f>
        <v>0.51041800000000004</v>
      </c>
      <c r="EQ59" s="8">
        <f>IF(_xlfn.XLOOKUP($A59,TabCAT!$A:$A,TabCAT!BB:BB,"NaN")="","NaN",(_xlfn.XLOOKUP($A59,TabCAT!$A:$A,TabCAT!BB:BB,"NaN")))</f>
        <v>6.9779371632795406E-2</v>
      </c>
      <c r="ER59" s="8">
        <f>IF(_xlfn.XLOOKUP($A59,TabCAT!$A:$A,TabCAT!BC:BC,"NaN")="","NaN",(_xlfn.XLOOKUP($A59,TabCAT!$A:$A,TabCAT!BC:BC,"NaN")))</f>
        <v>16</v>
      </c>
      <c r="ES59" s="8">
        <f>IF(_xlfn.XLOOKUP($A59,TabCAT!$A:$A,TabCAT!BD:BD,"NaN")="","NaN",(_xlfn.XLOOKUP($A59,TabCAT!$A:$A,TabCAT!BD:BD,"NaN")))</f>
        <v>0.47716550000000002</v>
      </c>
      <c r="ET59" s="8">
        <f>IF(_xlfn.XLOOKUP($A59,TabCAT!$A:$A,TabCAT!BE:BE,"NaN")="","NaN",(_xlfn.XLOOKUP($A59,TabCAT!$A:$A,TabCAT!BE:BE,"NaN")))</f>
        <v>16</v>
      </c>
      <c r="EU59" s="8">
        <f>IF(_xlfn.XLOOKUP($A59,TabCAT!$A:$A,TabCAT!BF:BF,"NaN")="","NaN",(_xlfn.XLOOKUP($A59,TabCAT!$A:$A,TabCAT!BF:BF,"NaN")))</f>
        <v>0.58552850000000001</v>
      </c>
      <c r="EV59" s="8">
        <f>IF(_xlfn.XLOOKUP($A59,TabCAT!$A:$A,TabCAT!BG:BG,"NaN")="","NaN",(_xlfn.XLOOKUP($A59,TabCAT!$A:$A,TabCAT!BG:BG,"NaN")))</f>
        <v>2.7735850000000002</v>
      </c>
      <c r="EW59" s="8" t="str">
        <f>IF(_xlfn.XLOOKUP($A59,TabCAT!$A:$A,TabCAT!BH:BH,"NaN")="","NaN",(_xlfn.XLOOKUP($A59,TabCAT!$A:$A,TabCAT!BH:BH,"NaN")))</f>
        <v>3.0.0</v>
      </c>
      <c r="EX59" s="8" t="str">
        <f>IF(_xlfn.XLOOKUP($A59,TabCAT!$A:$A,TabCAT!BI:BI,"NaN")="","NaN",(_xlfn.XLOOKUP($A59,TabCAT!$A:$A,TabCAT!BI:BI,"NaN")))</f>
        <v>English</v>
      </c>
      <c r="EY59" s="8">
        <f>IF(_xlfn.XLOOKUP($A59,TabCAT!$A:$A,TabCAT!BJ:BJ,"NaN")="","NaN",(_xlfn.XLOOKUP($A59,TabCAT!$A:$A,TabCAT!BJ:BJ,"NaN")))</f>
        <v>267</v>
      </c>
      <c r="EZ59" s="8">
        <f>IF(_xlfn.XLOOKUP($A59,TabCAT!$A:$A,TabCAT!BK:BK,"NaN")="","NaN",(_xlfn.XLOOKUP($A59,TabCAT!$A:$A,TabCAT!BK:BK,"NaN")))</f>
        <v>1</v>
      </c>
      <c r="FA59" s="8">
        <f>IF(_xlfn.XLOOKUP($A59,TabCAT!$A:$A,TabCAT!BL:BL,"NaN")="","NaN",(_xlfn.XLOOKUP($A59,TabCAT!$A:$A,TabCAT!BL:BL,"NaN")))</f>
        <v>6</v>
      </c>
      <c r="FB59" s="8">
        <f>IF(_xlfn.XLOOKUP($A59,TabCAT!$A:$A,TabCAT!BM:BM,"NaN")="","NaN",(_xlfn.XLOOKUP($A59,TabCAT!$A:$A,TabCAT!BM:BM,"NaN")))</f>
        <v>1</v>
      </c>
      <c r="FC59" s="8">
        <f>IF(_xlfn.XLOOKUP($A59,TabCAT!$A:$A,TabCAT!BN:BN,"NaN")="","NaN",(_xlfn.XLOOKUP($A59,TabCAT!$A:$A,TabCAT!BN:BN,"NaN")))</f>
        <v>6</v>
      </c>
      <c r="FD59" s="8">
        <f>IF(_xlfn.XLOOKUP($A59,TabCAT!$A:$A,TabCAT!BO:BO,"NaN")="","NaN",(_xlfn.XLOOKUP($A59,TabCAT!$A:$A,TabCAT!BO:BO,"NaN")))</f>
        <v>9</v>
      </c>
      <c r="FE59" s="8">
        <f>IF(_xlfn.XLOOKUP($A59,TabCAT!$A:$A,TabCAT!BP:BP,"NaN")="","NaN",(_xlfn.XLOOKUP($A59,TabCAT!$A:$A,TabCAT!BP:BP,"NaN")))</f>
        <v>1</v>
      </c>
      <c r="FF59" s="8">
        <f>IF(_xlfn.XLOOKUP($A59,TabCAT!$A:$A,TabCAT!BQ:BQ,"NaN")="","NaN",(_xlfn.XLOOKUP($A59,TabCAT!$A:$A,TabCAT!BQ:BQ,"NaN")))</f>
        <v>9</v>
      </c>
      <c r="FG59" s="8">
        <f>IF(_xlfn.XLOOKUP($A59,TabCAT!$A:$A,TabCAT!BR:BR,"NaN")="","NaN",(_xlfn.XLOOKUP($A59,TabCAT!$A:$A,TabCAT!BR:BR,"NaN")))</f>
        <v>9</v>
      </c>
      <c r="FH59" s="8">
        <f>IF(_xlfn.XLOOKUP($A59,TabCAT!$A:$A,TabCAT!BS:BS,"NaN")="","NaN",(_xlfn.XLOOKUP($A59,TabCAT!$A:$A,TabCAT!BS:BS,"NaN")))</f>
        <v>0.75</v>
      </c>
      <c r="FI59" s="8">
        <f>IF(_xlfn.XLOOKUP($A59,TabCAT!$A:$A,TabCAT!BT:BT,"NaN")="","NaN",(_xlfn.XLOOKUP($A59,TabCAT!$A:$A,TabCAT!BT:BT,"NaN")))</f>
        <v>9</v>
      </c>
      <c r="FJ59" s="8">
        <f>IF(_xlfn.XLOOKUP($A59,TabCAT!$A:$A,TabCAT!BU:BU,"NaN")="","NaN",(_xlfn.XLOOKUP($A59,TabCAT!$A:$A,TabCAT!BU:BU,"NaN")))</f>
        <v>12</v>
      </c>
      <c r="FK59" s="8">
        <f>IF(_xlfn.XLOOKUP($A59,TabCAT!$A:$A,TabCAT!BV:BV,"NaN")="","NaN",(_xlfn.XLOOKUP($A59,TabCAT!$A:$A,TabCAT!BV:BV,"NaN")))</f>
        <v>0.8</v>
      </c>
      <c r="FL59" s="8">
        <f>IF(_xlfn.XLOOKUP($A59,TabCAT!$A:$A,TabCAT!BW:BW,"NaN")="","NaN",(_xlfn.XLOOKUP($A59,TabCAT!$A:$A,TabCAT!BW:BW,"NaN")))</f>
        <v>11</v>
      </c>
      <c r="FM59" s="8">
        <f>IF(_xlfn.XLOOKUP($A59,TabCAT!$A:$A,TabCAT!BX:BX,"NaN")="","NaN",(_xlfn.XLOOKUP($A59,TabCAT!$A:$A,TabCAT!BX:BX,"NaN")))</f>
        <v>36</v>
      </c>
      <c r="FN59" s="8">
        <f>IF(_xlfn.XLOOKUP($A59,TabCAT!$A:$A,TabCAT!BY:BY,"NaN")="","NaN",(_xlfn.XLOOKUP($A59,TabCAT!$A:$A,TabCAT!BY:BY,"NaN")))</f>
        <v>0.85714285714285698</v>
      </c>
      <c r="FO59" s="8">
        <f>IF(_xlfn.XLOOKUP($A59,TabCAT!$A:$A,TabCAT!BZ:BZ,"NaN")="","NaN",(_xlfn.XLOOKUP($A59,TabCAT!$A:$A,TabCAT!BZ:BZ,"NaN")))</f>
        <v>35</v>
      </c>
      <c r="FP59" s="8" t="str">
        <f>IF(_xlfn.XLOOKUP($A59,TabCAT!$A:$A,TabCAT!CA:CA,"NaN")="","NaN",(_xlfn.XLOOKUP($A59,TabCAT!$A:$A,TabCAT!CA:CA,"NaN")))</f>
        <v>3.0.0</v>
      </c>
      <c r="FQ59" s="8" t="str">
        <f>IF(_xlfn.XLOOKUP($A59,TabCAT!$A:$A,TabCAT!CB:CB,"NaN")="","NaN",(_xlfn.XLOOKUP($A59,TabCAT!$A:$A,TabCAT!CB:CB,"NaN")))</f>
        <v>English</v>
      </c>
      <c r="FR59" s="8">
        <f>IF(_xlfn.XLOOKUP($A59,TabCAT!$A:$A,TabCAT!CC:CC,"NaN")="","NaN",(_xlfn.XLOOKUP($A59,TabCAT!$A:$A,TabCAT!CC:CC,"NaN")))</f>
        <v>204</v>
      </c>
      <c r="FS59" s="8" t="b">
        <f>IF(_xlfn.XLOOKUP($A59,TabCAT!$A:$A,TabCAT!CD:CD,"NaN")="","NaN",(_xlfn.XLOOKUP($A59,TabCAT!$A:$A,TabCAT!CD:CD,"NaN")))</f>
        <v>1</v>
      </c>
      <c r="FT59" s="8">
        <f>IF(_xlfn.XLOOKUP($A59,TabCAT!$A:$A,TabCAT!CE:CE,"NaN")="","NaN",(_xlfn.XLOOKUP($A59,TabCAT!$A:$A,TabCAT!CE:CE,"NaN")))</f>
        <v>8</v>
      </c>
      <c r="FU59" s="8">
        <f>IF(_xlfn.XLOOKUP($A59,TabCAT!$A:$A,TabCAT!CF:CF,"NaN")="","NaN",(_xlfn.XLOOKUP($A59,TabCAT!$A:$A,TabCAT!CF:CF,"NaN")))</f>
        <v>0</v>
      </c>
      <c r="FV59" s="8">
        <f>IF(_xlfn.XLOOKUP($A59,TabCAT!$A:$A,TabCAT!CG:CG,"NaN")="","NaN",(_xlfn.XLOOKUP($A59,TabCAT!$A:$A,TabCAT!CG:CG,"NaN")))</f>
        <v>9.06</v>
      </c>
      <c r="FW59" s="8">
        <f>IF(_xlfn.XLOOKUP($A59,TabCAT!$A:$A,TabCAT!CH:CH,"NaN")="","NaN",(_xlfn.XLOOKUP($A59,TabCAT!$A:$A,TabCAT!CH:CH,"NaN")))</f>
        <v>16</v>
      </c>
      <c r="FX59" s="8">
        <f>IF(_xlfn.XLOOKUP($A59,TabCAT!$A:$A,TabCAT!CI:CI,"NaN")="","NaN",(_xlfn.XLOOKUP($A59,TabCAT!$A:$A,TabCAT!CI:CI,"NaN")))</f>
        <v>0.43882900000000002</v>
      </c>
      <c r="FY59" s="8">
        <f>IF(_xlfn.XLOOKUP($A59,TabCAT!$A:$A,TabCAT!CJ:CJ,"NaN")="","NaN",(_xlfn.XLOOKUP($A59,TabCAT!$A:$A,TabCAT!CJ:CJ,"NaN")))</f>
        <v>16</v>
      </c>
      <c r="FZ59" s="8">
        <f>IF(_xlfn.XLOOKUP($A59,TabCAT!$A:$A,TabCAT!CK:CK,"NaN")="","NaN",(_xlfn.XLOOKUP($A59,TabCAT!$A:$A,TabCAT!CK:CK,"NaN")))</f>
        <v>0.43729699999999999</v>
      </c>
      <c r="GA59" s="8">
        <f>IF(_xlfn.XLOOKUP($A59,TabCAT!$A:$A,TabCAT!CL:CL,"NaN")="","NaN",(_xlfn.XLOOKUP($A59,TabCAT!$A:$A,TabCAT!CL:CL,"NaN")))</f>
        <v>29</v>
      </c>
      <c r="GB59" s="8">
        <f>IF(_xlfn.XLOOKUP($A59,TabCAT!$A:$A,TabCAT!CM:CM,"NaN")="","NaN",(_xlfn.XLOOKUP($A59,TabCAT!$A:$A,TabCAT!CM:CM,"NaN")))</f>
        <v>0.52901500000000001</v>
      </c>
      <c r="GC59" s="8">
        <f>IF(_xlfn.XLOOKUP($A59,TabCAT!$A:$A,TabCAT!CN:CN,"NaN")="","NaN",(_xlfn.XLOOKUP($A59,TabCAT!$A:$A,TabCAT!CN:CN,"NaN")))</f>
        <v>15</v>
      </c>
      <c r="GD59" s="8">
        <f>IF(_xlfn.XLOOKUP($A59,TabCAT!$A:$A,TabCAT!CO:CO,"NaN")="","NaN",(_xlfn.XLOOKUP($A59,TabCAT!$A:$A,TabCAT!CO:CO,"NaN")))</f>
        <v>0.57052999999999998</v>
      </c>
      <c r="GE59" s="8">
        <f>IF(_xlfn.XLOOKUP($A59,TabCAT!$A:$A,TabCAT!CP:CP,"NaN")="","NaN",(_xlfn.XLOOKUP($A59,TabCAT!$A:$A,TabCAT!CP:CP,"NaN")))</f>
        <v>0.18416782071124299</v>
      </c>
      <c r="GF59" s="8">
        <f>IF(_xlfn.XLOOKUP($A59,TabCAT!$A:$A,TabCAT!CQ:CQ,"NaN")="","NaN",(_xlfn.XLOOKUP($A59,TabCAT!$A:$A,TabCAT!CQ:CQ,"NaN")))</f>
        <v>56</v>
      </c>
      <c r="GG59" s="8">
        <f>IF(_xlfn.XLOOKUP($A59,TabCAT!$A:$A,TabCAT!CR:CR,"NaN")="","NaN",(_xlfn.XLOOKUP($A59,TabCAT!$A:$A,TabCAT!CR:CR,"NaN")))</f>
        <v>0.45408399999999999</v>
      </c>
      <c r="GH59" s="8">
        <f>IF(_xlfn.XLOOKUP($A59,TabCAT!$A:$A,TabCAT!CS:CS,"NaN")="","NaN",(_xlfn.XLOOKUP($A59,TabCAT!$A:$A,TabCAT!CS:CS,"NaN")))</f>
        <v>1.7826090000000001</v>
      </c>
    </row>
    <row r="60" spans="1:190" x14ac:dyDescent="0.2">
      <c r="A60">
        <v>10783</v>
      </c>
      <c r="B60">
        <f>_xlfn.XLOOKUP(bippity_poppity_boo!A60,rf1_data!A:A,rf1_data!B:B)</f>
        <v>120472</v>
      </c>
      <c r="C60" s="2">
        <f>(_xlfn.XLOOKUP($A60,trust!$A:$A,trust!B:B,"NaN"))</f>
        <v>2.8888889999999998</v>
      </c>
      <c r="D60" s="2">
        <f>(_xlfn.XLOOKUP($A60,trust!$A:$A,trust!C:C,"NaN"))</f>
        <v>2</v>
      </c>
      <c r="E60" s="2">
        <f>(_xlfn.XLOOKUP($A60,trust!$A:$A,trust!D:D,"NaN"))</f>
        <v>2.75</v>
      </c>
      <c r="F60" s="2">
        <f>(_xlfn.XLOOKUP($A60,trust!$A:$A,trust!E:E,"NaN"))</f>
        <v>2.4444439999999998</v>
      </c>
      <c r="G60" s="2">
        <f>(_xlfn.XLOOKUP($A60,trust!$A:$A,trust!F:F,"NaN"))</f>
        <v>5.0769229999999999</v>
      </c>
      <c r="H60" s="2">
        <f>(_xlfn.XLOOKUP($A60,trust!$A:$A,trust!G:G,"NaN"))</f>
        <v>3.0909089999999999</v>
      </c>
      <c r="I60" s="3">
        <f>IF(_xlfn.XLOOKUP($B60,island_data!$B:$B,island_data!C:C,"NaN")="","NaN",_xlfn.XLOOKUP($B60,island_data!$B:$B,island_data!C:C,"NaN"))</f>
        <v>45120</v>
      </c>
      <c r="J60" s="3">
        <f>IF(_xlfn.XLOOKUP($B60,island_data!$B:$B,island_data!D:D,"NaN")="","NaN",_xlfn.XLOOKUP($B60,island_data!$B:$B,island_data!D:D,"NaN"))</f>
        <v>26436</v>
      </c>
      <c r="K60" s="4">
        <f>IF(_xlfn.XLOOKUP($B60,island_data!$B:$B,island_data!E:E,"NaN")="","NaN",_xlfn.XLOOKUP($B60,island_data!$B:$B,island_data!E:E,"NaN"))</f>
        <v>51.16</v>
      </c>
      <c r="L60" s="5">
        <f>IF(_xlfn.XLOOKUP($B60,rf1_data!$B:$B,rf1_data!D:D,"NaN")="","NaN",(_xlfn.XLOOKUP($B60,rf1_data!$B:$B,rf1_data!D:D,"NaN")))</f>
        <v>51.18</v>
      </c>
      <c r="M60" s="5" t="str">
        <f>IF(_xlfn.XLOOKUP($B60,rf1_data!$B:$B,rf1_data!E:E,"NaN")="","NaN",(_xlfn.XLOOKUP($B60,rf1_data!$B:$B,rf1_data!E:E,"NaN")))</f>
        <v>Black or African American</v>
      </c>
      <c r="N60" s="5" t="str">
        <f>IF(_xlfn.XLOOKUP($B60,rf1_data!$B:$B,rf1_data!F:F,"NaN")="","NaN",(_xlfn.XLOOKUP($B60,rf1_data!$B:$B,rf1_data!F:F,"NaN")))</f>
        <v>Not Hispanic or Latino</v>
      </c>
      <c r="O60" s="5" t="str">
        <f>IF(_xlfn.XLOOKUP($B60,rf1_data!$B:$B,rf1_data!G:G,"NaN")="","NaN",(_xlfn.XLOOKUP($B60,rf1_data!$B:$B,rf1_data!G:G,"NaN")))</f>
        <v>Female</v>
      </c>
      <c r="P60" s="5">
        <f>IF(_xlfn.XLOOKUP($B60,rf1_data!$B:$B,rf1_data!H:H,"NaN")="","NaN",(_xlfn.XLOOKUP($B60,rf1_data!$B:$B,rf1_data!H:H,"NaN")))</f>
        <v>4.33</v>
      </c>
      <c r="Q60" s="5">
        <f>IF(_xlfn.XLOOKUP($B60,rf1_data!$B:$B,rf1_data!I:I,"NaN")="","NaN",(_xlfn.XLOOKUP($B60,rf1_data!$B:$B,rf1_data!I:I,"NaN")))</f>
        <v>3.7</v>
      </c>
      <c r="R60" s="5">
        <f>IF(_xlfn.XLOOKUP($B60,rf1_data!$B:$B,rf1_data!J:J,"NaN")="","NaN",(_xlfn.XLOOKUP($B60,rf1_data!$B:$B,rf1_data!J:J,"NaN")))</f>
        <v>2</v>
      </c>
      <c r="S60" s="5">
        <f>IF(_xlfn.XLOOKUP($B60,rf1_data!$B:$B,rf1_data!K:K,"NaN")="","NaN",(_xlfn.XLOOKUP($B60,rf1_data!$B:$B,rf1_data!K:K,"NaN")))</f>
        <v>0</v>
      </c>
      <c r="T60" s="5">
        <f>IF(_xlfn.XLOOKUP($B60,rf1_data!$B:$B,rf1_data!L:L,"NaN")="","NaN",(_xlfn.XLOOKUP($B60,rf1_data!$B:$B,rf1_data!L:L,"NaN")))</f>
        <v>0</v>
      </c>
      <c r="U60" s="5">
        <f>IF(_xlfn.XLOOKUP($B60,rf1_data!$B:$B,rf1_data!M:M,"NaN")="","NaN",(_xlfn.XLOOKUP($B60,rf1_data!$B:$B,rf1_data!M:M,"NaN")))</f>
        <v>6</v>
      </c>
      <c r="V60" s="5">
        <f>IF(_xlfn.XLOOKUP($B60,rf1_data!$B:$B,rf1_data!N:N,"NaN")="","NaN",(_xlfn.XLOOKUP($B60,rf1_data!$B:$B,rf1_data!N:N,"NaN")))</f>
        <v>5.67</v>
      </c>
      <c r="W60" s="5">
        <f>IF(_xlfn.XLOOKUP($B60,rf1_data!$B:$B,rf1_data!O:O,"NaN")="","NaN",(_xlfn.XLOOKUP($B60,rf1_data!$B:$B,rf1_data!O:O,"NaN")))</f>
        <v>6.25</v>
      </c>
      <c r="X60" s="5">
        <f>IF(_xlfn.XLOOKUP($B60,rf1_data!$B:$B,rf1_data!P:P,"NaN")="","NaN",(_xlfn.XLOOKUP($B60,rf1_data!$B:$B,rf1_data!P:P,"NaN")))</f>
        <v>6</v>
      </c>
      <c r="Y60" s="5">
        <f>IF(_xlfn.XLOOKUP($B60,rf1_data!$B:$B,rf1_data!Q:Q,"NaN")="","NaN",(_xlfn.XLOOKUP($B60,rf1_data!$B:$B,rf1_data!Q:Q,"NaN")))</f>
        <v>5.93</v>
      </c>
      <c r="Z60" s="5">
        <f>IF(_xlfn.XLOOKUP($B60,rf1_data!$B:$B,rf1_data!R:R,"NaN")="","NaN",(_xlfn.XLOOKUP($B60,rf1_data!$B:$B,rf1_data!R:R,"NaN")))</f>
        <v>8</v>
      </c>
      <c r="AA60" s="5">
        <f>IF(_xlfn.XLOOKUP($B60,rf1_data!$B:$B,rf1_data!S:S,"NaN")="","NaN",(_xlfn.XLOOKUP($B60,rf1_data!$B:$B,rf1_data!S:S,"NaN")))</f>
        <v>2</v>
      </c>
      <c r="AB60" s="5">
        <f>IF(_xlfn.XLOOKUP($B60,rf1_data!$B:$B,rf1_data!T:T,"NaN")="","NaN",(_xlfn.XLOOKUP($B60,rf1_data!$B:$B,rf1_data!T:T,"NaN")))</f>
        <v>4</v>
      </c>
      <c r="AC60" s="5">
        <f>IF(_xlfn.XLOOKUP($B60,rf1_data!$B:$B,rf1_data!U:U,"NaN")="","NaN",(_xlfn.XLOOKUP($B60,rf1_data!$B:$B,rf1_data!U:U,"NaN")))</f>
        <v>2</v>
      </c>
      <c r="AD60" s="5">
        <f>IF(_xlfn.XLOOKUP($B60,rf1_data!$B:$B,rf1_data!V:V,"NaN")="","NaN",(_xlfn.XLOOKUP($B60,rf1_data!$B:$B,rf1_data!V:V,"NaN")))</f>
        <v>0</v>
      </c>
      <c r="AE60" s="5">
        <f>IF(_xlfn.XLOOKUP($B60,rf1_data!$B:$B,rf1_data!W:W,"NaN")="","NaN",(_xlfn.XLOOKUP($B60,rf1_data!$B:$B,rf1_data!W:W,"NaN")))</f>
        <v>0</v>
      </c>
      <c r="AF60" s="5">
        <f>IF(_xlfn.XLOOKUP($B60,rf1_data!$B:$B,rf1_data!X:X,"NaN")="","NaN",(_xlfn.XLOOKUP($B60,rf1_data!$B:$B,rf1_data!X:X,"NaN")))</f>
        <v>4</v>
      </c>
      <c r="AG60" s="5">
        <f>IF(_xlfn.XLOOKUP($B60,rf1_data!$B:$B,rf1_data!Y:Y,"NaN")="","NaN",(_xlfn.XLOOKUP($B60,rf1_data!$B:$B,rf1_data!Y:Y,"NaN")))</f>
        <v>8</v>
      </c>
      <c r="AH60" s="5">
        <f>IF(_xlfn.XLOOKUP($B60,rf1_data!$B:$B,rf1_data!Z:Z,"NaN")="","NaN",(_xlfn.XLOOKUP($B60,rf1_data!$B:$B,rf1_data!Z:Z,"NaN")))</f>
        <v>0</v>
      </c>
      <c r="AI60" s="5">
        <f>IF(_xlfn.XLOOKUP($B60,rf1_data!$B:$B,rf1_data!AA:AA,"NaN")="","NaN",(_xlfn.XLOOKUP($B60,rf1_data!$B:$B,rf1_data!AA:AA,"NaN")))</f>
        <v>3</v>
      </c>
      <c r="AJ60" s="5">
        <f>IF(_xlfn.XLOOKUP($B60,rf1_data!$B:$B,rf1_data!AB:AB,"NaN")="","NaN",(_xlfn.XLOOKUP($B60,rf1_data!$B:$B,rf1_data!AB:AB,"NaN")))</f>
        <v>15</v>
      </c>
      <c r="AK60" s="5">
        <f>IF(_xlfn.XLOOKUP($B60,rf1_data!$B:$B,rf1_data!AC:AC,"NaN")="","NaN",(_xlfn.XLOOKUP($B60,rf1_data!$B:$B,rf1_data!AC:AC,"NaN")))</f>
        <v>44</v>
      </c>
      <c r="AL60" s="5">
        <f>IF(_xlfn.XLOOKUP($B60,rf1_data!$B:$B,rf1_data!AD:AD,"NaN")="","NaN",(_xlfn.XLOOKUP($B60,rf1_data!$B:$B,rf1_data!AD:AD,"NaN")))</f>
        <v>11</v>
      </c>
      <c r="AM60" s="5">
        <f>IF(_xlfn.XLOOKUP($B60,rf1_data!$B:$B,rf1_data!AE:AE,"NaN")="","NaN",(_xlfn.XLOOKUP($B60,rf1_data!$B:$B,rf1_data!AE:AE,"NaN")))</f>
        <v>1</v>
      </c>
      <c r="AN60" s="5">
        <f>IF(_xlfn.XLOOKUP($B60,rf1_data!$B:$B,rf1_data!AF:AF,"NaN")="","NaN",(_xlfn.XLOOKUP($B60,rf1_data!$B:$B,rf1_data!AF:AF,"NaN")))</f>
        <v>1</v>
      </c>
      <c r="AO60" s="5">
        <f>IF(_xlfn.XLOOKUP($B60,rf1_data!$B:$B,rf1_data!AG:AG,"NaN")="","NaN",(_xlfn.XLOOKUP($B60,rf1_data!$B:$B,rf1_data!AG:AG,"NaN")))</f>
        <v>7</v>
      </c>
      <c r="AP60" s="5">
        <f>IF(_xlfn.XLOOKUP($B60,rf1_data!$B:$B,rf1_data!AH:AH,"NaN")="","NaN",(_xlfn.XLOOKUP($B60,rf1_data!$B:$B,rf1_data!AH:AH,"NaN")))</f>
        <v>7</v>
      </c>
      <c r="AQ60" s="5">
        <f>IF(_xlfn.XLOOKUP($B60,rf1_data!$B:$B,rf1_data!AI:AI,"NaN")="","NaN",(_xlfn.XLOOKUP($B60,rf1_data!$B:$B,rf1_data!AI:AI,"NaN")))</f>
        <v>7</v>
      </c>
      <c r="AR60" s="5">
        <f>IF(_xlfn.XLOOKUP($B60,rf1_data!$B:$B,rf1_data!AJ:AJ,"NaN")="","NaN",(_xlfn.XLOOKUP($B60,rf1_data!$B:$B,rf1_data!AJ:AJ,"NaN")))</f>
        <v>7</v>
      </c>
      <c r="AS60" s="5">
        <f>IF(_xlfn.XLOOKUP($B60,rf1_data!$B:$B,rf1_data!AK:AK,"NaN")="","NaN",(_xlfn.XLOOKUP($B60,rf1_data!$B:$B,rf1_data!AK:AK,"NaN")))</f>
        <v>3.4</v>
      </c>
      <c r="AT60" s="5">
        <f>IF(_xlfn.XLOOKUP($B60,rf1_data!$B:$B,rf1_data!AL:AL,"NaN")="","NaN",(_xlfn.XLOOKUP($B60,rf1_data!$B:$B,rf1_data!AL:AL,"NaN")))</f>
        <v>11</v>
      </c>
      <c r="AU60" s="5">
        <f>IF(_xlfn.XLOOKUP($B60,rf1_data!$B:$B,rf1_data!AM:AM,"NaN")="","NaN",(_xlfn.XLOOKUP($B60,rf1_data!$B:$B,rf1_data!AM:AM,"NaN")))</f>
        <v>2.08</v>
      </c>
      <c r="AV60" s="5">
        <f>IF(_xlfn.XLOOKUP($B60,rf1_data!$B:$B,rf1_data!AN:AN,"NaN")="","NaN",(_xlfn.XLOOKUP($B60,rf1_data!$B:$B,rf1_data!AN:AN,"NaN")))</f>
        <v>0</v>
      </c>
      <c r="AW60" s="5">
        <f>IF(_xlfn.XLOOKUP($B60,rf1_data!$B:$B,rf1_data!AO:AO,"NaN")="","NaN",(_xlfn.XLOOKUP($B60,rf1_data!$B:$B,rf1_data!AO:AO,"NaN")))</f>
        <v>3.17</v>
      </c>
      <c r="AX60" s="5">
        <f>IF(_xlfn.XLOOKUP($B60,rf1_data!$B:$B,rf1_data!AP:AP,"NaN")="","NaN",(_xlfn.XLOOKUP($B60,rf1_data!$B:$B,rf1_data!AP:AP,"NaN")))</f>
        <v>9999</v>
      </c>
      <c r="AY60" s="5" t="str">
        <f>IF(_xlfn.XLOOKUP($B60,rf1_data!$B:$B,rf1_data!AQ:AQ,"NaN")="","NaN",(_xlfn.XLOOKUP($B60,rf1_data!$B:$B,rf1_data!AQ:AQ,"NaN")))</f>
        <v>NaN</v>
      </c>
      <c r="AZ60" s="5" t="str">
        <f>IF(_xlfn.XLOOKUP($B60,rf1_data!$B:$B,rf1_data!AR:AR,"NaN")="","NaN",(_xlfn.XLOOKUP($B60,rf1_data!$B:$B,rf1_data!AR:AR,"NaN")))</f>
        <v>NaN</v>
      </c>
      <c r="BA60" s="5" t="str">
        <f>IF(_xlfn.XLOOKUP($B60,rf1_data!$B:$B,rf1_data!AS:AS,"NaN")="","NaN",(_xlfn.XLOOKUP($B60,rf1_data!$B:$B,rf1_data!AS:AS,"NaN")))</f>
        <v>NaN</v>
      </c>
      <c r="BB60" s="5" t="str">
        <f>IF(_xlfn.XLOOKUP($B60,rf1_data!$B:$B,rf1_data!AT:AT,"NaN")="","NaN",(_xlfn.XLOOKUP($B60,rf1_data!$B:$B,rf1_data!AT:AT,"NaN")))</f>
        <v>NaN</v>
      </c>
      <c r="BC60" s="5" t="str">
        <f>IF(_xlfn.XLOOKUP($B60,rf1_data!$B:$B,rf1_data!AU:AU,"NaN")="","NaN",(_xlfn.XLOOKUP($B60,rf1_data!$B:$B,rf1_data!AU:AU,"NaN")))</f>
        <v>NaN</v>
      </c>
      <c r="BD60" s="5" t="str">
        <f>IF(_xlfn.XLOOKUP($B60,rf1_data!$B:$B,rf1_data!AV:AV,"NaN")="","NaN",(_xlfn.XLOOKUP($B60,rf1_data!$B:$B,rf1_data!AV:AV,"NaN")))</f>
        <v>NaN</v>
      </c>
      <c r="BE60" s="5" t="str">
        <f>IF(_xlfn.XLOOKUP($B60,rf1_data!$B:$B,rf1_data!AW:AW,"NaN")="","NaN",(_xlfn.XLOOKUP($B60,rf1_data!$B:$B,rf1_data!AW:AW,"NaN")))</f>
        <v>NaN</v>
      </c>
      <c r="BF60" s="5" t="str">
        <f>IF(_xlfn.XLOOKUP($B60,rf1_data!$B:$B,rf1_data!AX:AX,"NaN")="","NaN",(_xlfn.XLOOKUP($B60,rf1_data!$B:$B,rf1_data!AX:AX,"NaN")))</f>
        <v>NaN</v>
      </c>
      <c r="BG60" s="5" t="str">
        <f>IF(_xlfn.XLOOKUP($B60,rf1_data!$B:$B,rf1_data!AY:AY,"NaN")="","NaN",(_xlfn.XLOOKUP($B60,rf1_data!$B:$B,rf1_data!AY:AY,"NaN")))</f>
        <v>NaN</v>
      </c>
      <c r="BH60" s="5" t="str">
        <f>IF(_xlfn.XLOOKUP($B60,rf1_data!$B:$B,rf1_data!AZ:AZ,"NaN")="","NaN",(_xlfn.XLOOKUP($B60,rf1_data!$B:$B,rf1_data!AZ:AZ,"NaN")))</f>
        <v>NaN</v>
      </c>
      <c r="BI60" s="5">
        <f>IF(_xlfn.XLOOKUP($B60,rf1_data!$B:$B,rf1_data!BA:BA,"NaN")="","NaN",(_xlfn.XLOOKUP($B60,rf1_data!$B:$B,rf1_data!BA:BA,"NaN")))</f>
        <v>20</v>
      </c>
      <c r="BJ60" s="5" t="str">
        <f>IF(_xlfn.XLOOKUP($B60,rf1_data!$B:$B,rf1_data!BB:BB,"NaN")="","NaN",(_xlfn.XLOOKUP($B60,rf1_data!$B:$B,rf1_data!BB:BB,"NaN")))</f>
        <v>NaN</v>
      </c>
      <c r="BK60" s="5" t="str">
        <f>IF(_xlfn.XLOOKUP($B60,rf1_data!$B:$B,rf1_data!BC:BC,"NaN")="","NaN",(_xlfn.XLOOKUP($B60,rf1_data!$B:$B,rf1_data!BC:BC,"NaN")))</f>
        <v>NaN</v>
      </c>
      <c r="BL60" s="5" t="str">
        <f>IF(_xlfn.XLOOKUP($B60,rf1_data!$B:$B,rf1_data!BD:BD,"NaN")="","NaN",(_xlfn.XLOOKUP($B60,rf1_data!$B:$B,rf1_data!BD:BD,"NaN")))</f>
        <v>NaN</v>
      </c>
      <c r="BM60" s="5" t="str">
        <f>IF(_xlfn.XLOOKUP($B60,rf1_data!$B:$B,rf1_data!BE:BE,"NaN")="","NaN",(_xlfn.XLOOKUP($B60,rf1_data!$B:$B,rf1_data!BE:BE,"NaN")))</f>
        <v>NaN</v>
      </c>
      <c r="BN60" s="5" t="str">
        <f>IF(_xlfn.XLOOKUP($B60,rf1_data!$B:$B,rf1_data!BF:BF,"NaN")="","NaN",(_xlfn.XLOOKUP($B60,rf1_data!$B:$B,rf1_data!BF:BF,"NaN")))</f>
        <v>NaN</v>
      </c>
      <c r="BO60" s="5" t="str">
        <f>IF(_xlfn.XLOOKUP($B60,rf1_data!$B:$B,rf1_data!BG:BG,"NaN")="","NaN",(_xlfn.XLOOKUP($B60,rf1_data!$B:$B,rf1_data!BG:BG,"NaN")))</f>
        <v>NaN</v>
      </c>
      <c r="BP60" s="5" t="str">
        <f>IF(_xlfn.XLOOKUP($B60,rf1_data!$B:$B,rf1_data!BH:BH,"NaN")="","NaN",(_xlfn.XLOOKUP($B60,rf1_data!$B:$B,rf1_data!BH:BH,"NaN")))</f>
        <v>NaN</v>
      </c>
      <c r="BQ60" s="5" t="str">
        <f>IF(_xlfn.XLOOKUP($B60,rf1_data!$B:$B,rf1_data!BI:BI,"NaN")="","NaN",(_xlfn.XLOOKUP($B60,rf1_data!$B:$B,rf1_data!BI:BI,"NaN")))</f>
        <v>NaN</v>
      </c>
      <c r="BR60" s="5">
        <f>IF(_xlfn.XLOOKUP($B60,rf1_data!$B:$B,rf1_data!BJ:BJ,"NaN")="","NaN",(_xlfn.XLOOKUP($B60,rf1_data!$B:$B,rf1_data!BJ:BJ,"NaN")))</f>
        <v>8991</v>
      </c>
      <c r="BS60" s="5" t="str">
        <f>IF(_xlfn.XLOOKUP($B60,rf1_data!$B:$B,rf1_data!BK:BK,"NaN")="","NaN",(_xlfn.XLOOKUP($B60,rf1_data!$B:$B,rf1_data!BK:BK,"NaN")))</f>
        <v>NaN</v>
      </c>
      <c r="BT60" s="5" t="str">
        <f>IF(_xlfn.XLOOKUP($B60,rf1_data!$B:$B,rf1_data!BL:BL,"NaN")="","NaN",(_xlfn.XLOOKUP($B60,rf1_data!$B:$B,rf1_data!BL:BL,"NaN")))</f>
        <v>NaN</v>
      </c>
      <c r="BU60" s="5" t="str">
        <f>IF(_xlfn.XLOOKUP($B60,rf1_data!$B:$B,rf1_data!BM:BM,"NaN")="","NaN",(_xlfn.XLOOKUP($B60,rf1_data!$B:$B,rf1_data!BM:BM,"NaN")))</f>
        <v>NaN</v>
      </c>
      <c r="BV60" s="5" t="str">
        <f>IF(_xlfn.XLOOKUP($B60,rf1_data!$B:$B,rf1_data!BN:BN,"NaN")="","NaN",(_xlfn.XLOOKUP($B60,rf1_data!$B:$B,rf1_data!BN:BN,"NaN")))</f>
        <v>NaN</v>
      </c>
      <c r="BW60" s="5">
        <f>IF(_xlfn.XLOOKUP($B60,rf1_data!$B:$B,rf1_data!BO:BO,"NaN")="","NaN",(_xlfn.XLOOKUP($B60,rf1_data!$B:$B,rf1_data!BO:BO,"NaN")))</f>
        <v>3.6</v>
      </c>
      <c r="BX60" s="5">
        <f>IF(_xlfn.XLOOKUP($B60,rf1_data!$B:$B,rf1_data!BP:BP,"NaN")="","NaN",(_xlfn.XLOOKUP($B60,rf1_data!$B:$B,rf1_data!BP:BP,"NaN")))</f>
        <v>3.7</v>
      </c>
      <c r="BY60" s="5">
        <f>IF(_xlfn.XLOOKUP($B60,rf1_data!$B:$B,rf1_data!BQ:BQ,"NaN")="","NaN",(_xlfn.XLOOKUP($B60,rf1_data!$B:$B,rf1_data!BQ:BQ,"NaN")))</f>
        <v>3.5</v>
      </c>
      <c r="BZ60" s="5">
        <f>IF(_xlfn.XLOOKUP($B60,rf1_data!$B:$B,rf1_data!BR:BR,"NaN")="","NaN",(_xlfn.XLOOKUP($B60,rf1_data!$B:$B,rf1_data!BR:BR,"NaN")))</f>
        <v>3.6</v>
      </c>
      <c r="CA60" s="5">
        <f>IF(_xlfn.XLOOKUP($B60,rf1_data!$B:$B,rf1_data!BS:BS,"NaN")="","NaN",(_xlfn.XLOOKUP($B60,rf1_data!$B:$B,rf1_data!BS:BS,"NaN")))</f>
        <v>4.5</v>
      </c>
      <c r="CB60" s="5">
        <f>IF(_xlfn.XLOOKUP($B60,rf1_data!$B:$B,rf1_data!BT:BT,"NaN")="","NaN",(_xlfn.XLOOKUP($B60,rf1_data!$B:$B,rf1_data!BT:BT,"NaN")))</f>
        <v>4.6666666666666998</v>
      </c>
      <c r="CC60" s="5">
        <f>IF(_xlfn.XLOOKUP($B60,rf1_data!$B:$B,rf1_data!BU:BU,"NaN")="","NaN",(_xlfn.XLOOKUP($B60,rf1_data!$B:$B,rf1_data!BU:BU,"NaN")))</f>
        <v>5.1666666666666998</v>
      </c>
      <c r="CD60" s="5">
        <f>IF(_xlfn.XLOOKUP($B60,rf1_data!$B:$B,rf1_data!BV:BV,"NaN")="","NaN",(_xlfn.XLOOKUP($B60,rf1_data!$B:$B,rf1_data!BV:BV,"NaN")))</f>
        <v>4.8333333333333002</v>
      </c>
      <c r="CE60" s="5">
        <f>IF(_xlfn.XLOOKUP($B60,rf1_data!$B:$B,rf1_data!BW:BW,"NaN")="","NaN",(_xlfn.XLOOKUP($B60,rf1_data!$B:$B,rf1_data!BW:BW,"NaN")))</f>
        <v>0.1</v>
      </c>
      <c r="CF60" s="5">
        <f>IF(_xlfn.XLOOKUP($B60,rf1_data!$B:$B,rf1_data!BX:BX,"NaN")="","NaN",(_xlfn.XLOOKUP($B60,rf1_data!$B:$B,rf1_data!BX:BX,"NaN")))</f>
        <v>0</v>
      </c>
      <c r="CG60" s="5">
        <f>IF(_xlfn.XLOOKUP($B60,rf1_data!$B:$B,rf1_data!BY:BY,"NaN")="","NaN",(_xlfn.XLOOKUP($B60,rf1_data!$B:$B,rf1_data!BY:BY,"NaN")))</f>
        <v>0</v>
      </c>
      <c r="CH60" s="5">
        <f>IF(_xlfn.XLOOKUP($B60,rf1_data!$B:$B,rf1_data!BZ:BZ,"NaN")="","NaN",(_xlfn.XLOOKUP($B60,rf1_data!$B:$B,rf1_data!BZ:BZ,"NaN")))</f>
        <v>24</v>
      </c>
      <c r="CI60" s="5">
        <f>IF(_xlfn.XLOOKUP($B60,rf1_data!$B:$B,rf1_data!CA:CA,"NaN")="","NaN",(_xlfn.XLOOKUP($B60,rf1_data!$B:$B,rf1_data!CA:CA,"NaN")))</f>
        <v>22</v>
      </c>
      <c r="CJ60" s="5">
        <f>IF(_xlfn.XLOOKUP($B60,rf1_data!$B:$B,rf1_data!CB:CB,"NaN")="","NaN",(_xlfn.XLOOKUP($B60,rf1_data!$B:$B,rf1_data!CB:CB,"NaN")))</f>
        <v>8</v>
      </c>
      <c r="CK60" s="5">
        <f>IF(_xlfn.XLOOKUP($B60,rf1_data!$B:$B,rf1_data!CC:CC,"NaN")="","NaN",(_xlfn.XLOOKUP($B60,rf1_data!$B:$B,rf1_data!CC:CC,"NaN")))</f>
        <v>0.88888888888888995</v>
      </c>
      <c r="CL60" s="5">
        <f>IF(_xlfn.XLOOKUP($B60,rf1_data!$B:$B,rf1_data!CD:CD,"NaN")=0,"NaN",(_xlfn.XLOOKUP($B60,rf1_data!$B:$B,rf1_data!CD:CD,"NaN")))</f>
        <v>32</v>
      </c>
      <c r="CM60" s="5">
        <f>IF(_xlfn.XLOOKUP($B60,rf1_data!$B:$B,rf1_data!CE:CE,"NaN")="","NaN",(_xlfn.XLOOKUP($B60,rf1_data!$B:$B,rf1_data!CE:CE,"NaN")))</f>
        <v>42</v>
      </c>
      <c r="CN60" s="5">
        <f>IF(_xlfn.XLOOKUP($B60,rf1_data!$B:$B,rf1_data!CF:CF,"NaN")="","NaN",(_xlfn.XLOOKUP($B60,rf1_data!$B:$B,rf1_data!CF:CF,"NaN")))</f>
        <v>50</v>
      </c>
      <c r="CO60" s="5">
        <f>IF(_xlfn.XLOOKUP($B60,rf1_data!$B:$B,rf1_data!CG:CG,"NaN")="","NaN",(_xlfn.XLOOKUP($B60,rf1_data!$B:$B,rf1_data!CG:CG,"NaN")))</f>
        <v>24</v>
      </c>
      <c r="CP60" s="5">
        <f>IF(_xlfn.XLOOKUP($B60,rf1_data!$B:$B,rf1_data!CH:CH,"NaN")=0,"NaN",(_xlfn.XLOOKUP($B60,rf1_data!$B:$B,rf1_data!CH:CH,"NaN")))</f>
        <v>30</v>
      </c>
      <c r="CQ60" s="5">
        <f>IF(_xlfn.XLOOKUP($B60,rf1_data!$B:$B,rf1_data!CI:CI,"NaN")="","NaN",(_xlfn.XLOOKUP($B60,rf1_data!$B:$B,rf1_data!CI:CI,"NaN")))</f>
        <v>48</v>
      </c>
      <c r="CR60" s="5">
        <f>IF(_xlfn.XLOOKUP($B60,rf1_data!$B:$B,rf1_data!CJ:CJ,"NaN")="","NaN",(_xlfn.XLOOKUP($B60,rf1_data!$B:$B,rf1_data!CJ:CJ,"NaN")))</f>
        <v>48</v>
      </c>
      <c r="CS60" s="5">
        <f>IF(_xlfn.XLOOKUP($B60,rf1_data!$B:$B,rf1_data!CK:CK,"NaN")="","NaN",(_xlfn.XLOOKUP($B60,rf1_data!$B:$B,rf1_data!CK:CK,"NaN")))</f>
        <v>48</v>
      </c>
      <c r="CT60" s="5">
        <f>IF(_xlfn.XLOOKUP($B60,rf1_data!$B:$B,rf1_data!CL:CL,"NaN")="","NaN",(_xlfn.XLOOKUP($B60,rf1_data!$B:$B,rf1_data!CL:CL,"NaN")))</f>
        <v>49</v>
      </c>
      <c r="CU60" s="5">
        <f>IF(_xlfn.XLOOKUP($B60,rf1_data!$B:$B,rf1_data!CM:CM,"NaN")="","NaN",(_xlfn.XLOOKUP($B60,rf1_data!$B:$B,rf1_data!CM:CM,"NaN")))</f>
        <v>45</v>
      </c>
      <c r="CV60" s="5">
        <f>IF(_xlfn.XLOOKUP($B60,rf1_data!$B:$B,rf1_data!CN:CN,"NaN")="","NaN",(_xlfn.XLOOKUP($B60,rf1_data!$B:$B,rf1_data!CN:CN,"NaN")))</f>
        <v>60</v>
      </c>
      <c r="CW60" s="5" t="str">
        <f>IF(_xlfn.XLOOKUP($B60,rf1_data!$B:$B,rf1_data!CO:CO,"NaN")="","NaN",(_xlfn.XLOOKUP($B60,rf1_data!$B:$B,rf1_data!CO:CO,"NaN")))</f>
        <v>NaN</v>
      </c>
      <c r="CX60" s="5" t="str">
        <f>IF(_xlfn.XLOOKUP($B60,rf1_data!$B:$B,rf1_data!CP:CP,"NaN")="","NaN",(_xlfn.XLOOKUP($B60,rf1_data!$B:$B,rf1_data!CP:CP,"NaN")))</f>
        <v>NaN</v>
      </c>
      <c r="CY60" s="5">
        <f>IF(_xlfn.XLOOKUP($B60,rf1_data!$B:$B,rf1_data!CQ:CQ,"NaN")="","NaN",(_xlfn.XLOOKUP($B60,rf1_data!$B:$B,rf1_data!CQ:CQ,"NaN")))</f>
        <v>2</v>
      </c>
      <c r="CZ60" s="5">
        <f>IF(_xlfn.XLOOKUP($B60,rf1_data!$B:$B,rf1_data!CR:CR,"NaN")="","NaN",(_xlfn.XLOOKUP($B60,rf1_data!$B:$B,rf1_data!CR:CR,"NaN")))</f>
        <v>3</v>
      </c>
      <c r="DA60" s="5">
        <f>IF(_xlfn.XLOOKUP($B60,rf1_data!$B:$B,rf1_data!CS:CS,"NaN")="","NaN",(_xlfn.XLOOKUP($B60,rf1_data!$B:$B,rf1_data!CS:CS,"NaN")))</f>
        <v>1</v>
      </c>
      <c r="DB60" s="4">
        <f>IF(_xlfn.XLOOKUP($B60,island_data!$B:$B,island_data!H:H,"NaN")="","NaN",_xlfn.XLOOKUP($B60,island_data!$B:$B,island_data!H:H,"NaN"))</f>
        <v>1</v>
      </c>
      <c r="DC60" s="4">
        <f>IF(_xlfn.XLOOKUP($B60,island_data!$B:$B,island_data!I:I,"NaN")="","NaN",_xlfn.XLOOKUP($B60,island_data!$B:$B,island_data!I:I,"NaN"))</f>
        <v>0</v>
      </c>
      <c r="DD60" s="4">
        <f>IF(_xlfn.XLOOKUP($B60,island_data!$B:$B,island_data!J:J,"NaN")="","NaN",_xlfn.XLOOKUP($B60,island_data!$B:$B,island_data!J:J,"NaN"))</f>
        <v>4</v>
      </c>
      <c r="DE60" s="4">
        <f>IF(_xlfn.XLOOKUP($B60,island_data!$B:$B,island_data!K:K,"NaN")="","NaN",_xlfn.XLOOKUP($B60,island_data!$B:$B,island_data!K:K,"NaN"))</f>
        <v>10</v>
      </c>
      <c r="DF60" s="4">
        <f>IF(_xlfn.XLOOKUP($B60,island_data!$B:$B,island_data!L:L,"NaN")="","NaN",_xlfn.XLOOKUP($B60,island_data!$B:$B,island_data!L:L,"NaN"))</f>
        <v>12</v>
      </c>
      <c r="DG60" s="4">
        <f>IF(_xlfn.XLOOKUP($B60,island_data!$B:$B,island_data!M:M,"NaN")="","NaN",_xlfn.XLOOKUP($B60,island_data!$B:$B,island_data!M:M,"NaN"))</f>
        <v>3.5</v>
      </c>
      <c r="DH60" s="4">
        <f>IF(_xlfn.XLOOKUP($B60,island_data!$B:$B,island_data!N:N,"NaN")="","NaN",_xlfn.XLOOKUP($B60,island_data!$B:$B,island_data!N:N,"NaN"))</f>
        <v>12</v>
      </c>
      <c r="DI60" s="4">
        <f>IF(_xlfn.XLOOKUP($B60,island_data!$B:$B,island_data!O:O,"NaN")=999,"NaN",_xlfn.XLOOKUP($B60,island_data!$B:$B,island_data!O:O,"NaN"))</f>
        <v>5</v>
      </c>
      <c r="DJ60" s="4">
        <f>IF(_xlfn.XLOOKUP($B60,island_data!$B:$B,island_data!P:P,"NaN")="","NaN",_xlfn.XLOOKUP($B60,island_data!$B:$B,island_data!P:P,"NaN"))</f>
        <v>9</v>
      </c>
      <c r="DK60" s="4">
        <f>IF(_xlfn.XLOOKUP($B60,island_data!$B:$B,island_data!Q:Q,"NaN")="","NaN",_xlfn.XLOOKUP($B60,island_data!$B:$B,island_data!Q:Q,"NaN"))</f>
        <v>0</v>
      </c>
      <c r="DL60" s="4">
        <f>IF(_xlfn.XLOOKUP($B60,island_data!$B:$B,island_data!R:R,"NaN")=999,"NaN",_xlfn.XLOOKUP($B60,island_data!$B:$B,island_data!R:R,"NaN"))</f>
        <v>18</v>
      </c>
      <c r="DM60" s="4">
        <f>IF(_xlfn.XLOOKUP($B60,island_data!$B:$B,island_data!S:S,"NaN")="","NaN",_xlfn.XLOOKUP($B60,island_data!$B:$B,island_data!S:S,"NaN"))</f>
        <v>12</v>
      </c>
      <c r="DN60" s="4">
        <f>IF(_xlfn.XLOOKUP($B60,island_data!$B:$B,island_data!T:T,"NaN")="","NaN",_xlfn.XLOOKUP($B60,island_data!$B:$B,island_data!T:T,"NaN"))</f>
        <v>5.6666666666666599</v>
      </c>
      <c r="DO60" s="4">
        <f>IF(_xlfn.XLOOKUP($B60,island_data!$B:$B,island_data!U:U,"NaN")="","NaN",_xlfn.XLOOKUP($B60,island_data!$B:$B,island_data!U:U,"NaN"))</f>
        <v>5</v>
      </c>
      <c r="DP60" s="4">
        <f>IF(_xlfn.XLOOKUP($B60,island_data!$B:$B,island_data!V:V,"NaN")="","NaN",_xlfn.XLOOKUP($B60,island_data!$B:$B,island_data!V:V,"NaN"))</f>
        <v>1</v>
      </c>
      <c r="DQ60" s="4">
        <f>IF(_xlfn.XLOOKUP($B60,island_data!$B:$B,island_data!W:W,"NaN")="","NaN",_xlfn.XLOOKUP($B60,island_data!$B:$B,island_data!W:W,"NaN"))</f>
        <v>6</v>
      </c>
      <c r="DR60" s="4">
        <f>IF(_xlfn.XLOOKUP($B60,island_data!$B:$B,island_data!X:X,"NaN")="","NaN",_xlfn.XLOOKUP($B60,island_data!$B:$B,island_data!X:X,"NaN"))</f>
        <v>5</v>
      </c>
      <c r="DS60" s="4" t="str">
        <f>IF(_xlfn.XLOOKUP($B60,island_data!$B:$B,island_data!Y:Y,"NaN")="","NaN",_xlfn.XLOOKUP($B60,island_data!$B:$B,island_data!Y:Y,"NaN"))</f>
        <v>NaN</v>
      </c>
      <c r="DT60" s="4" t="str">
        <f>IF(_xlfn.XLOOKUP($B60,island_data!$B:$B,island_data!Z:Z,"NaN")="","NaN",_xlfn.XLOOKUP($B60,island_data!$B:$B,island_data!Z:Z,"NaN"))</f>
        <v>NaN</v>
      </c>
      <c r="DU60" s="4" t="str">
        <f>IF(_xlfn.XLOOKUP($B60,island_data!$B:$B,island_data!AA:AA,"NaN")="","NaN",_xlfn.XLOOKUP($B60,island_data!$B:$B,island_data!AA:AA,"NaN"))</f>
        <v>NaN</v>
      </c>
      <c r="DV60" s="4">
        <f>IF(_xlfn.XLOOKUP($B60,island_data!$B:$B,island_data!AB:AB,"NaN")="","NaN",_xlfn.XLOOKUP($B60,island_data!$B:$B,island_data!AB:AB,"NaN"))</f>
        <v>2</v>
      </c>
      <c r="DW60" s="4">
        <f>IF(_xlfn.XLOOKUP($B60,island_data!$B:$B,island_data!AC:AC,"NaN")="","NaN",_xlfn.XLOOKUP($B60,island_data!$B:$B,island_data!AC:AC,"NaN"))</f>
        <v>19038</v>
      </c>
      <c r="DX60" s="4">
        <f>IF(_xlfn.XLOOKUP($B60,island_data!$B:$B,island_data!AD:AD,"NaN")="","NaN",_xlfn.XLOOKUP($B60,island_data!$B:$B,island_data!AD:AD,"NaN"))</f>
        <v>6</v>
      </c>
      <c r="DY60" s="4">
        <f>IF(_xlfn.XLOOKUP($B60,island_data!$B:$B,island_data!AE:AE,"NaN")="","NaN",_xlfn.XLOOKUP($B60,island_data!$B:$B,island_data!AE:AE,"NaN"))</f>
        <v>0</v>
      </c>
      <c r="DZ60" s="4" t="str">
        <f>IF(_xlfn.XLOOKUP($B60,island_data!$B:$B,island_data!AF:AF,"NaN")="","NaN",_xlfn.XLOOKUP($B60,island_data!$B:$B,island_data!AF:AF,"NaN"))</f>
        <v>NaN</v>
      </c>
      <c r="EA60" s="4" t="str">
        <f>IF(_xlfn.XLOOKUP($B60,island_data!$B:$B,island_data!AG:AG,"NaN")="","NaN",_xlfn.XLOOKUP($B60,island_data!$B:$B,island_data!AG:AG,"NaN"))</f>
        <v>NaN</v>
      </c>
      <c r="EB60" s="4" t="str">
        <f>IF(_xlfn.XLOOKUP($B60,island_data!$B:$B,island_data!AH:AH,"NaN")="","NaN",_xlfn.XLOOKUP($B60,island_data!$B:$B,island_data!AH:AH,"NaN"))</f>
        <v>NaN</v>
      </c>
      <c r="EC60" s="4">
        <f>IF(_xlfn.XLOOKUP($B60,island_data!$B:$B,island_data!AI:AI,"NaN")="","NaN",_xlfn.XLOOKUP($B60,island_data!$B:$B,island_data!AI:AI,"NaN"))</f>
        <v>15</v>
      </c>
      <c r="ED60" s="4">
        <f>IF(_xlfn.XLOOKUP($B60,island_data!$B:$B,island_data!AJ:AJ,"NaN")="","NaN",_xlfn.XLOOKUP($B60,island_data!$B:$B,island_data!AJ:AJ,"NaN"))</f>
        <v>15</v>
      </c>
      <c r="EE60" s="4">
        <f>IF(_xlfn.XLOOKUP($B60,island_data!$B:$B,island_data!AK:AK,"NaN")="","NaN",_xlfn.XLOOKUP($B60,island_data!$B:$B,island_data!AK:AK,"NaN"))</f>
        <v>19</v>
      </c>
      <c r="EF60" s="4">
        <f>IF(_xlfn.XLOOKUP($B60,island_data!$B:$B,island_data!AL:AL,"NaN")="","NaN",_xlfn.XLOOKUP($B60,island_data!$B:$B,island_data!AL:AL,"NaN"))</f>
        <v>16</v>
      </c>
      <c r="EG60" s="4">
        <f>IF(_xlfn.XLOOKUP($B60,island_data!$B:$B,island_data!AM:AM,"NaN")="","NaN",_xlfn.XLOOKUP($B60,island_data!$B:$B,island_data!AM:AM,"NaN"))</f>
        <v>17</v>
      </c>
      <c r="EH60" s="4" t="str">
        <f>IF(_xlfn.XLOOKUP($B60,island_data!$B:$B,island_data!AN:AN,"NaN")="","NaN",_xlfn.XLOOKUP($B60,island_data!$B:$B,island_data!AN:AN,"NaN"))</f>
        <v>NaN</v>
      </c>
      <c r="EI60" s="4" t="str">
        <f>IF(_xlfn.XLOOKUP($B60,island_data!$B:$B,island_data!AO:AO,"NaN")="","NaN",_xlfn.XLOOKUP($B60,island_data!$B:$B,island_data!AO:AO,"NaN"))</f>
        <v>NaN</v>
      </c>
      <c r="EJ60" s="8">
        <f>IF(_xlfn.XLOOKUP($A60,TabCAT!$A:$A,TabCAT!AU:AU,"NaN")="","NaN",(_xlfn.XLOOKUP($A60,TabCAT!$A:$A,TabCAT!AU:AU,"NaN")))</f>
        <v>154</v>
      </c>
      <c r="EK60" s="8" t="b">
        <f>IF(_xlfn.XLOOKUP($A60,TabCAT!$A:$A,TabCAT!AV:AV,"NaN")="","NaN",(_xlfn.XLOOKUP($A60,TabCAT!$A:$A,TabCAT!AV:AV,"NaN")))</f>
        <v>1</v>
      </c>
      <c r="EL60" s="8">
        <f>IF(_xlfn.XLOOKUP($A60,TabCAT!$A:$A,TabCAT!AW:AW,"NaN")="","NaN",(_xlfn.XLOOKUP($A60,TabCAT!$A:$A,TabCAT!AW:AW,"NaN")))</f>
        <v>6</v>
      </c>
      <c r="EM60" s="8">
        <f>IF(_xlfn.XLOOKUP($A60,TabCAT!$A:$A,TabCAT!AX:AX,"NaN")="","NaN",(_xlfn.XLOOKUP($A60,TabCAT!$A:$A,TabCAT!AX:AX,"NaN")))</f>
        <v>0</v>
      </c>
      <c r="EN60" s="8">
        <f>IF(_xlfn.XLOOKUP($A60,TabCAT!$A:$A,TabCAT!AY:AY,"NaN")="","NaN",(_xlfn.XLOOKUP($A60,TabCAT!$A:$A,TabCAT!AY:AY,"NaN")))</f>
        <v>8.65</v>
      </c>
      <c r="EO60" s="8">
        <f>IF(_xlfn.XLOOKUP($A60,TabCAT!$A:$A,TabCAT!AZ:AZ,"NaN")="","NaN",(_xlfn.XLOOKUP($A60,TabCAT!$A:$A,TabCAT!AZ:AZ,"NaN")))</f>
        <v>32</v>
      </c>
      <c r="EP60" s="8">
        <f>IF(_xlfn.XLOOKUP($A60,TabCAT!$A:$A,TabCAT!BA:BA,"NaN")="","NaN",(_xlfn.XLOOKUP($A60,TabCAT!$A:$A,TabCAT!BA:BA,"NaN")))</f>
        <v>0.78146399999999905</v>
      </c>
      <c r="EQ60" s="8">
        <f>IF(_xlfn.XLOOKUP($A60,TabCAT!$A:$A,TabCAT!BB:BB,"NaN")="","NaN",(_xlfn.XLOOKUP($A60,TabCAT!$A:$A,TabCAT!BB:BB,"NaN")))</f>
        <v>0.128786093286442</v>
      </c>
      <c r="ER60" s="8">
        <f>IF(_xlfn.XLOOKUP($A60,TabCAT!$A:$A,TabCAT!BC:BC,"NaN")="","NaN",(_xlfn.XLOOKUP($A60,TabCAT!$A:$A,TabCAT!BC:BC,"NaN")))</f>
        <v>16</v>
      </c>
      <c r="ES60" s="8">
        <f>IF(_xlfn.XLOOKUP($A60,TabCAT!$A:$A,TabCAT!BD:BD,"NaN")="","NaN",(_xlfn.XLOOKUP($A60,TabCAT!$A:$A,TabCAT!BD:BD,"NaN")))</f>
        <v>0.73981399999999997</v>
      </c>
      <c r="ET60" s="8">
        <f>IF(_xlfn.XLOOKUP($A60,TabCAT!$A:$A,TabCAT!BE:BE,"NaN")="","NaN",(_xlfn.XLOOKUP($A60,TabCAT!$A:$A,TabCAT!BE:BE,"NaN")))</f>
        <v>16</v>
      </c>
      <c r="EU60" s="8">
        <f>IF(_xlfn.XLOOKUP($A60,TabCAT!$A:$A,TabCAT!BF:BF,"NaN")="","NaN",(_xlfn.XLOOKUP($A60,TabCAT!$A:$A,TabCAT!BF:BF,"NaN")))</f>
        <v>0.79387399999999997</v>
      </c>
      <c r="EV60" s="8">
        <f>IF(_xlfn.XLOOKUP($A60,TabCAT!$A:$A,TabCAT!BG:BG,"NaN")="","NaN",(_xlfn.XLOOKUP($A60,TabCAT!$A:$A,TabCAT!BG:BG,"NaN")))</f>
        <v>0.37735800000000003</v>
      </c>
      <c r="EW60" s="8" t="str">
        <f>IF(_xlfn.XLOOKUP($A60,TabCAT!$A:$A,TabCAT!BH:BH,"NaN")="","NaN",(_xlfn.XLOOKUP($A60,TabCAT!$A:$A,TabCAT!BH:BH,"NaN")))</f>
        <v>3.0.0</v>
      </c>
      <c r="EX60" s="8" t="str">
        <f>IF(_xlfn.XLOOKUP($A60,TabCAT!$A:$A,TabCAT!BI:BI,"NaN")="","NaN",(_xlfn.XLOOKUP($A60,TabCAT!$A:$A,TabCAT!BI:BI,"NaN")))</f>
        <v>English</v>
      </c>
      <c r="EY60" s="8">
        <f>IF(_xlfn.XLOOKUP($A60,TabCAT!$A:$A,TabCAT!BJ:BJ,"NaN")="","NaN",(_xlfn.XLOOKUP($A60,TabCAT!$A:$A,TabCAT!BJ:BJ,"NaN")))</f>
        <v>275</v>
      </c>
      <c r="EZ60" s="8">
        <f>IF(_xlfn.XLOOKUP($A60,TabCAT!$A:$A,TabCAT!BK:BK,"NaN")="","NaN",(_xlfn.XLOOKUP($A60,TabCAT!$A:$A,TabCAT!BK:BK,"NaN")))</f>
        <v>1</v>
      </c>
      <c r="FA60" s="8">
        <f>IF(_xlfn.XLOOKUP($A60,TabCAT!$A:$A,TabCAT!BL:BL,"NaN")="","NaN",(_xlfn.XLOOKUP($A60,TabCAT!$A:$A,TabCAT!BL:BL,"NaN")))</f>
        <v>6</v>
      </c>
      <c r="FB60" s="8">
        <f>IF(_xlfn.XLOOKUP($A60,TabCAT!$A:$A,TabCAT!BM:BM,"NaN")="","NaN",(_xlfn.XLOOKUP($A60,TabCAT!$A:$A,TabCAT!BM:BM,"NaN")))</f>
        <v>1</v>
      </c>
      <c r="FC60" s="8">
        <f>IF(_xlfn.XLOOKUP($A60,TabCAT!$A:$A,TabCAT!BN:BN,"NaN")="","NaN",(_xlfn.XLOOKUP($A60,TabCAT!$A:$A,TabCAT!BN:BN,"NaN")))</f>
        <v>6</v>
      </c>
      <c r="FD60" s="8">
        <f>IF(_xlfn.XLOOKUP($A60,TabCAT!$A:$A,TabCAT!BO:BO,"NaN")="","NaN",(_xlfn.XLOOKUP($A60,TabCAT!$A:$A,TabCAT!BO:BO,"NaN")))</f>
        <v>7</v>
      </c>
      <c r="FE60" s="8">
        <f>IF(_xlfn.XLOOKUP($A60,TabCAT!$A:$A,TabCAT!BP:BP,"NaN")="","NaN",(_xlfn.XLOOKUP($A60,TabCAT!$A:$A,TabCAT!BP:BP,"NaN")))</f>
        <v>0.77777777777777701</v>
      </c>
      <c r="FF60" s="8">
        <f>IF(_xlfn.XLOOKUP($A60,TabCAT!$A:$A,TabCAT!BQ:BQ,"NaN")="","NaN",(_xlfn.XLOOKUP($A60,TabCAT!$A:$A,TabCAT!BQ:BQ,"NaN")))</f>
        <v>7</v>
      </c>
      <c r="FG60" s="8">
        <f>IF(_xlfn.XLOOKUP($A60,TabCAT!$A:$A,TabCAT!BR:BR,"NaN")="","NaN",(_xlfn.XLOOKUP($A60,TabCAT!$A:$A,TabCAT!BR:BR,"NaN")))</f>
        <v>9</v>
      </c>
      <c r="FH60" s="8">
        <f>IF(_xlfn.XLOOKUP($A60,TabCAT!$A:$A,TabCAT!BS:BS,"NaN")="","NaN",(_xlfn.XLOOKUP($A60,TabCAT!$A:$A,TabCAT!BS:BS,"NaN")))</f>
        <v>0.75</v>
      </c>
      <c r="FI60" s="8">
        <f>IF(_xlfn.XLOOKUP($A60,TabCAT!$A:$A,TabCAT!BT:BT,"NaN")="","NaN",(_xlfn.XLOOKUP($A60,TabCAT!$A:$A,TabCAT!BT:BT,"NaN")))</f>
        <v>8</v>
      </c>
      <c r="FJ60" s="8">
        <f>IF(_xlfn.XLOOKUP($A60,TabCAT!$A:$A,TabCAT!BU:BU,"NaN")="","NaN",(_xlfn.XLOOKUP($A60,TabCAT!$A:$A,TabCAT!BU:BU,"NaN")))</f>
        <v>8</v>
      </c>
      <c r="FK60" s="8">
        <f>IF(_xlfn.XLOOKUP($A60,TabCAT!$A:$A,TabCAT!BV:BV,"NaN")="","NaN",(_xlfn.XLOOKUP($A60,TabCAT!$A:$A,TabCAT!BV:BV,"NaN")))</f>
        <v>0.53333333333333299</v>
      </c>
      <c r="FL60" s="8">
        <f>IF(_xlfn.XLOOKUP($A60,TabCAT!$A:$A,TabCAT!BW:BW,"NaN")="","NaN",(_xlfn.XLOOKUP($A60,TabCAT!$A:$A,TabCAT!BW:BW,"NaN")))</f>
        <v>7</v>
      </c>
      <c r="FM60" s="8">
        <f>IF(_xlfn.XLOOKUP($A60,TabCAT!$A:$A,TabCAT!BX:BX,"NaN")="","NaN",(_xlfn.XLOOKUP($A60,TabCAT!$A:$A,TabCAT!BX:BX,"NaN")))</f>
        <v>30</v>
      </c>
      <c r="FN60" s="8">
        <f>IF(_xlfn.XLOOKUP($A60,TabCAT!$A:$A,TabCAT!BY:BY,"NaN")="","NaN",(_xlfn.XLOOKUP($A60,TabCAT!$A:$A,TabCAT!BY:BY,"NaN")))</f>
        <v>0.71428571428571397</v>
      </c>
      <c r="FO60" s="8">
        <f>IF(_xlfn.XLOOKUP($A60,TabCAT!$A:$A,TabCAT!BZ:BZ,"NaN")="","NaN",(_xlfn.XLOOKUP($A60,TabCAT!$A:$A,TabCAT!BZ:BZ,"NaN")))</f>
        <v>28</v>
      </c>
      <c r="FP60" s="8" t="str">
        <f>IF(_xlfn.XLOOKUP($A60,TabCAT!$A:$A,TabCAT!CA:CA,"NaN")="","NaN",(_xlfn.XLOOKUP($A60,TabCAT!$A:$A,TabCAT!CA:CA,"NaN")))</f>
        <v>3.0.0</v>
      </c>
      <c r="FQ60" s="8" t="str">
        <f>IF(_xlfn.XLOOKUP($A60,TabCAT!$A:$A,TabCAT!CB:CB,"NaN")="","NaN",(_xlfn.XLOOKUP($A60,TabCAT!$A:$A,TabCAT!CB:CB,"NaN")))</f>
        <v>English</v>
      </c>
      <c r="FR60" s="8">
        <f>IF(_xlfn.XLOOKUP($A60,TabCAT!$A:$A,TabCAT!CC:CC,"NaN")="","NaN",(_xlfn.XLOOKUP($A60,TabCAT!$A:$A,TabCAT!CC:CC,"NaN")))</f>
        <v>215</v>
      </c>
      <c r="FS60" s="8" t="b">
        <f>IF(_xlfn.XLOOKUP($A60,TabCAT!$A:$A,TabCAT!CD:CD,"NaN")="","NaN",(_xlfn.XLOOKUP($A60,TabCAT!$A:$A,TabCAT!CD:CD,"NaN")))</f>
        <v>1</v>
      </c>
      <c r="FT60" s="8">
        <f>IF(_xlfn.XLOOKUP($A60,TabCAT!$A:$A,TabCAT!CE:CE,"NaN")="","NaN",(_xlfn.XLOOKUP($A60,TabCAT!$A:$A,TabCAT!CE:CE,"NaN")))</f>
        <v>8</v>
      </c>
      <c r="FU60" s="8">
        <f>IF(_xlfn.XLOOKUP($A60,TabCAT!$A:$A,TabCAT!CF:CF,"NaN")="","NaN",(_xlfn.XLOOKUP($A60,TabCAT!$A:$A,TabCAT!CF:CF,"NaN")))</f>
        <v>0</v>
      </c>
      <c r="FV60" s="8">
        <f>IF(_xlfn.XLOOKUP($A60,TabCAT!$A:$A,TabCAT!CG:CG,"NaN")="","NaN",(_xlfn.XLOOKUP($A60,TabCAT!$A:$A,TabCAT!CG:CG,"NaN")))</f>
        <v>9.2899999999999991</v>
      </c>
      <c r="FW60" s="8">
        <f>IF(_xlfn.XLOOKUP($A60,TabCAT!$A:$A,TabCAT!CH:CH,"NaN")="","NaN",(_xlfn.XLOOKUP($A60,TabCAT!$A:$A,TabCAT!CH:CH,"NaN")))</f>
        <v>16</v>
      </c>
      <c r="FX60" s="8">
        <f>IF(_xlfn.XLOOKUP($A60,TabCAT!$A:$A,TabCAT!CI:CI,"NaN")="","NaN",(_xlfn.XLOOKUP($A60,TabCAT!$A:$A,TabCAT!CI:CI,"NaN")))</f>
        <v>0.61249500000000001</v>
      </c>
      <c r="FY60" s="8">
        <f>IF(_xlfn.XLOOKUP($A60,TabCAT!$A:$A,TabCAT!CJ:CJ,"NaN")="","NaN",(_xlfn.XLOOKUP($A60,TabCAT!$A:$A,TabCAT!CJ:CJ,"NaN")))</f>
        <v>16</v>
      </c>
      <c r="FZ60" s="8">
        <f>IF(_xlfn.XLOOKUP($A60,TabCAT!$A:$A,TabCAT!CK:CK,"NaN")="","NaN",(_xlfn.XLOOKUP($A60,TabCAT!$A:$A,TabCAT!CK:CK,"NaN")))</f>
        <v>0.63165850000000001</v>
      </c>
      <c r="GA60" s="8">
        <f>IF(_xlfn.XLOOKUP($A60,TabCAT!$A:$A,TabCAT!CL:CL,"NaN")="","NaN",(_xlfn.XLOOKUP($A60,TabCAT!$A:$A,TabCAT!CL:CL,"NaN")))</f>
        <v>32</v>
      </c>
      <c r="GB60" s="8">
        <f>IF(_xlfn.XLOOKUP($A60,TabCAT!$A:$A,TabCAT!CM:CM,"NaN")="","NaN",(_xlfn.XLOOKUP($A60,TabCAT!$A:$A,TabCAT!CM:CM,"NaN")))</f>
        <v>0.56676249999999995</v>
      </c>
      <c r="GC60" s="8">
        <f>IF(_xlfn.XLOOKUP($A60,TabCAT!$A:$A,TabCAT!CN:CN,"NaN")="","NaN",(_xlfn.XLOOKUP($A60,TabCAT!$A:$A,TabCAT!CN:CN,"NaN")))</f>
        <v>20</v>
      </c>
      <c r="GD60" s="8">
        <f>IF(_xlfn.XLOOKUP($A60,TabCAT!$A:$A,TabCAT!CO:CO,"NaN")="","NaN",(_xlfn.XLOOKUP($A60,TabCAT!$A:$A,TabCAT!CO:CO,"NaN")))</f>
        <v>0.55150500000000002</v>
      </c>
      <c r="GE60" s="8">
        <f>IF(_xlfn.XLOOKUP($A60,TabCAT!$A:$A,TabCAT!CP:CP,"NaN")="","NaN",(_xlfn.XLOOKUP($A60,TabCAT!$A:$A,TabCAT!CP:CP,"NaN")))</f>
        <v>0.17561975267357399</v>
      </c>
      <c r="GF60" s="8">
        <f>IF(_xlfn.XLOOKUP($A60,TabCAT!$A:$A,TabCAT!CQ:CQ,"NaN")="","NaN",(_xlfn.XLOOKUP($A60,TabCAT!$A:$A,TabCAT!CQ:CQ,"NaN")))</f>
        <v>54</v>
      </c>
      <c r="GG60" s="8">
        <f>IF(_xlfn.XLOOKUP($A60,TabCAT!$A:$A,TabCAT!CR:CR,"NaN")="","NaN",(_xlfn.XLOOKUP($A60,TabCAT!$A:$A,TabCAT!CR:CR,"NaN")))</f>
        <v>0.63732</v>
      </c>
      <c r="GH60" s="8">
        <f>IF(_xlfn.XLOOKUP($A60,TabCAT!$A:$A,TabCAT!CS:CS,"NaN")="","NaN",(_xlfn.XLOOKUP($A60,TabCAT!$A:$A,TabCAT!CS:CS,"NaN")))</f>
        <v>2.115942</v>
      </c>
    </row>
    <row r="61" spans="1:190" x14ac:dyDescent="0.2">
      <c r="A61">
        <v>10785</v>
      </c>
      <c r="B61">
        <f>_xlfn.XLOOKUP(bippity_poppity_boo!A61,rf1_data!A:A,rf1_data!B:B)</f>
        <v>201162</v>
      </c>
      <c r="C61" s="2">
        <f>(_xlfn.XLOOKUP($A61,trust!$A:$A,trust!B:B,"NaN"))</f>
        <v>2.8333330000000001</v>
      </c>
      <c r="D61" s="2">
        <f>(_xlfn.XLOOKUP($A61,trust!$A:$A,trust!C:C,"NaN"))</f>
        <v>3.0909089999999999</v>
      </c>
      <c r="E61" s="2">
        <f>(_xlfn.XLOOKUP($A61,trust!$A:$A,trust!D:D,"NaN"))</f>
        <v>2.545455</v>
      </c>
      <c r="F61" s="2">
        <f>(_xlfn.XLOOKUP($A61,trust!$A:$A,trust!E:E,"NaN"))</f>
        <v>3.6363639999999999</v>
      </c>
      <c r="G61" s="2">
        <f>(_xlfn.XLOOKUP($A61,trust!$A:$A,trust!F:F,"NaN"))</f>
        <v>3.6666669999999999</v>
      </c>
      <c r="H61" s="2">
        <f>(_xlfn.XLOOKUP($A61,trust!$A:$A,trust!G:G,"NaN"))</f>
        <v>2.461538</v>
      </c>
      <c r="I61" s="3">
        <f>IF(_xlfn.XLOOKUP($B61,island_data!$B:$B,island_data!C:C,"NaN")="","NaN",_xlfn.XLOOKUP($B61,island_data!$B:$B,island_data!C:C,"NaN"))</f>
        <v>45121</v>
      </c>
      <c r="J61" s="3">
        <f>IF(_xlfn.XLOOKUP($B61,island_data!$B:$B,island_data!D:D,"NaN")="","NaN",_xlfn.XLOOKUP($B61,island_data!$B:$B,island_data!D:D,"NaN"))</f>
        <v>22841</v>
      </c>
      <c r="K61" s="4">
        <f>IF(_xlfn.XLOOKUP($B61,island_data!$B:$B,island_data!E:E,"NaN")="","NaN",_xlfn.XLOOKUP($B61,island_data!$B:$B,island_data!E:E,"NaN"))</f>
        <v>61</v>
      </c>
      <c r="L61" s="5">
        <f>IF(_xlfn.XLOOKUP($B61,rf1_data!$B:$B,rf1_data!D:D,"NaN")="","NaN",(_xlfn.XLOOKUP($B61,rf1_data!$B:$B,rf1_data!D:D,"NaN")))</f>
        <v>61.23</v>
      </c>
      <c r="M61" s="5" t="str">
        <f>IF(_xlfn.XLOOKUP($B61,rf1_data!$B:$B,rf1_data!E:E,"NaN")="","NaN",(_xlfn.XLOOKUP($B61,rf1_data!$B:$B,rf1_data!E:E,"NaN")))</f>
        <v>White</v>
      </c>
      <c r="N61" s="5" t="str">
        <f>IF(_xlfn.XLOOKUP($B61,rf1_data!$B:$B,rf1_data!F:F,"NaN")="","NaN",(_xlfn.XLOOKUP($B61,rf1_data!$B:$B,rf1_data!F:F,"NaN")))</f>
        <v>Not Hispanic or Latino</v>
      </c>
      <c r="O61" s="5" t="str">
        <f>IF(_xlfn.XLOOKUP($B61,rf1_data!$B:$B,rf1_data!G:G,"NaN")="","NaN",(_xlfn.XLOOKUP($B61,rf1_data!$B:$B,rf1_data!G:G,"NaN")))</f>
        <v>Female</v>
      </c>
      <c r="P61" s="5">
        <f>IF(_xlfn.XLOOKUP($B61,rf1_data!$B:$B,rf1_data!H:H,"NaN")="","NaN",(_xlfn.XLOOKUP($B61,rf1_data!$B:$B,rf1_data!H:H,"NaN")))</f>
        <v>4</v>
      </c>
      <c r="Q61" s="5">
        <f>IF(_xlfn.XLOOKUP($B61,rf1_data!$B:$B,rf1_data!I:I,"NaN")="","NaN",(_xlfn.XLOOKUP($B61,rf1_data!$B:$B,rf1_data!I:I,"NaN")))</f>
        <v>3.8</v>
      </c>
      <c r="R61" s="5">
        <f>IF(_xlfn.XLOOKUP($B61,rf1_data!$B:$B,rf1_data!J:J,"NaN")="","NaN",(_xlfn.XLOOKUP($B61,rf1_data!$B:$B,rf1_data!J:J,"NaN")))</f>
        <v>1</v>
      </c>
      <c r="S61" s="5">
        <f>IF(_xlfn.XLOOKUP($B61,rf1_data!$B:$B,rf1_data!K:K,"NaN")="","NaN",(_xlfn.XLOOKUP($B61,rf1_data!$B:$B,rf1_data!K:K,"NaN")))</f>
        <v>1</v>
      </c>
      <c r="T61" s="5">
        <f>IF(_xlfn.XLOOKUP($B61,rf1_data!$B:$B,rf1_data!L:L,"NaN")="","NaN",(_xlfn.XLOOKUP($B61,rf1_data!$B:$B,rf1_data!L:L,"NaN")))</f>
        <v>0</v>
      </c>
      <c r="U61" s="5">
        <f>IF(_xlfn.XLOOKUP($B61,rf1_data!$B:$B,rf1_data!M:M,"NaN")="","NaN",(_xlfn.XLOOKUP($B61,rf1_data!$B:$B,rf1_data!M:M,"NaN")))</f>
        <v>6.67</v>
      </c>
      <c r="V61" s="5">
        <f>IF(_xlfn.XLOOKUP($B61,rf1_data!$B:$B,rf1_data!N:N,"NaN")="","NaN",(_xlfn.XLOOKUP($B61,rf1_data!$B:$B,rf1_data!N:N,"NaN")))</f>
        <v>6.17</v>
      </c>
      <c r="W61" s="5">
        <f>IF(_xlfn.XLOOKUP($B61,rf1_data!$B:$B,rf1_data!O:O,"NaN")="","NaN",(_xlfn.XLOOKUP($B61,rf1_data!$B:$B,rf1_data!O:O,"NaN")))</f>
        <v>6.63</v>
      </c>
      <c r="X61" s="5">
        <f>IF(_xlfn.XLOOKUP($B61,rf1_data!$B:$B,rf1_data!P:P,"NaN")="","NaN",(_xlfn.XLOOKUP($B61,rf1_data!$B:$B,rf1_data!P:P,"NaN")))</f>
        <v>5.5</v>
      </c>
      <c r="Y61" s="5">
        <f>IF(_xlfn.XLOOKUP($B61,rf1_data!$B:$B,rf1_data!Q:Q,"NaN")="","NaN",(_xlfn.XLOOKUP($B61,rf1_data!$B:$B,rf1_data!Q:Q,"NaN")))</f>
        <v>6.23</v>
      </c>
      <c r="Z61" s="5">
        <f>IF(_xlfn.XLOOKUP($B61,rf1_data!$B:$B,rf1_data!R:R,"NaN")="","NaN",(_xlfn.XLOOKUP($B61,rf1_data!$B:$B,rf1_data!R:R,"NaN")))</f>
        <v>6</v>
      </c>
      <c r="AA61" s="5">
        <f>IF(_xlfn.XLOOKUP($B61,rf1_data!$B:$B,rf1_data!S:S,"NaN")="","NaN",(_xlfn.XLOOKUP($B61,rf1_data!$B:$B,rf1_data!S:S,"NaN")))</f>
        <v>1</v>
      </c>
      <c r="AB61" s="5">
        <f>IF(_xlfn.XLOOKUP($B61,rf1_data!$B:$B,rf1_data!T:T,"NaN")="","NaN",(_xlfn.XLOOKUP($B61,rf1_data!$B:$B,rf1_data!T:T,"NaN")))</f>
        <v>5</v>
      </c>
      <c r="AC61" s="5">
        <f>IF(_xlfn.XLOOKUP($B61,rf1_data!$B:$B,rf1_data!U:U,"NaN")="","NaN",(_xlfn.XLOOKUP($B61,rf1_data!$B:$B,rf1_data!U:U,"NaN")))</f>
        <v>0</v>
      </c>
      <c r="AD61" s="5">
        <f>IF(_xlfn.XLOOKUP($B61,rf1_data!$B:$B,rf1_data!V:V,"NaN")="","NaN",(_xlfn.XLOOKUP($B61,rf1_data!$B:$B,rf1_data!V:V,"NaN")))</f>
        <v>0</v>
      </c>
      <c r="AE61" s="5">
        <f>IF(_xlfn.XLOOKUP($B61,rf1_data!$B:$B,rf1_data!W:W,"NaN")="","NaN",(_xlfn.XLOOKUP($B61,rf1_data!$B:$B,rf1_data!W:W,"NaN")))</f>
        <v>1</v>
      </c>
      <c r="AF61" s="5">
        <f>IF(_xlfn.XLOOKUP($B61,rf1_data!$B:$B,rf1_data!X:X,"NaN")="","NaN",(_xlfn.XLOOKUP($B61,rf1_data!$B:$B,rf1_data!X:X,"NaN")))</f>
        <v>1</v>
      </c>
      <c r="AG61" s="5">
        <f>IF(_xlfn.XLOOKUP($B61,rf1_data!$B:$B,rf1_data!Y:Y,"NaN")="","NaN",(_xlfn.XLOOKUP($B61,rf1_data!$B:$B,rf1_data!Y:Y,"NaN")))</f>
        <v>4</v>
      </c>
      <c r="AH61" s="5">
        <f>IF(_xlfn.XLOOKUP($B61,rf1_data!$B:$B,rf1_data!Z:Z,"NaN")="","NaN",(_xlfn.XLOOKUP($B61,rf1_data!$B:$B,rf1_data!Z:Z,"NaN")))</f>
        <v>1</v>
      </c>
      <c r="AI61" s="5">
        <f>IF(_xlfn.XLOOKUP($B61,rf1_data!$B:$B,rf1_data!AA:AA,"NaN")="","NaN",(_xlfn.XLOOKUP($B61,rf1_data!$B:$B,rf1_data!AA:AA,"NaN")))</f>
        <v>0</v>
      </c>
      <c r="AJ61" s="5">
        <f>IF(_xlfn.XLOOKUP($B61,rf1_data!$B:$B,rf1_data!AB:AB,"NaN")="","NaN",(_xlfn.XLOOKUP($B61,rf1_data!$B:$B,rf1_data!AB:AB,"NaN")))</f>
        <v>7</v>
      </c>
      <c r="AK61" s="5">
        <f>IF(_xlfn.XLOOKUP($B61,rf1_data!$B:$B,rf1_data!AC:AC,"NaN")="","NaN",(_xlfn.XLOOKUP($B61,rf1_data!$B:$B,rf1_data!AC:AC,"NaN")))</f>
        <v>39</v>
      </c>
      <c r="AL61" s="5">
        <f>IF(_xlfn.XLOOKUP($B61,rf1_data!$B:$B,rf1_data!AD:AD,"NaN")="","NaN",(_xlfn.XLOOKUP($B61,rf1_data!$B:$B,rf1_data!AD:AD,"NaN")))</f>
        <v>9</v>
      </c>
      <c r="AM61" s="5">
        <f>IF(_xlfn.XLOOKUP($B61,rf1_data!$B:$B,rf1_data!AE:AE,"NaN")="","NaN",(_xlfn.XLOOKUP($B61,rf1_data!$B:$B,rf1_data!AE:AE,"NaN")))</f>
        <v>0</v>
      </c>
      <c r="AN61" s="5">
        <f>IF(_xlfn.XLOOKUP($B61,rf1_data!$B:$B,rf1_data!AF:AF,"NaN")="","NaN",(_xlfn.XLOOKUP($B61,rf1_data!$B:$B,rf1_data!AF:AF,"NaN")))</f>
        <v>0</v>
      </c>
      <c r="AO61" s="5">
        <f>IF(_xlfn.XLOOKUP($B61,rf1_data!$B:$B,rf1_data!AG:AG,"NaN")="","NaN",(_xlfn.XLOOKUP($B61,rf1_data!$B:$B,rf1_data!AG:AG,"NaN")))</f>
        <v>5.75</v>
      </c>
      <c r="AP61" s="5">
        <f>IF(_xlfn.XLOOKUP($B61,rf1_data!$B:$B,rf1_data!AH:AH,"NaN")="","NaN",(_xlfn.XLOOKUP($B61,rf1_data!$B:$B,rf1_data!AH:AH,"NaN")))</f>
        <v>7</v>
      </c>
      <c r="AQ61" s="5">
        <f>IF(_xlfn.XLOOKUP($B61,rf1_data!$B:$B,rf1_data!AI:AI,"NaN")="","NaN",(_xlfn.XLOOKUP($B61,rf1_data!$B:$B,rf1_data!AI:AI,"NaN")))</f>
        <v>4.25</v>
      </c>
      <c r="AR61" s="5">
        <f>IF(_xlfn.XLOOKUP($B61,rf1_data!$B:$B,rf1_data!AJ:AJ,"NaN")="","NaN",(_xlfn.XLOOKUP($B61,rf1_data!$B:$B,rf1_data!AJ:AJ,"NaN")))</f>
        <v>6</v>
      </c>
      <c r="AS61" s="5">
        <f>IF(_xlfn.XLOOKUP($B61,rf1_data!$B:$B,rf1_data!AK:AK,"NaN")="","NaN",(_xlfn.XLOOKUP($B61,rf1_data!$B:$B,rf1_data!AK:AK,"NaN")))</f>
        <v>2.9</v>
      </c>
      <c r="AT61" s="5">
        <f>IF(_xlfn.XLOOKUP($B61,rf1_data!$B:$B,rf1_data!AL:AL,"NaN")="","NaN",(_xlfn.XLOOKUP($B61,rf1_data!$B:$B,rf1_data!AL:AL,"NaN")))</f>
        <v>12</v>
      </c>
      <c r="AU61" s="5">
        <f>IF(_xlfn.XLOOKUP($B61,rf1_data!$B:$B,rf1_data!AM:AM,"NaN")="","NaN",(_xlfn.XLOOKUP($B61,rf1_data!$B:$B,rf1_data!AM:AM,"NaN")))</f>
        <v>1.92</v>
      </c>
      <c r="AV61" s="5">
        <f>IF(_xlfn.XLOOKUP($B61,rf1_data!$B:$B,rf1_data!AN:AN,"NaN")="","NaN",(_xlfn.XLOOKUP($B61,rf1_data!$B:$B,rf1_data!AN:AN,"NaN")))</f>
        <v>8</v>
      </c>
      <c r="AW61" s="5">
        <f>IF(_xlfn.XLOOKUP($B61,rf1_data!$B:$B,rf1_data!AO:AO,"NaN")="","NaN",(_xlfn.XLOOKUP($B61,rf1_data!$B:$B,rf1_data!AO:AO,"NaN")))</f>
        <v>2.83</v>
      </c>
      <c r="AX61" s="5">
        <f>IF(_xlfn.XLOOKUP($B61,rf1_data!$B:$B,rf1_data!AP:AP,"NaN")="","NaN",(_xlfn.XLOOKUP($B61,rf1_data!$B:$B,rf1_data!AP:AP,"NaN")))</f>
        <v>9999</v>
      </c>
      <c r="AY61" s="5" t="str">
        <f>IF(_xlfn.XLOOKUP($B61,rf1_data!$B:$B,rf1_data!AQ:AQ,"NaN")="","NaN",(_xlfn.XLOOKUP($B61,rf1_data!$B:$B,rf1_data!AQ:AQ,"NaN")))</f>
        <v>NaN</v>
      </c>
      <c r="AZ61" s="5" t="str">
        <f>IF(_xlfn.XLOOKUP($B61,rf1_data!$B:$B,rf1_data!AR:AR,"NaN")="","NaN",(_xlfn.XLOOKUP($B61,rf1_data!$B:$B,rf1_data!AR:AR,"NaN")))</f>
        <v>NaN</v>
      </c>
      <c r="BA61" s="5" t="str">
        <f>IF(_xlfn.XLOOKUP($B61,rf1_data!$B:$B,rf1_data!AS:AS,"NaN")="","NaN",(_xlfn.XLOOKUP($B61,rf1_data!$B:$B,rf1_data!AS:AS,"NaN")))</f>
        <v>NaN</v>
      </c>
      <c r="BB61" s="5" t="str">
        <f>IF(_xlfn.XLOOKUP($B61,rf1_data!$B:$B,rf1_data!AT:AT,"NaN")="","NaN",(_xlfn.XLOOKUP($B61,rf1_data!$B:$B,rf1_data!AT:AT,"NaN")))</f>
        <v>NaN</v>
      </c>
      <c r="BC61" s="5" t="str">
        <f>IF(_xlfn.XLOOKUP($B61,rf1_data!$B:$B,rf1_data!AU:AU,"NaN")="","NaN",(_xlfn.XLOOKUP($B61,rf1_data!$B:$B,rf1_data!AU:AU,"NaN")))</f>
        <v>NaN</v>
      </c>
      <c r="BD61" s="5" t="str">
        <f>IF(_xlfn.XLOOKUP($B61,rf1_data!$B:$B,rf1_data!AV:AV,"NaN")="","NaN",(_xlfn.XLOOKUP($B61,rf1_data!$B:$B,rf1_data!AV:AV,"NaN")))</f>
        <v>NaN</v>
      </c>
      <c r="BE61" s="5" t="str">
        <f>IF(_xlfn.XLOOKUP($B61,rf1_data!$B:$B,rf1_data!AW:AW,"NaN")="","NaN",(_xlfn.XLOOKUP($B61,rf1_data!$B:$B,rf1_data!AW:AW,"NaN")))</f>
        <v>NaN</v>
      </c>
      <c r="BF61" s="5" t="str">
        <f>IF(_xlfn.XLOOKUP($B61,rf1_data!$B:$B,rf1_data!AX:AX,"NaN")="","NaN",(_xlfn.XLOOKUP($B61,rf1_data!$B:$B,rf1_data!AX:AX,"NaN")))</f>
        <v>NaN</v>
      </c>
      <c r="BG61" s="5" t="str">
        <f>IF(_xlfn.XLOOKUP($B61,rf1_data!$B:$B,rf1_data!AY:AY,"NaN")="","NaN",(_xlfn.XLOOKUP($B61,rf1_data!$B:$B,rf1_data!AY:AY,"NaN")))</f>
        <v>NaN</v>
      </c>
      <c r="BH61" s="5" t="str">
        <f>IF(_xlfn.XLOOKUP($B61,rf1_data!$B:$B,rf1_data!AZ:AZ,"NaN")="","NaN",(_xlfn.XLOOKUP($B61,rf1_data!$B:$B,rf1_data!AZ:AZ,"NaN")))</f>
        <v>NaN</v>
      </c>
      <c r="BI61" s="5">
        <f>IF(_xlfn.XLOOKUP($B61,rf1_data!$B:$B,rf1_data!BA:BA,"NaN")="","NaN",(_xlfn.XLOOKUP($B61,rf1_data!$B:$B,rf1_data!BA:BA,"NaN")))</f>
        <v>20</v>
      </c>
      <c r="BJ61" s="5" t="str">
        <f>IF(_xlfn.XLOOKUP($B61,rf1_data!$B:$B,rf1_data!BB:BB,"NaN")="","NaN",(_xlfn.XLOOKUP($B61,rf1_data!$B:$B,rf1_data!BB:BB,"NaN")))</f>
        <v>NaN</v>
      </c>
      <c r="BK61" s="5" t="str">
        <f>IF(_xlfn.XLOOKUP($B61,rf1_data!$B:$B,rf1_data!BC:BC,"NaN")="","NaN",(_xlfn.XLOOKUP($B61,rf1_data!$B:$B,rf1_data!BC:BC,"NaN")))</f>
        <v>NaN</v>
      </c>
      <c r="BL61" s="5" t="str">
        <f>IF(_xlfn.XLOOKUP($B61,rf1_data!$B:$B,rf1_data!BD:BD,"NaN")="","NaN",(_xlfn.XLOOKUP($B61,rf1_data!$B:$B,rf1_data!BD:BD,"NaN")))</f>
        <v>NaN</v>
      </c>
      <c r="BM61" s="5" t="str">
        <f>IF(_xlfn.XLOOKUP($B61,rf1_data!$B:$B,rf1_data!BE:BE,"NaN")="","NaN",(_xlfn.XLOOKUP($B61,rf1_data!$B:$B,rf1_data!BE:BE,"NaN")))</f>
        <v>NaN</v>
      </c>
      <c r="BN61" s="5" t="str">
        <f>IF(_xlfn.XLOOKUP($B61,rf1_data!$B:$B,rf1_data!BF:BF,"NaN")="","NaN",(_xlfn.XLOOKUP($B61,rf1_data!$B:$B,rf1_data!BF:BF,"NaN")))</f>
        <v>NaN</v>
      </c>
      <c r="BO61" s="5" t="str">
        <f>IF(_xlfn.XLOOKUP($B61,rf1_data!$B:$B,rf1_data!BG:BG,"NaN")="","NaN",(_xlfn.XLOOKUP($B61,rf1_data!$B:$B,rf1_data!BG:BG,"NaN")))</f>
        <v>NaN</v>
      </c>
      <c r="BP61" s="5" t="str">
        <f>IF(_xlfn.XLOOKUP($B61,rf1_data!$B:$B,rf1_data!BH:BH,"NaN")="","NaN",(_xlfn.XLOOKUP($B61,rf1_data!$B:$B,rf1_data!BH:BH,"NaN")))</f>
        <v>NaN</v>
      </c>
      <c r="BQ61" s="5" t="str">
        <f>IF(_xlfn.XLOOKUP($B61,rf1_data!$B:$B,rf1_data!BI:BI,"NaN")="","NaN",(_xlfn.XLOOKUP($B61,rf1_data!$B:$B,rf1_data!BI:BI,"NaN")))</f>
        <v>NaN</v>
      </c>
      <c r="BR61" s="5">
        <f>IF(_xlfn.XLOOKUP($B61,rf1_data!$B:$B,rf1_data!BJ:BJ,"NaN")="","NaN",(_xlfn.XLOOKUP($B61,rf1_data!$B:$B,rf1_data!BJ:BJ,"NaN")))</f>
        <v>8991</v>
      </c>
      <c r="BS61" s="5" t="str">
        <f>IF(_xlfn.XLOOKUP($B61,rf1_data!$B:$B,rf1_data!BK:BK,"NaN")="","NaN",(_xlfn.XLOOKUP($B61,rf1_data!$B:$B,rf1_data!BK:BK,"NaN")))</f>
        <v>NaN</v>
      </c>
      <c r="BT61" s="5" t="str">
        <f>IF(_xlfn.XLOOKUP($B61,rf1_data!$B:$B,rf1_data!BL:BL,"NaN")="","NaN",(_xlfn.XLOOKUP($B61,rf1_data!$B:$B,rf1_data!BL:BL,"NaN")))</f>
        <v>NaN</v>
      </c>
      <c r="BU61" s="5" t="str">
        <f>IF(_xlfn.XLOOKUP($B61,rf1_data!$B:$B,rf1_data!BM:BM,"NaN")="","NaN",(_xlfn.XLOOKUP($B61,rf1_data!$B:$B,rf1_data!BM:BM,"NaN")))</f>
        <v>NaN</v>
      </c>
      <c r="BV61" s="5" t="str">
        <f>IF(_xlfn.XLOOKUP($B61,rf1_data!$B:$B,rf1_data!BN:BN,"NaN")="","NaN",(_xlfn.XLOOKUP($B61,rf1_data!$B:$B,rf1_data!BN:BN,"NaN")))</f>
        <v>NaN</v>
      </c>
      <c r="BW61" s="5">
        <f>IF(_xlfn.XLOOKUP($B61,rf1_data!$B:$B,rf1_data!BO:BO,"NaN")="","NaN",(_xlfn.XLOOKUP($B61,rf1_data!$B:$B,rf1_data!BO:BO,"NaN")))</f>
        <v>4.0999999999999996</v>
      </c>
      <c r="BX61" s="5">
        <f>IF(_xlfn.XLOOKUP($B61,rf1_data!$B:$B,rf1_data!BP:BP,"NaN")="","NaN",(_xlfn.XLOOKUP($B61,rf1_data!$B:$B,rf1_data!BP:BP,"NaN")))</f>
        <v>4.3</v>
      </c>
      <c r="BY61" s="5">
        <f>IF(_xlfn.XLOOKUP($B61,rf1_data!$B:$B,rf1_data!BQ:BQ,"NaN")="","NaN",(_xlfn.XLOOKUP($B61,rf1_data!$B:$B,rf1_data!BQ:BQ,"NaN")))</f>
        <v>4.2</v>
      </c>
      <c r="BZ61" s="5">
        <f>IF(_xlfn.XLOOKUP($B61,rf1_data!$B:$B,rf1_data!BR:BR,"NaN")="","NaN",(_xlfn.XLOOKUP($B61,rf1_data!$B:$B,rf1_data!BR:BR,"NaN")))</f>
        <v>4.2</v>
      </c>
      <c r="CA61" s="5">
        <f>IF(_xlfn.XLOOKUP($B61,rf1_data!$B:$B,rf1_data!BS:BS,"NaN")="","NaN",(_xlfn.XLOOKUP($B61,rf1_data!$B:$B,rf1_data!BS:BS,"NaN")))</f>
        <v>6</v>
      </c>
      <c r="CB61" s="5">
        <f>IF(_xlfn.XLOOKUP($B61,rf1_data!$B:$B,rf1_data!BT:BT,"NaN")="","NaN",(_xlfn.XLOOKUP($B61,rf1_data!$B:$B,rf1_data!BT:BT,"NaN")))</f>
        <v>2.6666666666666998</v>
      </c>
      <c r="CC61" s="5">
        <f>IF(_xlfn.XLOOKUP($B61,rf1_data!$B:$B,rf1_data!BU:BU,"NaN")="","NaN",(_xlfn.XLOOKUP($B61,rf1_data!$B:$B,rf1_data!BU:BU,"NaN")))</f>
        <v>2.6666666666666998</v>
      </c>
      <c r="CD61" s="5">
        <f>IF(_xlfn.XLOOKUP($B61,rf1_data!$B:$B,rf1_data!BV:BV,"NaN")="","NaN",(_xlfn.XLOOKUP($B61,rf1_data!$B:$B,rf1_data!BV:BV,"NaN")))</f>
        <v>3.8333333333333002</v>
      </c>
      <c r="CE61" s="5">
        <f>IF(_xlfn.XLOOKUP($B61,rf1_data!$B:$B,rf1_data!BW:BW,"NaN")="","NaN",(_xlfn.XLOOKUP($B61,rf1_data!$B:$B,rf1_data!BW:BW,"NaN")))</f>
        <v>0.4</v>
      </c>
      <c r="CF61" s="5">
        <f>IF(_xlfn.XLOOKUP($B61,rf1_data!$B:$B,rf1_data!BX:BX,"NaN")="","NaN",(_xlfn.XLOOKUP($B61,rf1_data!$B:$B,rf1_data!BX:BX,"NaN")))</f>
        <v>0</v>
      </c>
      <c r="CG61" s="5">
        <f>IF(_xlfn.XLOOKUP($B61,rf1_data!$B:$B,rf1_data!BY:BY,"NaN")="","NaN",(_xlfn.XLOOKUP($B61,rf1_data!$B:$B,rf1_data!BY:BY,"NaN")))</f>
        <v>0</v>
      </c>
      <c r="CH61" s="5">
        <f>IF(_xlfn.XLOOKUP($B61,rf1_data!$B:$B,rf1_data!BZ:BZ,"NaN")="","NaN",(_xlfn.XLOOKUP($B61,rf1_data!$B:$B,rf1_data!BZ:BZ,"NaN")))</f>
        <v>25</v>
      </c>
      <c r="CI61" s="5">
        <f>IF(_xlfn.XLOOKUP($B61,rf1_data!$B:$B,rf1_data!CA:CA,"NaN")="","NaN",(_xlfn.XLOOKUP($B61,rf1_data!$B:$B,rf1_data!CA:CA,"NaN")))</f>
        <v>22</v>
      </c>
      <c r="CJ61" s="5">
        <f>IF(_xlfn.XLOOKUP($B61,rf1_data!$B:$B,rf1_data!CB:CB,"NaN")="","NaN",(_xlfn.XLOOKUP($B61,rf1_data!$B:$B,rf1_data!CB:CB,"NaN")))</f>
        <v>10</v>
      </c>
      <c r="CK61" s="5">
        <f>IF(_xlfn.XLOOKUP($B61,rf1_data!$B:$B,rf1_data!CC:CC,"NaN")="","NaN",(_xlfn.XLOOKUP($B61,rf1_data!$B:$B,rf1_data!CC:CC,"NaN")))</f>
        <v>0.90909090909090995</v>
      </c>
      <c r="CL61" s="5">
        <f>IF(_xlfn.XLOOKUP($B61,rf1_data!$B:$B,rf1_data!CD:CD,"NaN")=0,"NaN",(_xlfn.XLOOKUP($B61,rf1_data!$B:$B,rf1_data!CD:CD,"NaN")))</f>
        <v>33</v>
      </c>
      <c r="CM61" s="5">
        <f>IF(_xlfn.XLOOKUP($B61,rf1_data!$B:$B,rf1_data!CE:CE,"NaN")="","NaN",(_xlfn.XLOOKUP($B61,rf1_data!$B:$B,rf1_data!CE:CE,"NaN")))</f>
        <v>31</v>
      </c>
      <c r="CN61" s="5">
        <f>IF(_xlfn.XLOOKUP($B61,rf1_data!$B:$B,rf1_data!CF:CF,"NaN")="","NaN",(_xlfn.XLOOKUP($B61,rf1_data!$B:$B,rf1_data!CF:CF,"NaN")))</f>
        <v>55</v>
      </c>
      <c r="CO61" s="5">
        <f>IF(_xlfn.XLOOKUP($B61,rf1_data!$B:$B,rf1_data!CG:CG,"NaN")="","NaN",(_xlfn.XLOOKUP($B61,rf1_data!$B:$B,rf1_data!CG:CG,"NaN")))</f>
        <v>30</v>
      </c>
      <c r="CP61" s="5">
        <f>IF(_xlfn.XLOOKUP($B61,rf1_data!$B:$B,rf1_data!CH:CH,"NaN")=0,"NaN",(_xlfn.XLOOKUP($B61,rf1_data!$B:$B,rf1_data!CH:CH,"NaN")))</f>
        <v>29</v>
      </c>
      <c r="CQ61" s="5">
        <f>IF(_xlfn.XLOOKUP($B61,rf1_data!$B:$B,rf1_data!CI:CI,"NaN")="","NaN",(_xlfn.XLOOKUP($B61,rf1_data!$B:$B,rf1_data!CI:CI,"NaN")))</f>
        <v>45</v>
      </c>
      <c r="CR61" s="5">
        <f>IF(_xlfn.XLOOKUP($B61,rf1_data!$B:$B,rf1_data!CJ:CJ,"NaN")="","NaN",(_xlfn.XLOOKUP($B61,rf1_data!$B:$B,rf1_data!CJ:CJ,"NaN")))</f>
        <v>60</v>
      </c>
      <c r="CS61" s="5">
        <f>IF(_xlfn.XLOOKUP($B61,rf1_data!$B:$B,rf1_data!CK:CK,"NaN")="","NaN",(_xlfn.XLOOKUP($B61,rf1_data!$B:$B,rf1_data!CK:CK,"NaN")))</f>
        <v>43</v>
      </c>
      <c r="CT61" s="5">
        <f>IF(_xlfn.XLOOKUP($B61,rf1_data!$B:$B,rf1_data!CL:CL,"NaN")="","NaN",(_xlfn.XLOOKUP($B61,rf1_data!$B:$B,rf1_data!CL:CL,"NaN")))</f>
        <v>60</v>
      </c>
      <c r="CU61" s="5">
        <f>IF(_xlfn.XLOOKUP($B61,rf1_data!$B:$B,rf1_data!CM:CM,"NaN")="","NaN",(_xlfn.XLOOKUP($B61,rf1_data!$B:$B,rf1_data!CM:CM,"NaN")))</f>
        <v>33</v>
      </c>
      <c r="CV61" s="5">
        <f>IF(_xlfn.XLOOKUP($B61,rf1_data!$B:$B,rf1_data!CN:CN,"NaN")="","NaN",(_xlfn.XLOOKUP($B61,rf1_data!$B:$B,rf1_data!CN:CN,"NaN")))</f>
        <v>60</v>
      </c>
      <c r="CW61" s="5">
        <f>IF(_xlfn.XLOOKUP($B61,rf1_data!$B:$B,rf1_data!CO:CO,"NaN")="","NaN",(_xlfn.XLOOKUP($B61,rf1_data!$B:$B,rf1_data!CO:CO,"NaN")))</f>
        <v>2</v>
      </c>
      <c r="CX61" s="5">
        <f>IF(_xlfn.XLOOKUP($B61,rf1_data!$B:$B,rf1_data!CP:CP,"NaN")="","NaN",(_xlfn.XLOOKUP($B61,rf1_data!$B:$B,rf1_data!CP:CP,"NaN")))</f>
        <v>2</v>
      </c>
      <c r="CY61" s="5">
        <f>IF(_xlfn.XLOOKUP($B61,rf1_data!$B:$B,rf1_data!CQ:CQ,"NaN")="","NaN",(_xlfn.XLOOKUP($B61,rf1_data!$B:$B,rf1_data!CQ:CQ,"NaN")))</f>
        <v>6</v>
      </c>
      <c r="CZ61" s="5">
        <f>IF(_xlfn.XLOOKUP($B61,rf1_data!$B:$B,rf1_data!CR:CR,"NaN")="","NaN",(_xlfn.XLOOKUP($B61,rf1_data!$B:$B,rf1_data!CR:CR,"NaN")))</f>
        <v>1</v>
      </c>
      <c r="DA61" s="5">
        <f>IF(_xlfn.XLOOKUP($B61,rf1_data!$B:$B,rf1_data!CS:CS,"NaN")="","NaN",(_xlfn.XLOOKUP($B61,rf1_data!$B:$B,rf1_data!CS:CS,"NaN")))</f>
        <v>1</v>
      </c>
      <c r="DB61" s="4">
        <f>IF(_xlfn.XLOOKUP($B61,island_data!$B:$B,island_data!H:H,"NaN")="","NaN",_xlfn.XLOOKUP($B61,island_data!$B:$B,island_data!H:H,"NaN"))</f>
        <v>0</v>
      </c>
      <c r="DC61" s="4">
        <f>IF(_xlfn.XLOOKUP($B61,island_data!$B:$B,island_data!I:I,"NaN")="","NaN",_xlfn.XLOOKUP($B61,island_data!$B:$B,island_data!I:I,"NaN"))</f>
        <v>0</v>
      </c>
      <c r="DD61" s="4">
        <f>IF(_xlfn.XLOOKUP($B61,island_data!$B:$B,island_data!J:J,"NaN")="","NaN",_xlfn.XLOOKUP($B61,island_data!$B:$B,island_data!J:J,"NaN"))</f>
        <v>2</v>
      </c>
      <c r="DE61" s="4">
        <f>IF(_xlfn.XLOOKUP($B61,island_data!$B:$B,island_data!K:K,"NaN")="","NaN",_xlfn.XLOOKUP($B61,island_data!$B:$B,island_data!K:K,"NaN"))</f>
        <v>13</v>
      </c>
      <c r="DF61" s="4">
        <f>IF(_xlfn.XLOOKUP($B61,island_data!$B:$B,island_data!L:L,"NaN")="","NaN",_xlfn.XLOOKUP($B61,island_data!$B:$B,island_data!L:L,"NaN"))</f>
        <v>27</v>
      </c>
      <c r="DG61" s="4">
        <f>IF(_xlfn.XLOOKUP($B61,island_data!$B:$B,island_data!M:M,"NaN")="","NaN",_xlfn.XLOOKUP($B61,island_data!$B:$B,island_data!M:M,"NaN"))</f>
        <v>2.6875</v>
      </c>
      <c r="DH61" s="4">
        <f>IF(_xlfn.XLOOKUP($B61,island_data!$B:$B,island_data!N:N,"NaN")="","NaN",_xlfn.XLOOKUP($B61,island_data!$B:$B,island_data!N:N,"NaN"))</f>
        <v>12</v>
      </c>
      <c r="DI61" s="4">
        <f>IF(_xlfn.XLOOKUP($B61,island_data!$B:$B,island_data!O:O,"NaN")=999,"NaN",_xlfn.XLOOKUP($B61,island_data!$B:$B,island_data!O:O,"NaN"))</f>
        <v>2</v>
      </c>
      <c r="DJ61" s="4">
        <f>IF(_xlfn.XLOOKUP($B61,island_data!$B:$B,island_data!P:P,"NaN")="","NaN",_xlfn.XLOOKUP($B61,island_data!$B:$B,island_data!P:P,"NaN"))</f>
        <v>6</v>
      </c>
      <c r="DK61" s="4">
        <f>IF(_xlfn.XLOOKUP($B61,island_data!$B:$B,island_data!Q:Q,"NaN")="","NaN",_xlfn.XLOOKUP($B61,island_data!$B:$B,island_data!Q:Q,"NaN"))</f>
        <v>2</v>
      </c>
      <c r="DL61" s="4">
        <f>IF(_xlfn.XLOOKUP($B61,island_data!$B:$B,island_data!R:R,"NaN")=999,"NaN",_xlfn.XLOOKUP($B61,island_data!$B:$B,island_data!R:R,"NaN"))</f>
        <v>11</v>
      </c>
      <c r="DM61" s="4">
        <f>IF(_xlfn.XLOOKUP($B61,island_data!$B:$B,island_data!S:S,"NaN")="","NaN",_xlfn.XLOOKUP($B61,island_data!$B:$B,island_data!S:S,"NaN"))</f>
        <v>10</v>
      </c>
      <c r="DN61" s="4">
        <f>IF(_xlfn.XLOOKUP($B61,island_data!$B:$B,island_data!T:T,"NaN")="","NaN",_xlfn.XLOOKUP($B61,island_data!$B:$B,island_data!T:T,"NaN"))</f>
        <v>2.75</v>
      </c>
      <c r="DO61" s="4">
        <f>IF(_xlfn.XLOOKUP($B61,island_data!$B:$B,island_data!U:U,"NaN")="","NaN",_xlfn.XLOOKUP($B61,island_data!$B:$B,island_data!U:U,"NaN"))</f>
        <v>5</v>
      </c>
      <c r="DP61" s="4">
        <f>IF(_xlfn.XLOOKUP($B61,island_data!$B:$B,island_data!V:V,"NaN")="","NaN",_xlfn.XLOOKUP($B61,island_data!$B:$B,island_data!V:V,"NaN"))</f>
        <v>1</v>
      </c>
      <c r="DQ61" s="4">
        <f>IF(_xlfn.XLOOKUP($B61,island_data!$B:$B,island_data!W:W,"NaN")="","NaN",_xlfn.XLOOKUP($B61,island_data!$B:$B,island_data!W:W,"NaN"))</f>
        <v>5</v>
      </c>
      <c r="DR61" s="4">
        <f>IF(_xlfn.XLOOKUP($B61,island_data!$B:$B,island_data!X:X,"NaN")="","NaN",_xlfn.XLOOKUP($B61,island_data!$B:$B,island_data!X:X,"NaN"))</f>
        <v>5</v>
      </c>
      <c r="DS61" s="4" t="str">
        <f>IF(_xlfn.XLOOKUP($B61,island_data!$B:$B,island_data!Y:Y,"NaN")="","NaN",_xlfn.XLOOKUP($B61,island_data!$B:$B,island_data!Y:Y,"NaN"))</f>
        <v>NaN</v>
      </c>
      <c r="DT61" s="4" t="str">
        <f>IF(_xlfn.XLOOKUP($B61,island_data!$B:$B,island_data!Z:Z,"NaN")="","NaN",_xlfn.XLOOKUP($B61,island_data!$B:$B,island_data!Z:Z,"NaN"))</f>
        <v>NaN</v>
      </c>
      <c r="DU61" s="4" t="str">
        <f>IF(_xlfn.XLOOKUP($B61,island_data!$B:$B,island_data!AA:AA,"NaN")="","NaN",_xlfn.XLOOKUP($B61,island_data!$B:$B,island_data!AA:AA,"NaN"))</f>
        <v>NaN</v>
      </c>
      <c r="DV61" s="4">
        <f>IF(_xlfn.XLOOKUP($B61,island_data!$B:$B,island_data!AB:AB,"NaN")="","NaN",_xlfn.XLOOKUP($B61,island_data!$B:$B,island_data!AB:AB,"NaN"))</f>
        <v>1</v>
      </c>
      <c r="DW61" s="4">
        <f>IF(_xlfn.XLOOKUP($B61,island_data!$B:$B,island_data!AC:AC,"NaN")="","NaN",_xlfn.XLOOKUP($B61,island_data!$B:$B,island_data!AC:AC,"NaN"))</f>
        <v>16125</v>
      </c>
      <c r="DX61" s="4">
        <f>IF(_xlfn.XLOOKUP($B61,island_data!$B:$B,island_data!AD:AD,"NaN")="","NaN",_xlfn.XLOOKUP($B61,island_data!$B:$B,island_data!AD:AD,"NaN"))</f>
        <v>5</v>
      </c>
      <c r="DY61" s="4">
        <f>IF(_xlfn.XLOOKUP($B61,island_data!$B:$B,island_data!AE:AE,"NaN")="","NaN",_xlfn.XLOOKUP($B61,island_data!$B:$B,island_data!AE:AE,"NaN"))</f>
        <v>1</v>
      </c>
      <c r="DZ61" s="4" t="str">
        <f>IF(_xlfn.XLOOKUP($B61,island_data!$B:$B,island_data!AF:AF,"NaN")="","NaN",_xlfn.XLOOKUP($B61,island_data!$B:$B,island_data!AF:AF,"NaN"))</f>
        <v>NaN</v>
      </c>
      <c r="EA61" s="4" t="str">
        <f>IF(_xlfn.XLOOKUP($B61,island_data!$B:$B,island_data!AG:AG,"NaN")="","NaN",_xlfn.XLOOKUP($B61,island_data!$B:$B,island_data!AG:AG,"NaN"))</f>
        <v>NaN</v>
      </c>
      <c r="EB61" s="4" t="str">
        <f>IF(_xlfn.XLOOKUP($B61,island_data!$B:$B,island_data!AH:AH,"NaN")="","NaN",_xlfn.XLOOKUP($B61,island_data!$B:$B,island_data!AH:AH,"NaN"))</f>
        <v>NaN</v>
      </c>
      <c r="EC61" s="4">
        <f>IF(_xlfn.XLOOKUP($B61,island_data!$B:$B,island_data!AI:AI,"NaN")="","NaN",_xlfn.XLOOKUP($B61,island_data!$B:$B,island_data!AI:AI,"NaN"))</f>
        <v>18</v>
      </c>
      <c r="ED61" s="4">
        <f>IF(_xlfn.XLOOKUP($B61,island_data!$B:$B,island_data!AJ:AJ,"NaN")="","NaN",_xlfn.XLOOKUP($B61,island_data!$B:$B,island_data!AJ:AJ,"NaN"))</f>
        <v>11</v>
      </c>
      <c r="EE61" s="4">
        <f>IF(_xlfn.XLOOKUP($B61,island_data!$B:$B,island_data!AK:AK,"NaN")="","NaN",_xlfn.XLOOKUP($B61,island_data!$B:$B,island_data!AK:AK,"NaN"))</f>
        <v>14</v>
      </c>
      <c r="EF61" s="4">
        <f>IF(_xlfn.XLOOKUP($B61,island_data!$B:$B,island_data!AL:AL,"NaN")="","NaN",_xlfn.XLOOKUP($B61,island_data!$B:$B,island_data!AL:AL,"NaN"))</f>
        <v>17</v>
      </c>
      <c r="EG61" s="4">
        <f>IF(_xlfn.XLOOKUP($B61,island_data!$B:$B,island_data!AM:AM,"NaN")="","NaN",_xlfn.XLOOKUP($B61,island_data!$B:$B,island_data!AM:AM,"NaN"))</f>
        <v>15</v>
      </c>
      <c r="EH61" s="4">
        <f>IF(_xlfn.XLOOKUP($B61,island_data!$B:$B,island_data!AN:AN,"NaN")="","NaN",_xlfn.XLOOKUP($B61,island_data!$B:$B,island_data!AN:AN,"NaN"))</f>
        <v>0</v>
      </c>
      <c r="EI61" s="4" t="str">
        <f>IF(_xlfn.XLOOKUP($B61,island_data!$B:$B,island_data!AO:AO,"NaN")="","NaN",_xlfn.XLOOKUP($B61,island_data!$B:$B,island_data!AO:AO,"NaN"))</f>
        <v>NaN</v>
      </c>
      <c r="EJ61" s="8" t="str">
        <f>IF(_xlfn.XLOOKUP($A61,TabCAT!$A:$A,TabCAT!AU:AU,"NaN")="","NaN",(_xlfn.XLOOKUP($A61,TabCAT!$A:$A,TabCAT!AU:AU,"NaN")))</f>
        <v>NaN</v>
      </c>
      <c r="EK61" s="8" t="str">
        <f>IF(_xlfn.XLOOKUP($A61,TabCAT!$A:$A,TabCAT!AV:AV,"NaN")="","NaN",(_xlfn.XLOOKUP($A61,TabCAT!$A:$A,TabCAT!AV:AV,"NaN")))</f>
        <v>NaN</v>
      </c>
      <c r="EL61" s="8" t="str">
        <f>IF(_xlfn.XLOOKUP($A61,TabCAT!$A:$A,TabCAT!AW:AW,"NaN")="","NaN",(_xlfn.XLOOKUP($A61,TabCAT!$A:$A,TabCAT!AW:AW,"NaN")))</f>
        <v>NaN</v>
      </c>
      <c r="EM61" s="8" t="str">
        <f>IF(_xlfn.XLOOKUP($A61,TabCAT!$A:$A,TabCAT!AX:AX,"NaN")="","NaN",(_xlfn.XLOOKUP($A61,TabCAT!$A:$A,TabCAT!AX:AX,"NaN")))</f>
        <v>NaN</v>
      </c>
      <c r="EN61" s="8" t="str">
        <f>IF(_xlfn.XLOOKUP($A61,TabCAT!$A:$A,TabCAT!AY:AY,"NaN")="","NaN",(_xlfn.XLOOKUP($A61,TabCAT!$A:$A,TabCAT!AY:AY,"NaN")))</f>
        <v>NaN</v>
      </c>
      <c r="EO61" s="8" t="str">
        <f>IF(_xlfn.XLOOKUP($A61,TabCAT!$A:$A,TabCAT!AZ:AZ,"NaN")="","NaN",(_xlfn.XLOOKUP($A61,TabCAT!$A:$A,TabCAT!AZ:AZ,"NaN")))</f>
        <v>NaN</v>
      </c>
      <c r="EP61" s="8" t="str">
        <f>IF(_xlfn.XLOOKUP($A61,TabCAT!$A:$A,TabCAT!BA:BA,"NaN")="","NaN",(_xlfn.XLOOKUP($A61,TabCAT!$A:$A,TabCAT!BA:BA,"NaN")))</f>
        <v>NaN</v>
      </c>
      <c r="EQ61" s="8" t="str">
        <f>IF(_xlfn.XLOOKUP($A61,TabCAT!$A:$A,TabCAT!BB:BB,"NaN")="","NaN",(_xlfn.XLOOKUP($A61,TabCAT!$A:$A,TabCAT!BB:BB,"NaN")))</f>
        <v>NaN</v>
      </c>
      <c r="ER61" s="8" t="str">
        <f>IF(_xlfn.XLOOKUP($A61,TabCAT!$A:$A,TabCAT!BC:BC,"NaN")="","NaN",(_xlfn.XLOOKUP($A61,TabCAT!$A:$A,TabCAT!BC:BC,"NaN")))</f>
        <v>NaN</v>
      </c>
      <c r="ES61" s="8" t="str">
        <f>IF(_xlfn.XLOOKUP($A61,TabCAT!$A:$A,TabCAT!BD:BD,"NaN")="","NaN",(_xlfn.XLOOKUP($A61,TabCAT!$A:$A,TabCAT!BD:BD,"NaN")))</f>
        <v>NaN</v>
      </c>
      <c r="ET61" s="8" t="str">
        <f>IF(_xlfn.XLOOKUP($A61,TabCAT!$A:$A,TabCAT!BE:BE,"NaN")="","NaN",(_xlfn.XLOOKUP($A61,TabCAT!$A:$A,TabCAT!BE:BE,"NaN")))</f>
        <v>NaN</v>
      </c>
      <c r="EU61" s="8" t="str">
        <f>IF(_xlfn.XLOOKUP($A61,TabCAT!$A:$A,TabCAT!BF:BF,"NaN")="","NaN",(_xlfn.XLOOKUP($A61,TabCAT!$A:$A,TabCAT!BF:BF,"NaN")))</f>
        <v>NaN</v>
      </c>
      <c r="EV61" s="8" t="str">
        <f>IF(_xlfn.XLOOKUP($A61,TabCAT!$A:$A,TabCAT!BG:BG,"NaN")="","NaN",(_xlfn.XLOOKUP($A61,TabCAT!$A:$A,TabCAT!BG:BG,"NaN")))</f>
        <v>NaN</v>
      </c>
      <c r="EW61" s="8" t="str">
        <f>IF(_xlfn.XLOOKUP($A61,TabCAT!$A:$A,TabCAT!BH:BH,"NaN")="","NaN",(_xlfn.XLOOKUP($A61,TabCAT!$A:$A,TabCAT!BH:BH,"NaN")))</f>
        <v>NaN</v>
      </c>
      <c r="EX61" s="8" t="str">
        <f>IF(_xlfn.XLOOKUP($A61,TabCAT!$A:$A,TabCAT!BI:BI,"NaN")="","NaN",(_xlfn.XLOOKUP($A61,TabCAT!$A:$A,TabCAT!BI:BI,"NaN")))</f>
        <v>NaN</v>
      </c>
      <c r="EY61" s="8" t="str">
        <f>IF(_xlfn.XLOOKUP($A61,TabCAT!$A:$A,TabCAT!BJ:BJ,"NaN")="","NaN",(_xlfn.XLOOKUP($A61,TabCAT!$A:$A,TabCAT!BJ:BJ,"NaN")))</f>
        <v>NaN</v>
      </c>
      <c r="EZ61" s="8" t="str">
        <f>IF(_xlfn.XLOOKUP($A61,TabCAT!$A:$A,TabCAT!BK:BK,"NaN")="","NaN",(_xlfn.XLOOKUP($A61,TabCAT!$A:$A,TabCAT!BK:BK,"NaN")))</f>
        <v>NaN</v>
      </c>
      <c r="FA61" s="8" t="str">
        <f>IF(_xlfn.XLOOKUP($A61,TabCAT!$A:$A,TabCAT!BL:BL,"NaN")="","NaN",(_xlfn.XLOOKUP($A61,TabCAT!$A:$A,TabCAT!BL:BL,"NaN")))</f>
        <v>NaN</v>
      </c>
      <c r="FB61" s="8" t="str">
        <f>IF(_xlfn.XLOOKUP($A61,TabCAT!$A:$A,TabCAT!BM:BM,"NaN")="","NaN",(_xlfn.XLOOKUP($A61,TabCAT!$A:$A,TabCAT!BM:BM,"NaN")))</f>
        <v>NaN</v>
      </c>
      <c r="FC61" s="8" t="str">
        <f>IF(_xlfn.XLOOKUP($A61,TabCAT!$A:$A,TabCAT!BN:BN,"NaN")="","NaN",(_xlfn.XLOOKUP($A61,TabCAT!$A:$A,TabCAT!BN:BN,"NaN")))</f>
        <v>NaN</v>
      </c>
      <c r="FD61" s="8" t="str">
        <f>IF(_xlfn.XLOOKUP($A61,TabCAT!$A:$A,TabCAT!BO:BO,"NaN")="","NaN",(_xlfn.XLOOKUP($A61,TabCAT!$A:$A,TabCAT!BO:BO,"NaN")))</f>
        <v>NaN</v>
      </c>
      <c r="FE61" s="8" t="str">
        <f>IF(_xlfn.XLOOKUP($A61,TabCAT!$A:$A,TabCAT!BP:BP,"NaN")="","NaN",(_xlfn.XLOOKUP($A61,TabCAT!$A:$A,TabCAT!BP:BP,"NaN")))</f>
        <v>NaN</v>
      </c>
      <c r="FF61" s="8" t="str">
        <f>IF(_xlfn.XLOOKUP($A61,TabCAT!$A:$A,TabCAT!BQ:BQ,"NaN")="","NaN",(_xlfn.XLOOKUP($A61,TabCAT!$A:$A,TabCAT!BQ:BQ,"NaN")))</f>
        <v>NaN</v>
      </c>
      <c r="FG61" s="8" t="str">
        <f>IF(_xlfn.XLOOKUP($A61,TabCAT!$A:$A,TabCAT!BR:BR,"NaN")="","NaN",(_xlfn.XLOOKUP($A61,TabCAT!$A:$A,TabCAT!BR:BR,"NaN")))</f>
        <v>NaN</v>
      </c>
      <c r="FH61" s="8" t="str">
        <f>IF(_xlfn.XLOOKUP($A61,TabCAT!$A:$A,TabCAT!BS:BS,"NaN")="","NaN",(_xlfn.XLOOKUP($A61,TabCAT!$A:$A,TabCAT!BS:BS,"NaN")))</f>
        <v>NaN</v>
      </c>
      <c r="FI61" s="8" t="str">
        <f>IF(_xlfn.XLOOKUP($A61,TabCAT!$A:$A,TabCAT!BT:BT,"NaN")="","NaN",(_xlfn.XLOOKUP($A61,TabCAT!$A:$A,TabCAT!BT:BT,"NaN")))</f>
        <v>NaN</v>
      </c>
      <c r="FJ61" s="8" t="str">
        <f>IF(_xlfn.XLOOKUP($A61,TabCAT!$A:$A,TabCAT!BU:BU,"NaN")="","NaN",(_xlfn.XLOOKUP($A61,TabCAT!$A:$A,TabCAT!BU:BU,"NaN")))</f>
        <v>NaN</v>
      </c>
      <c r="FK61" s="8" t="str">
        <f>IF(_xlfn.XLOOKUP($A61,TabCAT!$A:$A,TabCAT!BV:BV,"NaN")="","NaN",(_xlfn.XLOOKUP($A61,TabCAT!$A:$A,TabCAT!BV:BV,"NaN")))</f>
        <v>NaN</v>
      </c>
      <c r="FL61" s="8" t="str">
        <f>IF(_xlfn.XLOOKUP($A61,TabCAT!$A:$A,TabCAT!BW:BW,"NaN")="","NaN",(_xlfn.XLOOKUP($A61,TabCAT!$A:$A,TabCAT!BW:BW,"NaN")))</f>
        <v>NaN</v>
      </c>
      <c r="FM61" s="8" t="str">
        <f>IF(_xlfn.XLOOKUP($A61,TabCAT!$A:$A,TabCAT!BX:BX,"NaN")="","NaN",(_xlfn.XLOOKUP($A61,TabCAT!$A:$A,TabCAT!BX:BX,"NaN")))</f>
        <v>NaN</v>
      </c>
      <c r="FN61" s="8" t="str">
        <f>IF(_xlfn.XLOOKUP($A61,TabCAT!$A:$A,TabCAT!BY:BY,"NaN")="","NaN",(_xlfn.XLOOKUP($A61,TabCAT!$A:$A,TabCAT!BY:BY,"NaN")))</f>
        <v>NaN</v>
      </c>
      <c r="FO61" s="8" t="str">
        <f>IF(_xlfn.XLOOKUP($A61,TabCAT!$A:$A,TabCAT!BZ:BZ,"NaN")="","NaN",(_xlfn.XLOOKUP($A61,TabCAT!$A:$A,TabCAT!BZ:BZ,"NaN")))</f>
        <v>NaN</v>
      </c>
      <c r="FP61" s="8" t="str">
        <f>IF(_xlfn.XLOOKUP($A61,TabCAT!$A:$A,TabCAT!CA:CA,"NaN")="","NaN",(_xlfn.XLOOKUP($A61,TabCAT!$A:$A,TabCAT!CA:CA,"NaN")))</f>
        <v>NaN</v>
      </c>
      <c r="FQ61" s="8" t="str">
        <f>IF(_xlfn.XLOOKUP($A61,TabCAT!$A:$A,TabCAT!CB:CB,"NaN")="","NaN",(_xlfn.XLOOKUP($A61,TabCAT!$A:$A,TabCAT!CB:CB,"NaN")))</f>
        <v>NaN</v>
      </c>
      <c r="FR61" s="8" t="str">
        <f>IF(_xlfn.XLOOKUP($A61,TabCAT!$A:$A,TabCAT!CC:CC,"NaN")="","NaN",(_xlfn.XLOOKUP($A61,TabCAT!$A:$A,TabCAT!CC:CC,"NaN")))</f>
        <v>NaN</v>
      </c>
      <c r="FS61" s="8" t="str">
        <f>IF(_xlfn.XLOOKUP($A61,TabCAT!$A:$A,TabCAT!CD:CD,"NaN")="","NaN",(_xlfn.XLOOKUP($A61,TabCAT!$A:$A,TabCAT!CD:CD,"NaN")))</f>
        <v>NaN</v>
      </c>
      <c r="FT61" s="8" t="str">
        <f>IF(_xlfn.XLOOKUP($A61,TabCAT!$A:$A,TabCAT!CE:CE,"NaN")="","NaN",(_xlfn.XLOOKUP($A61,TabCAT!$A:$A,TabCAT!CE:CE,"NaN")))</f>
        <v>NaN</v>
      </c>
      <c r="FU61" s="8" t="str">
        <f>IF(_xlfn.XLOOKUP($A61,TabCAT!$A:$A,TabCAT!CF:CF,"NaN")="","NaN",(_xlfn.XLOOKUP($A61,TabCAT!$A:$A,TabCAT!CF:CF,"NaN")))</f>
        <v>NaN</v>
      </c>
      <c r="FV61" s="8" t="str">
        <f>IF(_xlfn.XLOOKUP($A61,TabCAT!$A:$A,TabCAT!CG:CG,"NaN")="","NaN",(_xlfn.XLOOKUP($A61,TabCAT!$A:$A,TabCAT!CG:CG,"NaN")))</f>
        <v>NaN</v>
      </c>
      <c r="FW61" s="8" t="str">
        <f>IF(_xlfn.XLOOKUP($A61,TabCAT!$A:$A,TabCAT!CH:CH,"NaN")="","NaN",(_xlfn.XLOOKUP($A61,TabCAT!$A:$A,TabCAT!CH:CH,"NaN")))</f>
        <v>NaN</v>
      </c>
      <c r="FX61" s="8" t="str">
        <f>IF(_xlfn.XLOOKUP($A61,TabCAT!$A:$A,TabCAT!CI:CI,"NaN")="","NaN",(_xlfn.XLOOKUP($A61,TabCAT!$A:$A,TabCAT!CI:CI,"NaN")))</f>
        <v>NaN</v>
      </c>
      <c r="FY61" s="8" t="str">
        <f>IF(_xlfn.XLOOKUP($A61,TabCAT!$A:$A,TabCAT!CJ:CJ,"NaN")="","NaN",(_xlfn.XLOOKUP($A61,TabCAT!$A:$A,TabCAT!CJ:CJ,"NaN")))</f>
        <v>NaN</v>
      </c>
      <c r="FZ61" s="8" t="str">
        <f>IF(_xlfn.XLOOKUP($A61,TabCAT!$A:$A,TabCAT!CK:CK,"NaN")="","NaN",(_xlfn.XLOOKUP($A61,TabCAT!$A:$A,TabCAT!CK:CK,"NaN")))</f>
        <v>NaN</v>
      </c>
      <c r="GA61" s="8" t="str">
        <f>IF(_xlfn.XLOOKUP($A61,TabCAT!$A:$A,TabCAT!CL:CL,"NaN")="","NaN",(_xlfn.XLOOKUP($A61,TabCAT!$A:$A,TabCAT!CL:CL,"NaN")))</f>
        <v>NaN</v>
      </c>
      <c r="GB61" s="8" t="str">
        <f>IF(_xlfn.XLOOKUP($A61,TabCAT!$A:$A,TabCAT!CM:CM,"NaN")="","NaN",(_xlfn.XLOOKUP($A61,TabCAT!$A:$A,TabCAT!CM:CM,"NaN")))</f>
        <v>NaN</v>
      </c>
      <c r="GC61" s="8" t="str">
        <f>IF(_xlfn.XLOOKUP($A61,TabCAT!$A:$A,TabCAT!CN:CN,"NaN")="","NaN",(_xlfn.XLOOKUP($A61,TabCAT!$A:$A,TabCAT!CN:CN,"NaN")))</f>
        <v>NaN</v>
      </c>
      <c r="GD61" s="8" t="str">
        <f>IF(_xlfn.XLOOKUP($A61,TabCAT!$A:$A,TabCAT!CO:CO,"NaN")="","NaN",(_xlfn.XLOOKUP($A61,TabCAT!$A:$A,TabCAT!CO:CO,"NaN")))</f>
        <v>NaN</v>
      </c>
      <c r="GE61" s="8" t="str">
        <f>IF(_xlfn.XLOOKUP($A61,TabCAT!$A:$A,TabCAT!CP:CP,"NaN")="","NaN",(_xlfn.XLOOKUP($A61,TabCAT!$A:$A,TabCAT!CP:CP,"NaN")))</f>
        <v>NaN</v>
      </c>
      <c r="GF61" s="8" t="str">
        <f>IF(_xlfn.XLOOKUP($A61,TabCAT!$A:$A,TabCAT!CQ:CQ,"NaN")="","NaN",(_xlfn.XLOOKUP($A61,TabCAT!$A:$A,TabCAT!CQ:CQ,"NaN")))</f>
        <v>NaN</v>
      </c>
      <c r="GG61" s="8" t="str">
        <f>IF(_xlfn.XLOOKUP($A61,TabCAT!$A:$A,TabCAT!CR:CR,"NaN")="","NaN",(_xlfn.XLOOKUP($A61,TabCAT!$A:$A,TabCAT!CR:CR,"NaN")))</f>
        <v>NaN</v>
      </c>
      <c r="GH61" s="8" t="str">
        <f>IF(_xlfn.XLOOKUP($A61,TabCAT!$A:$A,TabCAT!CS:CS,"NaN")="","NaN",(_xlfn.XLOOKUP($A61,TabCAT!$A:$A,TabCAT!CS:CS,"NaN")))</f>
        <v>NaN</v>
      </c>
    </row>
    <row r="62" spans="1:190" x14ac:dyDescent="0.2">
      <c r="A62">
        <v>10794</v>
      </c>
      <c r="B62">
        <f>_xlfn.XLOOKUP(bippity_poppity_boo!A62,rf1_data!A:A,rf1_data!B:B)</f>
        <v>200884</v>
      </c>
      <c r="C62" s="2">
        <f>(_xlfn.XLOOKUP($A62,trust!$A:$A,trust!B:B,"NaN"))</f>
        <v>3.230769</v>
      </c>
      <c r="D62" s="2">
        <f>(_xlfn.XLOOKUP($A62,trust!$A:$A,trust!C:C,"NaN"))</f>
        <v>3.3333330000000001</v>
      </c>
      <c r="E62" s="2">
        <f>(_xlfn.XLOOKUP($A62,trust!$A:$A,trust!D:D,"NaN"))</f>
        <v>2.769231</v>
      </c>
      <c r="F62" s="2">
        <f>(_xlfn.XLOOKUP($A62,trust!$A:$A,trust!E:E,"NaN"))</f>
        <v>3.0909089999999999</v>
      </c>
      <c r="G62" s="2">
        <f>(_xlfn.XLOOKUP($A62,trust!$A:$A,trust!F:F,"NaN"))</f>
        <v>4.3076920000000003</v>
      </c>
      <c r="H62" s="2">
        <f>(_xlfn.XLOOKUP($A62,trust!$A:$A,trust!G:G,"NaN"))</f>
        <v>4.1538459999999997</v>
      </c>
      <c r="I62" s="3">
        <f>IF(_xlfn.XLOOKUP($B62,island_data!$B:$B,island_data!C:C,"NaN")="","NaN",_xlfn.XLOOKUP($B62,island_data!$B:$B,island_data!C:C,"NaN"))</f>
        <v>45124</v>
      </c>
      <c r="J62" s="3">
        <f>IF(_xlfn.XLOOKUP($B62,island_data!$B:$B,island_data!D:D,"NaN")="","NaN",_xlfn.XLOOKUP($B62,island_data!$B:$B,island_data!D:D,"NaN"))</f>
        <v>30707</v>
      </c>
      <c r="K62" s="4">
        <f>IF(_xlfn.XLOOKUP($B62,island_data!$B:$B,island_data!E:E,"NaN")="","NaN",_xlfn.XLOOKUP($B62,island_data!$B:$B,island_data!E:E,"NaN"))</f>
        <v>39.47</v>
      </c>
      <c r="L62" s="5">
        <f>IF(_xlfn.XLOOKUP($B62,rf1_data!$B:$B,rf1_data!D:D,"NaN")="","NaN",(_xlfn.XLOOKUP($B62,rf1_data!$B:$B,rf1_data!D:D,"NaN")))</f>
        <v>39.69</v>
      </c>
      <c r="M62" s="5" t="str">
        <f>IF(_xlfn.XLOOKUP($B62,rf1_data!$B:$B,rf1_data!E:E,"NaN")="","NaN",(_xlfn.XLOOKUP($B62,rf1_data!$B:$B,rf1_data!E:E,"NaN")))</f>
        <v>Black or African American</v>
      </c>
      <c r="N62" s="5" t="str">
        <f>IF(_xlfn.XLOOKUP($B62,rf1_data!$B:$B,rf1_data!F:F,"NaN")="","NaN",(_xlfn.XLOOKUP($B62,rf1_data!$B:$B,rf1_data!F:F,"NaN")))</f>
        <v>Not Hispanic or Latino</v>
      </c>
      <c r="O62" s="5" t="str">
        <f>IF(_xlfn.XLOOKUP($B62,rf1_data!$B:$B,rf1_data!G:G,"NaN")="","NaN",(_xlfn.XLOOKUP($B62,rf1_data!$B:$B,rf1_data!G:G,"NaN")))</f>
        <v>Male</v>
      </c>
      <c r="P62" s="5">
        <f>IF(_xlfn.XLOOKUP($B62,rf1_data!$B:$B,rf1_data!H:H,"NaN")="","NaN",(_xlfn.XLOOKUP($B62,rf1_data!$B:$B,rf1_data!H:H,"NaN")))</f>
        <v>4.8899999999999997</v>
      </c>
      <c r="Q62" s="5">
        <f>IF(_xlfn.XLOOKUP($B62,rf1_data!$B:$B,rf1_data!I:I,"NaN")="","NaN",(_xlfn.XLOOKUP($B62,rf1_data!$B:$B,rf1_data!I:I,"NaN")))</f>
        <v>2.6</v>
      </c>
      <c r="R62" s="5">
        <f>IF(_xlfn.XLOOKUP($B62,rf1_data!$B:$B,rf1_data!J:J,"NaN")="","NaN",(_xlfn.XLOOKUP($B62,rf1_data!$B:$B,rf1_data!J:J,"NaN")))</f>
        <v>2</v>
      </c>
      <c r="S62" s="5">
        <f>IF(_xlfn.XLOOKUP($B62,rf1_data!$B:$B,rf1_data!K:K,"NaN")="","NaN",(_xlfn.XLOOKUP($B62,rf1_data!$B:$B,rf1_data!K:K,"NaN")))</f>
        <v>6</v>
      </c>
      <c r="T62" s="5">
        <f>IF(_xlfn.XLOOKUP($B62,rf1_data!$B:$B,rf1_data!L:L,"NaN")="","NaN",(_xlfn.XLOOKUP($B62,rf1_data!$B:$B,rf1_data!L:L,"NaN")))</f>
        <v>0</v>
      </c>
      <c r="U62" s="5">
        <f>IF(_xlfn.XLOOKUP($B62,rf1_data!$B:$B,rf1_data!M:M,"NaN")="","NaN",(_xlfn.XLOOKUP($B62,rf1_data!$B:$B,rf1_data!M:M,"NaN")))</f>
        <v>6.17</v>
      </c>
      <c r="V62" s="5">
        <f>IF(_xlfn.XLOOKUP($B62,rf1_data!$B:$B,rf1_data!N:N,"NaN")="","NaN",(_xlfn.XLOOKUP($B62,rf1_data!$B:$B,rf1_data!N:N,"NaN")))</f>
        <v>5.5</v>
      </c>
      <c r="W62" s="5">
        <f>IF(_xlfn.XLOOKUP($B62,rf1_data!$B:$B,rf1_data!O:O,"NaN")="","NaN",(_xlfn.XLOOKUP($B62,rf1_data!$B:$B,rf1_data!O:O,"NaN")))</f>
        <v>6.13</v>
      </c>
      <c r="X62" s="5">
        <f>IF(_xlfn.XLOOKUP($B62,rf1_data!$B:$B,rf1_data!P:P,"NaN")="","NaN",(_xlfn.XLOOKUP($B62,rf1_data!$B:$B,rf1_data!P:P,"NaN")))</f>
        <v>4.67</v>
      </c>
      <c r="Y62" s="5">
        <f>IF(_xlfn.XLOOKUP($B62,rf1_data!$B:$B,rf1_data!Q:Q,"NaN")="","NaN",(_xlfn.XLOOKUP($B62,rf1_data!$B:$B,rf1_data!Q:Q,"NaN")))</f>
        <v>5.73</v>
      </c>
      <c r="Z62" s="5">
        <f>IF(_xlfn.XLOOKUP($B62,rf1_data!$B:$B,rf1_data!R:R,"NaN")="","NaN",(_xlfn.XLOOKUP($B62,rf1_data!$B:$B,rf1_data!R:R,"NaN")))</f>
        <v>10</v>
      </c>
      <c r="AA62" s="5">
        <f>IF(_xlfn.XLOOKUP($B62,rf1_data!$B:$B,rf1_data!S:S,"NaN")="","NaN",(_xlfn.XLOOKUP($B62,rf1_data!$B:$B,rf1_data!S:S,"NaN")))</f>
        <v>0</v>
      </c>
      <c r="AB62" s="5">
        <f>IF(_xlfn.XLOOKUP($B62,rf1_data!$B:$B,rf1_data!T:T,"NaN")="","NaN",(_xlfn.XLOOKUP($B62,rf1_data!$B:$B,rf1_data!T:T,"NaN")))</f>
        <v>4</v>
      </c>
      <c r="AC62" s="5">
        <f>IF(_xlfn.XLOOKUP($B62,rf1_data!$B:$B,rf1_data!U:U,"NaN")="","NaN",(_xlfn.XLOOKUP($B62,rf1_data!$B:$B,rf1_data!U:U,"NaN")))</f>
        <v>3</v>
      </c>
      <c r="AD62" s="5">
        <f>IF(_xlfn.XLOOKUP($B62,rf1_data!$B:$B,rf1_data!V:V,"NaN")="","NaN",(_xlfn.XLOOKUP($B62,rf1_data!$B:$B,rf1_data!V:V,"NaN")))</f>
        <v>3</v>
      </c>
      <c r="AE62" s="5">
        <f>IF(_xlfn.XLOOKUP($B62,rf1_data!$B:$B,rf1_data!W:W,"NaN")="","NaN",(_xlfn.XLOOKUP($B62,rf1_data!$B:$B,rf1_data!W:W,"NaN")))</f>
        <v>1</v>
      </c>
      <c r="AF62" s="5">
        <f>IF(_xlfn.XLOOKUP($B62,rf1_data!$B:$B,rf1_data!X:X,"NaN")="","NaN",(_xlfn.XLOOKUP($B62,rf1_data!$B:$B,rf1_data!X:X,"NaN")))</f>
        <v>0</v>
      </c>
      <c r="AG62" s="5">
        <f>IF(_xlfn.XLOOKUP($B62,rf1_data!$B:$B,rf1_data!Y:Y,"NaN")="","NaN",(_xlfn.XLOOKUP($B62,rf1_data!$B:$B,rf1_data!Y:Y,"NaN")))</f>
        <v>3</v>
      </c>
      <c r="AH62" s="5">
        <f>IF(_xlfn.XLOOKUP($B62,rf1_data!$B:$B,rf1_data!Z:Z,"NaN")="","NaN",(_xlfn.XLOOKUP($B62,rf1_data!$B:$B,rf1_data!Z:Z,"NaN")))</f>
        <v>1</v>
      </c>
      <c r="AI62" s="5">
        <f>IF(_xlfn.XLOOKUP($B62,rf1_data!$B:$B,rf1_data!AA:AA,"NaN")="","NaN",(_xlfn.XLOOKUP($B62,rf1_data!$B:$B,rf1_data!AA:AA,"NaN")))</f>
        <v>0</v>
      </c>
      <c r="AJ62" s="5">
        <f>IF(_xlfn.XLOOKUP($B62,rf1_data!$B:$B,rf1_data!AB:AB,"NaN")="","NaN",(_xlfn.XLOOKUP($B62,rf1_data!$B:$B,rf1_data!AB:AB,"NaN")))</f>
        <v>5</v>
      </c>
      <c r="AK62" s="5">
        <f>IF(_xlfn.XLOOKUP($B62,rf1_data!$B:$B,rf1_data!AC:AC,"NaN")="","NaN",(_xlfn.XLOOKUP($B62,rf1_data!$B:$B,rf1_data!AC:AC,"NaN")))</f>
        <v>16</v>
      </c>
      <c r="AL62" s="5">
        <f>IF(_xlfn.XLOOKUP($B62,rf1_data!$B:$B,rf1_data!AD:AD,"NaN")="","NaN",(_xlfn.XLOOKUP($B62,rf1_data!$B:$B,rf1_data!AD:AD,"NaN")))</f>
        <v>10</v>
      </c>
      <c r="AM62" s="5">
        <f>IF(_xlfn.XLOOKUP($B62,rf1_data!$B:$B,rf1_data!AE:AE,"NaN")="","NaN",(_xlfn.XLOOKUP($B62,rf1_data!$B:$B,rf1_data!AE:AE,"NaN")))</f>
        <v>0</v>
      </c>
      <c r="AN62" s="5">
        <f>IF(_xlfn.XLOOKUP($B62,rf1_data!$B:$B,rf1_data!AF:AF,"NaN")="","NaN",(_xlfn.XLOOKUP($B62,rf1_data!$B:$B,rf1_data!AF:AF,"NaN")))</f>
        <v>0</v>
      </c>
      <c r="AO62" s="5">
        <f>IF(_xlfn.XLOOKUP($B62,rf1_data!$B:$B,rf1_data!AG:AG,"NaN")="","NaN",(_xlfn.XLOOKUP($B62,rf1_data!$B:$B,rf1_data!AG:AG,"NaN")))</f>
        <v>5.5</v>
      </c>
      <c r="AP62" s="5">
        <f>IF(_xlfn.XLOOKUP($B62,rf1_data!$B:$B,rf1_data!AH:AH,"NaN")="","NaN",(_xlfn.XLOOKUP($B62,rf1_data!$B:$B,rf1_data!AH:AH,"NaN")))</f>
        <v>5.5</v>
      </c>
      <c r="AQ62" s="5">
        <f>IF(_xlfn.XLOOKUP($B62,rf1_data!$B:$B,rf1_data!AI:AI,"NaN")="","NaN",(_xlfn.XLOOKUP($B62,rf1_data!$B:$B,rf1_data!AI:AI,"NaN")))</f>
        <v>5.5</v>
      </c>
      <c r="AR62" s="5">
        <f>IF(_xlfn.XLOOKUP($B62,rf1_data!$B:$B,rf1_data!AJ:AJ,"NaN")="","NaN",(_xlfn.XLOOKUP($B62,rf1_data!$B:$B,rf1_data!AJ:AJ,"NaN")))</f>
        <v>5.5</v>
      </c>
      <c r="AS62" s="5">
        <f>IF(_xlfn.XLOOKUP($B62,rf1_data!$B:$B,rf1_data!AK:AK,"NaN")="","NaN",(_xlfn.XLOOKUP($B62,rf1_data!$B:$B,rf1_data!AK:AK,"NaN")))</f>
        <v>3</v>
      </c>
      <c r="AT62" s="5">
        <f>IF(_xlfn.XLOOKUP($B62,rf1_data!$B:$B,rf1_data!AL:AL,"NaN")="","NaN",(_xlfn.XLOOKUP($B62,rf1_data!$B:$B,rf1_data!AL:AL,"NaN")))</f>
        <v>9</v>
      </c>
      <c r="AU62" s="5">
        <f>IF(_xlfn.XLOOKUP($B62,rf1_data!$B:$B,rf1_data!AM:AM,"NaN")="","NaN",(_xlfn.XLOOKUP($B62,rf1_data!$B:$B,rf1_data!AM:AM,"NaN")))</f>
        <v>2.58</v>
      </c>
      <c r="AV62" s="5">
        <f>IF(_xlfn.XLOOKUP($B62,rf1_data!$B:$B,rf1_data!AN:AN,"NaN")="","NaN",(_xlfn.XLOOKUP($B62,rf1_data!$B:$B,rf1_data!AN:AN,"NaN")))</f>
        <v>23</v>
      </c>
      <c r="AW62" s="5">
        <f>IF(_xlfn.XLOOKUP($B62,rf1_data!$B:$B,rf1_data!AO:AO,"NaN")="","NaN",(_xlfn.XLOOKUP($B62,rf1_data!$B:$B,rf1_data!AO:AO,"NaN")))</f>
        <v>2.5</v>
      </c>
      <c r="AX62" s="5">
        <f>IF(_xlfn.XLOOKUP($B62,rf1_data!$B:$B,rf1_data!AP:AP,"NaN")="","NaN",(_xlfn.XLOOKUP($B62,rf1_data!$B:$B,rf1_data!AP:AP,"NaN")))</f>
        <v>9999</v>
      </c>
      <c r="AY62" s="5" t="str">
        <f>IF(_xlfn.XLOOKUP($B62,rf1_data!$B:$B,rf1_data!AQ:AQ,"NaN")="","NaN",(_xlfn.XLOOKUP($B62,rf1_data!$B:$B,rf1_data!AQ:AQ,"NaN")))</f>
        <v>NaN</v>
      </c>
      <c r="AZ62" s="5" t="str">
        <f>IF(_xlfn.XLOOKUP($B62,rf1_data!$B:$B,rf1_data!AR:AR,"NaN")="","NaN",(_xlfn.XLOOKUP($B62,rf1_data!$B:$B,rf1_data!AR:AR,"NaN")))</f>
        <v>NaN</v>
      </c>
      <c r="BA62" s="5" t="str">
        <f>IF(_xlfn.XLOOKUP($B62,rf1_data!$B:$B,rf1_data!AS:AS,"NaN")="","NaN",(_xlfn.XLOOKUP($B62,rf1_data!$B:$B,rf1_data!AS:AS,"NaN")))</f>
        <v>NaN</v>
      </c>
      <c r="BB62" s="5" t="str">
        <f>IF(_xlfn.XLOOKUP($B62,rf1_data!$B:$B,rf1_data!AT:AT,"NaN")="","NaN",(_xlfn.XLOOKUP($B62,rf1_data!$B:$B,rf1_data!AT:AT,"NaN")))</f>
        <v>NaN</v>
      </c>
      <c r="BC62" s="5" t="str">
        <f>IF(_xlfn.XLOOKUP($B62,rf1_data!$B:$B,rf1_data!AU:AU,"NaN")="","NaN",(_xlfn.XLOOKUP($B62,rf1_data!$B:$B,rf1_data!AU:AU,"NaN")))</f>
        <v>NaN</v>
      </c>
      <c r="BD62" s="5" t="str">
        <f>IF(_xlfn.XLOOKUP($B62,rf1_data!$B:$B,rf1_data!AV:AV,"NaN")="","NaN",(_xlfn.XLOOKUP($B62,rf1_data!$B:$B,rf1_data!AV:AV,"NaN")))</f>
        <v>NaN</v>
      </c>
      <c r="BE62" s="5" t="str">
        <f>IF(_xlfn.XLOOKUP($B62,rf1_data!$B:$B,rf1_data!AW:AW,"NaN")="","NaN",(_xlfn.XLOOKUP($B62,rf1_data!$B:$B,rf1_data!AW:AW,"NaN")))</f>
        <v>NaN</v>
      </c>
      <c r="BF62" s="5" t="str">
        <f>IF(_xlfn.XLOOKUP($B62,rf1_data!$B:$B,rf1_data!AX:AX,"NaN")="","NaN",(_xlfn.XLOOKUP($B62,rf1_data!$B:$B,rf1_data!AX:AX,"NaN")))</f>
        <v>NaN</v>
      </c>
      <c r="BG62" s="5" t="str">
        <f>IF(_xlfn.XLOOKUP($B62,rf1_data!$B:$B,rf1_data!AY:AY,"NaN")="","NaN",(_xlfn.XLOOKUP($B62,rf1_data!$B:$B,rf1_data!AY:AY,"NaN")))</f>
        <v>NaN</v>
      </c>
      <c r="BH62" s="5" t="str">
        <f>IF(_xlfn.XLOOKUP($B62,rf1_data!$B:$B,rf1_data!AZ:AZ,"NaN")="","NaN",(_xlfn.XLOOKUP($B62,rf1_data!$B:$B,rf1_data!AZ:AZ,"NaN")))</f>
        <v>NaN</v>
      </c>
      <c r="BI62" s="5">
        <f>IF(_xlfn.XLOOKUP($B62,rf1_data!$B:$B,rf1_data!BA:BA,"NaN")="","NaN",(_xlfn.XLOOKUP($B62,rf1_data!$B:$B,rf1_data!BA:BA,"NaN")))</f>
        <v>20</v>
      </c>
      <c r="BJ62" s="5" t="str">
        <f>IF(_xlfn.XLOOKUP($B62,rf1_data!$B:$B,rf1_data!BB:BB,"NaN")="","NaN",(_xlfn.XLOOKUP($B62,rf1_data!$B:$B,rf1_data!BB:BB,"NaN")))</f>
        <v>NaN</v>
      </c>
      <c r="BK62" s="5" t="str">
        <f>IF(_xlfn.XLOOKUP($B62,rf1_data!$B:$B,rf1_data!BC:BC,"NaN")="","NaN",(_xlfn.XLOOKUP($B62,rf1_data!$B:$B,rf1_data!BC:BC,"NaN")))</f>
        <v>NaN</v>
      </c>
      <c r="BL62" s="5" t="str">
        <f>IF(_xlfn.XLOOKUP($B62,rf1_data!$B:$B,rf1_data!BD:BD,"NaN")="","NaN",(_xlfn.XLOOKUP($B62,rf1_data!$B:$B,rf1_data!BD:BD,"NaN")))</f>
        <v>NaN</v>
      </c>
      <c r="BM62" s="5" t="str">
        <f>IF(_xlfn.XLOOKUP($B62,rf1_data!$B:$B,rf1_data!BE:BE,"NaN")="","NaN",(_xlfn.XLOOKUP($B62,rf1_data!$B:$B,rf1_data!BE:BE,"NaN")))</f>
        <v>NaN</v>
      </c>
      <c r="BN62" s="5" t="str">
        <f>IF(_xlfn.XLOOKUP($B62,rf1_data!$B:$B,rf1_data!BF:BF,"NaN")="","NaN",(_xlfn.XLOOKUP($B62,rf1_data!$B:$B,rf1_data!BF:BF,"NaN")))</f>
        <v>NaN</v>
      </c>
      <c r="BO62" s="5" t="str">
        <f>IF(_xlfn.XLOOKUP($B62,rf1_data!$B:$B,rf1_data!BG:BG,"NaN")="","NaN",(_xlfn.XLOOKUP($B62,rf1_data!$B:$B,rf1_data!BG:BG,"NaN")))</f>
        <v>NaN</v>
      </c>
      <c r="BP62" s="5" t="str">
        <f>IF(_xlfn.XLOOKUP($B62,rf1_data!$B:$B,rf1_data!BH:BH,"NaN")="","NaN",(_xlfn.XLOOKUP($B62,rf1_data!$B:$B,rf1_data!BH:BH,"NaN")))</f>
        <v>NaN</v>
      </c>
      <c r="BQ62" s="5" t="str">
        <f>IF(_xlfn.XLOOKUP($B62,rf1_data!$B:$B,rf1_data!BI:BI,"NaN")="","NaN",(_xlfn.XLOOKUP($B62,rf1_data!$B:$B,rf1_data!BI:BI,"NaN")))</f>
        <v>NaN</v>
      </c>
      <c r="BR62" s="5">
        <f>IF(_xlfn.XLOOKUP($B62,rf1_data!$B:$B,rf1_data!BJ:BJ,"NaN")="","NaN",(_xlfn.XLOOKUP($B62,rf1_data!$B:$B,rf1_data!BJ:BJ,"NaN")))</f>
        <v>8991</v>
      </c>
      <c r="BS62" s="5" t="str">
        <f>IF(_xlfn.XLOOKUP($B62,rf1_data!$B:$B,rf1_data!BK:BK,"NaN")="","NaN",(_xlfn.XLOOKUP($B62,rf1_data!$B:$B,rf1_data!BK:BK,"NaN")))</f>
        <v>NaN</v>
      </c>
      <c r="BT62" s="5" t="str">
        <f>IF(_xlfn.XLOOKUP($B62,rf1_data!$B:$B,rf1_data!BL:BL,"NaN")="","NaN",(_xlfn.XLOOKUP($B62,rf1_data!$B:$B,rf1_data!BL:BL,"NaN")))</f>
        <v>NaN</v>
      </c>
      <c r="BU62" s="5" t="str">
        <f>IF(_xlfn.XLOOKUP($B62,rf1_data!$B:$B,rf1_data!BM:BM,"NaN")="","NaN",(_xlfn.XLOOKUP($B62,rf1_data!$B:$B,rf1_data!BM:BM,"NaN")))</f>
        <v>NaN</v>
      </c>
      <c r="BV62" s="5" t="str">
        <f>IF(_xlfn.XLOOKUP($B62,rf1_data!$B:$B,rf1_data!BN:BN,"NaN")="","NaN",(_xlfn.XLOOKUP($B62,rf1_data!$B:$B,rf1_data!BN:BN,"NaN")))</f>
        <v>NaN</v>
      </c>
      <c r="BW62" s="5">
        <f>IF(_xlfn.XLOOKUP($B62,rf1_data!$B:$B,rf1_data!BO:BO,"NaN")="","NaN",(_xlfn.XLOOKUP($B62,rf1_data!$B:$B,rf1_data!BO:BO,"NaN")))</f>
        <v>3.9</v>
      </c>
      <c r="BX62" s="5">
        <f>IF(_xlfn.XLOOKUP($B62,rf1_data!$B:$B,rf1_data!BP:BP,"NaN")="","NaN",(_xlfn.XLOOKUP($B62,rf1_data!$B:$B,rf1_data!BP:BP,"NaN")))</f>
        <v>3.9</v>
      </c>
      <c r="BY62" s="5">
        <f>IF(_xlfn.XLOOKUP($B62,rf1_data!$B:$B,rf1_data!BQ:BQ,"NaN")="","NaN",(_xlfn.XLOOKUP($B62,rf1_data!$B:$B,rf1_data!BQ:BQ,"NaN")))</f>
        <v>3.5</v>
      </c>
      <c r="BZ62" s="5">
        <f>IF(_xlfn.XLOOKUP($B62,rf1_data!$B:$B,rf1_data!BR:BR,"NaN")="","NaN",(_xlfn.XLOOKUP($B62,rf1_data!$B:$B,rf1_data!BR:BR,"NaN")))</f>
        <v>3.77</v>
      </c>
      <c r="CA62" s="5">
        <f>IF(_xlfn.XLOOKUP($B62,rf1_data!$B:$B,rf1_data!BS:BS,"NaN")="","NaN",(_xlfn.XLOOKUP($B62,rf1_data!$B:$B,rf1_data!BS:BS,"NaN")))</f>
        <v>4.3333333333333304</v>
      </c>
      <c r="CB62" s="5">
        <f>IF(_xlfn.XLOOKUP($B62,rf1_data!$B:$B,rf1_data!BT:BT,"NaN")="","NaN",(_xlfn.XLOOKUP($B62,rf1_data!$B:$B,rf1_data!BT:BT,"NaN")))</f>
        <v>3.5</v>
      </c>
      <c r="CC62" s="5">
        <f>IF(_xlfn.XLOOKUP($B62,rf1_data!$B:$B,rf1_data!BU:BU,"NaN")="","NaN",(_xlfn.XLOOKUP($B62,rf1_data!$B:$B,rf1_data!BU:BU,"NaN")))</f>
        <v>6</v>
      </c>
      <c r="CD62" s="5">
        <f>IF(_xlfn.XLOOKUP($B62,rf1_data!$B:$B,rf1_data!BV:BV,"NaN")="","NaN",(_xlfn.XLOOKUP($B62,rf1_data!$B:$B,rf1_data!BV:BV,"NaN")))</f>
        <v>6</v>
      </c>
      <c r="CE62" s="5">
        <f>IF(_xlfn.XLOOKUP($B62,rf1_data!$B:$B,rf1_data!BW:BW,"NaN")="","NaN",(_xlfn.XLOOKUP($B62,rf1_data!$B:$B,rf1_data!BW:BW,"NaN")))</f>
        <v>1.6</v>
      </c>
      <c r="CF62" s="5">
        <f>IF(_xlfn.XLOOKUP($B62,rf1_data!$B:$B,rf1_data!BX:BX,"NaN")="","NaN",(_xlfn.XLOOKUP($B62,rf1_data!$B:$B,rf1_data!BX:BX,"NaN")))</f>
        <v>0</v>
      </c>
      <c r="CG62" s="5">
        <f>IF(_xlfn.XLOOKUP($B62,rf1_data!$B:$B,rf1_data!BY:BY,"NaN")="","NaN",(_xlfn.XLOOKUP($B62,rf1_data!$B:$B,rf1_data!BY:BY,"NaN")))</f>
        <v>0</v>
      </c>
      <c r="CH62" s="5">
        <f>IF(_xlfn.XLOOKUP($B62,rf1_data!$B:$B,rf1_data!BZ:BZ,"NaN")="","NaN",(_xlfn.XLOOKUP($B62,rf1_data!$B:$B,rf1_data!BZ:BZ,"NaN")))</f>
        <v>25</v>
      </c>
      <c r="CI62" s="5">
        <f>IF(_xlfn.XLOOKUP($B62,rf1_data!$B:$B,rf1_data!CA:CA,"NaN")="","NaN",(_xlfn.XLOOKUP($B62,rf1_data!$B:$B,rf1_data!CA:CA,"NaN")))</f>
        <v>23</v>
      </c>
      <c r="CJ62" s="5">
        <f>IF(_xlfn.XLOOKUP($B62,rf1_data!$B:$B,rf1_data!CB:CB,"NaN")="","NaN",(_xlfn.XLOOKUP($B62,rf1_data!$B:$B,rf1_data!CB:CB,"NaN")))</f>
        <v>9</v>
      </c>
      <c r="CK62" s="5">
        <f>IF(_xlfn.XLOOKUP($B62,rf1_data!$B:$B,rf1_data!CC:CC,"NaN")="","NaN",(_xlfn.XLOOKUP($B62,rf1_data!$B:$B,rf1_data!CC:CC,"NaN")))</f>
        <v>0.9</v>
      </c>
      <c r="CL62" s="5">
        <f>IF(_xlfn.XLOOKUP($B62,rf1_data!$B:$B,rf1_data!CD:CD,"NaN")=0,"NaN",(_xlfn.XLOOKUP($B62,rf1_data!$B:$B,rf1_data!CD:CD,"NaN")))</f>
        <v>34</v>
      </c>
      <c r="CM62" s="5">
        <f>IF(_xlfn.XLOOKUP($B62,rf1_data!$B:$B,rf1_data!CE:CE,"NaN")="","NaN",(_xlfn.XLOOKUP($B62,rf1_data!$B:$B,rf1_data!CE:CE,"NaN")))</f>
        <v>24</v>
      </c>
      <c r="CN62" s="5">
        <f>IF(_xlfn.XLOOKUP($B62,rf1_data!$B:$B,rf1_data!CF:CF,"NaN")="","NaN",(_xlfn.XLOOKUP($B62,rf1_data!$B:$B,rf1_data!CF:CF,"NaN")))</f>
        <v>38</v>
      </c>
      <c r="CO62" s="5">
        <f>IF(_xlfn.XLOOKUP($B62,rf1_data!$B:$B,rf1_data!CG:CG,"NaN")="","NaN",(_xlfn.XLOOKUP($B62,rf1_data!$B:$B,rf1_data!CG:CG,"NaN")))</f>
        <v>18</v>
      </c>
      <c r="CP62" s="5">
        <f>IF(_xlfn.XLOOKUP($B62,rf1_data!$B:$B,rf1_data!CH:CH,"NaN")=0,"NaN",(_xlfn.XLOOKUP($B62,rf1_data!$B:$B,rf1_data!CH:CH,"NaN")))</f>
        <v>30</v>
      </c>
      <c r="CQ62" s="5">
        <f>IF(_xlfn.XLOOKUP($B62,rf1_data!$B:$B,rf1_data!CI:CI,"NaN")="","NaN",(_xlfn.XLOOKUP($B62,rf1_data!$B:$B,rf1_data!CI:CI,"NaN")))</f>
        <v>31</v>
      </c>
      <c r="CR62" s="5">
        <f>IF(_xlfn.XLOOKUP($B62,rf1_data!$B:$B,rf1_data!CJ:CJ,"NaN")="","NaN",(_xlfn.XLOOKUP($B62,rf1_data!$B:$B,rf1_data!CJ:CJ,"NaN")))</f>
        <v>60</v>
      </c>
      <c r="CS62" s="5">
        <f>IF(_xlfn.XLOOKUP($B62,rf1_data!$B:$B,rf1_data!CK:CK,"NaN")="","NaN",(_xlfn.XLOOKUP($B62,rf1_data!$B:$B,rf1_data!CK:CK,"NaN")))</f>
        <v>31</v>
      </c>
      <c r="CT62" s="5">
        <f>IF(_xlfn.XLOOKUP($B62,rf1_data!$B:$B,rf1_data!CL:CL,"NaN")="","NaN",(_xlfn.XLOOKUP($B62,rf1_data!$B:$B,rf1_data!CL:CL,"NaN")))</f>
        <v>60</v>
      </c>
      <c r="CU62" s="5">
        <f>IF(_xlfn.XLOOKUP($B62,rf1_data!$B:$B,rf1_data!CM:CM,"NaN")="","NaN",(_xlfn.XLOOKUP($B62,rf1_data!$B:$B,rf1_data!CM:CM,"NaN")))</f>
        <v>21</v>
      </c>
      <c r="CV62" s="5">
        <f>IF(_xlfn.XLOOKUP($B62,rf1_data!$B:$B,rf1_data!CN:CN,"NaN")="","NaN",(_xlfn.XLOOKUP($B62,rf1_data!$B:$B,rf1_data!CN:CN,"NaN")))</f>
        <v>60</v>
      </c>
      <c r="CW62" s="5">
        <f>IF(_xlfn.XLOOKUP($B62,rf1_data!$B:$B,rf1_data!CO:CO,"NaN")="","NaN",(_xlfn.XLOOKUP($B62,rf1_data!$B:$B,rf1_data!CO:CO,"NaN")))</f>
        <v>2</v>
      </c>
      <c r="CX62" s="5">
        <f>IF(_xlfn.XLOOKUP($B62,rf1_data!$B:$B,rf1_data!CP:CP,"NaN")="","NaN",(_xlfn.XLOOKUP($B62,rf1_data!$B:$B,rf1_data!CP:CP,"NaN")))</f>
        <v>2</v>
      </c>
      <c r="CY62" s="5">
        <f>IF(_xlfn.XLOOKUP($B62,rf1_data!$B:$B,rf1_data!CQ:CQ,"NaN")="","NaN",(_xlfn.XLOOKUP($B62,rf1_data!$B:$B,rf1_data!CQ:CQ,"NaN")))</f>
        <v>4</v>
      </c>
      <c r="CZ62" s="5">
        <f>IF(_xlfn.XLOOKUP($B62,rf1_data!$B:$B,rf1_data!CR:CR,"NaN")="","NaN",(_xlfn.XLOOKUP($B62,rf1_data!$B:$B,rf1_data!CR:CR,"NaN")))</f>
        <v>2</v>
      </c>
      <c r="DA62" s="5">
        <f>IF(_xlfn.XLOOKUP($B62,rf1_data!$B:$B,rf1_data!CS:CS,"NaN")="","NaN",(_xlfn.XLOOKUP($B62,rf1_data!$B:$B,rf1_data!CS:CS,"NaN")))</f>
        <v>2</v>
      </c>
      <c r="DB62" s="4">
        <f>IF(_xlfn.XLOOKUP($B62,island_data!$B:$B,island_data!H:H,"NaN")="","NaN",_xlfn.XLOOKUP($B62,island_data!$B:$B,island_data!H:H,"NaN"))</f>
        <v>0</v>
      </c>
      <c r="DC62" s="4">
        <f>IF(_xlfn.XLOOKUP($B62,island_data!$B:$B,island_data!I:I,"NaN")="","NaN",_xlfn.XLOOKUP($B62,island_data!$B:$B,island_data!I:I,"NaN"))</f>
        <v>0</v>
      </c>
      <c r="DD62" s="4">
        <f>IF(_xlfn.XLOOKUP($B62,island_data!$B:$B,island_data!J:J,"NaN")="","NaN",_xlfn.XLOOKUP($B62,island_data!$B:$B,island_data!J:J,"NaN"))</f>
        <v>2</v>
      </c>
      <c r="DE62" s="4">
        <f>IF(_xlfn.XLOOKUP($B62,island_data!$B:$B,island_data!K:K,"NaN")="","NaN",_xlfn.XLOOKUP($B62,island_data!$B:$B,island_data!K:K,"NaN"))</f>
        <v>12</v>
      </c>
      <c r="DF62" s="4">
        <f>IF(_xlfn.XLOOKUP($B62,island_data!$B:$B,island_data!L:L,"NaN")="","NaN",_xlfn.XLOOKUP($B62,island_data!$B:$B,island_data!L:L,"NaN"))</f>
        <v>0</v>
      </c>
      <c r="DG62" s="4">
        <f>IF(_xlfn.XLOOKUP($B62,island_data!$B:$B,island_data!M:M,"NaN")="","NaN",_xlfn.XLOOKUP($B62,island_data!$B:$B,island_data!M:M,"NaN"))</f>
        <v>3.5625</v>
      </c>
      <c r="DH62" s="4">
        <f>IF(_xlfn.XLOOKUP($B62,island_data!$B:$B,island_data!N:N,"NaN")="","NaN",_xlfn.XLOOKUP($B62,island_data!$B:$B,island_data!N:N,"NaN"))</f>
        <v>10</v>
      </c>
      <c r="DI62" s="4">
        <f>IF(_xlfn.XLOOKUP($B62,island_data!$B:$B,island_data!O:O,"NaN")=999,"NaN",_xlfn.XLOOKUP($B62,island_data!$B:$B,island_data!O:O,"NaN"))</f>
        <v>6</v>
      </c>
      <c r="DJ62" s="4">
        <f>IF(_xlfn.XLOOKUP($B62,island_data!$B:$B,island_data!P:P,"NaN")="","NaN",_xlfn.XLOOKUP($B62,island_data!$B:$B,island_data!P:P,"NaN"))</f>
        <v>12</v>
      </c>
      <c r="DK62" s="4">
        <f>IF(_xlfn.XLOOKUP($B62,island_data!$B:$B,island_data!Q:Q,"NaN")="","NaN",_xlfn.XLOOKUP($B62,island_data!$B:$B,island_data!Q:Q,"NaN"))</f>
        <v>2</v>
      </c>
      <c r="DL62" s="4">
        <f>IF(_xlfn.XLOOKUP($B62,island_data!$B:$B,island_data!R:R,"NaN")=999,"NaN",_xlfn.XLOOKUP($B62,island_data!$B:$B,island_data!R:R,"NaN"))</f>
        <v>15</v>
      </c>
      <c r="DM62" s="4">
        <f>IF(_xlfn.XLOOKUP($B62,island_data!$B:$B,island_data!S:S,"NaN")="","NaN",_xlfn.XLOOKUP($B62,island_data!$B:$B,island_data!S:S,"NaN"))</f>
        <v>12</v>
      </c>
      <c r="DN62" s="4">
        <f>IF(_xlfn.XLOOKUP($B62,island_data!$B:$B,island_data!T:T,"NaN")="","NaN",_xlfn.XLOOKUP($B62,island_data!$B:$B,island_data!T:T,"NaN"))</f>
        <v>4.6666666666666599</v>
      </c>
      <c r="DO62" s="4">
        <f>IF(_xlfn.XLOOKUP($B62,island_data!$B:$B,island_data!U:U,"NaN")="","NaN",_xlfn.XLOOKUP($B62,island_data!$B:$B,island_data!U:U,"NaN"))</f>
        <v>5</v>
      </c>
      <c r="DP62" s="4">
        <f>IF(_xlfn.XLOOKUP($B62,island_data!$B:$B,island_data!V:V,"NaN")="","NaN",_xlfn.XLOOKUP($B62,island_data!$B:$B,island_data!V:V,"NaN"))</f>
        <v>1</v>
      </c>
      <c r="DQ62" s="4">
        <f>IF(_xlfn.XLOOKUP($B62,island_data!$B:$B,island_data!W:W,"NaN")="","NaN",_xlfn.XLOOKUP($B62,island_data!$B:$B,island_data!W:W,"NaN"))</f>
        <v>2</v>
      </c>
      <c r="DR62" s="4">
        <f>IF(_xlfn.XLOOKUP($B62,island_data!$B:$B,island_data!X:X,"NaN")="","NaN",_xlfn.XLOOKUP($B62,island_data!$B:$B,island_data!X:X,"NaN"))</f>
        <v>5</v>
      </c>
      <c r="DS62" s="4" t="str">
        <f>IF(_xlfn.XLOOKUP($B62,island_data!$B:$B,island_data!Y:Y,"NaN")="","NaN",_xlfn.XLOOKUP($B62,island_data!$B:$B,island_data!Y:Y,"NaN"))</f>
        <v>NaN</v>
      </c>
      <c r="DT62" s="4" t="str">
        <f>IF(_xlfn.XLOOKUP($B62,island_data!$B:$B,island_data!Z:Z,"NaN")="","NaN",_xlfn.XLOOKUP($B62,island_data!$B:$B,island_data!Z:Z,"NaN"))</f>
        <v>NaN</v>
      </c>
      <c r="DU62" s="4" t="str">
        <f>IF(_xlfn.XLOOKUP($B62,island_data!$B:$B,island_data!AA:AA,"NaN")="","NaN",_xlfn.XLOOKUP($B62,island_data!$B:$B,island_data!AA:AA,"NaN"))</f>
        <v>NaN</v>
      </c>
      <c r="DV62" s="4">
        <f>IF(_xlfn.XLOOKUP($B62,island_data!$B:$B,island_data!AB:AB,"NaN")="","NaN",_xlfn.XLOOKUP($B62,island_data!$B:$B,island_data!AB:AB,"NaN"))</f>
        <v>0</v>
      </c>
      <c r="DW62" s="4">
        <f>IF(_xlfn.XLOOKUP($B62,island_data!$B:$B,island_data!AC:AC,"NaN")="","NaN",_xlfn.XLOOKUP($B62,island_data!$B:$B,island_data!AC:AC,"NaN"))</f>
        <v>19131</v>
      </c>
      <c r="DX62" s="4">
        <f>IF(_xlfn.XLOOKUP($B62,island_data!$B:$B,island_data!AD:AD,"NaN")="","NaN",_xlfn.XLOOKUP($B62,island_data!$B:$B,island_data!AD:AD,"NaN"))</f>
        <v>2</v>
      </c>
      <c r="DY62" s="4">
        <f>IF(_xlfn.XLOOKUP($B62,island_data!$B:$B,island_data!AE:AE,"NaN")="","NaN",_xlfn.XLOOKUP($B62,island_data!$B:$B,island_data!AE:AE,"NaN"))</f>
        <v>1</v>
      </c>
      <c r="DZ62" s="4" t="str">
        <f>IF(_xlfn.XLOOKUP($B62,island_data!$B:$B,island_data!AF:AF,"NaN")="","NaN",_xlfn.XLOOKUP($B62,island_data!$B:$B,island_data!AF:AF,"NaN"))</f>
        <v>NaN</v>
      </c>
      <c r="EA62" s="4" t="str">
        <f>IF(_xlfn.XLOOKUP($B62,island_data!$B:$B,island_data!AG:AG,"NaN")="","NaN",_xlfn.XLOOKUP($B62,island_data!$B:$B,island_data!AG:AG,"NaN"))</f>
        <v>NaN</v>
      </c>
      <c r="EB62" s="4" t="str">
        <f>IF(_xlfn.XLOOKUP($B62,island_data!$B:$B,island_data!AH:AH,"NaN")="","NaN",_xlfn.XLOOKUP($B62,island_data!$B:$B,island_data!AH:AH,"NaN"))</f>
        <v>NaN</v>
      </c>
      <c r="EC62" s="4">
        <f>IF(_xlfn.XLOOKUP($B62,island_data!$B:$B,island_data!AI:AI,"NaN")="","NaN",_xlfn.XLOOKUP($B62,island_data!$B:$B,island_data!AI:AI,"NaN"))</f>
        <v>14</v>
      </c>
      <c r="ED62" s="4">
        <f>IF(_xlfn.XLOOKUP($B62,island_data!$B:$B,island_data!AJ:AJ,"NaN")="","NaN",_xlfn.XLOOKUP($B62,island_data!$B:$B,island_data!AJ:AJ,"NaN"))</f>
        <v>14</v>
      </c>
      <c r="EE62" s="4">
        <f>IF(_xlfn.XLOOKUP($B62,island_data!$B:$B,island_data!AK:AK,"NaN")="","NaN",_xlfn.XLOOKUP($B62,island_data!$B:$B,island_data!AK:AK,"NaN"))</f>
        <v>15</v>
      </c>
      <c r="EF62" s="4">
        <f>IF(_xlfn.XLOOKUP($B62,island_data!$B:$B,island_data!AL:AL,"NaN")="","NaN",_xlfn.XLOOKUP($B62,island_data!$B:$B,island_data!AL:AL,"NaN"))</f>
        <v>20</v>
      </c>
      <c r="EG62" s="4">
        <f>IF(_xlfn.XLOOKUP($B62,island_data!$B:$B,island_data!AM:AM,"NaN")="","NaN",_xlfn.XLOOKUP($B62,island_data!$B:$B,island_data!AM:AM,"NaN"))</f>
        <v>18</v>
      </c>
      <c r="EH62" s="4" t="str">
        <f>IF(_xlfn.XLOOKUP($B62,island_data!$B:$B,island_data!AN:AN,"NaN")="","NaN",_xlfn.XLOOKUP($B62,island_data!$B:$B,island_data!AN:AN,"NaN"))</f>
        <v>NaN</v>
      </c>
      <c r="EI62" s="4" t="str">
        <f>IF(_xlfn.XLOOKUP($B62,island_data!$B:$B,island_data!AO:AO,"NaN")="","NaN",_xlfn.XLOOKUP($B62,island_data!$B:$B,island_data!AO:AO,"NaN"))</f>
        <v>NaN</v>
      </c>
      <c r="EJ62" s="8">
        <f>IF(_xlfn.XLOOKUP($A62,TabCAT!$A:$A,TabCAT!AU:AU,"NaN")="","NaN",(_xlfn.XLOOKUP($A62,TabCAT!$A:$A,TabCAT!AU:AU,"NaN")))</f>
        <v>138</v>
      </c>
      <c r="EK62" s="8" t="b">
        <f>IF(_xlfn.XLOOKUP($A62,TabCAT!$A:$A,TabCAT!AV:AV,"NaN")="","NaN",(_xlfn.XLOOKUP($A62,TabCAT!$A:$A,TabCAT!AV:AV,"NaN")))</f>
        <v>1</v>
      </c>
      <c r="EL62" s="8">
        <f>IF(_xlfn.XLOOKUP($A62,TabCAT!$A:$A,TabCAT!AW:AW,"NaN")="","NaN",(_xlfn.XLOOKUP($A62,TabCAT!$A:$A,TabCAT!AW:AW,"NaN")))</f>
        <v>6</v>
      </c>
      <c r="EM62" s="8">
        <f>IF(_xlfn.XLOOKUP($A62,TabCAT!$A:$A,TabCAT!AX:AX,"NaN")="","NaN",(_xlfn.XLOOKUP($A62,TabCAT!$A:$A,TabCAT!AX:AX,"NaN")))</f>
        <v>0</v>
      </c>
      <c r="EN62" s="8">
        <f>IF(_xlfn.XLOOKUP($A62,TabCAT!$A:$A,TabCAT!AY:AY,"NaN")="","NaN",(_xlfn.XLOOKUP($A62,TabCAT!$A:$A,TabCAT!AY:AY,"NaN")))</f>
        <v>9.69</v>
      </c>
      <c r="EO62" s="8">
        <f>IF(_xlfn.XLOOKUP($A62,TabCAT!$A:$A,TabCAT!AZ:AZ,"NaN")="","NaN",(_xlfn.XLOOKUP($A62,TabCAT!$A:$A,TabCAT!AZ:AZ,"NaN")))</f>
        <v>30</v>
      </c>
      <c r="EP62" s="8">
        <f>IF(_xlfn.XLOOKUP($A62,TabCAT!$A:$A,TabCAT!BA:BA,"NaN")="","NaN",(_xlfn.XLOOKUP($A62,TabCAT!$A:$A,TabCAT!BA:BA,"NaN")))</f>
        <v>0.53268199999999999</v>
      </c>
      <c r="EQ62" s="8">
        <f>IF(_xlfn.XLOOKUP($A62,TabCAT!$A:$A,TabCAT!BB:BB,"NaN")="","NaN",(_xlfn.XLOOKUP($A62,TabCAT!$A:$A,TabCAT!BB:BB,"NaN")))</f>
        <v>0.122327500315232</v>
      </c>
      <c r="ER62" s="8">
        <f>IF(_xlfn.XLOOKUP($A62,TabCAT!$A:$A,TabCAT!BC:BC,"NaN")="","NaN",(_xlfn.XLOOKUP($A62,TabCAT!$A:$A,TabCAT!BC:BC,"NaN")))</f>
        <v>15</v>
      </c>
      <c r="ES62" s="8">
        <f>IF(_xlfn.XLOOKUP($A62,TabCAT!$A:$A,TabCAT!BD:BD,"NaN")="","NaN",(_xlfn.XLOOKUP($A62,TabCAT!$A:$A,TabCAT!BD:BD,"NaN")))</f>
        <v>0.53043099999999999</v>
      </c>
      <c r="ET62" s="8">
        <f>IF(_xlfn.XLOOKUP($A62,TabCAT!$A:$A,TabCAT!BE:BE,"NaN")="","NaN",(_xlfn.XLOOKUP($A62,TabCAT!$A:$A,TabCAT!BE:BE,"NaN")))</f>
        <v>15</v>
      </c>
      <c r="EU62" s="8">
        <f>IF(_xlfn.XLOOKUP($A62,TabCAT!$A:$A,TabCAT!BF:BF,"NaN")="","NaN",(_xlfn.XLOOKUP($A62,TabCAT!$A:$A,TabCAT!BF:BF,"NaN")))</f>
        <v>0.55134700000000003</v>
      </c>
      <c r="EV62" s="8" t="str">
        <f>IF(_xlfn.XLOOKUP($A62,TabCAT!$A:$A,TabCAT!BG:BG,"NaN")="","NaN",(_xlfn.XLOOKUP($A62,TabCAT!$A:$A,TabCAT!BG:BG,"NaN")))</f>
        <v>NaN</v>
      </c>
      <c r="EW62" s="8" t="str">
        <f>IF(_xlfn.XLOOKUP($A62,TabCAT!$A:$A,TabCAT!BH:BH,"NaN")="","NaN",(_xlfn.XLOOKUP($A62,TabCAT!$A:$A,TabCAT!BH:BH,"NaN")))</f>
        <v>3.0.0</v>
      </c>
      <c r="EX62" s="8" t="str">
        <f>IF(_xlfn.XLOOKUP($A62,TabCAT!$A:$A,TabCAT!BI:BI,"NaN")="","NaN",(_xlfn.XLOOKUP($A62,TabCAT!$A:$A,TabCAT!BI:BI,"NaN")))</f>
        <v>English</v>
      </c>
      <c r="EY62" s="8">
        <f>IF(_xlfn.XLOOKUP($A62,TabCAT!$A:$A,TabCAT!BJ:BJ,"NaN")="","NaN",(_xlfn.XLOOKUP($A62,TabCAT!$A:$A,TabCAT!BJ:BJ,"NaN")))</f>
        <v>266</v>
      </c>
      <c r="EZ62" s="8">
        <f>IF(_xlfn.XLOOKUP($A62,TabCAT!$A:$A,TabCAT!BK:BK,"NaN")="","NaN",(_xlfn.XLOOKUP($A62,TabCAT!$A:$A,TabCAT!BK:BK,"NaN")))</f>
        <v>1</v>
      </c>
      <c r="FA62" s="8">
        <f>IF(_xlfn.XLOOKUP($A62,TabCAT!$A:$A,TabCAT!BL:BL,"NaN")="","NaN",(_xlfn.XLOOKUP($A62,TabCAT!$A:$A,TabCAT!BL:BL,"NaN")))</f>
        <v>6</v>
      </c>
      <c r="FB62" s="8">
        <f>IF(_xlfn.XLOOKUP($A62,TabCAT!$A:$A,TabCAT!BM:BM,"NaN")="","NaN",(_xlfn.XLOOKUP($A62,TabCAT!$A:$A,TabCAT!BM:BM,"NaN")))</f>
        <v>1</v>
      </c>
      <c r="FC62" s="8">
        <f>IF(_xlfn.XLOOKUP($A62,TabCAT!$A:$A,TabCAT!BN:BN,"NaN")="","NaN",(_xlfn.XLOOKUP($A62,TabCAT!$A:$A,TabCAT!BN:BN,"NaN")))</f>
        <v>6</v>
      </c>
      <c r="FD62" s="8">
        <f>IF(_xlfn.XLOOKUP($A62,TabCAT!$A:$A,TabCAT!BO:BO,"NaN")="","NaN",(_xlfn.XLOOKUP($A62,TabCAT!$A:$A,TabCAT!BO:BO,"NaN")))</f>
        <v>8</v>
      </c>
      <c r="FE62" s="8">
        <f>IF(_xlfn.XLOOKUP($A62,TabCAT!$A:$A,TabCAT!BP:BP,"NaN")="","NaN",(_xlfn.XLOOKUP($A62,TabCAT!$A:$A,TabCAT!BP:BP,"NaN")))</f>
        <v>0.88888888888888795</v>
      </c>
      <c r="FF62" s="8">
        <f>IF(_xlfn.XLOOKUP($A62,TabCAT!$A:$A,TabCAT!BQ:BQ,"NaN")="","NaN",(_xlfn.XLOOKUP($A62,TabCAT!$A:$A,TabCAT!BQ:BQ,"NaN")))</f>
        <v>7</v>
      </c>
      <c r="FG62" s="8">
        <f>IF(_xlfn.XLOOKUP($A62,TabCAT!$A:$A,TabCAT!BR:BR,"NaN")="","NaN",(_xlfn.XLOOKUP($A62,TabCAT!$A:$A,TabCAT!BR:BR,"NaN")))</f>
        <v>10</v>
      </c>
      <c r="FH62" s="8">
        <f>IF(_xlfn.XLOOKUP($A62,TabCAT!$A:$A,TabCAT!BS:BS,"NaN")="","NaN",(_xlfn.XLOOKUP($A62,TabCAT!$A:$A,TabCAT!BS:BS,"NaN")))</f>
        <v>0.83333333333333304</v>
      </c>
      <c r="FI62" s="8">
        <f>IF(_xlfn.XLOOKUP($A62,TabCAT!$A:$A,TabCAT!BT:BT,"NaN")="","NaN",(_xlfn.XLOOKUP($A62,TabCAT!$A:$A,TabCAT!BT:BT,"NaN")))</f>
        <v>8.5</v>
      </c>
      <c r="FJ62" s="8">
        <f>IF(_xlfn.XLOOKUP($A62,TabCAT!$A:$A,TabCAT!BU:BU,"NaN")="","NaN",(_xlfn.XLOOKUP($A62,TabCAT!$A:$A,TabCAT!BU:BU,"NaN")))</f>
        <v>9</v>
      </c>
      <c r="FK62" s="8">
        <f>IF(_xlfn.XLOOKUP($A62,TabCAT!$A:$A,TabCAT!BV:BV,"NaN")="","NaN",(_xlfn.XLOOKUP($A62,TabCAT!$A:$A,TabCAT!BV:BV,"NaN")))</f>
        <v>0.6</v>
      </c>
      <c r="FL62" s="8">
        <f>IF(_xlfn.XLOOKUP($A62,TabCAT!$A:$A,TabCAT!BW:BW,"NaN")="","NaN",(_xlfn.XLOOKUP($A62,TabCAT!$A:$A,TabCAT!BW:BW,"NaN")))</f>
        <v>8</v>
      </c>
      <c r="FM62" s="8">
        <f>IF(_xlfn.XLOOKUP($A62,TabCAT!$A:$A,TabCAT!BX:BX,"NaN")="","NaN",(_xlfn.XLOOKUP($A62,TabCAT!$A:$A,TabCAT!BX:BX,"NaN")))</f>
        <v>33</v>
      </c>
      <c r="FN62" s="8">
        <f>IF(_xlfn.XLOOKUP($A62,TabCAT!$A:$A,TabCAT!BY:BY,"NaN")="","NaN",(_xlfn.XLOOKUP($A62,TabCAT!$A:$A,TabCAT!BY:BY,"NaN")))</f>
        <v>0.78571428571428503</v>
      </c>
      <c r="FO62" s="8">
        <f>IF(_xlfn.XLOOKUP($A62,TabCAT!$A:$A,TabCAT!BZ:BZ,"NaN")="","NaN",(_xlfn.XLOOKUP($A62,TabCAT!$A:$A,TabCAT!BZ:BZ,"NaN")))</f>
        <v>29.5</v>
      </c>
      <c r="FP62" s="8" t="str">
        <f>IF(_xlfn.XLOOKUP($A62,TabCAT!$A:$A,TabCAT!CA:CA,"NaN")="","NaN",(_xlfn.XLOOKUP($A62,TabCAT!$A:$A,TabCAT!CA:CA,"NaN")))</f>
        <v>3.0.0</v>
      </c>
      <c r="FQ62" s="8" t="str">
        <f>IF(_xlfn.XLOOKUP($A62,TabCAT!$A:$A,TabCAT!CB:CB,"NaN")="","NaN",(_xlfn.XLOOKUP($A62,TabCAT!$A:$A,TabCAT!CB:CB,"NaN")))</f>
        <v>English</v>
      </c>
      <c r="FR62" s="8">
        <f>IF(_xlfn.XLOOKUP($A62,TabCAT!$A:$A,TabCAT!CC:CC,"NaN")="","NaN",(_xlfn.XLOOKUP($A62,TabCAT!$A:$A,TabCAT!CC:CC,"NaN")))</f>
        <v>235</v>
      </c>
      <c r="FS62" s="8" t="b">
        <f>IF(_xlfn.XLOOKUP($A62,TabCAT!$A:$A,TabCAT!CD:CD,"NaN")="","NaN",(_xlfn.XLOOKUP($A62,TabCAT!$A:$A,TabCAT!CD:CD,"NaN")))</f>
        <v>1</v>
      </c>
      <c r="FT62" s="8">
        <f>IF(_xlfn.XLOOKUP($A62,TabCAT!$A:$A,TabCAT!CE:CE,"NaN")="","NaN",(_xlfn.XLOOKUP($A62,TabCAT!$A:$A,TabCAT!CE:CE,"NaN")))</f>
        <v>6</v>
      </c>
      <c r="FU62" s="8">
        <f>IF(_xlfn.XLOOKUP($A62,TabCAT!$A:$A,TabCAT!CF:CF,"NaN")="","NaN",(_xlfn.XLOOKUP($A62,TabCAT!$A:$A,TabCAT!CF:CF,"NaN")))</f>
        <v>0</v>
      </c>
      <c r="FV62" s="8">
        <f>IF(_xlfn.XLOOKUP($A62,TabCAT!$A:$A,TabCAT!CG:CG,"NaN")="","NaN",(_xlfn.XLOOKUP($A62,TabCAT!$A:$A,TabCAT!CG:CG,"NaN")))</f>
        <v>7.39</v>
      </c>
      <c r="FW62" s="8">
        <f>IF(_xlfn.XLOOKUP($A62,TabCAT!$A:$A,TabCAT!CH:CH,"NaN")="","NaN",(_xlfn.XLOOKUP($A62,TabCAT!$A:$A,TabCAT!CH:CH,"NaN")))</f>
        <v>16</v>
      </c>
      <c r="FX62" s="8">
        <f>IF(_xlfn.XLOOKUP($A62,TabCAT!$A:$A,TabCAT!CI:CI,"NaN")="","NaN",(_xlfn.XLOOKUP($A62,TabCAT!$A:$A,TabCAT!CI:CI,"NaN")))</f>
        <v>0.76547900000000002</v>
      </c>
      <c r="FY62" s="8">
        <f>IF(_xlfn.XLOOKUP($A62,TabCAT!$A:$A,TabCAT!CJ:CJ,"NaN")="","NaN",(_xlfn.XLOOKUP($A62,TabCAT!$A:$A,TabCAT!CJ:CJ,"NaN")))</f>
        <v>15</v>
      </c>
      <c r="FZ62" s="8">
        <f>IF(_xlfn.XLOOKUP($A62,TabCAT!$A:$A,TabCAT!CK:CK,"NaN")="","NaN",(_xlfn.XLOOKUP($A62,TabCAT!$A:$A,TabCAT!CK:CK,"NaN")))</f>
        <v>1.044662</v>
      </c>
      <c r="GA62" s="8">
        <f>IF(_xlfn.XLOOKUP($A62,TabCAT!$A:$A,TabCAT!CL:CL,"NaN")="","NaN",(_xlfn.XLOOKUP($A62,TabCAT!$A:$A,TabCAT!CL:CL,"NaN")))</f>
        <v>32</v>
      </c>
      <c r="GB62" s="8">
        <f>IF(_xlfn.XLOOKUP($A62,TabCAT!$A:$A,TabCAT!CM:CM,"NaN")="","NaN",(_xlfn.XLOOKUP($A62,TabCAT!$A:$A,TabCAT!CM:CM,"NaN")))</f>
        <v>0.98946999999999996</v>
      </c>
      <c r="GC62" s="8">
        <f>IF(_xlfn.XLOOKUP($A62,TabCAT!$A:$A,TabCAT!CN:CN,"NaN")="","NaN",(_xlfn.XLOOKUP($A62,TabCAT!$A:$A,TabCAT!CN:CN,"NaN")))</f>
        <v>21</v>
      </c>
      <c r="GD62" s="8">
        <f>IF(_xlfn.XLOOKUP($A62,TabCAT!$A:$A,TabCAT!CO:CO,"NaN")="","NaN",(_xlfn.XLOOKUP($A62,TabCAT!$A:$A,TabCAT!CO:CO,"NaN")))</f>
        <v>0.96914500000000003</v>
      </c>
      <c r="GE62" s="8">
        <f>IF(_xlfn.XLOOKUP($A62,TabCAT!$A:$A,TabCAT!CP:CP,"NaN")="","NaN",(_xlfn.XLOOKUP($A62,TabCAT!$A:$A,TabCAT!CP:CP,"NaN")))</f>
        <v>0.29837636436536902</v>
      </c>
      <c r="GF62" s="8">
        <f>IF(_xlfn.XLOOKUP($A62,TabCAT!$A:$A,TabCAT!CQ:CQ,"NaN")="","NaN",(_xlfn.XLOOKUP($A62,TabCAT!$A:$A,TabCAT!CQ:CQ,"NaN")))</f>
        <v>48</v>
      </c>
      <c r="GG62" s="8">
        <f>IF(_xlfn.XLOOKUP($A62,TabCAT!$A:$A,TabCAT!CR:CR,"NaN")="","NaN",(_xlfn.XLOOKUP($A62,TabCAT!$A:$A,TabCAT!CR:CR,"NaN")))</f>
        <v>0.91576100000000005</v>
      </c>
      <c r="GH62" s="8" t="str">
        <f>IF(_xlfn.XLOOKUP($A62,TabCAT!$A:$A,TabCAT!CS:CS,"NaN")="","NaN",(_xlfn.XLOOKUP($A62,TabCAT!$A:$A,TabCAT!CS:CS,"NaN")))</f>
        <v>NaN</v>
      </c>
    </row>
    <row r="63" spans="1:190" x14ac:dyDescent="0.2">
      <c r="A63">
        <v>10800</v>
      </c>
      <c r="B63">
        <f>_xlfn.XLOOKUP(bippity_poppity_boo!A63,rf1_data!A:A,rf1_data!B:B)</f>
        <v>52296</v>
      </c>
      <c r="C63" s="2">
        <f>(_xlfn.XLOOKUP($A63,trust!$A:$A,trust!B:B,"NaN"))</f>
        <v>5.5714290000000002</v>
      </c>
      <c r="D63" s="2">
        <f>(_xlfn.XLOOKUP($A63,trust!$A:$A,trust!C:C,"NaN"))</f>
        <v>6</v>
      </c>
      <c r="E63" s="2">
        <f>(_xlfn.XLOOKUP($A63,trust!$A:$A,trust!D:D,"NaN"))</f>
        <v>4.5999999999999996</v>
      </c>
      <c r="F63" s="2">
        <f>(_xlfn.XLOOKUP($A63,trust!$A:$A,trust!E:E,"NaN"))</f>
        <v>6.3076920000000003</v>
      </c>
      <c r="G63" s="2">
        <f>(_xlfn.XLOOKUP($A63,trust!$A:$A,trust!F:F,"NaN"))</f>
        <v>5</v>
      </c>
      <c r="H63" s="2">
        <f>(_xlfn.XLOOKUP($A63,trust!$A:$A,trust!G:G,"NaN"))</f>
        <v>5.0769229999999999</v>
      </c>
      <c r="I63" s="3">
        <f>IF(_xlfn.XLOOKUP($B63,island_data!$B:$B,island_data!C:C,"NaN")="","NaN",_xlfn.XLOOKUP($B63,island_data!$B:$B,island_data!C:C,"NaN"))</f>
        <v>45125</v>
      </c>
      <c r="J63" s="3">
        <f>IF(_xlfn.XLOOKUP($B63,island_data!$B:$B,island_data!D:D,"NaN")="","NaN",_xlfn.XLOOKUP($B63,island_data!$B:$B,island_data!D:D,"NaN"))</f>
        <v>35345</v>
      </c>
      <c r="K63" s="4">
        <f>IF(_xlfn.XLOOKUP($B63,island_data!$B:$B,island_data!E:E,"NaN")="","NaN",_xlfn.XLOOKUP($B63,island_data!$B:$B,island_data!E:E,"NaN"))</f>
        <v>26.78</v>
      </c>
      <c r="L63" s="5">
        <f>IF(_xlfn.XLOOKUP($B63,rf1_data!$B:$B,rf1_data!D:D,"NaN")="","NaN",(_xlfn.XLOOKUP($B63,rf1_data!$B:$B,rf1_data!D:D,"NaN")))</f>
        <v>26.85</v>
      </c>
      <c r="M63" s="5" t="str">
        <f>IF(_xlfn.XLOOKUP($B63,rf1_data!$B:$B,rf1_data!E:E,"NaN")="","NaN",(_xlfn.XLOOKUP($B63,rf1_data!$B:$B,rf1_data!E:E,"NaN")))</f>
        <v>Two or more races</v>
      </c>
      <c r="N63" s="5" t="str">
        <f>IF(_xlfn.XLOOKUP($B63,rf1_data!$B:$B,rf1_data!F:F,"NaN")="","NaN",(_xlfn.XLOOKUP($B63,rf1_data!$B:$B,rf1_data!F:F,"NaN")))</f>
        <v>Hispanic or Latino</v>
      </c>
      <c r="O63" s="5" t="str">
        <f>IF(_xlfn.XLOOKUP($B63,rf1_data!$B:$B,rf1_data!G:G,"NaN")="","NaN",(_xlfn.XLOOKUP($B63,rf1_data!$B:$B,rf1_data!G:G,"NaN")))</f>
        <v>Female</v>
      </c>
      <c r="P63" s="5">
        <f>IF(_xlfn.XLOOKUP($B63,rf1_data!$B:$B,rf1_data!H:H,"NaN")="","NaN",(_xlfn.XLOOKUP($B63,rf1_data!$B:$B,rf1_data!H:H,"NaN")))</f>
        <v>5</v>
      </c>
      <c r="Q63" s="5">
        <f>IF(_xlfn.XLOOKUP($B63,rf1_data!$B:$B,rf1_data!I:I,"NaN")="","NaN",(_xlfn.XLOOKUP($B63,rf1_data!$B:$B,rf1_data!I:I,"NaN")))</f>
        <v>3.8</v>
      </c>
      <c r="R63" s="5">
        <f>IF(_xlfn.XLOOKUP($B63,rf1_data!$B:$B,rf1_data!J:J,"NaN")="","NaN",(_xlfn.XLOOKUP($B63,rf1_data!$B:$B,rf1_data!J:J,"NaN")))</f>
        <v>6</v>
      </c>
      <c r="S63" s="5">
        <f>IF(_xlfn.XLOOKUP($B63,rf1_data!$B:$B,rf1_data!K:K,"NaN")="","NaN",(_xlfn.XLOOKUP($B63,rf1_data!$B:$B,rf1_data!K:K,"NaN")))</f>
        <v>5</v>
      </c>
      <c r="T63" s="5">
        <f>IF(_xlfn.XLOOKUP($B63,rf1_data!$B:$B,rf1_data!L:L,"NaN")="","NaN",(_xlfn.XLOOKUP($B63,rf1_data!$B:$B,rf1_data!L:L,"NaN")))</f>
        <v>0</v>
      </c>
      <c r="U63" s="5">
        <f>IF(_xlfn.XLOOKUP($B63,rf1_data!$B:$B,rf1_data!M:M,"NaN")="","NaN",(_xlfn.XLOOKUP($B63,rf1_data!$B:$B,rf1_data!M:M,"NaN")))</f>
        <v>6.5</v>
      </c>
      <c r="V63" s="5">
        <f>IF(_xlfn.XLOOKUP($B63,rf1_data!$B:$B,rf1_data!N:N,"NaN")="","NaN",(_xlfn.XLOOKUP($B63,rf1_data!$B:$B,rf1_data!N:N,"NaN")))</f>
        <v>5</v>
      </c>
      <c r="W63" s="5">
        <f>IF(_xlfn.XLOOKUP($B63,rf1_data!$B:$B,rf1_data!O:O,"NaN")="","NaN",(_xlfn.XLOOKUP($B63,rf1_data!$B:$B,rf1_data!O:O,"NaN")))</f>
        <v>6.63</v>
      </c>
      <c r="X63" s="5">
        <f>IF(_xlfn.XLOOKUP($B63,rf1_data!$B:$B,rf1_data!P:P,"NaN")="","NaN",(_xlfn.XLOOKUP($B63,rf1_data!$B:$B,rf1_data!P:P,"NaN")))</f>
        <v>4.83</v>
      </c>
      <c r="Y63" s="5">
        <f>IF(_xlfn.XLOOKUP($B63,rf1_data!$B:$B,rf1_data!Q:Q,"NaN")="","NaN",(_xlfn.XLOOKUP($B63,rf1_data!$B:$B,rf1_data!Q:Q,"NaN")))</f>
        <v>5.7</v>
      </c>
      <c r="Z63" s="5">
        <f>IF(_xlfn.XLOOKUP($B63,rf1_data!$B:$B,rf1_data!R:R,"NaN")="","NaN",(_xlfn.XLOOKUP($B63,rf1_data!$B:$B,rf1_data!R:R,"NaN")))</f>
        <v>39</v>
      </c>
      <c r="AA63" s="5">
        <f>IF(_xlfn.XLOOKUP($B63,rf1_data!$B:$B,rf1_data!S:S,"NaN")="","NaN",(_xlfn.XLOOKUP($B63,rf1_data!$B:$B,rf1_data!S:S,"NaN")))</f>
        <v>9</v>
      </c>
      <c r="AB63" s="5">
        <f>IF(_xlfn.XLOOKUP($B63,rf1_data!$B:$B,rf1_data!T:T,"NaN")="","NaN",(_xlfn.XLOOKUP($B63,rf1_data!$B:$B,rf1_data!T:T,"NaN")))</f>
        <v>14</v>
      </c>
      <c r="AC63" s="5">
        <f>IF(_xlfn.XLOOKUP($B63,rf1_data!$B:$B,rf1_data!U:U,"NaN")="","NaN",(_xlfn.XLOOKUP($B63,rf1_data!$B:$B,rf1_data!U:U,"NaN")))</f>
        <v>5</v>
      </c>
      <c r="AD63" s="5">
        <f>IF(_xlfn.XLOOKUP($B63,rf1_data!$B:$B,rf1_data!V:V,"NaN")="","NaN",(_xlfn.XLOOKUP($B63,rf1_data!$B:$B,rf1_data!V:V,"NaN")))</f>
        <v>11</v>
      </c>
      <c r="AE63" s="5">
        <f>IF(_xlfn.XLOOKUP($B63,rf1_data!$B:$B,rf1_data!W:W,"NaN")="","NaN",(_xlfn.XLOOKUP($B63,rf1_data!$B:$B,rf1_data!W:W,"NaN")))</f>
        <v>5</v>
      </c>
      <c r="AF63" s="5">
        <f>IF(_xlfn.XLOOKUP($B63,rf1_data!$B:$B,rf1_data!X:X,"NaN")="","NaN",(_xlfn.XLOOKUP($B63,rf1_data!$B:$B,rf1_data!X:X,"NaN")))</f>
        <v>6</v>
      </c>
      <c r="AG63" s="5">
        <f>IF(_xlfn.XLOOKUP($B63,rf1_data!$B:$B,rf1_data!Y:Y,"NaN")="","NaN",(_xlfn.XLOOKUP($B63,rf1_data!$B:$B,rf1_data!Y:Y,"NaN")))</f>
        <v>4</v>
      </c>
      <c r="AH63" s="5">
        <f>IF(_xlfn.XLOOKUP($B63,rf1_data!$B:$B,rf1_data!Z:Z,"NaN")="","NaN",(_xlfn.XLOOKUP($B63,rf1_data!$B:$B,rf1_data!Z:Z,"NaN")))</f>
        <v>5</v>
      </c>
      <c r="AI63" s="5">
        <f>IF(_xlfn.XLOOKUP($B63,rf1_data!$B:$B,rf1_data!AA:AA,"NaN")="","NaN",(_xlfn.XLOOKUP($B63,rf1_data!$B:$B,rf1_data!AA:AA,"NaN")))</f>
        <v>3</v>
      </c>
      <c r="AJ63" s="5">
        <f>IF(_xlfn.XLOOKUP($B63,rf1_data!$B:$B,rf1_data!AB:AB,"NaN")="","NaN",(_xlfn.XLOOKUP($B63,rf1_data!$B:$B,rf1_data!AB:AB,"NaN")))</f>
        <v>23</v>
      </c>
      <c r="AK63" s="5">
        <f>IF(_xlfn.XLOOKUP($B63,rf1_data!$B:$B,rf1_data!AC:AC,"NaN")="","NaN",(_xlfn.XLOOKUP($B63,rf1_data!$B:$B,rf1_data!AC:AC,"NaN")))</f>
        <v>34</v>
      </c>
      <c r="AL63" s="5">
        <f>IF(_xlfn.XLOOKUP($B63,rf1_data!$B:$B,rf1_data!AD:AD,"NaN")="","NaN",(_xlfn.XLOOKUP($B63,rf1_data!$B:$B,rf1_data!AD:AD,"NaN")))</f>
        <v>11</v>
      </c>
      <c r="AM63" s="5">
        <f>IF(_xlfn.XLOOKUP($B63,rf1_data!$B:$B,rf1_data!AE:AE,"NaN")="","NaN",(_xlfn.XLOOKUP($B63,rf1_data!$B:$B,rf1_data!AE:AE,"NaN")))</f>
        <v>0</v>
      </c>
      <c r="AN63" s="5">
        <f>IF(_xlfn.XLOOKUP($B63,rf1_data!$B:$B,rf1_data!AF:AF,"NaN")="","NaN",(_xlfn.XLOOKUP($B63,rf1_data!$B:$B,rf1_data!AF:AF,"NaN")))</f>
        <v>0</v>
      </c>
      <c r="AO63" s="5">
        <f>IF(_xlfn.XLOOKUP($B63,rf1_data!$B:$B,rf1_data!AG:AG,"NaN")="","NaN",(_xlfn.XLOOKUP($B63,rf1_data!$B:$B,rf1_data!AG:AG,"NaN")))</f>
        <v>6</v>
      </c>
      <c r="AP63" s="5">
        <f>IF(_xlfn.XLOOKUP($B63,rf1_data!$B:$B,rf1_data!AH:AH,"NaN")="","NaN",(_xlfn.XLOOKUP($B63,rf1_data!$B:$B,rf1_data!AH:AH,"NaN")))</f>
        <v>7</v>
      </c>
      <c r="AQ63" s="5">
        <f>IF(_xlfn.XLOOKUP($B63,rf1_data!$B:$B,rf1_data!AI:AI,"NaN")="","NaN",(_xlfn.XLOOKUP($B63,rf1_data!$B:$B,rf1_data!AI:AI,"NaN")))</f>
        <v>6.5</v>
      </c>
      <c r="AR63" s="5">
        <f>IF(_xlfn.XLOOKUP($B63,rf1_data!$B:$B,rf1_data!AJ:AJ,"NaN")="","NaN",(_xlfn.XLOOKUP($B63,rf1_data!$B:$B,rf1_data!AJ:AJ,"NaN")))</f>
        <v>4.5</v>
      </c>
      <c r="AS63" s="5">
        <f>IF(_xlfn.XLOOKUP($B63,rf1_data!$B:$B,rf1_data!AK:AK,"NaN")="","NaN",(_xlfn.XLOOKUP($B63,rf1_data!$B:$B,rf1_data!AK:AK,"NaN")))</f>
        <v>3.5</v>
      </c>
      <c r="AT63" s="5">
        <f>IF(_xlfn.XLOOKUP($B63,rf1_data!$B:$B,rf1_data!AL:AL,"NaN")="","NaN",(_xlfn.XLOOKUP($B63,rf1_data!$B:$B,rf1_data!AL:AL,"NaN")))</f>
        <v>19</v>
      </c>
      <c r="AU63" s="5">
        <f>IF(_xlfn.XLOOKUP($B63,rf1_data!$B:$B,rf1_data!AM:AM,"NaN")="","NaN",(_xlfn.XLOOKUP($B63,rf1_data!$B:$B,rf1_data!AM:AM,"NaN")))</f>
        <v>4.5</v>
      </c>
      <c r="AV63" s="5">
        <f>IF(_xlfn.XLOOKUP($B63,rf1_data!$B:$B,rf1_data!AN:AN,"NaN")="","NaN",(_xlfn.XLOOKUP($B63,rf1_data!$B:$B,rf1_data!AN:AN,"NaN")))</f>
        <v>26</v>
      </c>
      <c r="AW63" s="5">
        <f>IF(_xlfn.XLOOKUP($B63,rf1_data!$B:$B,rf1_data!AO:AO,"NaN")="","NaN",(_xlfn.XLOOKUP($B63,rf1_data!$B:$B,rf1_data!AO:AO,"NaN")))</f>
        <v>3</v>
      </c>
      <c r="AX63" s="5">
        <f>IF(_xlfn.XLOOKUP($B63,rf1_data!$B:$B,rf1_data!AP:AP,"NaN")="","NaN",(_xlfn.XLOOKUP($B63,rf1_data!$B:$B,rf1_data!AP:AP,"NaN")))</f>
        <v>9999</v>
      </c>
      <c r="AY63" s="5" t="str">
        <f>IF(_xlfn.XLOOKUP($B63,rf1_data!$B:$B,rf1_data!AQ:AQ,"NaN")="","NaN",(_xlfn.XLOOKUP($B63,rf1_data!$B:$B,rf1_data!AQ:AQ,"NaN")))</f>
        <v>NaN</v>
      </c>
      <c r="AZ63" s="5" t="str">
        <f>IF(_xlfn.XLOOKUP($B63,rf1_data!$B:$B,rf1_data!AR:AR,"NaN")="","NaN",(_xlfn.XLOOKUP($B63,rf1_data!$B:$B,rf1_data!AR:AR,"NaN")))</f>
        <v>NaN</v>
      </c>
      <c r="BA63" s="5" t="str">
        <f>IF(_xlfn.XLOOKUP($B63,rf1_data!$B:$B,rf1_data!AS:AS,"NaN")="","NaN",(_xlfn.XLOOKUP($B63,rf1_data!$B:$B,rf1_data!AS:AS,"NaN")))</f>
        <v>NaN</v>
      </c>
      <c r="BB63" s="5" t="str">
        <f>IF(_xlfn.XLOOKUP($B63,rf1_data!$B:$B,rf1_data!AT:AT,"NaN")="","NaN",(_xlfn.XLOOKUP($B63,rf1_data!$B:$B,rf1_data!AT:AT,"NaN")))</f>
        <v>NaN</v>
      </c>
      <c r="BC63" s="5" t="str">
        <f>IF(_xlfn.XLOOKUP($B63,rf1_data!$B:$B,rf1_data!AU:AU,"NaN")="","NaN",(_xlfn.XLOOKUP($B63,rf1_data!$B:$B,rf1_data!AU:AU,"NaN")))</f>
        <v>NaN</v>
      </c>
      <c r="BD63" s="5" t="str">
        <f>IF(_xlfn.XLOOKUP($B63,rf1_data!$B:$B,rf1_data!AV:AV,"NaN")="","NaN",(_xlfn.XLOOKUP($B63,rf1_data!$B:$B,rf1_data!AV:AV,"NaN")))</f>
        <v>NaN</v>
      </c>
      <c r="BE63" s="5" t="str">
        <f>IF(_xlfn.XLOOKUP($B63,rf1_data!$B:$B,rf1_data!AW:AW,"NaN")="","NaN",(_xlfn.XLOOKUP($B63,rf1_data!$B:$B,rf1_data!AW:AW,"NaN")))</f>
        <v>NaN</v>
      </c>
      <c r="BF63" s="5" t="str">
        <f>IF(_xlfn.XLOOKUP($B63,rf1_data!$B:$B,rf1_data!AX:AX,"NaN")="","NaN",(_xlfn.XLOOKUP($B63,rf1_data!$B:$B,rf1_data!AX:AX,"NaN")))</f>
        <v>NaN</v>
      </c>
      <c r="BG63" s="5" t="str">
        <f>IF(_xlfn.XLOOKUP($B63,rf1_data!$B:$B,rf1_data!AY:AY,"NaN")="","NaN",(_xlfn.XLOOKUP($B63,rf1_data!$B:$B,rf1_data!AY:AY,"NaN")))</f>
        <v>NaN</v>
      </c>
      <c r="BH63" s="5" t="str">
        <f>IF(_xlfn.XLOOKUP($B63,rf1_data!$B:$B,rf1_data!AZ:AZ,"NaN")="","NaN",(_xlfn.XLOOKUP($B63,rf1_data!$B:$B,rf1_data!AZ:AZ,"NaN")))</f>
        <v>NaN</v>
      </c>
      <c r="BI63" s="5">
        <f>IF(_xlfn.XLOOKUP($B63,rf1_data!$B:$B,rf1_data!BA:BA,"NaN")="","NaN",(_xlfn.XLOOKUP($B63,rf1_data!$B:$B,rf1_data!BA:BA,"NaN")))</f>
        <v>20</v>
      </c>
      <c r="BJ63" s="5" t="str">
        <f>IF(_xlfn.XLOOKUP($B63,rf1_data!$B:$B,rf1_data!BB:BB,"NaN")="","NaN",(_xlfn.XLOOKUP($B63,rf1_data!$B:$B,rf1_data!BB:BB,"NaN")))</f>
        <v>NaN</v>
      </c>
      <c r="BK63" s="5" t="str">
        <f>IF(_xlfn.XLOOKUP($B63,rf1_data!$B:$B,rf1_data!BC:BC,"NaN")="","NaN",(_xlfn.XLOOKUP($B63,rf1_data!$B:$B,rf1_data!BC:BC,"NaN")))</f>
        <v>NaN</v>
      </c>
      <c r="BL63" s="5" t="str">
        <f>IF(_xlfn.XLOOKUP($B63,rf1_data!$B:$B,rf1_data!BD:BD,"NaN")="","NaN",(_xlfn.XLOOKUP($B63,rf1_data!$B:$B,rf1_data!BD:BD,"NaN")))</f>
        <v>NaN</v>
      </c>
      <c r="BM63" s="5" t="str">
        <f>IF(_xlfn.XLOOKUP($B63,rf1_data!$B:$B,rf1_data!BE:BE,"NaN")="","NaN",(_xlfn.XLOOKUP($B63,rf1_data!$B:$B,rf1_data!BE:BE,"NaN")))</f>
        <v>NaN</v>
      </c>
      <c r="BN63" s="5" t="str">
        <f>IF(_xlfn.XLOOKUP($B63,rf1_data!$B:$B,rf1_data!BF:BF,"NaN")="","NaN",(_xlfn.XLOOKUP($B63,rf1_data!$B:$B,rf1_data!BF:BF,"NaN")))</f>
        <v>NaN</v>
      </c>
      <c r="BO63" s="5" t="str">
        <f>IF(_xlfn.XLOOKUP($B63,rf1_data!$B:$B,rf1_data!BG:BG,"NaN")="","NaN",(_xlfn.XLOOKUP($B63,rf1_data!$B:$B,rf1_data!BG:BG,"NaN")))</f>
        <v>NaN</v>
      </c>
      <c r="BP63" s="5" t="str">
        <f>IF(_xlfn.XLOOKUP($B63,rf1_data!$B:$B,rf1_data!BH:BH,"NaN")="","NaN",(_xlfn.XLOOKUP($B63,rf1_data!$B:$B,rf1_data!BH:BH,"NaN")))</f>
        <v>NaN</v>
      </c>
      <c r="BQ63" s="5" t="str">
        <f>IF(_xlfn.XLOOKUP($B63,rf1_data!$B:$B,rf1_data!BI:BI,"NaN")="","NaN",(_xlfn.XLOOKUP($B63,rf1_data!$B:$B,rf1_data!BI:BI,"NaN")))</f>
        <v>NaN</v>
      </c>
      <c r="BR63" s="5">
        <f>IF(_xlfn.XLOOKUP($B63,rf1_data!$B:$B,rf1_data!BJ:BJ,"NaN")="","NaN",(_xlfn.XLOOKUP($B63,rf1_data!$B:$B,rf1_data!BJ:BJ,"NaN")))</f>
        <v>8991</v>
      </c>
      <c r="BS63" s="5" t="str">
        <f>IF(_xlfn.XLOOKUP($B63,rf1_data!$B:$B,rf1_data!BK:BK,"NaN")="","NaN",(_xlfn.XLOOKUP($B63,rf1_data!$B:$B,rf1_data!BK:BK,"NaN")))</f>
        <v>NaN</v>
      </c>
      <c r="BT63" s="5" t="str">
        <f>IF(_xlfn.XLOOKUP($B63,rf1_data!$B:$B,rf1_data!BL:BL,"NaN")="","NaN",(_xlfn.XLOOKUP($B63,rf1_data!$B:$B,rf1_data!BL:BL,"NaN")))</f>
        <v>NaN</v>
      </c>
      <c r="BU63" s="5" t="str">
        <f>IF(_xlfn.XLOOKUP($B63,rf1_data!$B:$B,rf1_data!BM:BM,"NaN")="","NaN",(_xlfn.XLOOKUP($B63,rf1_data!$B:$B,rf1_data!BM:BM,"NaN")))</f>
        <v>NaN</v>
      </c>
      <c r="BV63" s="5" t="str">
        <f>IF(_xlfn.XLOOKUP($B63,rf1_data!$B:$B,rf1_data!BN:BN,"NaN")="","NaN",(_xlfn.XLOOKUP($B63,rf1_data!$B:$B,rf1_data!BN:BN,"NaN")))</f>
        <v>NaN</v>
      </c>
      <c r="BW63" s="5">
        <f>IF(_xlfn.XLOOKUP($B63,rf1_data!$B:$B,rf1_data!BO:BO,"NaN")="","NaN",(_xlfn.XLOOKUP($B63,rf1_data!$B:$B,rf1_data!BO:BO,"NaN")))</f>
        <v>3.6</v>
      </c>
      <c r="BX63" s="5">
        <f>IF(_xlfn.XLOOKUP($B63,rf1_data!$B:$B,rf1_data!BP:BP,"NaN")="","NaN",(_xlfn.XLOOKUP($B63,rf1_data!$B:$B,rf1_data!BP:BP,"NaN")))</f>
        <v>4.7</v>
      </c>
      <c r="BY63" s="5">
        <f>IF(_xlfn.XLOOKUP($B63,rf1_data!$B:$B,rf1_data!BQ:BQ,"NaN")="","NaN",(_xlfn.XLOOKUP($B63,rf1_data!$B:$B,rf1_data!BQ:BQ,"NaN")))</f>
        <v>4.5</v>
      </c>
      <c r="BZ63" s="5">
        <f>IF(_xlfn.XLOOKUP($B63,rf1_data!$B:$B,rf1_data!BR:BR,"NaN")="","NaN",(_xlfn.XLOOKUP($B63,rf1_data!$B:$B,rf1_data!BR:BR,"NaN")))</f>
        <v>4.2699999999999996</v>
      </c>
      <c r="CA63" s="5">
        <f>IF(_xlfn.XLOOKUP($B63,rf1_data!$B:$B,rf1_data!BS:BS,"NaN")="","NaN",(_xlfn.XLOOKUP($B63,rf1_data!$B:$B,rf1_data!BS:BS,"NaN")))</f>
        <v>5.8333333333333002</v>
      </c>
      <c r="CB63" s="5">
        <f>IF(_xlfn.XLOOKUP($B63,rf1_data!$B:$B,rf1_data!BT:BT,"NaN")="","NaN",(_xlfn.XLOOKUP($B63,rf1_data!$B:$B,rf1_data!BT:BT,"NaN")))</f>
        <v>5.1666666666666998</v>
      </c>
      <c r="CC63" s="5">
        <f>IF(_xlfn.XLOOKUP($B63,rf1_data!$B:$B,rf1_data!BU:BU,"NaN")="","NaN",(_xlfn.XLOOKUP($B63,rf1_data!$B:$B,rf1_data!BU:BU,"NaN")))</f>
        <v>6</v>
      </c>
      <c r="CD63" s="5">
        <f>IF(_xlfn.XLOOKUP($B63,rf1_data!$B:$B,rf1_data!BV:BV,"NaN")="","NaN",(_xlfn.XLOOKUP($B63,rf1_data!$B:$B,rf1_data!BV:BV,"NaN")))</f>
        <v>5.1666666666666998</v>
      </c>
      <c r="CE63" s="5">
        <f>IF(_xlfn.XLOOKUP($B63,rf1_data!$B:$B,rf1_data!BW:BW,"NaN")="","NaN",(_xlfn.XLOOKUP($B63,rf1_data!$B:$B,rf1_data!BW:BW,"NaN")))</f>
        <v>0.9</v>
      </c>
      <c r="CF63" s="5">
        <f>IF(_xlfn.XLOOKUP($B63,rf1_data!$B:$B,rf1_data!BX:BX,"NaN")="","NaN",(_xlfn.XLOOKUP($B63,rf1_data!$B:$B,rf1_data!BX:BX,"NaN")))</f>
        <v>0</v>
      </c>
      <c r="CG63" s="5">
        <f>IF(_xlfn.XLOOKUP($B63,rf1_data!$B:$B,rf1_data!BY:BY,"NaN")="","NaN",(_xlfn.XLOOKUP($B63,rf1_data!$B:$B,rf1_data!BY:BY,"NaN")))</f>
        <v>0</v>
      </c>
      <c r="CH63" s="5">
        <f>IF(_xlfn.XLOOKUP($B63,rf1_data!$B:$B,rf1_data!BZ:BZ,"NaN")="","NaN",(_xlfn.XLOOKUP($B63,rf1_data!$B:$B,rf1_data!BZ:BZ,"NaN")))</f>
        <v>30</v>
      </c>
      <c r="CI63" s="5">
        <f>IF(_xlfn.XLOOKUP($B63,rf1_data!$B:$B,rf1_data!CA:CA,"NaN")="","NaN",(_xlfn.XLOOKUP($B63,rf1_data!$B:$B,rf1_data!CA:CA,"NaN")))</f>
        <v>20</v>
      </c>
      <c r="CJ63" s="5">
        <f>IF(_xlfn.XLOOKUP($B63,rf1_data!$B:$B,rf1_data!CB:CB,"NaN")="","NaN",(_xlfn.XLOOKUP($B63,rf1_data!$B:$B,rf1_data!CB:CB,"NaN")))</f>
        <v>10</v>
      </c>
      <c r="CK63" s="5">
        <f>IF(_xlfn.XLOOKUP($B63,rf1_data!$B:$B,rf1_data!CC:CC,"NaN")="","NaN",(_xlfn.XLOOKUP($B63,rf1_data!$B:$B,rf1_data!CC:CC,"NaN")))</f>
        <v>0.83333333333333004</v>
      </c>
      <c r="CL63" s="5">
        <f>IF(_xlfn.XLOOKUP($B63,rf1_data!$B:$B,rf1_data!CD:CD,"NaN")=0,"NaN",(_xlfn.XLOOKUP($B63,rf1_data!$B:$B,rf1_data!CD:CD,"NaN")))</f>
        <v>40</v>
      </c>
      <c r="CM63" s="5">
        <f>IF(_xlfn.XLOOKUP($B63,rf1_data!$B:$B,rf1_data!CE:CE,"NaN")="","NaN",(_xlfn.XLOOKUP($B63,rf1_data!$B:$B,rf1_data!CE:CE,"NaN")))</f>
        <v>33</v>
      </c>
      <c r="CN63" s="5">
        <f>IF(_xlfn.XLOOKUP($B63,rf1_data!$B:$B,rf1_data!CF:CF,"NaN")="","NaN",(_xlfn.XLOOKUP($B63,rf1_data!$B:$B,rf1_data!CF:CF,"NaN")))</f>
        <v>38</v>
      </c>
      <c r="CO63" s="5">
        <f>IF(_xlfn.XLOOKUP($B63,rf1_data!$B:$B,rf1_data!CG:CG,"NaN")="","NaN",(_xlfn.XLOOKUP($B63,rf1_data!$B:$B,rf1_data!CG:CG,"NaN")))</f>
        <v>23</v>
      </c>
      <c r="CP63" s="5">
        <f>IF(_xlfn.XLOOKUP($B63,rf1_data!$B:$B,rf1_data!CH:CH,"NaN")=0,"NaN",(_xlfn.XLOOKUP($B63,rf1_data!$B:$B,rf1_data!CH:CH,"NaN")))</f>
        <v>34</v>
      </c>
      <c r="CQ63" s="5">
        <f>IF(_xlfn.XLOOKUP($B63,rf1_data!$B:$B,rf1_data!CI:CI,"NaN")="","NaN",(_xlfn.XLOOKUP($B63,rf1_data!$B:$B,rf1_data!CI:CI,"NaN")))</f>
        <v>41</v>
      </c>
      <c r="CR63" s="5">
        <f>IF(_xlfn.XLOOKUP($B63,rf1_data!$B:$B,rf1_data!CJ:CJ,"NaN")="","NaN",(_xlfn.XLOOKUP($B63,rf1_data!$B:$B,rf1_data!CJ:CJ,"NaN")))</f>
        <v>60</v>
      </c>
      <c r="CS63" s="5">
        <f>IF(_xlfn.XLOOKUP($B63,rf1_data!$B:$B,rf1_data!CK:CK,"NaN")="","NaN",(_xlfn.XLOOKUP($B63,rf1_data!$B:$B,rf1_data!CK:CK,"NaN")))</f>
        <v>30</v>
      </c>
      <c r="CT63" s="5">
        <f>IF(_xlfn.XLOOKUP($B63,rf1_data!$B:$B,rf1_data!CL:CL,"NaN")="","NaN",(_xlfn.XLOOKUP($B63,rf1_data!$B:$B,rf1_data!CL:CL,"NaN")))</f>
        <v>60</v>
      </c>
      <c r="CU63" s="5">
        <f>IF(_xlfn.XLOOKUP($B63,rf1_data!$B:$B,rf1_data!CM:CM,"NaN")="","NaN",(_xlfn.XLOOKUP($B63,rf1_data!$B:$B,rf1_data!CM:CM,"NaN")))</f>
        <v>29</v>
      </c>
      <c r="CV63" s="5">
        <f>IF(_xlfn.XLOOKUP($B63,rf1_data!$B:$B,rf1_data!CN:CN,"NaN")="","NaN",(_xlfn.XLOOKUP($B63,rf1_data!$B:$B,rf1_data!CN:CN,"NaN")))</f>
        <v>60</v>
      </c>
      <c r="CW63" s="5" t="str">
        <f>IF(_xlfn.XLOOKUP($B63,rf1_data!$B:$B,rf1_data!CO:CO,"NaN")="","NaN",(_xlfn.XLOOKUP($B63,rf1_data!$B:$B,rf1_data!CO:CO,"NaN")))</f>
        <v>NaN</v>
      </c>
      <c r="CX63" s="5" t="str">
        <f>IF(_xlfn.XLOOKUP($B63,rf1_data!$B:$B,rf1_data!CP:CP,"NaN")="","NaN",(_xlfn.XLOOKUP($B63,rf1_data!$B:$B,rf1_data!CP:CP,"NaN")))</f>
        <v>NaN</v>
      </c>
      <c r="CY63" s="5">
        <f>IF(_xlfn.XLOOKUP($B63,rf1_data!$B:$B,rf1_data!CQ:CQ,"NaN")="","NaN",(_xlfn.XLOOKUP($B63,rf1_data!$B:$B,rf1_data!CQ:CQ,"NaN")))</f>
        <v>4</v>
      </c>
      <c r="CZ63" s="5">
        <f>IF(_xlfn.XLOOKUP($B63,rf1_data!$B:$B,rf1_data!CR:CR,"NaN")="","NaN",(_xlfn.XLOOKUP($B63,rf1_data!$B:$B,rf1_data!CR:CR,"NaN")))</f>
        <v>3</v>
      </c>
      <c r="DA63" s="5">
        <f>IF(_xlfn.XLOOKUP($B63,rf1_data!$B:$B,rf1_data!CS:CS,"NaN")="","NaN",(_xlfn.XLOOKUP($B63,rf1_data!$B:$B,rf1_data!CS:CS,"NaN")))</f>
        <v>1</v>
      </c>
      <c r="DB63" s="4">
        <f>IF(_xlfn.XLOOKUP($B63,island_data!$B:$B,island_data!H:H,"NaN")="","NaN",_xlfn.XLOOKUP($B63,island_data!$B:$B,island_data!H:H,"NaN"))</f>
        <v>1</v>
      </c>
      <c r="DC63" s="4">
        <f>IF(_xlfn.XLOOKUP($B63,island_data!$B:$B,island_data!I:I,"NaN")="","NaN",_xlfn.XLOOKUP($B63,island_data!$B:$B,island_data!I:I,"NaN"))</f>
        <v>0</v>
      </c>
      <c r="DD63" s="4">
        <f>IF(_xlfn.XLOOKUP($B63,island_data!$B:$B,island_data!J:J,"NaN")="","NaN",_xlfn.XLOOKUP($B63,island_data!$B:$B,island_data!J:J,"NaN"))</f>
        <v>1</v>
      </c>
      <c r="DE63" s="4">
        <f>IF(_xlfn.XLOOKUP($B63,island_data!$B:$B,island_data!K:K,"NaN")="","NaN",_xlfn.XLOOKUP($B63,island_data!$B:$B,island_data!K:K,"NaN"))</f>
        <v>6</v>
      </c>
      <c r="DF63" s="4">
        <f>IF(_xlfn.XLOOKUP($B63,island_data!$B:$B,island_data!L:L,"NaN")="","NaN",_xlfn.XLOOKUP($B63,island_data!$B:$B,island_data!L:L,"NaN"))</f>
        <v>0</v>
      </c>
      <c r="DG63" s="4">
        <f>IF(_xlfn.XLOOKUP($B63,island_data!$B:$B,island_data!M:M,"NaN")="","NaN",_xlfn.XLOOKUP($B63,island_data!$B:$B,island_data!M:M,"NaN"))</f>
        <v>3.875</v>
      </c>
      <c r="DH63" s="4">
        <f>IF(_xlfn.XLOOKUP($B63,island_data!$B:$B,island_data!N:N,"NaN")="","NaN",_xlfn.XLOOKUP($B63,island_data!$B:$B,island_data!N:N,"NaN"))</f>
        <v>10</v>
      </c>
      <c r="DI63" s="4">
        <f>IF(_xlfn.XLOOKUP($B63,island_data!$B:$B,island_data!O:O,"NaN")=999,"NaN",_xlfn.XLOOKUP($B63,island_data!$B:$B,island_data!O:O,"NaN"))</f>
        <v>11</v>
      </c>
      <c r="DJ63" s="4">
        <f>IF(_xlfn.XLOOKUP($B63,island_data!$B:$B,island_data!P:P,"NaN")="","NaN",_xlfn.XLOOKUP($B63,island_data!$B:$B,island_data!P:P,"NaN"))</f>
        <v>10</v>
      </c>
      <c r="DK63" s="4">
        <f>IF(_xlfn.XLOOKUP($B63,island_data!$B:$B,island_data!Q:Q,"NaN")="","NaN",_xlfn.XLOOKUP($B63,island_data!$B:$B,island_data!Q:Q,"NaN"))</f>
        <v>4</v>
      </c>
      <c r="DL63" s="4">
        <f>IF(_xlfn.XLOOKUP($B63,island_data!$B:$B,island_data!R:R,"NaN")=999,"NaN",_xlfn.XLOOKUP($B63,island_data!$B:$B,island_data!R:R,"NaN"))</f>
        <v>15</v>
      </c>
      <c r="DM63" s="4">
        <f>IF(_xlfn.XLOOKUP($B63,island_data!$B:$B,island_data!S:S,"NaN")="","NaN",_xlfn.XLOOKUP($B63,island_data!$B:$B,island_data!S:S,"NaN"))</f>
        <v>12</v>
      </c>
      <c r="DN63" s="4">
        <f>IF(_xlfn.XLOOKUP($B63,island_data!$B:$B,island_data!T:T,"NaN")="","NaN",_xlfn.XLOOKUP($B63,island_data!$B:$B,island_data!T:T,"NaN"))</f>
        <v>5.9166666666666599</v>
      </c>
      <c r="DO63" s="4">
        <f>IF(_xlfn.XLOOKUP($B63,island_data!$B:$B,island_data!U:U,"NaN")="","NaN",_xlfn.XLOOKUP($B63,island_data!$B:$B,island_data!U:U,"NaN"))</f>
        <v>4</v>
      </c>
      <c r="DP63" s="4">
        <f>IF(_xlfn.XLOOKUP($B63,island_data!$B:$B,island_data!V:V,"NaN")="","NaN",_xlfn.XLOOKUP($B63,island_data!$B:$B,island_data!V:V,"NaN"))</f>
        <v>1</v>
      </c>
      <c r="DQ63" s="4">
        <f>IF(_xlfn.XLOOKUP($B63,island_data!$B:$B,island_data!W:W,"NaN")="","NaN",_xlfn.XLOOKUP($B63,island_data!$B:$B,island_data!W:W,"NaN"))</f>
        <v>4</v>
      </c>
      <c r="DR63" s="4">
        <f>IF(_xlfn.XLOOKUP($B63,island_data!$B:$B,island_data!X:X,"NaN")="","NaN",_xlfn.XLOOKUP($B63,island_data!$B:$B,island_data!X:X,"NaN"))</f>
        <v>4</v>
      </c>
      <c r="DS63" s="4" t="str">
        <f>IF(_xlfn.XLOOKUP($B63,island_data!$B:$B,island_data!Y:Y,"NaN")="","NaN",_xlfn.XLOOKUP($B63,island_data!$B:$B,island_data!Y:Y,"NaN"))</f>
        <v>NaN</v>
      </c>
      <c r="DT63" s="4" t="str">
        <f>IF(_xlfn.XLOOKUP($B63,island_data!$B:$B,island_data!Z:Z,"NaN")="","NaN",_xlfn.XLOOKUP($B63,island_data!$B:$B,island_data!Z:Z,"NaN"))</f>
        <v>NaN</v>
      </c>
      <c r="DU63" s="4" t="str">
        <f>IF(_xlfn.XLOOKUP($B63,island_data!$B:$B,island_data!AA:AA,"NaN")="","NaN",_xlfn.XLOOKUP($B63,island_data!$B:$B,island_data!AA:AA,"NaN"))</f>
        <v>NaN</v>
      </c>
      <c r="DV63" s="4" t="str">
        <f>IF(_xlfn.XLOOKUP($B63,island_data!$B:$B,island_data!AB:AB,"NaN")="","NaN",_xlfn.XLOOKUP($B63,island_data!$B:$B,island_data!AB:AB,"NaN"))</f>
        <v>NaN</v>
      </c>
      <c r="DW63" s="4">
        <f>IF(_xlfn.XLOOKUP($B63,island_data!$B:$B,island_data!AC:AC,"NaN")="","NaN",_xlfn.XLOOKUP($B63,island_data!$B:$B,island_data!AC:AC,"NaN"))</f>
        <v>13350</v>
      </c>
      <c r="DX63" s="4">
        <f>IF(_xlfn.XLOOKUP($B63,island_data!$B:$B,island_data!AD:AD,"NaN")="","NaN",_xlfn.XLOOKUP($B63,island_data!$B:$B,island_data!AD:AD,"NaN"))</f>
        <v>4</v>
      </c>
      <c r="DY63" s="4">
        <f>IF(_xlfn.XLOOKUP($B63,island_data!$B:$B,island_data!AE:AE,"NaN")="","NaN",_xlfn.XLOOKUP($B63,island_data!$B:$B,island_data!AE:AE,"NaN"))</f>
        <v>0</v>
      </c>
      <c r="DZ63" s="4" t="str">
        <f>IF(_xlfn.XLOOKUP($B63,island_data!$B:$B,island_data!AF:AF,"NaN")="","NaN",_xlfn.XLOOKUP($B63,island_data!$B:$B,island_data!AF:AF,"NaN"))</f>
        <v>NaN</v>
      </c>
      <c r="EA63" s="4" t="str">
        <f>IF(_xlfn.XLOOKUP($B63,island_data!$B:$B,island_data!AG:AG,"NaN")="","NaN",_xlfn.XLOOKUP($B63,island_data!$B:$B,island_data!AG:AG,"NaN"))</f>
        <v>NaN</v>
      </c>
      <c r="EB63" s="4" t="str">
        <f>IF(_xlfn.XLOOKUP($B63,island_data!$B:$B,island_data!AH:AH,"NaN")="","NaN",_xlfn.XLOOKUP($B63,island_data!$B:$B,island_data!AH:AH,"NaN"))</f>
        <v>NaN</v>
      </c>
      <c r="EC63" s="4">
        <f>IF(_xlfn.XLOOKUP($B63,island_data!$B:$B,island_data!AI:AI,"NaN")="","NaN",_xlfn.XLOOKUP($B63,island_data!$B:$B,island_data!AI:AI,"NaN"))</f>
        <v>14</v>
      </c>
      <c r="ED63" s="4">
        <f>IF(_xlfn.XLOOKUP($B63,island_data!$B:$B,island_data!AJ:AJ,"NaN")="","NaN",_xlfn.XLOOKUP($B63,island_data!$B:$B,island_data!AJ:AJ,"NaN"))</f>
        <v>12</v>
      </c>
      <c r="EE63" s="4">
        <f>IF(_xlfn.XLOOKUP($B63,island_data!$B:$B,island_data!AK:AK,"NaN")="","NaN",_xlfn.XLOOKUP($B63,island_data!$B:$B,island_data!AK:AK,"NaN"))</f>
        <v>8</v>
      </c>
      <c r="EF63" s="4">
        <f>IF(_xlfn.XLOOKUP($B63,island_data!$B:$B,island_data!AL:AL,"NaN")="","NaN",_xlfn.XLOOKUP($B63,island_data!$B:$B,island_data!AL:AL,"NaN"))</f>
        <v>18</v>
      </c>
      <c r="EG63" s="4">
        <f>IF(_xlfn.XLOOKUP($B63,island_data!$B:$B,island_data!AM:AM,"NaN")="","NaN",_xlfn.XLOOKUP($B63,island_data!$B:$B,island_data!AM:AM,"NaN"))</f>
        <v>12</v>
      </c>
      <c r="EH63" s="4" t="str">
        <f>IF(_xlfn.XLOOKUP($B63,island_data!$B:$B,island_data!AN:AN,"NaN")="","NaN",_xlfn.XLOOKUP($B63,island_data!$B:$B,island_data!AN:AN,"NaN"))</f>
        <v>NaN</v>
      </c>
      <c r="EI63" s="4" t="str">
        <f>IF(_xlfn.XLOOKUP($B63,island_data!$B:$B,island_data!AO:AO,"NaN")="","NaN",_xlfn.XLOOKUP($B63,island_data!$B:$B,island_data!AO:AO,"NaN"))</f>
        <v>NaN</v>
      </c>
      <c r="EJ63" s="8">
        <f>IF(_xlfn.XLOOKUP($A63,TabCAT!$A:$A,TabCAT!AU:AU,"NaN")="","NaN",(_xlfn.XLOOKUP($A63,TabCAT!$A:$A,TabCAT!AU:AU,"NaN")))</f>
        <v>148</v>
      </c>
      <c r="EK63" s="8" t="b">
        <f>IF(_xlfn.XLOOKUP($A63,TabCAT!$A:$A,TabCAT!AV:AV,"NaN")="","NaN",(_xlfn.XLOOKUP($A63,TabCAT!$A:$A,TabCAT!AV:AV,"NaN")))</f>
        <v>1</v>
      </c>
      <c r="EL63" s="8">
        <f>IF(_xlfn.XLOOKUP($A63,TabCAT!$A:$A,TabCAT!AW:AW,"NaN")="","NaN",(_xlfn.XLOOKUP($A63,TabCAT!$A:$A,TabCAT!AW:AW,"NaN")))</f>
        <v>6</v>
      </c>
      <c r="EM63" s="8">
        <f>IF(_xlfn.XLOOKUP($A63,TabCAT!$A:$A,TabCAT!AX:AX,"NaN")="","NaN",(_xlfn.XLOOKUP($A63,TabCAT!$A:$A,TabCAT!AX:AX,"NaN")))</f>
        <v>0</v>
      </c>
      <c r="EN63" s="8">
        <f>IF(_xlfn.XLOOKUP($A63,TabCAT!$A:$A,TabCAT!AY:AY,"NaN")="","NaN",(_xlfn.XLOOKUP($A63,TabCAT!$A:$A,TabCAT!AY:AY,"NaN")))</f>
        <v>9.86</v>
      </c>
      <c r="EO63" s="8">
        <f>IF(_xlfn.XLOOKUP($A63,TabCAT!$A:$A,TabCAT!AZ:AZ,"NaN")="","NaN",(_xlfn.XLOOKUP($A63,TabCAT!$A:$A,TabCAT!AZ:AZ,"NaN")))</f>
        <v>32</v>
      </c>
      <c r="EP63" s="8">
        <f>IF(_xlfn.XLOOKUP($A63,TabCAT!$A:$A,TabCAT!BA:BA,"NaN")="","NaN",(_xlfn.XLOOKUP($A63,TabCAT!$A:$A,TabCAT!BA:BA,"NaN")))</f>
        <v>0.56183850000000002</v>
      </c>
      <c r="EQ63" s="8">
        <f>IF(_xlfn.XLOOKUP($A63,TabCAT!$A:$A,TabCAT!BB:BB,"NaN")="","NaN",(_xlfn.XLOOKUP($A63,TabCAT!$A:$A,TabCAT!BB:BB,"NaN")))</f>
        <v>0.11296406344375801</v>
      </c>
      <c r="ER63" s="8">
        <f>IF(_xlfn.XLOOKUP($A63,TabCAT!$A:$A,TabCAT!BC:BC,"NaN")="","NaN",(_xlfn.XLOOKUP($A63,TabCAT!$A:$A,TabCAT!BC:BC,"NaN")))</f>
        <v>16</v>
      </c>
      <c r="ES63" s="8">
        <f>IF(_xlfn.XLOOKUP($A63,TabCAT!$A:$A,TabCAT!BD:BD,"NaN")="","NaN",(_xlfn.XLOOKUP($A63,TabCAT!$A:$A,TabCAT!BD:BD,"NaN")))</f>
        <v>0.510764</v>
      </c>
      <c r="ET63" s="8">
        <f>IF(_xlfn.XLOOKUP($A63,TabCAT!$A:$A,TabCAT!BE:BE,"NaN")="","NaN",(_xlfn.XLOOKUP($A63,TabCAT!$A:$A,TabCAT!BE:BE,"NaN")))</f>
        <v>16</v>
      </c>
      <c r="EU63" s="8">
        <f>IF(_xlfn.XLOOKUP($A63,TabCAT!$A:$A,TabCAT!BF:BF,"NaN")="","NaN",(_xlfn.XLOOKUP($A63,TabCAT!$A:$A,TabCAT!BF:BF,"NaN")))</f>
        <v>0.59426400000000001</v>
      </c>
      <c r="EV63" s="8">
        <f>IF(_xlfn.XLOOKUP($A63,TabCAT!$A:$A,TabCAT!BG:BG,"NaN")="","NaN",(_xlfn.XLOOKUP($A63,TabCAT!$A:$A,TabCAT!BG:BG,"NaN")))</f>
        <v>2.660377</v>
      </c>
      <c r="EW63" s="8" t="str">
        <f>IF(_xlfn.XLOOKUP($A63,TabCAT!$A:$A,TabCAT!BH:BH,"NaN")="","NaN",(_xlfn.XLOOKUP($A63,TabCAT!$A:$A,TabCAT!BH:BH,"NaN")))</f>
        <v>3.0.0</v>
      </c>
      <c r="EX63" s="8" t="str">
        <f>IF(_xlfn.XLOOKUP($A63,TabCAT!$A:$A,TabCAT!BI:BI,"NaN")="","NaN",(_xlfn.XLOOKUP($A63,TabCAT!$A:$A,TabCAT!BI:BI,"NaN")))</f>
        <v>English</v>
      </c>
      <c r="EY63" s="8">
        <f>IF(_xlfn.XLOOKUP($A63,TabCAT!$A:$A,TabCAT!BJ:BJ,"NaN")="","NaN",(_xlfn.XLOOKUP($A63,TabCAT!$A:$A,TabCAT!BJ:BJ,"NaN")))</f>
        <v>246</v>
      </c>
      <c r="EZ63" s="8">
        <f>IF(_xlfn.XLOOKUP($A63,TabCAT!$A:$A,TabCAT!BK:BK,"NaN")="","NaN",(_xlfn.XLOOKUP($A63,TabCAT!$A:$A,TabCAT!BK:BK,"NaN")))</f>
        <v>1</v>
      </c>
      <c r="FA63" s="8">
        <f>IF(_xlfn.XLOOKUP($A63,TabCAT!$A:$A,TabCAT!BL:BL,"NaN")="","NaN",(_xlfn.XLOOKUP($A63,TabCAT!$A:$A,TabCAT!BL:BL,"NaN")))</f>
        <v>6</v>
      </c>
      <c r="FB63" s="8">
        <f>IF(_xlfn.XLOOKUP($A63,TabCAT!$A:$A,TabCAT!BM:BM,"NaN")="","NaN",(_xlfn.XLOOKUP($A63,TabCAT!$A:$A,TabCAT!BM:BM,"NaN")))</f>
        <v>1</v>
      </c>
      <c r="FC63" s="8">
        <f>IF(_xlfn.XLOOKUP($A63,TabCAT!$A:$A,TabCAT!BN:BN,"NaN")="","NaN",(_xlfn.XLOOKUP($A63,TabCAT!$A:$A,TabCAT!BN:BN,"NaN")))</f>
        <v>6</v>
      </c>
      <c r="FD63" s="8">
        <f>IF(_xlfn.XLOOKUP($A63,TabCAT!$A:$A,TabCAT!BO:BO,"NaN")="","NaN",(_xlfn.XLOOKUP($A63,TabCAT!$A:$A,TabCAT!BO:BO,"NaN")))</f>
        <v>9</v>
      </c>
      <c r="FE63" s="8">
        <f>IF(_xlfn.XLOOKUP($A63,TabCAT!$A:$A,TabCAT!BP:BP,"NaN")="","NaN",(_xlfn.XLOOKUP($A63,TabCAT!$A:$A,TabCAT!BP:BP,"NaN")))</f>
        <v>1</v>
      </c>
      <c r="FF63" s="8">
        <f>IF(_xlfn.XLOOKUP($A63,TabCAT!$A:$A,TabCAT!BQ:BQ,"NaN")="","NaN",(_xlfn.XLOOKUP($A63,TabCAT!$A:$A,TabCAT!BQ:BQ,"NaN")))</f>
        <v>9</v>
      </c>
      <c r="FG63" s="8">
        <f>IF(_xlfn.XLOOKUP($A63,TabCAT!$A:$A,TabCAT!BR:BR,"NaN")="","NaN",(_xlfn.XLOOKUP($A63,TabCAT!$A:$A,TabCAT!BR:BR,"NaN")))</f>
        <v>11</v>
      </c>
      <c r="FH63" s="8">
        <f>IF(_xlfn.XLOOKUP($A63,TabCAT!$A:$A,TabCAT!BS:BS,"NaN")="","NaN",(_xlfn.XLOOKUP($A63,TabCAT!$A:$A,TabCAT!BS:BS,"NaN")))</f>
        <v>0.91666666666666596</v>
      </c>
      <c r="FI63" s="8">
        <f>IF(_xlfn.XLOOKUP($A63,TabCAT!$A:$A,TabCAT!BT:BT,"NaN")="","NaN",(_xlfn.XLOOKUP($A63,TabCAT!$A:$A,TabCAT!BT:BT,"NaN")))</f>
        <v>9.5</v>
      </c>
      <c r="FJ63" s="8">
        <f>IF(_xlfn.XLOOKUP($A63,TabCAT!$A:$A,TabCAT!BU:BU,"NaN")="","NaN",(_xlfn.XLOOKUP($A63,TabCAT!$A:$A,TabCAT!BU:BU,"NaN")))</f>
        <v>13</v>
      </c>
      <c r="FK63" s="8">
        <f>IF(_xlfn.XLOOKUP($A63,TabCAT!$A:$A,TabCAT!BV:BV,"NaN")="","NaN",(_xlfn.XLOOKUP($A63,TabCAT!$A:$A,TabCAT!BV:BV,"NaN")))</f>
        <v>0.86666666666666603</v>
      </c>
      <c r="FL63" s="8">
        <f>IF(_xlfn.XLOOKUP($A63,TabCAT!$A:$A,TabCAT!BW:BW,"NaN")="","NaN",(_xlfn.XLOOKUP($A63,TabCAT!$A:$A,TabCAT!BW:BW,"NaN")))</f>
        <v>8</v>
      </c>
      <c r="FM63" s="8">
        <f>IF(_xlfn.XLOOKUP($A63,TabCAT!$A:$A,TabCAT!BX:BX,"NaN")="","NaN",(_xlfn.XLOOKUP($A63,TabCAT!$A:$A,TabCAT!BX:BX,"NaN")))</f>
        <v>39</v>
      </c>
      <c r="FN63" s="8">
        <f>IF(_xlfn.XLOOKUP($A63,TabCAT!$A:$A,TabCAT!BY:BY,"NaN")="","NaN",(_xlfn.XLOOKUP($A63,TabCAT!$A:$A,TabCAT!BY:BY,"NaN")))</f>
        <v>0.92857142857142805</v>
      </c>
      <c r="FO63" s="8">
        <f>IF(_xlfn.XLOOKUP($A63,TabCAT!$A:$A,TabCAT!BZ:BZ,"NaN")="","NaN",(_xlfn.XLOOKUP($A63,TabCAT!$A:$A,TabCAT!BZ:BZ,"NaN")))</f>
        <v>32.5</v>
      </c>
      <c r="FP63" s="8" t="str">
        <f>IF(_xlfn.XLOOKUP($A63,TabCAT!$A:$A,TabCAT!CA:CA,"NaN")="","NaN",(_xlfn.XLOOKUP($A63,TabCAT!$A:$A,TabCAT!CA:CA,"NaN")))</f>
        <v>3.0.0</v>
      </c>
      <c r="FQ63" s="8" t="str">
        <f>IF(_xlfn.XLOOKUP($A63,TabCAT!$A:$A,TabCAT!CB:CB,"NaN")="","NaN",(_xlfn.XLOOKUP($A63,TabCAT!$A:$A,TabCAT!CB:CB,"NaN")))</f>
        <v>English</v>
      </c>
      <c r="FR63" s="8">
        <f>IF(_xlfn.XLOOKUP($A63,TabCAT!$A:$A,TabCAT!CC:CC,"NaN")="","NaN",(_xlfn.XLOOKUP($A63,TabCAT!$A:$A,TabCAT!CC:CC,"NaN")))</f>
        <v>205</v>
      </c>
      <c r="FS63" s="8" t="b">
        <f>IF(_xlfn.XLOOKUP($A63,TabCAT!$A:$A,TabCAT!CD:CD,"NaN")="","NaN",(_xlfn.XLOOKUP($A63,TabCAT!$A:$A,TabCAT!CD:CD,"NaN")))</f>
        <v>1</v>
      </c>
      <c r="FT63" s="8">
        <f>IF(_xlfn.XLOOKUP($A63,TabCAT!$A:$A,TabCAT!CE:CE,"NaN")="","NaN",(_xlfn.XLOOKUP($A63,TabCAT!$A:$A,TabCAT!CE:CE,"NaN")))</f>
        <v>7</v>
      </c>
      <c r="FU63" s="8">
        <f>IF(_xlfn.XLOOKUP($A63,TabCAT!$A:$A,TabCAT!CF:CF,"NaN")="","NaN",(_xlfn.XLOOKUP($A63,TabCAT!$A:$A,TabCAT!CF:CF,"NaN")))</f>
        <v>0</v>
      </c>
      <c r="FV63" s="8">
        <f>IF(_xlfn.XLOOKUP($A63,TabCAT!$A:$A,TabCAT!CG:CG,"NaN")="","NaN",(_xlfn.XLOOKUP($A63,TabCAT!$A:$A,TabCAT!CG:CG,"NaN")))</f>
        <v>8.32</v>
      </c>
      <c r="FW63" s="8">
        <f>IF(_xlfn.XLOOKUP($A63,TabCAT!$A:$A,TabCAT!CH:CH,"NaN")="","NaN",(_xlfn.XLOOKUP($A63,TabCAT!$A:$A,TabCAT!CH:CH,"NaN")))</f>
        <v>16</v>
      </c>
      <c r="FX63" s="8">
        <f>IF(_xlfn.XLOOKUP($A63,TabCAT!$A:$A,TabCAT!CI:CI,"NaN")="","NaN",(_xlfn.XLOOKUP($A63,TabCAT!$A:$A,TabCAT!CI:CI,"NaN")))</f>
        <v>0.51919150000000003</v>
      </c>
      <c r="FY63" s="8">
        <f>IF(_xlfn.XLOOKUP($A63,TabCAT!$A:$A,TabCAT!CJ:CJ,"NaN")="","NaN",(_xlfn.XLOOKUP($A63,TabCAT!$A:$A,TabCAT!CJ:CJ,"NaN")))</f>
        <v>16</v>
      </c>
      <c r="FZ63" s="8">
        <f>IF(_xlfn.XLOOKUP($A63,TabCAT!$A:$A,TabCAT!CK:CK,"NaN")="","NaN",(_xlfn.XLOOKUP($A63,TabCAT!$A:$A,TabCAT!CK:CK,"NaN")))</f>
        <v>0.50993350000000004</v>
      </c>
      <c r="GA63" s="8">
        <f>IF(_xlfn.XLOOKUP($A63,TabCAT!$A:$A,TabCAT!CL:CL,"NaN")="","NaN",(_xlfn.XLOOKUP($A63,TabCAT!$A:$A,TabCAT!CL:CL,"NaN")))</f>
        <v>30</v>
      </c>
      <c r="GB63" s="8">
        <f>IF(_xlfn.XLOOKUP($A63,TabCAT!$A:$A,TabCAT!CM:CM,"NaN")="","NaN",(_xlfn.XLOOKUP($A63,TabCAT!$A:$A,TabCAT!CM:CM,"NaN")))</f>
        <v>0.68828699999999998</v>
      </c>
      <c r="GC63" s="8">
        <f>IF(_xlfn.XLOOKUP($A63,TabCAT!$A:$A,TabCAT!CN:CN,"NaN")="","NaN",(_xlfn.XLOOKUP($A63,TabCAT!$A:$A,TabCAT!CN:CN,"NaN")))</f>
        <v>13</v>
      </c>
      <c r="GD63" s="8">
        <f>IF(_xlfn.XLOOKUP($A63,TabCAT!$A:$A,TabCAT!CO:CO,"NaN")="","NaN",(_xlfn.XLOOKUP($A63,TabCAT!$A:$A,TabCAT!CO:CO,"NaN")))</f>
        <v>0.69506199999999996</v>
      </c>
      <c r="GE63" s="8">
        <f>IF(_xlfn.XLOOKUP($A63,TabCAT!$A:$A,TabCAT!CP:CP,"NaN")="","NaN",(_xlfn.XLOOKUP($A63,TabCAT!$A:$A,TabCAT!CP:CP,"NaN")))</f>
        <v>0.107085585556489</v>
      </c>
      <c r="GF63" s="8">
        <f>IF(_xlfn.XLOOKUP($A63,TabCAT!$A:$A,TabCAT!CQ:CQ,"NaN")="","NaN",(_xlfn.XLOOKUP($A63,TabCAT!$A:$A,TabCAT!CQ:CQ,"NaN")))</f>
        <v>58</v>
      </c>
      <c r="GG63" s="8">
        <f>IF(_xlfn.XLOOKUP($A63,TabCAT!$A:$A,TabCAT!CR:CR,"NaN")="","NaN",(_xlfn.XLOOKUP($A63,TabCAT!$A:$A,TabCAT!CR:CR,"NaN")))</f>
        <v>0.56035199999999996</v>
      </c>
      <c r="GH63" s="8">
        <f>IF(_xlfn.XLOOKUP($A63,TabCAT!$A:$A,TabCAT!CS:CS,"NaN")="","NaN",(_xlfn.XLOOKUP($A63,TabCAT!$A:$A,TabCAT!CS:CS,"NaN")))</f>
        <v>0.71014500000000003</v>
      </c>
    </row>
    <row r="64" spans="1:190" x14ac:dyDescent="0.2">
      <c r="A64">
        <v>10801</v>
      </c>
      <c r="B64">
        <f>_xlfn.XLOOKUP(bippity_poppity_boo!A64,rf1_data!A:A,rf1_data!B:B)</f>
        <v>30889</v>
      </c>
      <c r="C64" s="2">
        <f>(_xlfn.XLOOKUP($A64,trust!$A:$A,trust!B:B,"NaN"))</f>
        <v>5.6666670000000003</v>
      </c>
      <c r="D64" s="2">
        <f>(_xlfn.XLOOKUP($A64,trust!$A:$A,trust!C:C,"NaN"))</f>
        <v>6</v>
      </c>
      <c r="E64" s="2">
        <f>(_xlfn.XLOOKUP($A64,trust!$A:$A,trust!D:D,"NaN"))</f>
        <v>5.8333329999999997</v>
      </c>
      <c r="F64" s="2">
        <f>(_xlfn.XLOOKUP($A64,trust!$A:$A,trust!E:E,"NaN"))</f>
        <v>5.7142860000000004</v>
      </c>
      <c r="G64" s="2">
        <f>(_xlfn.XLOOKUP($A64,trust!$A:$A,trust!F:F,"NaN"))</f>
        <v>5.8571429999999998</v>
      </c>
      <c r="H64" s="2">
        <f>(_xlfn.XLOOKUP($A64,trust!$A:$A,trust!G:G,"NaN"))</f>
        <v>6.1538459999999997</v>
      </c>
      <c r="I64" s="3">
        <f>IF(_xlfn.XLOOKUP($B64,island_data!$B:$B,island_data!C:C,"NaN")="","NaN",_xlfn.XLOOKUP($B64,island_data!$B:$B,island_data!C:C,"NaN"))</f>
        <v>45125</v>
      </c>
      <c r="J64" s="3">
        <f>IF(_xlfn.XLOOKUP($B64,island_data!$B:$B,island_data!D:D,"NaN")="","NaN",_xlfn.XLOOKUP($B64,island_data!$B:$B,island_data!D:D,"NaN"))</f>
        <v>32535</v>
      </c>
      <c r="K64" s="4">
        <f>IF(_xlfn.XLOOKUP($B64,island_data!$B:$B,island_data!E:E,"NaN")="","NaN",_xlfn.XLOOKUP($B64,island_data!$B:$B,island_data!E:E,"NaN"))</f>
        <v>34.47</v>
      </c>
      <c r="L64" s="5">
        <f>IF(_xlfn.XLOOKUP($B64,rf1_data!$B:$B,rf1_data!D:D,"NaN")="","NaN",(_xlfn.XLOOKUP($B64,rf1_data!$B:$B,rf1_data!D:D,"NaN")))</f>
        <v>34.53</v>
      </c>
      <c r="M64" s="5" t="str">
        <f>IF(_xlfn.XLOOKUP($B64,rf1_data!$B:$B,rf1_data!E:E,"NaN")="","NaN",(_xlfn.XLOOKUP($B64,rf1_data!$B:$B,rf1_data!E:E,"NaN")))</f>
        <v>Black or African American</v>
      </c>
      <c r="N64" s="5" t="str">
        <f>IF(_xlfn.XLOOKUP($B64,rf1_data!$B:$B,rf1_data!F:F,"NaN")="","NaN",(_xlfn.XLOOKUP($B64,rf1_data!$B:$B,rf1_data!F:F,"NaN")))</f>
        <v>Not Hispanic or Latino</v>
      </c>
      <c r="O64" s="5" t="str">
        <f>IF(_xlfn.XLOOKUP($B64,rf1_data!$B:$B,rf1_data!G:G,"NaN")="","NaN",(_xlfn.XLOOKUP($B64,rf1_data!$B:$B,rf1_data!G:G,"NaN")))</f>
        <v>Female</v>
      </c>
      <c r="P64" s="5">
        <f>IF(_xlfn.XLOOKUP($B64,rf1_data!$B:$B,rf1_data!H:H,"NaN")="","NaN",(_xlfn.XLOOKUP($B64,rf1_data!$B:$B,rf1_data!H:H,"NaN")))</f>
        <v>3.56</v>
      </c>
      <c r="Q64" s="5">
        <f>IF(_xlfn.XLOOKUP($B64,rf1_data!$B:$B,rf1_data!I:I,"NaN")="","NaN",(_xlfn.XLOOKUP($B64,rf1_data!$B:$B,rf1_data!I:I,"NaN")))</f>
        <v>2.4</v>
      </c>
      <c r="R64" s="5">
        <f>IF(_xlfn.XLOOKUP($B64,rf1_data!$B:$B,rf1_data!J:J,"NaN")="","NaN",(_xlfn.XLOOKUP($B64,rf1_data!$B:$B,rf1_data!J:J,"NaN")))</f>
        <v>5</v>
      </c>
      <c r="S64" s="5">
        <f>IF(_xlfn.XLOOKUP($B64,rf1_data!$B:$B,rf1_data!K:K,"NaN")="","NaN",(_xlfn.XLOOKUP($B64,rf1_data!$B:$B,rf1_data!K:K,"NaN")))</f>
        <v>20</v>
      </c>
      <c r="T64" s="5">
        <f>IF(_xlfn.XLOOKUP($B64,rf1_data!$B:$B,rf1_data!L:L,"NaN")="","NaN",(_xlfn.XLOOKUP($B64,rf1_data!$B:$B,rf1_data!L:L,"NaN")))</f>
        <v>0</v>
      </c>
      <c r="U64" s="5">
        <f>IF(_xlfn.XLOOKUP($B64,rf1_data!$B:$B,rf1_data!M:M,"NaN")="","NaN",(_xlfn.XLOOKUP($B64,rf1_data!$B:$B,rf1_data!M:M,"NaN")))</f>
        <v>2</v>
      </c>
      <c r="V64" s="5">
        <f>IF(_xlfn.XLOOKUP($B64,rf1_data!$B:$B,rf1_data!N:N,"NaN")="","NaN",(_xlfn.XLOOKUP($B64,rf1_data!$B:$B,rf1_data!N:N,"NaN")))</f>
        <v>3.17</v>
      </c>
      <c r="W64" s="5">
        <f>IF(_xlfn.XLOOKUP($B64,rf1_data!$B:$B,rf1_data!O:O,"NaN")="","NaN",(_xlfn.XLOOKUP($B64,rf1_data!$B:$B,rf1_data!O:O,"NaN")))</f>
        <v>4.25</v>
      </c>
      <c r="X64" s="5">
        <f>IF(_xlfn.XLOOKUP($B64,rf1_data!$B:$B,rf1_data!P:P,"NaN")="","NaN",(_xlfn.XLOOKUP($B64,rf1_data!$B:$B,rf1_data!P:P,"NaN")))</f>
        <v>6</v>
      </c>
      <c r="Y64" s="5">
        <f>IF(_xlfn.XLOOKUP($B64,rf1_data!$B:$B,rf1_data!Q:Q,"NaN")="","NaN",(_xlfn.XLOOKUP($B64,rf1_data!$B:$B,rf1_data!Q:Q,"NaN")))</f>
        <v>3.83</v>
      </c>
      <c r="Z64" s="5">
        <f>IF(_xlfn.XLOOKUP($B64,rf1_data!$B:$B,rf1_data!R:R,"NaN")="","NaN",(_xlfn.XLOOKUP($B64,rf1_data!$B:$B,rf1_data!R:R,"NaN")))</f>
        <v>30</v>
      </c>
      <c r="AA64" s="5">
        <f>IF(_xlfn.XLOOKUP($B64,rf1_data!$B:$B,rf1_data!S:S,"NaN")="","NaN",(_xlfn.XLOOKUP($B64,rf1_data!$B:$B,rf1_data!S:S,"NaN")))</f>
        <v>11</v>
      </c>
      <c r="AB64" s="5">
        <f>IF(_xlfn.XLOOKUP($B64,rf1_data!$B:$B,rf1_data!T:T,"NaN")="","NaN",(_xlfn.XLOOKUP($B64,rf1_data!$B:$B,rf1_data!T:T,"NaN")))</f>
        <v>16</v>
      </c>
      <c r="AC64" s="5">
        <f>IF(_xlfn.XLOOKUP($B64,rf1_data!$B:$B,rf1_data!U:U,"NaN")="","NaN",(_xlfn.XLOOKUP($B64,rf1_data!$B:$B,rf1_data!U:U,"NaN")))</f>
        <v>1</v>
      </c>
      <c r="AD64" s="5">
        <f>IF(_xlfn.XLOOKUP($B64,rf1_data!$B:$B,rf1_data!V:V,"NaN")="","NaN",(_xlfn.XLOOKUP($B64,rf1_data!$B:$B,rf1_data!V:V,"NaN")))</f>
        <v>2</v>
      </c>
      <c r="AE64" s="5">
        <f>IF(_xlfn.XLOOKUP($B64,rf1_data!$B:$B,rf1_data!W:W,"NaN")="","NaN",(_xlfn.XLOOKUP($B64,rf1_data!$B:$B,rf1_data!W:W,"NaN")))</f>
        <v>1</v>
      </c>
      <c r="AF64" s="5">
        <f>IF(_xlfn.XLOOKUP($B64,rf1_data!$B:$B,rf1_data!X:X,"NaN")="","NaN",(_xlfn.XLOOKUP($B64,rf1_data!$B:$B,rf1_data!X:X,"NaN")))</f>
        <v>3</v>
      </c>
      <c r="AG64" s="5">
        <f>IF(_xlfn.XLOOKUP($B64,rf1_data!$B:$B,rf1_data!Y:Y,"NaN")="","NaN",(_xlfn.XLOOKUP($B64,rf1_data!$B:$B,rf1_data!Y:Y,"NaN")))</f>
        <v>2</v>
      </c>
      <c r="AH64" s="5">
        <f>IF(_xlfn.XLOOKUP($B64,rf1_data!$B:$B,rf1_data!Z:Z,"NaN")="","NaN",(_xlfn.XLOOKUP($B64,rf1_data!$B:$B,rf1_data!Z:Z,"NaN")))</f>
        <v>3</v>
      </c>
      <c r="AI64" s="5">
        <f>IF(_xlfn.XLOOKUP($B64,rf1_data!$B:$B,rf1_data!AA:AA,"NaN")="","NaN",(_xlfn.XLOOKUP($B64,rf1_data!$B:$B,rf1_data!AA:AA,"NaN")))</f>
        <v>6</v>
      </c>
      <c r="AJ64" s="5">
        <f>IF(_xlfn.XLOOKUP($B64,rf1_data!$B:$B,rf1_data!AB:AB,"NaN")="","NaN",(_xlfn.XLOOKUP($B64,rf1_data!$B:$B,rf1_data!AB:AB,"NaN")))</f>
        <v>15</v>
      </c>
      <c r="AK64" s="5">
        <f>IF(_xlfn.XLOOKUP($B64,rf1_data!$B:$B,rf1_data!AC:AC,"NaN")="","NaN",(_xlfn.XLOOKUP($B64,rf1_data!$B:$B,rf1_data!AC:AC,"NaN")))</f>
        <v>18</v>
      </c>
      <c r="AL64" s="5">
        <f>IF(_xlfn.XLOOKUP($B64,rf1_data!$B:$B,rf1_data!AD:AD,"NaN")="","NaN",(_xlfn.XLOOKUP($B64,rf1_data!$B:$B,rf1_data!AD:AD,"NaN")))</f>
        <v>14</v>
      </c>
      <c r="AM64" s="5">
        <f>IF(_xlfn.XLOOKUP($B64,rf1_data!$B:$B,rf1_data!AE:AE,"NaN")="","NaN",(_xlfn.XLOOKUP($B64,rf1_data!$B:$B,rf1_data!AE:AE,"NaN")))</f>
        <v>0</v>
      </c>
      <c r="AN64" s="5">
        <f>IF(_xlfn.XLOOKUP($B64,rf1_data!$B:$B,rf1_data!AF:AF,"NaN")="","NaN",(_xlfn.XLOOKUP($B64,rf1_data!$B:$B,rf1_data!AF:AF,"NaN")))</f>
        <v>0</v>
      </c>
      <c r="AO64" s="5">
        <f>IF(_xlfn.XLOOKUP($B64,rf1_data!$B:$B,rf1_data!AG:AG,"NaN")="","NaN",(_xlfn.XLOOKUP($B64,rf1_data!$B:$B,rf1_data!AG:AG,"NaN")))</f>
        <v>3.67</v>
      </c>
      <c r="AP64" s="5">
        <f>IF(_xlfn.XLOOKUP($B64,rf1_data!$B:$B,rf1_data!AH:AH,"NaN")="","NaN",(_xlfn.XLOOKUP($B64,rf1_data!$B:$B,rf1_data!AH:AH,"NaN")))</f>
        <v>5.5</v>
      </c>
      <c r="AQ64" s="5">
        <f>IF(_xlfn.XLOOKUP($B64,rf1_data!$B:$B,rf1_data!AI:AI,"NaN")="","NaN",(_xlfn.XLOOKUP($B64,rf1_data!$B:$B,rf1_data!AI:AI,"NaN")))</f>
        <v>4.25</v>
      </c>
      <c r="AR64" s="5">
        <f>IF(_xlfn.XLOOKUP($B64,rf1_data!$B:$B,rf1_data!AJ:AJ,"NaN")="","NaN",(_xlfn.XLOOKUP($B64,rf1_data!$B:$B,rf1_data!AJ:AJ,"NaN")))</f>
        <v>1.25</v>
      </c>
      <c r="AS64" s="5">
        <f>IF(_xlfn.XLOOKUP($B64,rf1_data!$B:$B,rf1_data!AK:AK,"NaN")="","NaN",(_xlfn.XLOOKUP($B64,rf1_data!$B:$B,rf1_data!AK:AK,"NaN")))</f>
        <v>3.4</v>
      </c>
      <c r="AT64" s="5">
        <f>IF(_xlfn.XLOOKUP($B64,rf1_data!$B:$B,rf1_data!AL:AL,"NaN")="","NaN",(_xlfn.XLOOKUP($B64,rf1_data!$B:$B,rf1_data!AL:AL,"NaN")))</f>
        <v>11</v>
      </c>
      <c r="AU64" s="5">
        <f>IF(_xlfn.XLOOKUP($B64,rf1_data!$B:$B,rf1_data!AM:AM,"NaN")="","NaN",(_xlfn.XLOOKUP($B64,rf1_data!$B:$B,rf1_data!AM:AM,"NaN")))</f>
        <v>1.92</v>
      </c>
      <c r="AV64" s="5">
        <f>IF(_xlfn.XLOOKUP($B64,rf1_data!$B:$B,rf1_data!AN:AN,"NaN")="","NaN",(_xlfn.XLOOKUP($B64,rf1_data!$B:$B,rf1_data!AN:AN,"NaN")))</f>
        <v>0</v>
      </c>
      <c r="AW64" s="5">
        <f>IF(_xlfn.XLOOKUP($B64,rf1_data!$B:$B,rf1_data!AO:AO,"NaN")="","NaN",(_xlfn.XLOOKUP($B64,rf1_data!$B:$B,rf1_data!AO:AO,"NaN")))</f>
        <v>2</v>
      </c>
      <c r="AX64" s="5">
        <f>IF(_xlfn.XLOOKUP($B64,rf1_data!$B:$B,rf1_data!AP:AP,"NaN")="","NaN",(_xlfn.XLOOKUP($B64,rf1_data!$B:$B,rf1_data!AP:AP,"NaN")))</f>
        <v>9999</v>
      </c>
      <c r="AY64" s="5" t="str">
        <f>IF(_xlfn.XLOOKUP($B64,rf1_data!$B:$B,rf1_data!AQ:AQ,"NaN")="","NaN",(_xlfn.XLOOKUP($B64,rf1_data!$B:$B,rf1_data!AQ:AQ,"NaN")))</f>
        <v>NaN</v>
      </c>
      <c r="AZ64" s="5" t="str">
        <f>IF(_xlfn.XLOOKUP($B64,rf1_data!$B:$B,rf1_data!AR:AR,"NaN")="","NaN",(_xlfn.XLOOKUP($B64,rf1_data!$B:$B,rf1_data!AR:AR,"NaN")))</f>
        <v>NaN</v>
      </c>
      <c r="BA64" s="5" t="str">
        <f>IF(_xlfn.XLOOKUP($B64,rf1_data!$B:$B,rf1_data!AS:AS,"NaN")="","NaN",(_xlfn.XLOOKUP($B64,rf1_data!$B:$B,rf1_data!AS:AS,"NaN")))</f>
        <v>NaN</v>
      </c>
      <c r="BB64" s="5" t="str">
        <f>IF(_xlfn.XLOOKUP($B64,rf1_data!$B:$B,rf1_data!AT:AT,"NaN")="","NaN",(_xlfn.XLOOKUP($B64,rf1_data!$B:$B,rf1_data!AT:AT,"NaN")))</f>
        <v>NaN</v>
      </c>
      <c r="BC64" s="5" t="str">
        <f>IF(_xlfn.XLOOKUP($B64,rf1_data!$B:$B,rf1_data!AU:AU,"NaN")="","NaN",(_xlfn.XLOOKUP($B64,rf1_data!$B:$B,rf1_data!AU:AU,"NaN")))</f>
        <v>NaN</v>
      </c>
      <c r="BD64" s="5" t="str">
        <f>IF(_xlfn.XLOOKUP($B64,rf1_data!$B:$B,rf1_data!AV:AV,"NaN")="","NaN",(_xlfn.XLOOKUP($B64,rf1_data!$B:$B,rf1_data!AV:AV,"NaN")))</f>
        <v>NaN</v>
      </c>
      <c r="BE64" s="5" t="str">
        <f>IF(_xlfn.XLOOKUP($B64,rf1_data!$B:$B,rf1_data!AW:AW,"NaN")="","NaN",(_xlfn.XLOOKUP($B64,rf1_data!$B:$B,rf1_data!AW:AW,"NaN")))</f>
        <v>NaN</v>
      </c>
      <c r="BF64" s="5" t="str">
        <f>IF(_xlfn.XLOOKUP($B64,rf1_data!$B:$B,rf1_data!AX:AX,"NaN")="","NaN",(_xlfn.XLOOKUP($B64,rf1_data!$B:$B,rf1_data!AX:AX,"NaN")))</f>
        <v>NaN</v>
      </c>
      <c r="BG64" s="5" t="str">
        <f>IF(_xlfn.XLOOKUP($B64,rf1_data!$B:$B,rf1_data!AY:AY,"NaN")="","NaN",(_xlfn.XLOOKUP($B64,rf1_data!$B:$B,rf1_data!AY:AY,"NaN")))</f>
        <v>NaN</v>
      </c>
      <c r="BH64" s="5" t="str">
        <f>IF(_xlfn.XLOOKUP($B64,rf1_data!$B:$B,rf1_data!AZ:AZ,"NaN")="","NaN",(_xlfn.XLOOKUP($B64,rf1_data!$B:$B,rf1_data!AZ:AZ,"NaN")))</f>
        <v>NaN</v>
      </c>
      <c r="BI64" s="5">
        <f>IF(_xlfn.XLOOKUP($B64,rf1_data!$B:$B,rf1_data!BA:BA,"NaN")="","NaN",(_xlfn.XLOOKUP($B64,rf1_data!$B:$B,rf1_data!BA:BA,"NaN")))</f>
        <v>20</v>
      </c>
      <c r="BJ64" s="5" t="str">
        <f>IF(_xlfn.XLOOKUP($B64,rf1_data!$B:$B,rf1_data!BB:BB,"NaN")="","NaN",(_xlfn.XLOOKUP($B64,rf1_data!$B:$B,rf1_data!BB:BB,"NaN")))</f>
        <v>NaN</v>
      </c>
      <c r="BK64" s="5" t="str">
        <f>IF(_xlfn.XLOOKUP($B64,rf1_data!$B:$B,rf1_data!BC:BC,"NaN")="","NaN",(_xlfn.XLOOKUP($B64,rf1_data!$B:$B,rf1_data!BC:BC,"NaN")))</f>
        <v>NaN</v>
      </c>
      <c r="BL64" s="5" t="str">
        <f>IF(_xlfn.XLOOKUP($B64,rf1_data!$B:$B,rf1_data!BD:BD,"NaN")="","NaN",(_xlfn.XLOOKUP($B64,rf1_data!$B:$B,rf1_data!BD:BD,"NaN")))</f>
        <v>NaN</v>
      </c>
      <c r="BM64" s="5" t="str">
        <f>IF(_xlfn.XLOOKUP($B64,rf1_data!$B:$B,rf1_data!BE:BE,"NaN")="","NaN",(_xlfn.XLOOKUP($B64,rf1_data!$B:$B,rf1_data!BE:BE,"NaN")))</f>
        <v>NaN</v>
      </c>
      <c r="BN64" s="5" t="str">
        <f>IF(_xlfn.XLOOKUP($B64,rf1_data!$B:$B,rf1_data!BF:BF,"NaN")="","NaN",(_xlfn.XLOOKUP($B64,rf1_data!$B:$B,rf1_data!BF:BF,"NaN")))</f>
        <v>NaN</v>
      </c>
      <c r="BO64" s="5" t="str">
        <f>IF(_xlfn.XLOOKUP($B64,rf1_data!$B:$B,rf1_data!BG:BG,"NaN")="","NaN",(_xlfn.XLOOKUP($B64,rf1_data!$B:$B,rf1_data!BG:BG,"NaN")))</f>
        <v>NaN</v>
      </c>
      <c r="BP64" s="5" t="str">
        <f>IF(_xlfn.XLOOKUP($B64,rf1_data!$B:$B,rf1_data!BH:BH,"NaN")="","NaN",(_xlfn.XLOOKUP($B64,rf1_data!$B:$B,rf1_data!BH:BH,"NaN")))</f>
        <v>NaN</v>
      </c>
      <c r="BQ64" s="5" t="str">
        <f>IF(_xlfn.XLOOKUP($B64,rf1_data!$B:$B,rf1_data!BI:BI,"NaN")="","NaN",(_xlfn.XLOOKUP($B64,rf1_data!$B:$B,rf1_data!BI:BI,"NaN")))</f>
        <v>NaN</v>
      </c>
      <c r="BR64" s="5">
        <f>IF(_xlfn.XLOOKUP($B64,rf1_data!$B:$B,rf1_data!BJ:BJ,"NaN")="","NaN",(_xlfn.XLOOKUP($B64,rf1_data!$B:$B,rf1_data!BJ:BJ,"NaN")))</f>
        <v>8991</v>
      </c>
      <c r="BS64" s="5" t="str">
        <f>IF(_xlfn.XLOOKUP($B64,rf1_data!$B:$B,rf1_data!BK:BK,"NaN")="","NaN",(_xlfn.XLOOKUP($B64,rf1_data!$B:$B,rf1_data!BK:BK,"NaN")))</f>
        <v>NaN</v>
      </c>
      <c r="BT64" s="5" t="str">
        <f>IF(_xlfn.XLOOKUP($B64,rf1_data!$B:$B,rf1_data!BL:BL,"NaN")="","NaN",(_xlfn.XLOOKUP($B64,rf1_data!$B:$B,rf1_data!BL:BL,"NaN")))</f>
        <v>NaN</v>
      </c>
      <c r="BU64" s="5" t="str">
        <f>IF(_xlfn.XLOOKUP($B64,rf1_data!$B:$B,rf1_data!BM:BM,"NaN")="","NaN",(_xlfn.XLOOKUP($B64,rf1_data!$B:$B,rf1_data!BM:BM,"NaN")))</f>
        <v>NaN</v>
      </c>
      <c r="BV64" s="5" t="str">
        <f>IF(_xlfn.XLOOKUP($B64,rf1_data!$B:$B,rf1_data!BN:BN,"NaN")="","NaN",(_xlfn.XLOOKUP($B64,rf1_data!$B:$B,rf1_data!BN:BN,"NaN")))</f>
        <v>NaN</v>
      </c>
      <c r="BW64" s="5">
        <f>IF(_xlfn.XLOOKUP($B64,rf1_data!$B:$B,rf1_data!BO:BO,"NaN")="","NaN",(_xlfn.XLOOKUP($B64,rf1_data!$B:$B,rf1_data!BO:BO,"NaN")))</f>
        <v>2.5</v>
      </c>
      <c r="BX64" s="5">
        <f>IF(_xlfn.XLOOKUP($B64,rf1_data!$B:$B,rf1_data!BP:BP,"NaN")="","NaN",(_xlfn.XLOOKUP($B64,rf1_data!$B:$B,rf1_data!BP:BP,"NaN")))</f>
        <v>2.8</v>
      </c>
      <c r="BY64" s="5">
        <f>IF(_xlfn.XLOOKUP($B64,rf1_data!$B:$B,rf1_data!BQ:BQ,"NaN")="","NaN",(_xlfn.XLOOKUP($B64,rf1_data!$B:$B,rf1_data!BQ:BQ,"NaN")))</f>
        <v>2.7</v>
      </c>
      <c r="BZ64" s="5">
        <f>IF(_xlfn.XLOOKUP($B64,rf1_data!$B:$B,rf1_data!BR:BR,"NaN")="","NaN",(_xlfn.XLOOKUP($B64,rf1_data!$B:$B,rf1_data!BR:BR,"NaN")))</f>
        <v>2.67</v>
      </c>
      <c r="CA64" s="5">
        <f>IF(_xlfn.XLOOKUP($B64,rf1_data!$B:$B,rf1_data!BS:BS,"NaN")="","NaN",(_xlfn.XLOOKUP($B64,rf1_data!$B:$B,rf1_data!BS:BS,"NaN")))</f>
        <v>5.3333333333333002</v>
      </c>
      <c r="CB64" s="5">
        <f>IF(_xlfn.XLOOKUP($B64,rf1_data!$B:$B,rf1_data!BT:BT,"NaN")="","NaN",(_xlfn.XLOOKUP($B64,rf1_data!$B:$B,rf1_data!BT:BT,"NaN")))</f>
        <v>3.5</v>
      </c>
      <c r="CC64" s="5">
        <f>IF(_xlfn.XLOOKUP($B64,rf1_data!$B:$B,rf1_data!BU:BU,"NaN")="","NaN",(_xlfn.XLOOKUP($B64,rf1_data!$B:$B,rf1_data!BU:BU,"NaN")))</f>
        <v>4.3333333333333002</v>
      </c>
      <c r="CD64" s="5">
        <f>IF(_xlfn.XLOOKUP($B64,rf1_data!$B:$B,rf1_data!BV:BV,"NaN")="","NaN",(_xlfn.XLOOKUP($B64,rf1_data!$B:$B,rf1_data!BV:BV,"NaN")))</f>
        <v>4</v>
      </c>
      <c r="CE64" s="5">
        <f>IF(_xlfn.XLOOKUP($B64,rf1_data!$B:$B,rf1_data!BW:BW,"NaN")="","NaN",(_xlfn.XLOOKUP($B64,rf1_data!$B:$B,rf1_data!BW:BW,"NaN")))</f>
        <v>3.05</v>
      </c>
      <c r="CF64" s="5">
        <f>IF(_xlfn.XLOOKUP($B64,rf1_data!$B:$B,rf1_data!BX:BX,"NaN")="","NaN",(_xlfn.XLOOKUP($B64,rf1_data!$B:$B,rf1_data!BX:BX,"NaN")))</f>
        <v>0</v>
      </c>
      <c r="CG64" s="5">
        <f>IF(_xlfn.XLOOKUP($B64,rf1_data!$B:$B,rf1_data!BY:BY,"NaN")="","NaN",(_xlfn.XLOOKUP($B64,rf1_data!$B:$B,rf1_data!BY:BY,"NaN")))</f>
        <v>0</v>
      </c>
      <c r="CH64" s="5">
        <f>IF(_xlfn.XLOOKUP($B64,rf1_data!$B:$B,rf1_data!BZ:BZ,"NaN")="","NaN",(_xlfn.XLOOKUP($B64,rf1_data!$B:$B,rf1_data!BZ:BZ,"NaN")))</f>
        <v>15</v>
      </c>
      <c r="CI64" s="5">
        <f>IF(_xlfn.XLOOKUP($B64,rf1_data!$B:$B,rf1_data!CA:CA,"NaN")="","NaN",(_xlfn.XLOOKUP($B64,rf1_data!$B:$B,rf1_data!CA:CA,"NaN")))</f>
        <v>22</v>
      </c>
      <c r="CJ64" s="5">
        <f>IF(_xlfn.XLOOKUP($B64,rf1_data!$B:$B,rf1_data!CB:CB,"NaN")="","NaN",(_xlfn.XLOOKUP($B64,rf1_data!$B:$B,rf1_data!CB:CB,"NaN")))</f>
        <v>7</v>
      </c>
      <c r="CK64" s="5">
        <f>IF(_xlfn.XLOOKUP($B64,rf1_data!$B:$B,rf1_data!CC:CC,"NaN")="","NaN",(_xlfn.XLOOKUP($B64,rf1_data!$B:$B,rf1_data!CC:CC,"NaN")))</f>
        <v>0.875</v>
      </c>
      <c r="CL64" s="5">
        <f>IF(_xlfn.XLOOKUP($B64,rf1_data!$B:$B,rf1_data!CD:CD,"NaN")=0,"NaN",(_xlfn.XLOOKUP($B64,rf1_data!$B:$B,rf1_data!CD:CD,"NaN")))</f>
        <v>20</v>
      </c>
      <c r="CM64" s="5">
        <f>IF(_xlfn.XLOOKUP($B64,rf1_data!$B:$B,rf1_data!CE:CE,"NaN")="","NaN",(_xlfn.XLOOKUP($B64,rf1_data!$B:$B,rf1_data!CE:CE,"NaN")))</f>
        <v>25</v>
      </c>
      <c r="CN64" s="5">
        <f>IF(_xlfn.XLOOKUP($B64,rf1_data!$B:$B,rf1_data!CF:CF,"NaN")="","NaN",(_xlfn.XLOOKUP($B64,rf1_data!$B:$B,rf1_data!CF:CF,"NaN")))</f>
        <v>49</v>
      </c>
      <c r="CO64" s="5">
        <f>IF(_xlfn.XLOOKUP($B64,rf1_data!$B:$B,rf1_data!CG:CG,"NaN")="","NaN",(_xlfn.XLOOKUP($B64,rf1_data!$B:$B,rf1_data!CG:CG,"NaN")))</f>
        <v>19</v>
      </c>
      <c r="CP64" s="5">
        <f>IF(_xlfn.XLOOKUP($B64,rf1_data!$B:$B,rf1_data!CH:CH,"NaN")=0,"NaN",(_xlfn.XLOOKUP($B64,rf1_data!$B:$B,rf1_data!CH:CH,"NaN")))</f>
        <v>36</v>
      </c>
      <c r="CQ64" s="5">
        <f>IF(_xlfn.XLOOKUP($B64,rf1_data!$B:$B,rf1_data!CI:CI,"NaN")="","NaN",(_xlfn.XLOOKUP($B64,rf1_data!$B:$B,rf1_data!CI:CI,"NaN")))</f>
        <v>37</v>
      </c>
      <c r="CR64" s="5">
        <f>IF(_xlfn.XLOOKUP($B64,rf1_data!$B:$B,rf1_data!CJ:CJ,"NaN")="","NaN",(_xlfn.XLOOKUP($B64,rf1_data!$B:$B,rf1_data!CJ:CJ,"NaN")))</f>
        <v>60</v>
      </c>
      <c r="CS64" s="5">
        <f>IF(_xlfn.XLOOKUP($B64,rf1_data!$B:$B,rf1_data!CK:CK,"NaN")="","NaN",(_xlfn.XLOOKUP($B64,rf1_data!$B:$B,rf1_data!CK:CK,"NaN")))</f>
        <v>30</v>
      </c>
      <c r="CT64" s="5">
        <f>IF(_xlfn.XLOOKUP($B64,rf1_data!$B:$B,rf1_data!CL:CL,"NaN")="","NaN",(_xlfn.XLOOKUP($B64,rf1_data!$B:$B,rf1_data!CL:CL,"NaN")))</f>
        <v>60</v>
      </c>
      <c r="CU64" s="5">
        <f>IF(_xlfn.XLOOKUP($B64,rf1_data!$B:$B,rf1_data!CM:CM,"NaN")="","NaN",(_xlfn.XLOOKUP($B64,rf1_data!$B:$B,rf1_data!CM:CM,"NaN")))</f>
        <v>29</v>
      </c>
      <c r="CV64" s="5">
        <f>IF(_xlfn.XLOOKUP($B64,rf1_data!$B:$B,rf1_data!CN:CN,"NaN")="","NaN",(_xlfn.XLOOKUP($B64,rf1_data!$B:$B,rf1_data!CN:CN,"NaN")))</f>
        <v>60</v>
      </c>
      <c r="CW64" s="5">
        <f>IF(_xlfn.XLOOKUP($B64,rf1_data!$B:$B,rf1_data!CO:CO,"NaN")="","NaN",(_xlfn.XLOOKUP($B64,rf1_data!$B:$B,rf1_data!CO:CO,"NaN")))</f>
        <v>4</v>
      </c>
      <c r="CX64" s="5">
        <f>IF(_xlfn.XLOOKUP($B64,rf1_data!$B:$B,rf1_data!CP:CP,"NaN")="","NaN",(_xlfn.XLOOKUP($B64,rf1_data!$B:$B,rf1_data!CP:CP,"NaN")))</f>
        <v>4</v>
      </c>
      <c r="CY64" s="5">
        <f>IF(_xlfn.XLOOKUP($B64,rf1_data!$B:$B,rf1_data!CQ:CQ,"NaN")="","NaN",(_xlfn.XLOOKUP($B64,rf1_data!$B:$B,rf1_data!CQ:CQ,"NaN")))</f>
        <v>6</v>
      </c>
      <c r="CZ64" s="5">
        <f>IF(_xlfn.XLOOKUP($B64,rf1_data!$B:$B,rf1_data!CR:CR,"NaN")="","NaN",(_xlfn.XLOOKUP($B64,rf1_data!$B:$B,rf1_data!CR:CR,"NaN")))</f>
        <v>1</v>
      </c>
      <c r="DA64" s="5">
        <f>IF(_xlfn.XLOOKUP($B64,rf1_data!$B:$B,rf1_data!CS:CS,"NaN")="","NaN",(_xlfn.XLOOKUP($B64,rf1_data!$B:$B,rf1_data!CS:CS,"NaN")))</f>
        <v>2</v>
      </c>
      <c r="DB64" s="4">
        <f>IF(_xlfn.XLOOKUP($B64,island_data!$B:$B,island_data!H:H,"NaN")="","NaN",_xlfn.XLOOKUP($B64,island_data!$B:$B,island_data!H:H,"NaN"))</f>
        <v>2</v>
      </c>
      <c r="DC64" s="4">
        <f>IF(_xlfn.XLOOKUP($B64,island_data!$B:$B,island_data!I:I,"NaN")="","NaN",_xlfn.XLOOKUP($B64,island_data!$B:$B,island_data!I:I,"NaN"))</f>
        <v>5</v>
      </c>
      <c r="DD64" s="4">
        <f>IF(_xlfn.XLOOKUP($B64,island_data!$B:$B,island_data!J:J,"NaN")="","NaN",_xlfn.XLOOKUP($B64,island_data!$B:$B,island_data!J:J,"NaN"))</f>
        <v>2</v>
      </c>
      <c r="DE64" s="4">
        <f>IF(_xlfn.XLOOKUP($B64,island_data!$B:$B,island_data!K:K,"NaN")="","NaN",_xlfn.XLOOKUP($B64,island_data!$B:$B,island_data!K:K,"NaN"))</f>
        <v>9</v>
      </c>
      <c r="DF64" s="4">
        <f>IF(_xlfn.XLOOKUP($B64,island_data!$B:$B,island_data!L:L,"NaN")="","NaN",_xlfn.XLOOKUP($B64,island_data!$B:$B,island_data!L:L,"NaN"))</f>
        <v>0</v>
      </c>
      <c r="DG64" s="4">
        <f>IF(_xlfn.XLOOKUP($B64,island_data!$B:$B,island_data!M:M,"NaN")="","NaN",_xlfn.XLOOKUP($B64,island_data!$B:$B,island_data!M:M,"NaN"))</f>
        <v>3.125</v>
      </c>
      <c r="DH64" s="4">
        <f>IF(_xlfn.XLOOKUP($B64,island_data!$B:$B,island_data!N:N,"NaN")="","NaN",_xlfn.XLOOKUP($B64,island_data!$B:$B,island_data!N:N,"NaN"))</f>
        <v>9</v>
      </c>
      <c r="DI64" s="4">
        <f>IF(_xlfn.XLOOKUP($B64,island_data!$B:$B,island_data!O:O,"NaN")=999,"NaN",_xlfn.XLOOKUP($B64,island_data!$B:$B,island_data!O:O,"NaN"))</f>
        <v>1</v>
      </c>
      <c r="DJ64" s="4">
        <f>IF(_xlfn.XLOOKUP($B64,island_data!$B:$B,island_data!P:P,"NaN")="","NaN",_xlfn.XLOOKUP($B64,island_data!$B:$B,island_data!P:P,"NaN"))</f>
        <v>9</v>
      </c>
      <c r="DK64" s="4">
        <f>IF(_xlfn.XLOOKUP($B64,island_data!$B:$B,island_data!Q:Q,"NaN")="","NaN",_xlfn.XLOOKUP($B64,island_data!$B:$B,island_data!Q:Q,"NaN"))</f>
        <v>7</v>
      </c>
      <c r="DL64" s="4">
        <f>IF(_xlfn.XLOOKUP($B64,island_data!$B:$B,island_data!R:R,"NaN")=999,"NaN",_xlfn.XLOOKUP($B64,island_data!$B:$B,island_data!R:R,"NaN"))</f>
        <v>16</v>
      </c>
      <c r="DM64" s="4">
        <f>IF(_xlfn.XLOOKUP($B64,island_data!$B:$B,island_data!S:S,"NaN")="","NaN",_xlfn.XLOOKUP($B64,island_data!$B:$B,island_data!S:S,"NaN"))</f>
        <v>8</v>
      </c>
      <c r="DN64" s="4">
        <f>IF(_xlfn.XLOOKUP($B64,island_data!$B:$B,island_data!T:T,"NaN")="","NaN",_xlfn.XLOOKUP($B64,island_data!$B:$B,island_data!T:T,"NaN"))</f>
        <v>2.5833333333333299</v>
      </c>
      <c r="DO64" s="4">
        <f>IF(_xlfn.XLOOKUP($B64,island_data!$B:$B,island_data!U:U,"NaN")="","NaN",_xlfn.XLOOKUP($B64,island_data!$B:$B,island_data!U:U,"NaN"))</f>
        <v>5</v>
      </c>
      <c r="DP64" s="4">
        <f>IF(_xlfn.XLOOKUP($B64,island_data!$B:$B,island_data!V:V,"NaN")="","NaN",_xlfn.XLOOKUP($B64,island_data!$B:$B,island_data!V:V,"NaN"))</f>
        <v>1</v>
      </c>
      <c r="DQ64" s="4">
        <f>IF(_xlfn.XLOOKUP($B64,island_data!$B:$B,island_data!W:W,"NaN")="","NaN",_xlfn.XLOOKUP($B64,island_data!$B:$B,island_data!W:W,"NaN"))</f>
        <v>3</v>
      </c>
      <c r="DR64" s="4">
        <f>IF(_xlfn.XLOOKUP($B64,island_data!$B:$B,island_data!X:X,"NaN")="","NaN",_xlfn.XLOOKUP($B64,island_data!$B:$B,island_data!X:X,"NaN"))</f>
        <v>5</v>
      </c>
      <c r="DS64" s="4" t="str">
        <f>IF(_xlfn.XLOOKUP($B64,island_data!$B:$B,island_data!Y:Y,"NaN")="","NaN",_xlfn.XLOOKUP($B64,island_data!$B:$B,island_data!Y:Y,"NaN"))</f>
        <v>NaN</v>
      </c>
      <c r="DT64" s="4" t="str">
        <f>IF(_xlfn.XLOOKUP($B64,island_data!$B:$B,island_data!Z:Z,"NaN")="","NaN",_xlfn.XLOOKUP($B64,island_data!$B:$B,island_data!Z:Z,"NaN"))</f>
        <v>NaN</v>
      </c>
      <c r="DU64" s="4" t="str">
        <f>IF(_xlfn.XLOOKUP($B64,island_data!$B:$B,island_data!AA:AA,"NaN")="","NaN",_xlfn.XLOOKUP($B64,island_data!$B:$B,island_data!AA:AA,"NaN"))</f>
        <v>NaN</v>
      </c>
      <c r="DV64" s="4">
        <f>IF(_xlfn.XLOOKUP($B64,island_data!$B:$B,island_data!AB:AB,"NaN")="","NaN",_xlfn.XLOOKUP($B64,island_data!$B:$B,island_data!AB:AB,"NaN"))</f>
        <v>0</v>
      </c>
      <c r="DW64" s="4" t="str">
        <f>IF(_xlfn.XLOOKUP($B64,island_data!$B:$B,island_data!AC:AC,"NaN")="","NaN",_xlfn.XLOOKUP($B64,island_data!$B:$B,island_data!AC:AC,"NaN"))</f>
        <v>NaN</v>
      </c>
      <c r="DX64" s="4">
        <f>IF(_xlfn.XLOOKUP($B64,island_data!$B:$B,island_data!AD:AD,"NaN")="","NaN",_xlfn.XLOOKUP($B64,island_data!$B:$B,island_data!AD:AD,"NaN"))</f>
        <v>3</v>
      </c>
      <c r="DY64" s="4">
        <f>IF(_xlfn.XLOOKUP($B64,island_data!$B:$B,island_data!AE:AE,"NaN")="","NaN",_xlfn.XLOOKUP($B64,island_data!$B:$B,island_data!AE:AE,"NaN"))</f>
        <v>0</v>
      </c>
      <c r="DZ64" s="4" t="str">
        <f>IF(_xlfn.XLOOKUP($B64,island_data!$B:$B,island_data!AF:AF,"NaN")="","NaN",_xlfn.XLOOKUP($B64,island_data!$B:$B,island_data!AF:AF,"NaN"))</f>
        <v>NaN</v>
      </c>
      <c r="EA64" s="4" t="str">
        <f>IF(_xlfn.XLOOKUP($B64,island_data!$B:$B,island_data!AG:AG,"NaN")="","NaN",_xlfn.XLOOKUP($B64,island_data!$B:$B,island_data!AG:AG,"NaN"))</f>
        <v>NaN</v>
      </c>
      <c r="EB64" s="4" t="str">
        <f>IF(_xlfn.XLOOKUP($B64,island_data!$B:$B,island_data!AH:AH,"NaN")="","NaN",_xlfn.XLOOKUP($B64,island_data!$B:$B,island_data!AH:AH,"NaN"))</f>
        <v>NaN</v>
      </c>
      <c r="EC64" s="4">
        <f>IF(_xlfn.XLOOKUP($B64,island_data!$B:$B,island_data!AI:AI,"NaN")="","NaN",_xlfn.XLOOKUP($B64,island_data!$B:$B,island_data!AI:AI,"NaN"))</f>
        <v>9</v>
      </c>
      <c r="ED64" s="4">
        <f>IF(_xlfn.XLOOKUP($B64,island_data!$B:$B,island_data!AJ:AJ,"NaN")="","NaN",_xlfn.XLOOKUP($B64,island_data!$B:$B,island_data!AJ:AJ,"NaN"))</f>
        <v>13</v>
      </c>
      <c r="EE64" s="4">
        <f>IF(_xlfn.XLOOKUP($B64,island_data!$B:$B,island_data!AK:AK,"NaN")="","NaN",_xlfn.XLOOKUP($B64,island_data!$B:$B,island_data!AK:AK,"NaN"))</f>
        <v>12</v>
      </c>
      <c r="EF64" s="4">
        <f>IF(_xlfn.XLOOKUP($B64,island_data!$B:$B,island_data!AL:AL,"NaN")="","NaN",_xlfn.XLOOKUP($B64,island_data!$B:$B,island_data!AL:AL,"NaN"))</f>
        <v>19</v>
      </c>
      <c r="EG64" s="4">
        <f>IF(_xlfn.XLOOKUP($B64,island_data!$B:$B,island_data!AM:AM,"NaN")="","NaN",_xlfn.XLOOKUP($B64,island_data!$B:$B,island_data!AM:AM,"NaN"))</f>
        <v>19</v>
      </c>
      <c r="EH64" s="4" t="str">
        <f>IF(_xlfn.XLOOKUP($B64,island_data!$B:$B,island_data!AN:AN,"NaN")="","NaN",_xlfn.XLOOKUP($B64,island_data!$B:$B,island_data!AN:AN,"NaN"))</f>
        <v>NaN</v>
      </c>
      <c r="EI64" s="4" t="str">
        <f>IF(_xlfn.XLOOKUP($B64,island_data!$B:$B,island_data!AO:AO,"NaN")="","NaN",_xlfn.XLOOKUP($B64,island_data!$B:$B,island_data!AO:AO,"NaN"))</f>
        <v>NaN</v>
      </c>
      <c r="EJ64" s="8">
        <f>IF(_xlfn.XLOOKUP($A64,TabCAT!$A:$A,TabCAT!AU:AU,"NaN")="","NaN",(_xlfn.XLOOKUP($A64,TabCAT!$A:$A,TabCAT!AU:AU,"NaN")))</f>
        <v>117</v>
      </c>
      <c r="EK64" s="8" t="b">
        <f>IF(_xlfn.XLOOKUP($A64,TabCAT!$A:$A,TabCAT!AV:AV,"NaN")="","NaN",(_xlfn.XLOOKUP($A64,TabCAT!$A:$A,TabCAT!AV:AV,"NaN")))</f>
        <v>1</v>
      </c>
      <c r="EL64" s="8">
        <f>IF(_xlfn.XLOOKUP($A64,TabCAT!$A:$A,TabCAT!AW:AW,"NaN")="","NaN",(_xlfn.XLOOKUP($A64,TabCAT!$A:$A,TabCAT!AW:AW,"NaN")))</f>
        <v>12</v>
      </c>
      <c r="EM64" s="8">
        <f>IF(_xlfn.XLOOKUP($A64,TabCAT!$A:$A,TabCAT!AX:AX,"NaN")="","NaN",(_xlfn.XLOOKUP($A64,TabCAT!$A:$A,TabCAT!AX:AX,"NaN")))</f>
        <v>0</v>
      </c>
      <c r="EN64" s="8">
        <f>IF(_xlfn.XLOOKUP($A64,TabCAT!$A:$A,TabCAT!AY:AY,"NaN")="","NaN",(_xlfn.XLOOKUP($A64,TabCAT!$A:$A,TabCAT!AY:AY,"NaN")))</f>
        <v>8.44</v>
      </c>
      <c r="EO64" s="8">
        <f>IF(_xlfn.XLOOKUP($A64,TabCAT!$A:$A,TabCAT!AZ:AZ,"NaN")="","NaN",(_xlfn.XLOOKUP($A64,TabCAT!$A:$A,TabCAT!AZ:AZ,"NaN")))</f>
        <v>52</v>
      </c>
      <c r="EP64" s="8">
        <f>IF(_xlfn.XLOOKUP($A64,TabCAT!$A:$A,TabCAT!BA:BA,"NaN")="","NaN",(_xlfn.XLOOKUP($A64,TabCAT!$A:$A,TabCAT!BA:BA,"NaN")))</f>
        <v>0.49891999999999997</v>
      </c>
      <c r="EQ64" s="8">
        <f>IF(_xlfn.XLOOKUP($A64,TabCAT!$A:$A,TabCAT!BB:BB,"NaN")="","NaN",(_xlfn.XLOOKUP($A64,TabCAT!$A:$A,TabCAT!BB:BB,"NaN")))</f>
        <v>0.100701480454888</v>
      </c>
      <c r="ER64" s="8">
        <f>IF(_xlfn.XLOOKUP($A64,TabCAT!$A:$A,TabCAT!BC:BC,"NaN")="","NaN",(_xlfn.XLOOKUP($A64,TabCAT!$A:$A,TabCAT!BC:BC,"NaN")))</f>
        <v>30</v>
      </c>
      <c r="ES64" s="8">
        <f>IF(_xlfn.XLOOKUP($A64,TabCAT!$A:$A,TabCAT!BD:BD,"NaN")="","NaN",(_xlfn.XLOOKUP($A64,TabCAT!$A:$A,TabCAT!BD:BD,"NaN")))</f>
        <v>0.47685699999999998</v>
      </c>
      <c r="ET64" s="8">
        <f>IF(_xlfn.XLOOKUP($A64,TabCAT!$A:$A,TabCAT!BE:BE,"NaN")="","NaN",(_xlfn.XLOOKUP($A64,TabCAT!$A:$A,TabCAT!BE:BE,"NaN")))</f>
        <v>22</v>
      </c>
      <c r="EU64" s="8">
        <f>IF(_xlfn.XLOOKUP($A64,TabCAT!$A:$A,TabCAT!BF:BF,"NaN")="","NaN",(_xlfn.XLOOKUP($A64,TabCAT!$A:$A,TabCAT!BF:BF,"NaN")))</f>
        <v>0.51299099999999997</v>
      </c>
      <c r="EV64" s="8" t="str">
        <f>IF(_xlfn.XLOOKUP($A64,TabCAT!$A:$A,TabCAT!BG:BG,"NaN")="","NaN",(_xlfn.XLOOKUP($A64,TabCAT!$A:$A,TabCAT!BG:BG,"NaN")))</f>
        <v>NaN</v>
      </c>
      <c r="EW64" s="8" t="str">
        <f>IF(_xlfn.XLOOKUP($A64,TabCAT!$A:$A,TabCAT!BH:BH,"NaN")="","NaN",(_xlfn.XLOOKUP($A64,TabCAT!$A:$A,TabCAT!BH:BH,"NaN")))</f>
        <v>3.0.0</v>
      </c>
      <c r="EX64" s="8" t="str">
        <f>IF(_xlfn.XLOOKUP($A64,TabCAT!$A:$A,TabCAT!BI:BI,"NaN")="","NaN",(_xlfn.XLOOKUP($A64,TabCAT!$A:$A,TabCAT!BI:BI,"NaN")))</f>
        <v>English</v>
      </c>
      <c r="EY64" s="8">
        <f>IF(_xlfn.XLOOKUP($A64,TabCAT!$A:$A,TabCAT!BJ:BJ,"NaN")="","NaN",(_xlfn.XLOOKUP($A64,TabCAT!$A:$A,TabCAT!BJ:BJ,"NaN")))</f>
        <v>260</v>
      </c>
      <c r="EZ64" s="8">
        <f>IF(_xlfn.XLOOKUP($A64,TabCAT!$A:$A,TabCAT!BK:BK,"NaN")="","NaN",(_xlfn.XLOOKUP($A64,TabCAT!$A:$A,TabCAT!BK:BK,"NaN")))</f>
        <v>1</v>
      </c>
      <c r="FA64" s="8">
        <f>IF(_xlfn.XLOOKUP($A64,TabCAT!$A:$A,TabCAT!BL:BL,"NaN")="","NaN",(_xlfn.XLOOKUP($A64,TabCAT!$A:$A,TabCAT!BL:BL,"NaN")))</f>
        <v>6</v>
      </c>
      <c r="FB64" s="8">
        <f>IF(_xlfn.XLOOKUP($A64,TabCAT!$A:$A,TabCAT!BM:BM,"NaN")="","NaN",(_xlfn.XLOOKUP($A64,TabCAT!$A:$A,TabCAT!BM:BM,"NaN")))</f>
        <v>1</v>
      </c>
      <c r="FC64" s="8">
        <f>IF(_xlfn.XLOOKUP($A64,TabCAT!$A:$A,TabCAT!BN:BN,"NaN")="","NaN",(_xlfn.XLOOKUP($A64,TabCAT!$A:$A,TabCAT!BN:BN,"NaN")))</f>
        <v>6</v>
      </c>
      <c r="FD64" s="8">
        <f>IF(_xlfn.XLOOKUP($A64,TabCAT!$A:$A,TabCAT!BO:BO,"NaN")="","NaN",(_xlfn.XLOOKUP($A64,TabCAT!$A:$A,TabCAT!BO:BO,"NaN")))</f>
        <v>9</v>
      </c>
      <c r="FE64" s="8">
        <f>IF(_xlfn.XLOOKUP($A64,TabCAT!$A:$A,TabCAT!BP:BP,"NaN")="","NaN",(_xlfn.XLOOKUP($A64,TabCAT!$A:$A,TabCAT!BP:BP,"NaN")))</f>
        <v>1</v>
      </c>
      <c r="FF64" s="8">
        <f>IF(_xlfn.XLOOKUP($A64,TabCAT!$A:$A,TabCAT!BQ:BQ,"NaN")="","NaN",(_xlfn.XLOOKUP($A64,TabCAT!$A:$A,TabCAT!BQ:BQ,"NaN")))</f>
        <v>9</v>
      </c>
      <c r="FG64" s="8">
        <f>IF(_xlfn.XLOOKUP($A64,TabCAT!$A:$A,TabCAT!BR:BR,"NaN")="","NaN",(_xlfn.XLOOKUP($A64,TabCAT!$A:$A,TabCAT!BR:BR,"NaN")))</f>
        <v>9</v>
      </c>
      <c r="FH64" s="8">
        <f>IF(_xlfn.XLOOKUP($A64,TabCAT!$A:$A,TabCAT!BS:BS,"NaN")="","NaN",(_xlfn.XLOOKUP($A64,TabCAT!$A:$A,TabCAT!BS:BS,"NaN")))</f>
        <v>0.75</v>
      </c>
      <c r="FI64" s="8">
        <f>IF(_xlfn.XLOOKUP($A64,TabCAT!$A:$A,TabCAT!BT:BT,"NaN")="","NaN",(_xlfn.XLOOKUP($A64,TabCAT!$A:$A,TabCAT!BT:BT,"NaN")))</f>
        <v>6.5</v>
      </c>
      <c r="FJ64" s="8">
        <f>IF(_xlfn.XLOOKUP($A64,TabCAT!$A:$A,TabCAT!BU:BU,"NaN")="","NaN",(_xlfn.XLOOKUP($A64,TabCAT!$A:$A,TabCAT!BU:BU,"NaN")))</f>
        <v>10</v>
      </c>
      <c r="FK64" s="8">
        <f>IF(_xlfn.XLOOKUP($A64,TabCAT!$A:$A,TabCAT!BV:BV,"NaN")="","NaN",(_xlfn.XLOOKUP($A64,TabCAT!$A:$A,TabCAT!BV:BV,"NaN")))</f>
        <v>0.66666666666666596</v>
      </c>
      <c r="FL64" s="8">
        <f>IF(_xlfn.XLOOKUP($A64,TabCAT!$A:$A,TabCAT!BW:BW,"NaN")="","NaN",(_xlfn.XLOOKUP($A64,TabCAT!$A:$A,TabCAT!BW:BW,"NaN")))</f>
        <v>7</v>
      </c>
      <c r="FM64" s="8">
        <f>IF(_xlfn.XLOOKUP($A64,TabCAT!$A:$A,TabCAT!BX:BX,"NaN")="","NaN",(_xlfn.XLOOKUP($A64,TabCAT!$A:$A,TabCAT!BX:BX,"NaN")))</f>
        <v>34</v>
      </c>
      <c r="FN64" s="8">
        <f>IF(_xlfn.XLOOKUP($A64,TabCAT!$A:$A,TabCAT!BY:BY,"NaN")="","NaN",(_xlfn.XLOOKUP($A64,TabCAT!$A:$A,TabCAT!BY:BY,"NaN")))</f>
        <v>0.80952380952380898</v>
      </c>
      <c r="FO64" s="8">
        <f>IF(_xlfn.XLOOKUP($A64,TabCAT!$A:$A,TabCAT!BZ:BZ,"NaN")="","NaN",(_xlfn.XLOOKUP($A64,TabCAT!$A:$A,TabCAT!BZ:BZ,"NaN")))</f>
        <v>28.5</v>
      </c>
      <c r="FP64" s="8" t="str">
        <f>IF(_xlfn.XLOOKUP($A64,TabCAT!$A:$A,TabCAT!CA:CA,"NaN")="","NaN",(_xlfn.XLOOKUP($A64,TabCAT!$A:$A,TabCAT!CA:CA,"NaN")))</f>
        <v>3.0.0</v>
      </c>
      <c r="FQ64" s="8" t="str">
        <f>IF(_xlfn.XLOOKUP($A64,TabCAT!$A:$A,TabCAT!CB:CB,"NaN")="","NaN",(_xlfn.XLOOKUP($A64,TabCAT!$A:$A,TabCAT!CB:CB,"NaN")))</f>
        <v>English</v>
      </c>
      <c r="FR64" s="8">
        <f>IF(_xlfn.XLOOKUP($A64,TabCAT!$A:$A,TabCAT!CC:CC,"NaN")="","NaN",(_xlfn.XLOOKUP($A64,TabCAT!$A:$A,TabCAT!CC:CC,"NaN")))</f>
        <v>249</v>
      </c>
      <c r="FS64" s="8" t="b">
        <f>IF(_xlfn.XLOOKUP($A64,TabCAT!$A:$A,TabCAT!CD:CD,"NaN")="","NaN",(_xlfn.XLOOKUP($A64,TabCAT!$A:$A,TabCAT!CD:CD,"NaN")))</f>
        <v>1</v>
      </c>
      <c r="FT64" s="8">
        <f>IF(_xlfn.XLOOKUP($A64,TabCAT!$A:$A,TabCAT!CE:CE,"NaN")="","NaN",(_xlfn.XLOOKUP($A64,TabCAT!$A:$A,TabCAT!CE:CE,"NaN")))</f>
        <v>8</v>
      </c>
      <c r="FU64" s="8">
        <f>IF(_xlfn.XLOOKUP($A64,TabCAT!$A:$A,TabCAT!CF:CF,"NaN")="","NaN",(_xlfn.XLOOKUP($A64,TabCAT!$A:$A,TabCAT!CF:CF,"NaN")))</f>
        <v>0</v>
      </c>
      <c r="FV64" s="8">
        <f>IF(_xlfn.XLOOKUP($A64,TabCAT!$A:$A,TabCAT!CG:CG,"NaN")="","NaN",(_xlfn.XLOOKUP($A64,TabCAT!$A:$A,TabCAT!CG:CG,"NaN")))</f>
        <v>7.13</v>
      </c>
      <c r="FW64" s="8">
        <f>IF(_xlfn.XLOOKUP($A64,TabCAT!$A:$A,TabCAT!CH:CH,"NaN")="","NaN",(_xlfn.XLOOKUP($A64,TabCAT!$A:$A,TabCAT!CH:CH,"NaN")))</f>
        <v>16</v>
      </c>
      <c r="FX64" s="8">
        <f>IF(_xlfn.XLOOKUP($A64,TabCAT!$A:$A,TabCAT!CI:CI,"NaN")="","NaN",(_xlfn.XLOOKUP($A64,TabCAT!$A:$A,TabCAT!CI:CI,"NaN")))</f>
        <v>0.53567149999999997</v>
      </c>
      <c r="FY64" s="8">
        <f>IF(_xlfn.XLOOKUP($A64,TabCAT!$A:$A,TabCAT!CJ:CJ,"NaN")="","NaN",(_xlfn.XLOOKUP($A64,TabCAT!$A:$A,TabCAT!CJ:CJ,"NaN")))</f>
        <v>16</v>
      </c>
      <c r="FZ64" s="8">
        <f>IF(_xlfn.XLOOKUP($A64,TabCAT!$A:$A,TabCAT!CK:CK,"NaN")="","NaN",(_xlfn.XLOOKUP($A64,TabCAT!$A:$A,TabCAT!CK:CK,"NaN")))</f>
        <v>0.51607899999999995</v>
      </c>
      <c r="GA64" s="8">
        <f>IF(_xlfn.XLOOKUP($A64,TabCAT!$A:$A,TabCAT!CL:CL,"NaN")="","NaN",(_xlfn.XLOOKUP($A64,TabCAT!$A:$A,TabCAT!CL:CL,"NaN")))</f>
        <v>31</v>
      </c>
      <c r="GB64" s="8">
        <f>IF(_xlfn.XLOOKUP($A64,TabCAT!$A:$A,TabCAT!CM:CM,"NaN")="","NaN",(_xlfn.XLOOKUP($A64,TabCAT!$A:$A,TabCAT!CM:CM,"NaN")))</f>
        <v>1.0223329999999999</v>
      </c>
      <c r="GC64" s="8">
        <f>IF(_xlfn.XLOOKUP($A64,TabCAT!$A:$A,TabCAT!CN:CN,"NaN")="","NaN",(_xlfn.XLOOKUP($A64,TabCAT!$A:$A,TabCAT!CN:CN,"NaN")))</f>
        <v>14</v>
      </c>
      <c r="GD64" s="8">
        <f>IF(_xlfn.XLOOKUP($A64,TabCAT!$A:$A,TabCAT!CO:CO,"NaN")="","NaN",(_xlfn.XLOOKUP($A64,TabCAT!$A:$A,TabCAT!CO:CO,"NaN")))</f>
        <v>1.0836595</v>
      </c>
      <c r="GE64" s="8">
        <f>IF(_xlfn.XLOOKUP($A64,TabCAT!$A:$A,TabCAT!CP:CP,"NaN")="","NaN",(_xlfn.XLOOKUP($A64,TabCAT!$A:$A,TabCAT!CP:CP,"NaN")))</f>
        <v>0.480849523761533</v>
      </c>
      <c r="GF64" s="8">
        <f>IF(_xlfn.XLOOKUP($A64,TabCAT!$A:$A,TabCAT!CQ:CQ,"NaN")="","NaN",(_xlfn.XLOOKUP($A64,TabCAT!$A:$A,TabCAT!CQ:CQ,"NaN")))</f>
        <v>59</v>
      </c>
      <c r="GG64" s="8">
        <f>IF(_xlfn.XLOOKUP($A64,TabCAT!$A:$A,TabCAT!CR:CR,"NaN")="","NaN",(_xlfn.XLOOKUP($A64,TabCAT!$A:$A,TabCAT!CR:CR,"NaN")))</f>
        <v>0.62496300000000005</v>
      </c>
      <c r="GH64" s="8" t="str">
        <f>IF(_xlfn.XLOOKUP($A64,TabCAT!$A:$A,TabCAT!CS:CS,"NaN")="","NaN",(_xlfn.XLOOKUP($A64,TabCAT!$A:$A,TabCAT!CS:CS,"NaN")))</f>
        <v>NaN</v>
      </c>
    </row>
    <row r="65" spans="1:190" x14ac:dyDescent="0.2">
      <c r="A65">
        <v>10802</v>
      </c>
      <c r="B65">
        <f>_xlfn.XLOOKUP(bippity_poppity_boo!A65,rf1_data!A:A,rf1_data!B:B)</f>
        <v>50380</v>
      </c>
      <c r="C65" s="2">
        <f>(_xlfn.XLOOKUP($A65,trust!$A:$A,trust!B:B,"NaN"))</f>
        <v>3.0769229999999999</v>
      </c>
      <c r="D65" s="2">
        <f>(_xlfn.XLOOKUP($A65,trust!$A:$A,trust!C:C,"NaN"))</f>
        <v>3.6363639999999999</v>
      </c>
      <c r="E65" s="2">
        <f>(_xlfn.XLOOKUP($A65,trust!$A:$A,trust!D:D,"NaN"))</f>
        <v>3.4285709999999998</v>
      </c>
      <c r="F65" s="2">
        <f>(_xlfn.XLOOKUP($A65,trust!$A:$A,trust!E:E,"NaN"))</f>
        <v>3.1666669999999999</v>
      </c>
      <c r="G65" s="2">
        <f>(_xlfn.XLOOKUP($A65,trust!$A:$A,trust!F:F,"NaN"))</f>
        <v>4.9230770000000001</v>
      </c>
      <c r="H65" s="2">
        <f>(_xlfn.XLOOKUP($A65,trust!$A:$A,trust!G:G,"NaN"))</f>
        <v>4.4285709999999998</v>
      </c>
      <c r="I65" s="3">
        <f>IF(_xlfn.XLOOKUP($B65,island_data!$B:$B,island_data!C:C,"NaN")="","NaN",_xlfn.XLOOKUP($B65,island_data!$B:$B,island_data!C:C,"NaN"))</f>
        <v>45125</v>
      </c>
      <c r="J65" s="3">
        <f>IF(_xlfn.XLOOKUP($B65,island_data!$B:$B,island_data!D:D,"NaN")="","NaN",_xlfn.XLOOKUP($B65,island_data!$B:$B,island_data!D:D,"NaN"))</f>
        <v>29563</v>
      </c>
      <c r="K65" s="4">
        <f>IF(_xlfn.XLOOKUP($B65,island_data!$B:$B,island_data!E:E,"NaN")="","NaN",_xlfn.XLOOKUP($B65,island_data!$B:$B,island_data!E:E,"NaN"))</f>
        <v>42.61</v>
      </c>
      <c r="L65" s="5">
        <f>IF(_xlfn.XLOOKUP($B65,rf1_data!$B:$B,rf1_data!D:D,"NaN")="","NaN",(_xlfn.XLOOKUP($B65,rf1_data!$B:$B,rf1_data!D:D,"NaN")))</f>
        <v>42.69</v>
      </c>
      <c r="M65" s="5" t="str">
        <f>IF(_xlfn.XLOOKUP($B65,rf1_data!$B:$B,rf1_data!E:E,"NaN")="","NaN",(_xlfn.XLOOKUP($B65,rf1_data!$B:$B,rf1_data!E:E,"NaN")))</f>
        <v>White</v>
      </c>
      <c r="N65" s="5" t="str">
        <f>IF(_xlfn.XLOOKUP($B65,rf1_data!$B:$B,rf1_data!F:F,"NaN")="","NaN",(_xlfn.XLOOKUP($B65,rf1_data!$B:$B,rf1_data!F:F,"NaN")))</f>
        <v>Not Hispanic or Latino</v>
      </c>
      <c r="O65" s="5" t="str">
        <f>IF(_xlfn.XLOOKUP($B65,rf1_data!$B:$B,rf1_data!G:G,"NaN")="","NaN",(_xlfn.XLOOKUP($B65,rf1_data!$B:$B,rf1_data!G:G,"NaN")))</f>
        <v>Female</v>
      </c>
      <c r="P65" s="5">
        <f>IF(_xlfn.XLOOKUP($B65,rf1_data!$B:$B,rf1_data!H:H,"NaN")="","NaN",(_xlfn.XLOOKUP($B65,rf1_data!$B:$B,rf1_data!H:H,"NaN")))</f>
        <v>4.1100000000000003</v>
      </c>
      <c r="Q65" s="5">
        <f>IF(_xlfn.XLOOKUP($B65,rf1_data!$B:$B,rf1_data!I:I,"NaN")="","NaN",(_xlfn.XLOOKUP($B65,rf1_data!$B:$B,rf1_data!I:I,"NaN")))</f>
        <v>4</v>
      </c>
      <c r="R65" s="5">
        <f>IF(_xlfn.XLOOKUP($B65,rf1_data!$B:$B,rf1_data!J:J,"NaN")="","NaN",(_xlfn.XLOOKUP($B65,rf1_data!$B:$B,rf1_data!J:J,"NaN")))</f>
        <v>4</v>
      </c>
      <c r="S65" s="5">
        <f>IF(_xlfn.XLOOKUP($B65,rf1_data!$B:$B,rf1_data!K:K,"NaN")="","NaN",(_xlfn.XLOOKUP($B65,rf1_data!$B:$B,rf1_data!K:K,"NaN")))</f>
        <v>7</v>
      </c>
      <c r="T65" s="5">
        <f>IF(_xlfn.XLOOKUP($B65,rf1_data!$B:$B,rf1_data!L:L,"NaN")="","NaN",(_xlfn.XLOOKUP($B65,rf1_data!$B:$B,rf1_data!L:L,"NaN")))</f>
        <v>0</v>
      </c>
      <c r="U65" s="5">
        <f>IF(_xlfn.XLOOKUP($B65,rf1_data!$B:$B,rf1_data!M:M,"NaN")="","NaN",(_xlfn.XLOOKUP($B65,rf1_data!$B:$B,rf1_data!M:M,"NaN")))</f>
        <v>6.83</v>
      </c>
      <c r="V65" s="5">
        <f>IF(_xlfn.XLOOKUP($B65,rf1_data!$B:$B,rf1_data!N:N,"NaN")="","NaN",(_xlfn.XLOOKUP($B65,rf1_data!$B:$B,rf1_data!N:N,"NaN")))</f>
        <v>4.17</v>
      </c>
      <c r="W65" s="5">
        <f>IF(_xlfn.XLOOKUP($B65,rf1_data!$B:$B,rf1_data!O:O,"NaN")="","NaN",(_xlfn.XLOOKUP($B65,rf1_data!$B:$B,rf1_data!O:O,"NaN")))</f>
        <v>6.25</v>
      </c>
      <c r="X65" s="5">
        <f>IF(_xlfn.XLOOKUP($B65,rf1_data!$B:$B,rf1_data!P:P,"NaN")="","NaN",(_xlfn.XLOOKUP($B65,rf1_data!$B:$B,rf1_data!P:P,"NaN")))</f>
        <v>4.67</v>
      </c>
      <c r="Y65" s="5">
        <f>IF(_xlfn.XLOOKUP($B65,rf1_data!$B:$B,rf1_data!Q:Q,"NaN")="","NaN",(_xlfn.XLOOKUP($B65,rf1_data!$B:$B,rf1_data!Q:Q,"NaN")))</f>
        <v>5.37</v>
      </c>
      <c r="Z65" s="5">
        <f>IF(_xlfn.XLOOKUP($B65,rf1_data!$B:$B,rf1_data!R:R,"NaN")="","NaN",(_xlfn.XLOOKUP($B65,rf1_data!$B:$B,rf1_data!R:R,"NaN")))</f>
        <v>39</v>
      </c>
      <c r="AA65" s="5">
        <f>IF(_xlfn.XLOOKUP($B65,rf1_data!$B:$B,rf1_data!S:S,"NaN")="","NaN",(_xlfn.XLOOKUP($B65,rf1_data!$B:$B,rf1_data!S:S,"NaN")))</f>
        <v>11</v>
      </c>
      <c r="AB65" s="5">
        <f>IF(_xlfn.XLOOKUP($B65,rf1_data!$B:$B,rf1_data!T:T,"NaN")="","NaN",(_xlfn.XLOOKUP($B65,rf1_data!$B:$B,rf1_data!T:T,"NaN")))</f>
        <v>18</v>
      </c>
      <c r="AC65" s="5">
        <f>IF(_xlfn.XLOOKUP($B65,rf1_data!$B:$B,rf1_data!U:U,"NaN")="","NaN",(_xlfn.XLOOKUP($B65,rf1_data!$B:$B,rf1_data!U:U,"NaN")))</f>
        <v>4</v>
      </c>
      <c r="AD65" s="5">
        <f>IF(_xlfn.XLOOKUP($B65,rf1_data!$B:$B,rf1_data!V:V,"NaN")="","NaN",(_xlfn.XLOOKUP($B65,rf1_data!$B:$B,rf1_data!V:V,"NaN")))</f>
        <v>6</v>
      </c>
      <c r="AE65" s="5">
        <f>IF(_xlfn.XLOOKUP($B65,rf1_data!$B:$B,rf1_data!W:W,"NaN")="","NaN",(_xlfn.XLOOKUP($B65,rf1_data!$B:$B,rf1_data!W:W,"NaN")))</f>
        <v>2</v>
      </c>
      <c r="AF65" s="5">
        <f>IF(_xlfn.XLOOKUP($B65,rf1_data!$B:$B,rf1_data!X:X,"NaN")="","NaN",(_xlfn.XLOOKUP($B65,rf1_data!$B:$B,rf1_data!X:X,"NaN")))</f>
        <v>6</v>
      </c>
      <c r="AG65" s="5">
        <f>IF(_xlfn.XLOOKUP($B65,rf1_data!$B:$B,rf1_data!Y:Y,"NaN")="","NaN",(_xlfn.XLOOKUP($B65,rf1_data!$B:$B,rf1_data!Y:Y,"NaN")))</f>
        <v>3</v>
      </c>
      <c r="AH65" s="5">
        <f>IF(_xlfn.XLOOKUP($B65,rf1_data!$B:$B,rf1_data!Z:Z,"NaN")="","NaN",(_xlfn.XLOOKUP($B65,rf1_data!$B:$B,rf1_data!Z:Z,"NaN")))</f>
        <v>2</v>
      </c>
      <c r="AI65" s="5">
        <f>IF(_xlfn.XLOOKUP($B65,rf1_data!$B:$B,rf1_data!AA:AA,"NaN")="","NaN",(_xlfn.XLOOKUP($B65,rf1_data!$B:$B,rf1_data!AA:AA,"NaN")))</f>
        <v>2</v>
      </c>
      <c r="AJ65" s="5">
        <f>IF(_xlfn.XLOOKUP($B65,rf1_data!$B:$B,rf1_data!AB:AB,"NaN")="","NaN",(_xlfn.XLOOKUP($B65,rf1_data!$B:$B,rf1_data!AB:AB,"NaN")))</f>
        <v>15</v>
      </c>
      <c r="AK65" s="5">
        <f>IF(_xlfn.XLOOKUP($B65,rf1_data!$B:$B,rf1_data!AC:AC,"NaN")="","NaN",(_xlfn.XLOOKUP($B65,rf1_data!$B:$B,rf1_data!AC:AC,"NaN")))</f>
        <v>24</v>
      </c>
      <c r="AL65" s="5">
        <f>IF(_xlfn.XLOOKUP($B65,rf1_data!$B:$B,rf1_data!AD:AD,"NaN")="","NaN",(_xlfn.XLOOKUP($B65,rf1_data!$B:$B,rf1_data!AD:AD,"NaN")))</f>
        <v>10</v>
      </c>
      <c r="AM65" s="5">
        <f>IF(_xlfn.XLOOKUP($B65,rf1_data!$B:$B,rf1_data!AE:AE,"NaN")="","NaN",(_xlfn.XLOOKUP($B65,rf1_data!$B:$B,rf1_data!AE:AE,"NaN")))</f>
        <v>0</v>
      </c>
      <c r="AN65" s="5">
        <f>IF(_xlfn.XLOOKUP($B65,rf1_data!$B:$B,rf1_data!AF:AF,"NaN")="","NaN",(_xlfn.XLOOKUP($B65,rf1_data!$B:$B,rf1_data!AF:AF,"NaN")))</f>
        <v>0</v>
      </c>
      <c r="AO65" s="5">
        <f>IF(_xlfn.XLOOKUP($B65,rf1_data!$B:$B,rf1_data!AG:AG,"NaN")="","NaN",(_xlfn.XLOOKUP($B65,rf1_data!$B:$B,rf1_data!AG:AG,"NaN")))</f>
        <v>7</v>
      </c>
      <c r="AP65" s="5">
        <f>IF(_xlfn.XLOOKUP($B65,rf1_data!$B:$B,rf1_data!AH:AH,"NaN")="","NaN",(_xlfn.XLOOKUP($B65,rf1_data!$B:$B,rf1_data!AH:AH,"NaN")))</f>
        <v>7</v>
      </c>
      <c r="AQ65" s="5">
        <f>IF(_xlfn.XLOOKUP($B65,rf1_data!$B:$B,rf1_data!AI:AI,"NaN")="","NaN",(_xlfn.XLOOKUP($B65,rf1_data!$B:$B,rf1_data!AI:AI,"NaN")))</f>
        <v>7</v>
      </c>
      <c r="AR65" s="5">
        <f>IF(_xlfn.XLOOKUP($B65,rf1_data!$B:$B,rf1_data!AJ:AJ,"NaN")="","NaN",(_xlfn.XLOOKUP($B65,rf1_data!$B:$B,rf1_data!AJ:AJ,"NaN")))</f>
        <v>7</v>
      </c>
      <c r="AS65" s="5">
        <f>IF(_xlfn.XLOOKUP($B65,rf1_data!$B:$B,rf1_data!AK:AK,"NaN")="","NaN",(_xlfn.XLOOKUP($B65,rf1_data!$B:$B,rf1_data!AK:AK,"NaN")))</f>
        <v>3.2</v>
      </c>
      <c r="AT65" s="5">
        <f>IF(_xlfn.XLOOKUP($B65,rf1_data!$B:$B,rf1_data!AL:AL,"NaN")="","NaN",(_xlfn.XLOOKUP($B65,rf1_data!$B:$B,rf1_data!AL:AL,"NaN")))</f>
        <v>13</v>
      </c>
      <c r="AU65" s="5">
        <f>IF(_xlfn.XLOOKUP($B65,rf1_data!$B:$B,rf1_data!AM:AM,"NaN")="","NaN",(_xlfn.XLOOKUP($B65,rf1_data!$B:$B,rf1_data!AM:AM,"NaN")))</f>
        <v>3.75</v>
      </c>
      <c r="AV65" s="5">
        <f>IF(_xlfn.XLOOKUP($B65,rf1_data!$B:$B,rf1_data!AN:AN,"NaN")="","NaN",(_xlfn.XLOOKUP($B65,rf1_data!$B:$B,rf1_data!AN:AN,"NaN")))</f>
        <v>14</v>
      </c>
      <c r="AW65" s="5">
        <f>IF(_xlfn.XLOOKUP($B65,rf1_data!$B:$B,rf1_data!AO:AO,"NaN")="","NaN",(_xlfn.XLOOKUP($B65,rf1_data!$B:$B,rf1_data!AO:AO,"NaN")))</f>
        <v>2.67</v>
      </c>
      <c r="AX65" s="5">
        <f>IF(_xlfn.XLOOKUP($B65,rf1_data!$B:$B,rf1_data!AP:AP,"NaN")="","NaN",(_xlfn.XLOOKUP($B65,rf1_data!$B:$B,rf1_data!AP:AP,"NaN")))</f>
        <v>9999</v>
      </c>
      <c r="AY65" s="5" t="str">
        <f>IF(_xlfn.XLOOKUP($B65,rf1_data!$B:$B,rf1_data!AQ:AQ,"NaN")="","NaN",(_xlfn.XLOOKUP($B65,rf1_data!$B:$B,rf1_data!AQ:AQ,"NaN")))</f>
        <v>NaN</v>
      </c>
      <c r="AZ65" s="5" t="str">
        <f>IF(_xlfn.XLOOKUP($B65,rf1_data!$B:$B,rf1_data!AR:AR,"NaN")="","NaN",(_xlfn.XLOOKUP($B65,rf1_data!$B:$B,rf1_data!AR:AR,"NaN")))</f>
        <v>NaN</v>
      </c>
      <c r="BA65" s="5" t="str">
        <f>IF(_xlfn.XLOOKUP($B65,rf1_data!$B:$B,rf1_data!AS:AS,"NaN")="","NaN",(_xlfn.XLOOKUP($B65,rf1_data!$B:$B,rf1_data!AS:AS,"NaN")))</f>
        <v>NaN</v>
      </c>
      <c r="BB65" s="5" t="str">
        <f>IF(_xlfn.XLOOKUP($B65,rf1_data!$B:$B,rf1_data!AT:AT,"NaN")="","NaN",(_xlfn.XLOOKUP($B65,rf1_data!$B:$B,rf1_data!AT:AT,"NaN")))</f>
        <v>NaN</v>
      </c>
      <c r="BC65" s="5" t="str">
        <f>IF(_xlfn.XLOOKUP($B65,rf1_data!$B:$B,rf1_data!AU:AU,"NaN")="","NaN",(_xlfn.XLOOKUP($B65,rf1_data!$B:$B,rf1_data!AU:AU,"NaN")))</f>
        <v>NaN</v>
      </c>
      <c r="BD65" s="5" t="str">
        <f>IF(_xlfn.XLOOKUP($B65,rf1_data!$B:$B,rf1_data!AV:AV,"NaN")="","NaN",(_xlfn.XLOOKUP($B65,rf1_data!$B:$B,rf1_data!AV:AV,"NaN")))</f>
        <v>NaN</v>
      </c>
      <c r="BE65" s="5" t="str">
        <f>IF(_xlfn.XLOOKUP($B65,rf1_data!$B:$B,rf1_data!AW:AW,"NaN")="","NaN",(_xlfn.XLOOKUP($B65,rf1_data!$B:$B,rf1_data!AW:AW,"NaN")))</f>
        <v>NaN</v>
      </c>
      <c r="BF65" s="5" t="str">
        <f>IF(_xlfn.XLOOKUP($B65,rf1_data!$B:$B,rf1_data!AX:AX,"NaN")="","NaN",(_xlfn.XLOOKUP($B65,rf1_data!$B:$B,rf1_data!AX:AX,"NaN")))</f>
        <v>NaN</v>
      </c>
      <c r="BG65" s="5" t="str">
        <f>IF(_xlfn.XLOOKUP($B65,rf1_data!$B:$B,rf1_data!AY:AY,"NaN")="","NaN",(_xlfn.XLOOKUP($B65,rf1_data!$B:$B,rf1_data!AY:AY,"NaN")))</f>
        <v>NaN</v>
      </c>
      <c r="BH65" s="5" t="str">
        <f>IF(_xlfn.XLOOKUP($B65,rf1_data!$B:$B,rf1_data!AZ:AZ,"NaN")="","NaN",(_xlfn.XLOOKUP($B65,rf1_data!$B:$B,rf1_data!AZ:AZ,"NaN")))</f>
        <v>NaN</v>
      </c>
      <c r="BI65" s="5">
        <f>IF(_xlfn.XLOOKUP($B65,rf1_data!$B:$B,rf1_data!BA:BA,"NaN")="","NaN",(_xlfn.XLOOKUP($B65,rf1_data!$B:$B,rf1_data!BA:BA,"NaN")))</f>
        <v>20</v>
      </c>
      <c r="BJ65" s="5" t="str">
        <f>IF(_xlfn.XLOOKUP($B65,rf1_data!$B:$B,rf1_data!BB:BB,"NaN")="","NaN",(_xlfn.XLOOKUP($B65,rf1_data!$B:$B,rf1_data!BB:BB,"NaN")))</f>
        <v>NaN</v>
      </c>
      <c r="BK65" s="5" t="str">
        <f>IF(_xlfn.XLOOKUP($B65,rf1_data!$B:$B,rf1_data!BC:BC,"NaN")="","NaN",(_xlfn.XLOOKUP($B65,rf1_data!$B:$B,rf1_data!BC:BC,"NaN")))</f>
        <v>NaN</v>
      </c>
      <c r="BL65" s="5" t="str">
        <f>IF(_xlfn.XLOOKUP($B65,rf1_data!$B:$B,rf1_data!BD:BD,"NaN")="","NaN",(_xlfn.XLOOKUP($B65,rf1_data!$B:$B,rf1_data!BD:BD,"NaN")))</f>
        <v>NaN</v>
      </c>
      <c r="BM65" s="5" t="str">
        <f>IF(_xlfn.XLOOKUP($B65,rf1_data!$B:$B,rf1_data!BE:BE,"NaN")="","NaN",(_xlfn.XLOOKUP($B65,rf1_data!$B:$B,rf1_data!BE:BE,"NaN")))</f>
        <v>NaN</v>
      </c>
      <c r="BN65" s="5" t="str">
        <f>IF(_xlfn.XLOOKUP($B65,rf1_data!$B:$B,rf1_data!BF:BF,"NaN")="","NaN",(_xlfn.XLOOKUP($B65,rf1_data!$B:$B,rf1_data!BF:BF,"NaN")))</f>
        <v>NaN</v>
      </c>
      <c r="BO65" s="5" t="str">
        <f>IF(_xlfn.XLOOKUP($B65,rf1_data!$B:$B,rf1_data!BG:BG,"NaN")="","NaN",(_xlfn.XLOOKUP($B65,rf1_data!$B:$B,rf1_data!BG:BG,"NaN")))</f>
        <v>NaN</v>
      </c>
      <c r="BP65" s="5" t="str">
        <f>IF(_xlfn.XLOOKUP($B65,rf1_data!$B:$B,rf1_data!BH:BH,"NaN")="","NaN",(_xlfn.XLOOKUP($B65,rf1_data!$B:$B,rf1_data!BH:BH,"NaN")))</f>
        <v>NaN</v>
      </c>
      <c r="BQ65" s="5" t="str">
        <f>IF(_xlfn.XLOOKUP($B65,rf1_data!$B:$B,rf1_data!BI:BI,"NaN")="","NaN",(_xlfn.XLOOKUP($B65,rf1_data!$B:$B,rf1_data!BI:BI,"NaN")))</f>
        <v>NaN</v>
      </c>
      <c r="BR65" s="5">
        <f>IF(_xlfn.XLOOKUP($B65,rf1_data!$B:$B,rf1_data!BJ:BJ,"NaN")="","NaN",(_xlfn.XLOOKUP($B65,rf1_data!$B:$B,rf1_data!BJ:BJ,"NaN")))</f>
        <v>8991</v>
      </c>
      <c r="BS65" s="5" t="str">
        <f>IF(_xlfn.XLOOKUP($B65,rf1_data!$B:$B,rf1_data!BK:BK,"NaN")="","NaN",(_xlfn.XLOOKUP($B65,rf1_data!$B:$B,rf1_data!BK:BK,"NaN")))</f>
        <v>NaN</v>
      </c>
      <c r="BT65" s="5" t="str">
        <f>IF(_xlfn.XLOOKUP($B65,rf1_data!$B:$B,rf1_data!BL:BL,"NaN")="","NaN",(_xlfn.XLOOKUP($B65,rf1_data!$B:$B,rf1_data!BL:BL,"NaN")))</f>
        <v>NaN</v>
      </c>
      <c r="BU65" s="5" t="str">
        <f>IF(_xlfn.XLOOKUP($B65,rf1_data!$B:$B,rf1_data!BM:BM,"NaN")="","NaN",(_xlfn.XLOOKUP($B65,rf1_data!$B:$B,rf1_data!BM:BM,"NaN")))</f>
        <v>NaN</v>
      </c>
      <c r="BV65" s="5" t="str">
        <f>IF(_xlfn.XLOOKUP($B65,rf1_data!$B:$B,rf1_data!BN:BN,"NaN")="","NaN",(_xlfn.XLOOKUP($B65,rf1_data!$B:$B,rf1_data!BN:BN,"NaN")))</f>
        <v>NaN</v>
      </c>
      <c r="BW65" s="5">
        <f>IF(_xlfn.XLOOKUP($B65,rf1_data!$B:$B,rf1_data!BO:BO,"NaN")="","NaN",(_xlfn.XLOOKUP($B65,rf1_data!$B:$B,rf1_data!BO:BO,"NaN")))</f>
        <v>2</v>
      </c>
      <c r="BX65" s="5">
        <f>IF(_xlfn.XLOOKUP($B65,rf1_data!$B:$B,rf1_data!BP:BP,"NaN")="","NaN",(_xlfn.XLOOKUP($B65,rf1_data!$B:$B,rf1_data!BP:BP,"NaN")))</f>
        <v>3.8</v>
      </c>
      <c r="BY65" s="5">
        <f>IF(_xlfn.XLOOKUP($B65,rf1_data!$B:$B,rf1_data!BQ:BQ,"NaN")="","NaN",(_xlfn.XLOOKUP($B65,rf1_data!$B:$B,rf1_data!BQ:BQ,"NaN")))</f>
        <v>2.9</v>
      </c>
      <c r="BZ65" s="5">
        <f>IF(_xlfn.XLOOKUP($B65,rf1_data!$B:$B,rf1_data!BR:BR,"NaN")="","NaN",(_xlfn.XLOOKUP($B65,rf1_data!$B:$B,rf1_data!BR:BR,"NaN")))</f>
        <v>2.9</v>
      </c>
      <c r="CA65" s="5">
        <f>IF(_xlfn.XLOOKUP($B65,rf1_data!$B:$B,rf1_data!BS:BS,"NaN")="","NaN",(_xlfn.XLOOKUP($B65,rf1_data!$B:$B,rf1_data!BS:BS,"NaN")))</f>
        <v>6</v>
      </c>
      <c r="CB65" s="5">
        <f>IF(_xlfn.XLOOKUP($B65,rf1_data!$B:$B,rf1_data!BT:BT,"NaN")="","NaN",(_xlfn.XLOOKUP($B65,rf1_data!$B:$B,rf1_data!BT:BT,"NaN")))</f>
        <v>5.1666666666666998</v>
      </c>
      <c r="CC65" s="5">
        <f>IF(_xlfn.XLOOKUP($B65,rf1_data!$B:$B,rf1_data!BU:BU,"NaN")="","NaN",(_xlfn.XLOOKUP($B65,rf1_data!$B:$B,rf1_data!BU:BU,"NaN")))</f>
        <v>6</v>
      </c>
      <c r="CD65" s="5">
        <f>IF(_xlfn.XLOOKUP($B65,rf1_data!$B:$B,rf1_data!BV:BV,"NaN")="","NaN",(_xlfn.XLOOKUP($B65,rf1_data!$B:$B,rf1_data!BV:BV,"NaN")))</f>
        <v>5.1666666666666998</v>
      </c>
      <c r="CE65" s="5">
        <f>IF(_xlfn.XLOOKUP($B65,rf1_data!$B:$B,rf1_data!BW:BW,"NaN")="","NaN",(_xlfn.XLOOKUP($B65,rf1_data!$B:$B,rf1_data!BW:BW,"NaN")))</f>
        <v>3.15</v>
      </c>
      <c r="CF65" s="5">
        <f>IF(_xlfn.XLOOKUP($B65,rf1_data!$B:$B,rf1_data!BX:BX,"NaN")="","NaN",(_xlfn.XLOOKUP($B65,rf1_data!$B:$B,rf1_data!BX:BX,"NaN")))</f>
        <v>0</v>
      </c>
      <c r="CG65" s="5">
        <f>IF(_xlfn.XLOOKUP($B65,rf1_data!$B:$B,rf1_data!BY:BY,"NaN")="","NaN",(_xlfn.XLOOKUP($B65,rf1_data!$B:$B,rf1_data!BY:BY,"NaN")))</f>
        <v>0</v>
      </c>
      <c r="CH65" s="5">
        <f>IF(_xlfn.XLOOKUP($B65,rf1_data!$B:$B,rf1_data!BZ:BZ,"NaN")="","NaN",(_xlfn.XLOOKUP($B65,rf1_data!$B:$B,rf1_data!BZ:BZ,"NaN")))</f>
        <v>30</v>
      </c>
      <c r="CI65" s="5">
        <f>IF(_xlfn.XLOOKUP($B65,rf1_data!$B:$B,rf1_data!CA:CA,"NaN")="","NaN",(_xlfn.XLOOKUP($B65,rf1_data!$B:$B,rf1_data!CA:CA,"NaN")))</f>
        <v>20</v>
      </c>
      <c r="CJ65" s="5">
        <f>IF(_xlfn.XLOOKUP($B65,rf1_data!$B:$B,rf1_data!CB:CB,"NaN")="","NaN",(_xlfn.XLOOKUP($B65,rf1_data!$B:$B,rf1_data!CB:CB,"NaN")))</f>
        <v>12</v>
      </c>
      <c r="CK65" s="5">
        <f>IF(_xlfn.XLOOKUP($B65,rf1_data!$B:$B,rf1_data!CC:CC,"NaN")="","NaN",(_xlfn.XLOOKUP($B65,rf1_data!$B:$B,rf1_data!CC:CC,"NaN")))</f>
        <v>1.0909090909090999</v>
      </c>
      <c r="CL65" s="5">
        <f>IF(_xlfn.XLOOKUP($B65,rf1_data!$B:$B,rf1_data!CD:CD,"NaN")=0,"NaN",(_xlfn.XLOOKUP($B65,rf1_data!$B:$B,rf1_data!CD:CD,"NaN")))</f>
        <v>38</v>
      </c>
      <c r="CM65" s="5">
        <f>IF(_xlfn.XLOOKUP($B65,rf1_data!$B:$B,rf1_data!CE:CE,"NaN")="","NaN",(_xlfn.XLOOKUP($B65,rf1_data!$B:$B,rf1_data!CE:CE,"NaN")))</f>
        <v>30</v>
      </c>
      <c r="CN65" s="5">
        <f>IF(_xlfn.XLOOKUP($B65,rf1_data!$B:$B,rf1_data!CF:CF,"NaN")="","NaN",(_xlfn.XLOOKUP($B65,rf1_data!$B:$B,rf1_data!CF:CF,"NaN")))</f>
        <v>43</v>
      </c>
      <c r="CO65" s="5">
        <f>IF(_xlfn.XLOOKUP($B65,rf1_data!$B:$B,rf1_data!CG:CG,"NaN")="","NaN",(_xlfn.XLOOKUP($B65,rf1_data!$B:$B,rf1_data!CG:CG,"NaN")))</f>
        <v>26</v>
      </c>
      <c r="CP65" s="5">
        <f>IF(_xlfn.XLOOKUP($B65,rf1_data!$B:$B,rf1_data!CH:CH,"NaN")=0,"NaN",(_xlfn.XLOOKUP($B65,rf1_data!$B:$B,rf1_data!CH:CH,"NaN")))</f>
        <v>34</v>
      </c>
      <c r="CQ65" s="5">
        <f>IF(_xlfn.XLOOKUP($B65,rf1_data!$B:$B,rf1_data!CI:CI,"NaN")="","NaN",(_xlfn.XLOOKUP($B65,rf1_data!$B:$B,rf1_data!CI:CI,"NaN")))</f>
        <v>44</v>
      </c>
      <c r="CR65" s="5">
        <f>IF(_xlfn.XLOOKUP($B65,rf1_data!$B:$B,rf1_data!CJ:CJ,"NaN")="","NaN",(_xlfn.XLOOKUP($B65,rf1_data!$B:$B,rf1_data!CJ:CJ,"NaN")))</f>
        <v>60</v>
      </c>
      <c r="CS65" s="5">
        <f>IF(_xlfn.XLOOKUP($B65,rf1_data!$B:$B,rf1_data!CK:CK,"NaN")="","NaN",(_xlfn.XLOOKUP($B65,rf1_data!$B:$B,rf1_data!CK:CK,"NaN")))</f>
        <v>36</v>
      </c>
      <c r="CT65" s="5">
        <f>IF(_xlfn.XLOOKUP($B65,rf1_data!$B:$B,rf1_data!CL:CL,"NaN")="","NaN",(_xlfn.XLOOKUP($B65,rf1_data!$B:$B,rf1_data!CL:CL,"NaN")))</f>
        <v>60</v>
      </c>
      <c r="CU65" s="5">
        <f>IF(_xlfn.XLOOKUP($B65,rf1_data!$B:$B,rf1_data!CM:CM,"NaN")="","NaN",(_xlfn.XLOOKUP($B65,rf1_data!$B:$B,rf1_data!CM:CM,"NaN")))</f>
        <v>27</v>
      </c>
      <c r="CV65" s="5">
        <f>IF(_xlfn.XLOOKUP($B65,rf1_data!$B:$B,rf1_data!CN:CN,"NaN")="","NaN",(_xlfn.XLOOKUP($B65,rf1_data!$B:$B,rf1_data!CN:CN,"NaN")))</f>
        <v>60</v>
      </c>
      <c r="CW65" s="5">
        <f>IF(_xlfn.XLOOKUP($B65,rf1_data!$B:$B,rf1_data!CO:CO,"NaN")="","NaN",(_xlfn.XLOOKUP($B65,rf1_data!$B:$B,rf1_data!CO:CO,"NaN")))</f>
        <v>6</v>
      </c>
      <c r="CX65" s="5">
        <f>IF(_xlfn.XLOOKUP($B65,rf1_data!$B:$B,rf1_data!CP:CP,"NaN")="","NaN",(_xlfn.XLOOKUP($B65,rf1_data!$B:$B,rf1_data!CP:CP,"NaN")))</f>
        <v>6</v>
      </c>
      <c r="CY65" s="5">
        <f>IF(_xlfn.XLOOKUP($B65,rf1_data!$B:$B,rf1_data!CQ:CQ,"NaN")="","NaN",(_xlfn.XLOOKUP($B65,rf1_data!$B:$B,rf1_data!CQ:CQ,"NaN")))</f>
        <v>5</v>
      </c>
      <c r="CZ65" s="5">
        <f>IF(_xlfn.XLOOKUP($B65,rf1_data!$B:$B,rf1_data!CR:CR,"NaN")="","NaN",(_xlfn.XLOOKUP($B65,rf1_data!$B:$B,rf1_data!CR:CR,"NaN")))</f>
        <v>1</v>
      </c>
      <c r="DA65" s="5">
        <f>IF(_xlfn.XLOOKUP($B65,rf1_data!$B:$B,rf1_data!CS:CS,"NaN")="","NaN",(_xlfn.XLOOKUP($B65,rf1_data!$B:$B,rf1_data!CS:CS,"NaN")))</f>
        <v>3</v>
      </c>
      <c r="DB65" s="4">
        <f>IF(_xlfn.XLOOKUP($B65,island_data!$B:$B,island_data!H:H,"NaN")="","NaN",_xlfn.XLOOKUP($B65,island_data!$B:$B,island_data!H:H,"NaN"))</f>
        <v>1</v>
      </c>
      <c r="DC65" s="4">
        <f>IF(_xlfn.XLOOKUP($B65,island_data!$B:$B,island_data!I:I,"NaN")="","NaN",_xlfn.XLOOKUP($B65,island_data!$B:$B,island_data!I:I,"NaN"))</f>
        <v>0</v>
      </c>
      <c r="DD65" s="4">
        <f>IF(_xlfn.XLOOKUP($B65,island_data!$B:$B,island_data!J:J,"NaN")="","NaN",_xlfn.XLOOKUP($B65,island_data!$B:$B,island_data!J:J,"NaN"))</f>
        <v>2</v>
      </c>
      <c r="DE65" s="4">
        <f>IF(_xlfn.XLOOKUP($B65,island_data!$B:$B,island_data!K:K,"NaN")="","NaN",_xlfn.XLOOKUP($B65,island_data!$B:$B,island_data!K:K,"NaN"))</f>
        <v>11</v>
      </c>
      <c r="DF65" s="4">
        <f>IF(_xlfn.XLOOKUP($B65,island_data!$B:$B,island_data!L:L,"NaN")="","NaN",_xlfn.XLOOKUP($B65,island_data!$B:$B,island_data!L:L,"NaN"))</f>
        <v>28</v>
      </c>
      <c r="DG65" s="4">
        <f>IF(_xlfn.XLOOKUP($B65,island_data!$B:$B,island_data!M:M,"NaN")="","NaN",_xlfn.XLOOKUP($B65,island_data!$B:$B,island_data!M:M,"NaN"))</f>
        <v>3.6875</v>
      </c>
      <c r="DH65" s="4">
        <f>IF(_xlfn.XLOOKUP($B65,island_data!$B:$B,island_data!N:N,"NaN")="","NaN",_xlfn.XLOOKUP($B65,island_data!$B:$B,island_data!N:N,"NaN"))</f>
        <v>11</v>
      </c>
      <c r="DI65" s="4">
        <f>IF(_xlfn.XLOOKUP($B65,island_data!$B:$B,island_data!O:O,"NaN")=999,"NaN",_xlfn.XLOOKUP($B65,island_data!$B:$B,island_data!O:O,"NaN"))</f>
        <v>2</v>
      </c>
      <c r="DJ65" s="4">
        <f>IF(_xlfn.XLOOKUP($B65,island_data!$B:$B,island_data!P:P,"NaN")="","NaN",_xlfn.XLOOKUP($B65,island_data!$B:$B,island_data!P:P,"NaN"))</f>
        <v>12</v>
      </c>
      <c r="DK65" s="4">
        <f>IF(_xlfn.XLOOKUP($B65,island_data!$B:$B,island_data!Q:Q,"NaN")="","NaN",_xlfn.XLOOKUP($B65,island_data!$B:$B,island_data!Q:Q,"NaN"))</f>
        <v>5</v>
      </c>
      <c r="DL65" s="4">
        <f>IF(_xlfn.XLOOKUP($B65,island_data!$B:$B,island_data!R:R,"NaN")=999,"NaN",_xlfn.XLOOKUP($B65,island_data!$B:$B,island_data!R:R,"NaN"))</f>
        <v>18</v>
      </c>
      <c r="DM65" s="4">
        <f>IF(_xlfn.XLOOKUP($B65,island_data!$B:$B,island_data!S:S,"NaN")="","NaN",_xlfn.XLOOKUP($B65,island_data!$B:$B,island_data!S:S,"NaN"))</f>
        <v>11</v>
      </c>
      <c r="DN65" s="4">
        <f>IF(_xlfn.XLOOKUP($B65,island_data!$B:$B,island_data!T:T,"NaN")="","NaN",_xlfn.XLOOKUP($B65,island_data!$B:$B,island_data!T:T,"NaN"))</f>
        <v>6.4166666666666599</v>
      </c>
      <c r="DO65" s="4">
        <f>IF(_xlfn.XLOOKUP($B65,island_data!$B:$B,island_data!U:U,"NaN")="","NaN",_xlfn.XLOOKUP($B65,island_data!$B:$B,island_data!U:U,"NaN"))</f>
        <v>6</v>
      </c>
      <c r="DP65" s="4">
        <f>IF(_xlfn.XLOOKUP($B65,island_data!$B:$B,island_data!V:V,"NaN")="","NaN",_xlfn.XLOOKUP($B65,island_data!$B:$B,island_data!V:V,"NaN"))</f>
        <v>0</v>
      </c>
      <c r="DQ65" s="4">
        <f>IF(_xlfn.XLOOKUP($B65,island_data!$B:$B,island_data!W:W,"NaN")="","NaN",_xlfn.XLOOKUP($B65,island_data!$B:$B,island_data!W:W,"NaN"))</f>
        <v>7</v>
      </c>
      <c r="DR65" s="4">
        <f>IF(_xlfn.XLOOKUP($B65,island_data!$B:$B,island_data!X:X,"NaN")="","NaN",_xlfn.XLOOKUP($B65,island_data!$B:$B,island_data!X:X,"NaN"))</f>
        <v>6</v>
      </c>
      <c r="DS65" s="4" t="str">
        <f>IF(_xlfn.XLOOKUP($B65,island_data!$B:$B,island_data!Y:Y,"NaN")="","NaN",_xlfn.XLOOKUP($B65,island_data!$B:$B,island_data!Y:Y,"NaN"))</f>
        <v>NaN</v>
      </c>
      <c r="DT65" s="4" t="str">
        <f>IF(_xlfn.XLOOKUP($B65,island_data!$B:$B,island_data!Z:Z,"NaN")="","NaN",_xlfn.XLOOKUP($B65,island_data!$B:$B,island_data!Z:Z,"NaN"))</f>
        <v>NaN</v>
      </c>
      <c r="DU65" s="4" t="str">
        <f>IF(_xlfn.XLOOKUP($B65,island_data!$B:$B,island_data!AA:AA,"NaN")="","NaN",_xlfn.XLOOKUP($B65,island_data!$B:$B,island_data!AA:AA,"NaN"))</f>
        <v>NaN</v>
      </c>
      <c r="DV65" s="4">
        <f>IF(_xlfn.XLOOKUP($B65,island_data!$B:$B,island_data!AB:AB,"NaN")="","NaN",_xlfn.XLOOKUP($B65,island_data!$B:$B,island_data!AB:AB,"NaN"))</f>
        <v>0</v>
      </c>
      <c r="DW65" s="4">
        <f>IF(_xlfn.XLOOKUP($B65,island_data!$B:$B,island_data!AC:AC,"NaN")="","NaN",_xlfn.XLOOKUP($B65,island_data!$B:$B,island_data!AC:AC,"NaN"))</f>
        <v>17584</v>
      </c>
      <c r="DX65" s="4">
        <f>IF(_xlfn.XLOOKUP($B65,island_data!$B:$B,island_data!AD:AD,"NaN")="","NaN",_xlfn.XLOOKUP($B65,island_data!$B:$B,island_data!AD:AD,"NaN"))</f>
        <v>7</v>
      </c>
      <c r="DY65" s="4">
        <f>IF(_xlfn.XLOOKUP($B65,island_data!$B:$B,island_data!AE:AE,"NaN")="","NaN",_xlfn.XLOOKUP($B65,island_data!$B:$B,island_data!AE:AE,"NaN"))</f>
        <v>1</v>
      </c>
      <c r="DZ65" s="4" t="str">
        <f>IF(_xlfn.XLOOKUP($B65,island_data!$B:$B,island_data!AF:AF,"NaN")="","NaN",_xlfn.XLOOKUP($B65,island_data!$B:$B,island_data!AF:AF,"NaN"))</f>
        <v>NaN</v>
      </c>
      <c r="EA65" s="4" t="str">
        <f>IF(_xlfn.XLOOKUP($B65,island_data!$B:$B,island_data!AG:AG,"NaN")="","NaN",_xlfn.XLOOKUP($B65,island_data!$B:$B,island_data!AG:AG,"NaN"))</f>
        <v>NaN</v>
      </c>
      <c r="EB65" s="4" t="str">
        <f>IF(_xlfn.XLOOKUP($B65,island_data!$B:$B,island_data!AH:AH,"NaN")="","NaN",_xlfn.XLOOKUP($B65,island_data!$B:$B,island_data!AH:AH,"NaN"))</f>
        <v>NaN</v>
      </c>
      <c r="EC65" s="4">
        <f>IF(_xlfn.XLOOKUP($B65,island_data!$B:$B,island_data!AI:AI,"NaN")="","NaN",_xlfn.XLOOKUP($B65,island_data!$B:$B,island_data!AI:AI,"NaN"))</f>
        <v>15</v>
      </c>
      <c r="ED65" s="4">
        <f>IF(_xlfn.XLOOKUP($B65,island_data!$B:$B,island_data!AJ:AJ,"NaN")="","NaN",_xlfn.XLOOKUP($B65,island_data!$B:$B,island_data!AJ:AJ,"NaN"))</f>
        <v>13</v>
      </c>
      <c r="EE65" s="4">
        <f>IF(_xlfn.XLOOKUP($B65,island_data!$B:$B,island_data!AK:AK,"NaN")="","NaN",_xlfn.XLOOKUP($B65,island_data!$B:$B,island_data!AK:AK,"NaN"))</f>
        <v>17</v>
      </c>
      <c r="EF65" s="4">
        <f>IF(_xlfn.XLOOKUP($B65,island_data!$B:$B,island_data!AL:AL,"NaN")="","NaN",_xlfn.XLOOKUP($B65,island_data!$B:$B,island_data!AL:AL,"NaN"))</f>
        <v>17</v>
      </c>
      <c r="EG65" s="4">
        <f>IF(_xlfn.XLOOKUP($B65,island_data!$B:$B,island_data!AM:AM,"NaN")="","NaN",_xlfn.XLOOKUP($B65,island_data!$B:$B,island_data!AM:AM,"NaN"))</f>
        <v>17</v>
      </c>
      <c r="EH65" s="4" t="str">
        <f>IF(_xlfn.XLOOKUP($B65,island_data!$B:$B,island_data!AN:AN,"NaN")="","NaN",_xlfn.XLOOKUP($B65,island_data!$B:$B,island_data!AN:AN,"NaN"))</f>
        <v>NaN</v>
      </c>
      <c r="EI65" s="4" t="str">
        <f>IF(_xlfn.XLOOKUP($B65,island_data!$B:$B,island_data!AO:AO,"NaN")="","NaN",_xlfn.XLOOKUP($B65,island_data!$B:$B,island_data!AO:AO,"NaN"))</f>
        <v>NaN</v>
      </c>
      <c r="EJ65" s="8">
        <f>IF(_xlfn.XLOOKUP($A65,TabCAT!$A:$A,TabCAT!AU:AU,"NaN")="","NaN",(_xlfn.XLOOKUP($A65,TabCAT!$A:$A,TabCAT!AU:AU,"NaN")))</f>
        <v>176</v>
      </c>
      <c r="EK65" s="8" t="b">
        <f>IF(_xlfn.XLOOKUP($A65,TabCAT!$A:$A,TabCAT!AV:AV,"NaN")="","NaN",(_xlfn.XLOOKUP($A65,TabCAT!$A:$A,TabCAT!AV:AV,"NaN")))</f>
        <v>1</v>
      </c>
      <c r="EL65" s="8">
        <f>IF(_xlfn.XLOOKUP($A65,TabCAT!$A:$A,TabCAT!AW:AW,"NaN")="","NaN",(_xlfn.XLOOKUP($A65,TabCAT!$A:$A,TabCAT!AW:AW,"NaN")))</f>
        <v>5</v>
      </c>
      <c r="EM65" s="8">
        <f>IF(_xlfn.XLOOKUP($A65,TabCAT!$A:$A,TabCAT!AX:AX,"NaN")="","NaN",(_xlfn.XLOOKUP($A65,TabCAT!$A:$A,TabCAT!AX:AX,"NaN")))</f>
        <v>0</v>
      </c>
      <c r="EN65" s="8">
        <f>IF(_xlfn.XLOOKUP($A65,TabCAT!$A:$A,TabCAT!AY:AY,"NaN")="","NaN",(_xlfn.XLOOKUP($A65,TabCAT!$A:$A,TabCAT!AY:AY,"NaN")))</f>
        <v>9.27</v>
      </c>
      <c r="EO65" s="8">
        <f>IF(_xlfn.XLOOKUP($A65,TabCAT!$A:$A,TabCAT!AZ:AZ,"NaN")="","NaN",(_xlfn.XLOOKUP($A65,TabCAT!$A:$A,TabCAT!AZ:AZ,"NaN")))</f>
        <v>32</v>
      </c>
      <c r="EP65" s="8">
        <f>IF(_xlfn.XLOOKUP($A65,TabCAT!$A:$A,TabCAT!BA:BA,"NaN")="","NaN",(_xlfn.XLOOKUP($A65,TabCAT!$A:$A,TabCAT!BA:BA,"NaN")))</f>
        <v>0.63112749999999995</v>
      </c>
      <c r="EQ65" s="8">
        <f>IF(_xlfn.XLOOKUP($A65,TabCAT!$A:$A,TabCAT!BB:BB,"NaN")="","NaN",(_xlfn.XLOOKUP($A65,TabCAT!$A:$A,TabCAT!BB:BB,"NaN")))</f>
        <v>9.7588014230344203E-2</v>
      </c>
      <c r="ER65" s="8">
        <f>IF(_xlfn.XLOOKUP($A65,TabCAT!$A:$A,TabCAT!BC:BC,"NaN")="","NaN",(_xlfn.XLOOKUP($A65,TabCAT!$A:$A,TabCAT!BC:BC,"NaN")))</f>
        <v>16</v>
      </c>
      <c r="ES65" s="8">
        <f>IF(_xlfn.XLOOKUP($A65,TabCAT!$A:$A,TabCAT!BD:BD,"NaN")="","NaN",(_xlfn.XLOOKUP($A65,TabCAT!$A:$A,TabCAT!BD:BD,"NaN")))</f>
        <v>0.59238950000000001</v>
      </c>
      <c r="ET65" s="8">
        <f>IF(_xlfn.XLOOKUP($A65,TabCAT!$A:$A,TabCAT!BE:BE,"NaN")="","NaN",(_xlfn.XLOOKUP($A65,TabCAT!$A:$A,TabCAT!BE:BE,"NaN")))</f>
        <v>16</v>
      </c>
      <c r="EU65" s="8">
        <f>IF(_xlfn.XLOOKUP($A65,TabCAT!$A:$A,TabCAT!BF:BF,"NaN")="","NaN",(_xlfn.XLOOKUP($A65,TabCAT!$A:$A,TabCAT!BF:BF,"NaN")))</f>
        <v>0.68477750000000004</v>
      </c>
      <c r="EV65" s="8" t="str">
        <f>IF(_xlfn.XLOOKUP($A65,TabCAT!$A:$A,TabCAT!BG:BG,"NaN")="","NaN",(_xlfn.XLOOKUP($A65,TabCAT!$A:$A,TabCAT!BG:BG,"NaN")))</f>
        <v>NaN</v>
      </c>
      <c r="EW65" s="8" t="str">
        <f>IF(_xlfn.XLOOKUP($A65,TabCAT!$A:$A,TabCAT!BH:BH,"NaN")="","NaN",(_xlfn.XLOOKUP($A65,TabCAT!$A:$A,TabCAT!BH:BH,"NaN")))</f>
        <v>3.0.0</v>
      </c>
      <c r="EX65" s="8" t="str">
        <f>IF(_xlfn.XLOOKUP($A65,TabCAT!$A:$A,TabCAT!BI:BI,"NaN")="","NaN",(_xlfn.XLOOKUP($A65,TabCAT!$A:$A,TabCAT!BI:BI,"NaN")))</f>
        <v>English</v>
      </c>
      <c r="EY65" s="8">
        <f>IF(_xlfn.XLOOKUP($A65,TabCAT!$A:$A,TabCAT!BJ:BJ,"NaN")="","NaN",(_xlfn.XLOOKUP($A65,TabCAT!$A:$A,TabCAT!BJ:BJ,"NaN")))</f>
        <v>331</v>
      </c>
      <c r="EZ65" s="8">
        <f>IF(_xlfn.XLOOKUP($A65,TabCAT!$A:$A,TabCAT!BK:BK,"NaN")="","NaN",(_xlfn.XLOOKUP($A65,TabCAT!$A:$A,TabCAT!BK:BK,"NaN")))</f>
        <v>1</v>
      </c>
      <c r="FA65" s="8">
        <f>IF(_xlfn.XLOOKUP($A65,TabCAT!$A:$A,TabCAT!BL:BL,"NaN")="","NaN",(_xlfn.XLOOKUP($A65,TabCAT!$A:$A,TabCAT!BL:BL,"NaN")))</f>
        <v>6</v>
      </c>
      <c r="FB65" s="8">
        <f>IF(_xlfn.XLOOKUP($A65,TabCAT!$A:$A,TabCAT!BM:BM,"NaN")="","NaN",(_xlfn.XLOOKUP($A65,TabCAT!$A:$A,TabCAT!BM:BM,"NaN")))</f>
        <v>1</v>
      </c>
      <c r="FC65" s="8">
        <f>IF(_xlfn.XLOOKUP($A65,TabCAT!$A:$A,TabCAT!BN:BN,"NaN")="","NaN",(_xlfn.XLOOKUP($A65,TabCAT!$A:$A,TabCAT!BN:BN,"NaN")))</f>
        <v>6</v>
      </c>
      <c r="FD65" s="8">
        <f>IF(_xlfn.XLOOKUP($A65,TabCAT!$A:$A,TabCAT!BO:BO,"NaN")="","NaN",(_xlfn.XLOOKUP($A65,TabCAT!$A:$A,TabCAT!BO:BO,"NaN")))</f>
        <v>9</v>
      </c>
      <c r="FE65" s="8">
        <f>IF(_xlfn.XLOOKUP($A65,TabCAT!$A:$A,TabCAT!BP:BP,"NaN")="","NaN",(_xlfn.XLOOKUP($A65,TabCAT!$A:$A,TabCAT!BP:BP,"NaN")))</f>
        <v>1</v>
      </c>
      <c r="FF65" s="8">
        <f>IF(_xlfn.XLOOKUP($A65,TabCAT!$A:$A,TabCAT!BQ:BQ,"NaN")="","NaN",(_xlfn.XLOOKUP($A65,TabCAT!$A:$A,TabCAT!BQ:BQ,"NaN")))</f>
        <v>9</v>
      </c>
      <c r="FG65" s="8">
        <f>IF(_xlfn.XLOOKUP($A65,TabCAT!$A:$A,TabCAT!BR:BR,"NaN")="","NaN",(_xlfn.XLOOKUP($A65,TabCAT!$A:$A,TabCAT!BR:BR,"NaN")))</f>
        <v>10</v>
      </c>
      <c r="FH65" s="8">
        <f>IF(_xlfn.XLOOKUP($A65,TabCAT!$A:$A,TabCAT!BS:BS,"NaN")="","NaN",(_xlfn.XLOOKUP($A65,TabCAT!$A:$A,TabCAT!BS:BS,"NaN")))</f>
        <v>0.83333333333333304</v>
      </c>
      <c r="FI65" s="8">
        <f>IF(_xlfn.XLOOKUP($A65,TabCAT!$A:$A,TabCAT!BT:BT,"NaN")="","NaN",(_xlfn.XLOOKUP($A65,TabCAT!$A:$A,TabCAT!BT:BT,"NaN")))</f>
        <v>9.5</v>
      </c>
      <c r="FJ65" s="8">
        <f>IF(_xlfn.XLOOKUP($A65,TabCAT!$A:$A,TabCAT!BU:BU,"NaN")="","NaN",(_xlfn.XLOOKUP($A65,TabCAT!$A:$A,TabCAT!BU:BU,"NaN")))</f>
        <v>14</v>
      </c>
      <c r="FK65" s="8">
        <f>IF(_xlfn.XLOOKUP($A65,TabCAT!$A:$A,TabCAT!BV:BV,"NaN")="","NaN",(_xlfn.XLOOKUP($A65,TabCAT!$A:$A,TabCAT!BV:BV,"NaN")))</f>
        <v>0.93333333333333302</v>
      </c>
      <c r="FL65" s="8">
        <f>IF(_xlfn.XLOOKUP($A65,TabCAT!$A:$A,TabCAT!BW:BW,"NaN")="","NaN",(_xlfn.XLOOKUP($A65,TabCAT!$A:$A,TabCAT!BW:BW,"NaN")))</f>
        <v>11.5</v>
      </c>
      <c r="FM65" s="8">
        <f>IF(_xlfn.XLOOKUP($A65,TabCAT!$A:$A,TabCAT!BX:BX,"NaN")="","NaN",(_xlfn.XLOOKUP($A65,TabCAT!$A:$A,TabCAT!BX:BX,"NaN")))</f>
        <v>39</v>
      </c>
      <c r="FN65" s="8">
        <f>IF(_xlfn.XLOOKUP($A65,TabCAT!$A:$A,TabCAT!BY:BY,"NaN")="","NaN",(_xlfn.XLOOKUP($A65,TabCAT!$A:$A,TabCAT!BY:BY,"NaN")))</f>
        <v>0.92857142857142805</v>
      </c>
      <c r="FO65" s="8">
        <f>IF(_xlfn.XLOOKUP($A65,TabCAT!$A:$A,TabCAT!BZ:BZ,"NaN")="","NaN",(_xlfn.XLOOKUP($A65,TabCAT!$A:$A,TabCAT!BZ:BZ,"NaN")))</f>
        <v>36</v>
      </c>
      <c r="FP65" s="8" t="str">
        <f>IF(_xlfn.XLOOKUP($A65,TabCAT!$A:$A,TabCAT!CA:CA,"NaN")="","NaN",(_xlfn.XLOOKUP($A65,TabCAT!$A:$A,TabCAT!CA:CA,"NaN")))</f>
        <v>3.0.0</v>
      </c>
      <c r="FQ65" s="8" t="str">
        <f>IF(_xlfn.XLOOKUP($A65,TabCAT!$A:$A,TabCAT!CB:CB,"NaN")="","NaN",(_xlfn.XLOOKUP($A65,TabCAT!$A:$A,TabCAT!CB:CB,"NaN")))</f>
        <v>English</v>
      </c>
      <c r="FR65" s="8">
        <f>IF(_xlfn.XLOOKUP($A65,TabCAT!$A:$A,TabCAT!CC:CC,"NaN")="","NaN",(_xlfn.XLOOKUP($A65,TabCAT!$A:$A,TabCAT!CC:CC,"NaN")))</f>
        <v>230</v>
      </c>
      <c r="FS65" s="8" t="b">
        <f>IF(_xlfn.XLOOKUP($A65,TabCAT!$A:$A,TabCAT!CD:CD,"NaN")="","NaN",(_xlfn.XLOOKUP($A65,TabCAT!$A:$A,TabCAT!CD:CD,"NaN")))</f>
        <v>1</v>
      </c>
      <c r="FT65" s="8">
        <f>IF(_xlfn.XLOOKUP($A65,TabCAT!$A:$A,TabCAT!CE:CE,"NaN")="","NaN",(_xlfn.XLOOKUP($A65,TabCAT!$A:$A,TabCAT!CE:CE,"NaN")))</f>
        <v>8</v>
      </c>
      <c r="FU65" s="8">
        <f>IF(_xlfn.XLOOKUP($A65,TabCAT!$A:$A,TabCAT!CF:CF,"NaN")="","NaN",(_xlfn.XLOOKUP($A65,TabCAT!$A:$A,TabCAT!CF:CF,"NaN")))</f>
        <v>0</v>
      </c>
      <c r="FV65" s="8">
        <f>IF(_xlfn.XLOOKUP($A65,TabCAT!$A:$A,TabCAT!CG:CG,"NaN")="","NaN",(_xlfn.XLOOKUP($A65,TabCAT!$A:$A,TabCAT!CG:CG,"NaN")))</f>
        <v>7.72</v>
      </c>
      <c r="FW65" s="8">
        <f>IF(_xlfn.XLOOKUP($A65,TabCAT!$A:$A,TabCAT!CH:CH,"NaN")="","NaN",(_xlfn.XLOOKUP($A65,TabCAT!$A:$A,TabCAT!CH:CH,"NaN")))</f>
        <v>16</v>
      </c>
      <c r="FX65" s="8">
        <f>IF(_xlfn.XLOOKUP($A65,TabCAT!$A:$A,TabCAT!CI:CI,"NaN")="","NaN",(_xlfn.XLOOKUP($A65,TabCAT!$A:$A,TabCAT!CI:CI,"NaN")))</f>
        <v>0.691299</v>
      </c>
      <c r="FY65" s="8">
        <f>IF(_xlfn.XLOOKUP($A65,TabCAT!$A:$A,TabCAT!CJ:CJ,"NaN")="","NaN",(_xlfn.XLOOKUP($A65,TabCAT!$A:$A,TabCAT!CJ:CJ,"NaN")))</f>
        <v>15</v>
      </c>
      <c r="FZ65" s="8">
        <f>IF(_xlfn.XLOOKUP($A65,TabCAT!$A:$A,TabCAT!CK:CK,"NaN")="","NaN",(_xlfn.XLOOKUP($A65,TabCAT!$A:$A,TabCAT!CK:CK,"NaN")))</f>
        <v>0.58293099999999998</v>
      </c>
      <c r="GA65" s="8">
        <f>IF(_xlfn.XLOOKUP($A65,TabCAT!$A:$A,TabCAT!CL:CL,"NaN")="","NaN",(_xlfn.XLOOKUP($A65,TabCAT!$A:$A,TabCAT!CL:CL,"NaN")))</f>
        <v>30</v>
      </c>
      <c r="GB65" s="8">
        <f>IF(_xlfn.XLOOKUP($A65,TabCAT!$A:$A,TabCAT!CM:CM,"NaN")="","NaN",(_xlfn.XLOOKUP($A65,TabCAT!$A:$A,TabCAT!CM:CM,"NaN")))</f>
        <v>0.82005249999999996</v>
      </c>
      <c r="GC65" s="8">
        <f>IF(_xlfn.XLOOKUP($A65,TabCAT!$A:$A,TabCAT!CN:CN,"NaN")="","NaN",(_xlfn.XLOOKUP($A65,TabCAT!$A:$A,TabCAT!CN:CN,"NaN")))</f>
        <v>19</v>
      </c>
      <c r="GD65" s="8">
        <f>IF(_xlfn.XLOOKUP($A65,TabCAT!$A:$A,TabCAT!CO:CO,"NaN")="","NaN",(_xlfn.XLOOKUP($A65,TabCAT!$A:$A,TabCAT!CO:CO,"NaN")))</f>
        <v>0.85418899999999998</v>
      </c>
      <c r="GE65" s="8">
        <f>IF(_xlfn.XLOOKUP($A65,TabCAT!$A:$A,TabCAT!CP:CP,"NaN")="","NaN",(_xlfn.XLOOKUP($A65,TabCAT!$A:$A,TabCAT!CP:CP,"NaN")))</f>
        <v>0.17491930485072901</v>
      </c>
      <c r="GF65" s="8">
        <f>IF(_xlfn.XLOOKUP($A65,TabCAT!$A:$A,TabCAT!CQ:CQ,"NaN")="","NaN",(_xlfn.XLOOKUP($A65,TabCAT!$A:$A,TabCAT!CQ:CQ,"NaN")))</f>
        <v>52</v>
      </c>
      <c r="GG65" s="8">
        <f>IF(_xlfn.XLOOKUP($A65,TabCAT!$A:$A,TabCAT!CR:CR,"NaN")="","NaN",(_xlfn.XLOOKUP($A65,TabCAT!$A:$A,TabCAT!CR:CR,"NaN")))</f>
        <v>0.63643549999999904</v>
      </c>
      <c r="GH65" s="8" t="str">
        <f>IF(_xlfn.XLOOKUP($A65,TabCAT!$A:$A,TabCAT!CS:CS,"NaN")="","NaN",(_xlfn.XLOOKUP($A65,TabCAT!$A:$A,TabCAT!CS:CS,"NaN")))</f>
        <v>NaN</v>
      </c>
    </row>
    <row r="66" spans="1:190" x14ac:dyDescent="0.2">
      <c r="A66">
        <v>10803</v>
      </c>
      <c r="B66">
        <f>_xlfn.XLOOKUP(bippity_poppity_boo!A66,rf1_data!A:A,rf1_data!B:B)</f>
        <v>22601</v>
      </c>
      <c r="C66" s="2">
        <f>(_xlfn.XLOOKUP($A66,trust!$A:$A,trust!B:B,"NaN"))</f>
        <v>3.3333330000000001</v>
      </c>
      <c r="D66" s="2">
        <f>(_xlfn.XLOOKUP($A66,trust!$A:$A,trust!C:C,"NaN"))</f>
        <v>4.3333329999999997</v>
      </c>
      <c r="E66" s="2">
        <f>(_xlfn.XLOOKUP($A66,trust!$A:$A,trust!D:D,"NaN"))</f>
        <v>5.6</v>
      </c>
      <c r="F66" s="2">
        <f>(_xlfn.XLOOKUP($A66,trust!$A:$A,trust!E:E,"NaN"))</f>
        <v>4.6666670000000003</v>
      </c>
      <c r="G66" s="2">
        <f>(_xlfn.XLOOKUP($A66,trust!$A:$A,trust!F:F,"NaN"))</f>
        <v>4.6666670000000003</v>
      </c>
      <c r="H66" s="2">
        <f>(_xlfn.XLOOKUP($A66,trust!$A:$A,trust!G:G,"NaN"))</f>
        <v>2.4</v>
      </c>
      <c r="I66" s="3">
        <f>IF(_xlfn.XLOOKUP($B66,island_data!$B:$B,island_data!C:C,"NaN")="","NaN",_xlfn.XLOOKUP($B66,island_data!$B:$B,island_data!C:C,"NaN"))</f>
        <v>45126</v>
      </c>
      <c r="J66" s="3">
        <f>IF(_xlfn.XLOOKUP($B66,island_data!$B:$B,island_data!D:D,"NaN")="","NaN",_xlfn.XLOOKUP($B66,island_data!$B:$B,island_data!D:D,"NaN"))</f>
        <v>37242</v>
      </c>
      <c r="K66" s="4">
        <f>IF(_xlfn.XLOOKUP($B66,island_data!$B:$B,island_data!E:E,"NaN")="","NaN",_xlfn.XLOOKUP($B66,island_data!$B:$B,island_data!E:E,"NaN"))</f>
        <v>21.59</v>
      </c>
      <c r="L66" s="5">
        <f>IF(_xlfn.XLOOKUP($B66,rf1_data!$B:$B,rf1_data!D:D,"NaN")="","NaN",(_xlfn.XLOOKUP($B66,rf1_data!$B:$B,rf1_data!D:D,"NaN")))</f>
        <v>21.66</v>
      </c>
      <c r="M66" s="5" t="str">
        <f>IF(_xlfn.XLOOKUP($B66,rf1_data!$B:$B,rf1_data!E:E,"NaN")="","NaN",(_xlfn.XLOOKUP($B66,rf1_data!$B:$B,rf1_data!E:E,"NaN")))</f>
        <v>Asian</v>
      </c>
      <c r="N66" s="5" t="str">
        <f>IF(_xlfn.XLOOKUP($B66,rf1_data!$B:$B,rf1_data!F:F,"NaN")="","NaN",(_xlfn.XLOOKUP($B66,rf1_data!$B:$B,rf1_data!F:F,"NaN")))</f>
        <v>Not Hispanic or Latino</v>
      </c>
      <c r="O66" s="5" t="str">
        <f>IF(_xlfn.XLOOKUP($B66,rf1_data!$B:$B,rf1_data!G:G,"NaN")="","NaN",(_xlfn.XLOOKUP($B66,rf1_data!$B:$B,rf1_data!G:G,"NaN")))</f>
        <v>Female</v>
      </c>
      <c r="P66" s="5">
        <f>IF(_xlfn.XLOOKUP($B66,rf1_data!$B:$B,rf1_data!H:H,"NaN")="","NaN",(_xlfn.XLOOKUP($B66,rf1_data!$B:$B,rf1_data!H:H,"NaN")))</f>
        <v>3.56</v>
      </c>
      <c r="Q66" s="5">
        <f>IF(_xlfn.XLOOKUP($B66,rf1_data!$B:$B,rf1_data!I:I,"NaN")="","NaN",(_xlfn.XLOOKUP($B66,rf1_data!$B:$B,rf1_data!I:I,"NaN")))</f>
        <v>3.4</v>
      </c>
      <c r="R66" s="5">
        <f>IF(_xlfn.XLOOKUP($B66,rf1_data!$B:$B,rf1_data!J:J,"NaN")="","NaN",(_xlfn.XLOOKUP($B66,rf1_data!$B:$B,rf1_data!J:J,"NaN")))</f>
        <v>0</v>
      </c>
      <c r="S66" s="5">
        <f>IF(_xlfn.XLOOKUP($B66,rf1_data!$B:$B,rf1_data!K:K,"NaN")="","NaN",(_xlfn.XLOOKUP($B66,rf1_data!$B:$B,rf1_data!K:K,"NaN")))</f>
        <v>1</v>
      </c>
      <c r="T66" s="5">
        <f>IF(_xlfn.XLOOKUP($B66,rf1_data!$B:$B,rf1_data!L:L,"NaN")="","NaN",(_xlfn.XLOOKUP($B66,rf1_data!$B:$B,rf1_data!L:L,"NaN")))</f>
        <v>0</v>
      </c>
      <c r="U66" s="5">
        <f>IF(_xlfn.XLOOKUP($B66,rf1_data!$B:$B,rf1_data!M:M,"NaN")="","NaN",(_xlfn.XLOOKUP($B66,rf1_data!$B:$B,rf1_data!M:M,"NaN")))</f>
        <v>4.83</v>
      </c>
      <c r="V66" s="5">
        <f>IF(_xlfn.XLOOKUP($B66,rf1_data!$B:$B,rf1_data!N:N,"NaN")="","NaN",(_xlfn.XLOOKUP($B66,rf1_data!$B:$B,rf1_data!N:N,"NaN")))</f>
        <v>4.5</v>
      </c>
      <c r="W66" s="5">
        <f>IF(_xlfn.XLOOKUP($B66,rf1_data!$B:$B,rf1_data!O:O,"NaN")="","NaN",(_xlfn.XLOOKUP($B66,rf1_data!$B:$B,rf1_data!O:O,"NaN")))</f>
        <v>4.38</v>
      </c>
      <c r="X66" s="5">
        <f>IF(_xlfn.XLOOKUP($B66,rf1_data!$B:$B,rf1_data!P:P,"NaN")="","NaN",(_xlfn.XLOOKUP($B66,rf1_data!$B:$B,rf1_data!P:P,"NaN")))</f>
        <v>4.5</v>
      </c>
      <c r="Y66" s="5">
        <f>IF(_xlfn.XLOOKUP($B66,rf1_data!$B:$B,rf1_data!Q:Q,"NaN")="","NaN",(_xlfn.XLOOKUP($B66,rf1_data!$B:$B,rf1_data!Q:Q,"NaN")))</f>
        <v>4.47</v>
      </c>
      <c r="Z66" s="5">
        <f>IF(_xlfn.XLOOKUP($B66,rf1_data!$B:$B,rf1_data!R:R,"NaN")="","NaN",(_xlfn.XLOOKUP($B66,rf1_data!$B:$B,rf1_data!R:R,"NaN")))</f>
        <v>19</v>
      </c>
      <c r="AA66" s="5">
        <f>IF(_xlfn.XLOOKUP($B66,rf1_data!$B:$B,rf1_data!S:S,"NaN")="","NaN",(_xlfn.XLOOKUP($B66,rf1_data!$B:$B,rf1_data!S:S,"NaN")))</f>
        <v>5</v>
      </c>
      <c r="AB66" s="5">
        <f>IF(_xlfn.XLOOKUP($B66,rf1_data!$B:$B,rf1_data!T:T,"NaN")="","NaN",(_xlfn.XLOOKUP($B66,rf1_data!$B:$B,rf1_data!T:T,"NaN")))</f>
        <v>7</v>
      </c>
      <c r="AC66" s="5">
        <f>IF(_xlfn.XLOOKUP($B66,rf1_data!$B:$B,rf1_data!U:U,"NaN")="","NaN",(_xlfn.XLOOKUP($B66,rf1_data!$B:$B,rf1_data!U:U,"NaN")))</f>
        <v>0</v>
      </c>
      <c r="AD66" s="5">
        <f>IF(_xlfn.XLOOKUP($B66,rf1_data!$B:$B,rf1_data!V:V,"NaN")="","NaN",(_xlfn.XLOOKUP($B66,rf1_data!$B:$B,rf1_data!V:V,"NaN")))</f>
        <v>7</v>
      </c>
      <c r="AE66" s="5">
        <f>IF(_xlfn.XLOOKUP($B66,rf1_data!$B:$B,rf1_data!W:W,"NaN")="","NaN",(_xlfn.XLOOKUP($B66,rf1_data!$B:$B,rf1_data!W:W,"NaN")))</f>
        <v>6</v>
      </c>
      <c r="AF66" s="5">
        <f>IF(_xlfn.XLOOKUP($B66,rf1_data!$B:$B,rf1_data!X:X,"NaN")="","NaN",(_xlfn.XLOOKUP($B66,rf1_data!$B:$B,rf1_data!X:X,"NaN")))</f>
        <v>8</v>
      </c>
      <c r="AG66" s="5">
        <f>IF(_xlfn.XLOOKUP($B66,rf1_data!$B:$B,rf1_data!Y:Y,"NaN")="","NaN",(_xlfn.XLOOKUP($B66,rf1_data!$B:$B,rf1_data!Y:Y,"NaN")))</f>
        <v>2</v>
      </c>
      <c r="AH66" s="5">
        <f>IF(_xlfn.XLOOKUP($B66,rf1_data!$B:$B,rf1_data!Z:Z,"NaN")="","NaN",(_xlfn.XLOOKUP($B66,rf1_data!$B:$B,rf1_data!Z:Z,"NaN")))</f>
        <v>5</v>
      </c>
      <c r="AI66" s="5">
        <f>IF(_xlfn.XLOOKUP($B66,rf1_data!$B:$B,rf1_data!AA:AA,"NaN")="","NaN",(_xlfn.XLOOKUP($B66,rf1_data!$B:$B,rf1_data!AA:AA,"NaN")))</f>
        <v>4</v>
      </c>
      <c r="AJ66" s="5">
        <f>IF(_xlfn.XLOOKUP($B66,rf1_data!$B:$B,rf1_data!AB:AB,"NaN")="","NaN",(_xlfn.XLOOKUP($B66,rf1_data!$B:$B,rf1_data!AB:AB,"NaN")))</f>
        <v>25</v>
      </c>
      <c r="AK66" s="5">
        <f>IF(_xlfn.XLOOKUP($B66,rf1_data!$B:$B,rf1_data!AC:AC,"NaN")="","NaN",(_xlfn.XLOOKUP($B66,rf1_data!$B:$B,rf1_data!AC:AC,"NaN")))</f>
        <v>25</v>
      </c>
      <c r="AL66" s="5">
        <f>IF(_xlfn.XLOOKUP($B66,rf1_data!$B:$B,rf1_data!AD:AD,"NaN")="","NaN",(_xlfn.XLOOKUP($B66,rf1_data!$B:$B,rf1_data!AD:AD,"NaN")))</f>
        <v>10</v>
      </c>
      <c r="AM66" s="5">
        <f>IF(_xlfn.XLOOKUP($B66,rf1_data!$B:$B,rf1_data!AE:AE,"NaN")="","NaN",(_xlfn.XLOOKUP($B66,rf1_data!$B:$B,rf1_data!AE:AE,"NaN")))</f>
        <v>0</v>
      </c>
      <c r="AN66" s="5">
        <f>IF(_xlfn.XLOOKUP($B66,rf1_data!$B:$B,rf1_data!AF:AF,"NaN")="","NaN",(_xlfn.XLOOKUP($B66,rf1_data!$B:$B,rf1_data!AF:AF,"NaN")))</f>
        <v>0</v>
      </c>
      <c r="AO66" s="5">
        <f>IF(_xlfn.XLOOKUP($B66,rf1_data!$B:$B,rf1_data!AG:AG,"NaN")="","NaN",(_xlfn.XLOOKUP($B66,rf1_data!$B:$B,rf1_data!AG:AG,"NaN")))</f>
        <v>5.42</v>
      </c>
      <c r="AP66" s="5">
        <f>IF(_xlfn.XLOOKUP($B66,rf1_data!$B:$B,rf1_data!AH:AH,"NaN")="","NaN",(_xlfn.XLOOKUP($B66,rf1_data!$B:$B,rf1_data!AH:AH,"NaN")))</f>
        <v>5.75</v>
      </c>
      <c r="AQ66" s="5">
        <f>IF(_xlfn.XLOOKUP($B66,rf1_data!$B:$B,rf1_data!AI:AI,"NaN")="","NaN",(_xlfn.XLOOKUP($B66,rf1_data!$B:$B,rf1_data!AI:AI,"NaN")))</f>
        <v>4.5</v>
      </c>
      <c r="AR66" s="5">
        <f>IF(_xlfn.XLOOKUP($B66,rf1_data!$B:$B,rf1_data!AJ:AJ,"NaN")="","NaN",(_xlfn.XLOOKUP($B66,rf1_data!$B:$B,rf1_data!AJ:AJ,"NaN")))</f>
        <v>6</v>
      </c>
      <c r="AS66" s="5">
        <f>IF(_xlfn.XLOOKUP($B66,rf1_data!$B:$B,rf1_data!AK:AK,"NaN")="","NaN",(_xlfn.XLOOKUP($B66,rf1_data!$B:$B,rf1_data!AK:AK,"NaN")))</f>
        <v>2.7</v>
      </c>
      <c r="AT66" s="5">
        <f>IF(_xlfn.XLOOKUP($B66,rf1_data!$B:$B,rf1_data!AL:AL,"NaN")="","NaN",(_xlfn.XLOOKUP($B66,rf1_data!$B:$B,rf1_data!AL:AL,"NaN")))</f>
        <v>15</v>
      </c>
      <c r="AU66" s="5">
        <f>IF(_xlfn.XLOOKUP($B66,rf1_data!$B:$B,rf1_data!AM:AM,"NaN")="","NaN",(_xlfn.XLOOKUP($B66,rf1_data!$B:$B,rf1_data!AM:AM,"NaN")))</f>
        <v>4.83</v>
      </c>
      <c r="AV66" s="5">
        <f>IF(_xlfn.XLOOKUP($B66,rf1_data!$B:$B,rf1_data!AN:AN,"NaN")="","NaN",(_xlfn.XLOOKUP($B66,rf1_data!$B:$B,rf1_data!AN:AN,"NaN")))</f>
        <v>1</v>
      </c>
      <c r="AW66" s="5">
        <f>IF(_xlfn.XLOOKUP($B66,rf1_data!$B:$B,rf1_data!AO:AO,"NaN")="","NaN",(_xlfn.XLOOKUP($B66,rf1_data!$B:$B,rf1_data!AO:AO,"NaN")))</f>
        <v>2.33</v>
      </c>
      <c r="AX66" s="5">
        <f>IF(_xlfn.XLOOKUP($B66,rf1_data!$B:$B,rf1_data!AP:AP,"NaN")="","NaN",(_xlfn.XLOOKUP($B66,rf1_data!$B:$B,rf1_data!AP:AP,"NaN")))</f>
        <v>9999</v>
      </c>
      <c r="AY66" s="5" t="str">
        <f>IF(_xlfn.XLOOKUP($B66,rf1_data!$B:$B,rf1_data!AQ:AQ,"NaN")="","NaN",(_xlfn.XLOOKUP($B66,rf1_data!$B:$B,rf1_data!AQ:AQ,"NaN")))</f>
        <v>NaN</v>
      </c>
      <c r="AZ66" s="5">
        <f>IF(_xlfn.XLOOKUP($B66,rf1_data!$B:$B,rf1_data!AR:AR,"NaN")="","NaN",(_xlfn.XLOOKUP($B66,rf1_data!$B:$B,rf1_data!AR:AR,"NaN")))</f>
        <v>44</v>
      </c>
      <c r="BA66" s="5">
        <f>IF(_xlfn.XLOOKUP($B66,rf1_data!$B:$B,rf1_data!AS:AS,"NaN")="","NaN",(_xlfn.XLOOKUP($B66,rf1_data!$B:$B,rf1_data!AS:AS,"NaN")))</f>
        <v>1.25</v>
      </c>
      <c r="BB66" s="5">
        <f>IF(_xlfn.XLOOKUP($B66,rf1_data!$B:$B,rf1_data!AT:AT,"NaN")="","NaN",(_xlfn.XLOOKUP($B66,rf1_data!$B:$B,rf1_data!AT:AT,"NaN")))</f>
        <v>1.25</v>
      </c>
      <c r="BC66" s="5">
        <f>IF(_xlfn.XLOOKUP($B66,rf1_data!$B:$B,rf1_data!AU:AU,"NaN")="","NaN",(_xlfn.XLOOKUP($B66,rf1_data!$B:$B,rf1_data!AU:AU,"NaN")))</f>
        <v>1</v>
      </c>
      <c r="BD66" s="5">
        <f>IF(_xlfn.XLOOKUP($B66,rf1_data!$B:$B,rf1_data!AV:AV,"NaN")="","NaN",(_xlfn.XLOOKUP($B66,rf1_data!$B:$B,rf1_data!AV:AV,"NaN")))</f>
        <v>1.25</v>
      </c>
      <c r="BE66" s="5">
        <f>IF(_xlfn.XLOOKUP($B66,rf1_data!$B:$B,rf1_data!AW:AW,"NaN")="","NaN",(_xlfn.XLOOKUP($B66,rf1_data!$B:$B,rf1_data!AW:AW,"NaN")))</f>
        <v>1</v>
      </c>
      <c r="BF66" s="5">
        <f>IF(_xlfn.XLOOKUP($B66,rf1_data!$B:$B,rf1_data!AX:AX,"NaN")="","NaN",(_xlfn.XLOOKUP($B66,rf1_data!$B:$B,rf1_data!AX:AX,"NaN")))</f>
        <v>1</v>
      </c>
      <c r="BG66" s="5">
        <f>IF(_xlfn.XLOOKUP($B66,rf1_data!$B:$B,rf1_data!AY:AY,"NaN")="","NaN",(_xlfn.XLOOKUP($B66,rf1_data!$B:$B,rf1_data!AY:AY,"NaN")))</f>
        <v>1</v>
      </c>
      <c r="BH66" s="5">
        <f>IF(_xlfn.XLOOKUP($B66,rf1_data!$B:$B,rf1_data!AZ:AZ,"NaN")="","NaN",(_xlfn.XLOOKUP($B66,rf1_data!$B:$B,rf1_data!AZ:AZ,"NaN")))</f>
        <v>1.1071428571429001</v>
      </c>
      <c r="BI66" s="5">
        <f>IF(_xlfn.XLOOKUP($B66,rf1_data!$B:$B,rf1_data!BA:BA,"NaN")="","NaN",(_xlfn.XLOOKUP($B66,rf1_data!$B:$B,rf1_data!BA:BA,"NaN")))</f>
        <v>93</v>
      </c>
      <c r="BJ66" s="5">
        <f>IF(_xlfn.XLOOKUP($B66,rf1_data!$B:$B,rf1_data!BB:BB,"NaN")="","NaN",(_xlfn.XLOOKUP($B66,rf1_data!$B:$B,rf1_data!BB:BB,"NaN")))</f>
        <v>73</v>
      </c>
      <c r="BK66" s="5" t="str">
        <f>IF(_xlfn.XLOOKUP($B66,rf1_data!$B:$B,rf1_data!BC:BC,"NaN")="","NaN",(_xlfn.XLOOKUP($B66,rf1_data!$B:$B,rf1_data!BC:BC,"NaN")))</f>
        <v>NaN</v>
      </c>
      <c r="BL66" s="5" t="str">
        <f>IF(_xlfn.XLOOKUP($B66,rf1_data!$B:$B,rf1_data!BD:BD,"NaN")="","NaN",(_xlfn.XLOOKUP($B66,rf1_data!$B:$B,rf1_data!BD:BD,"NaN")))</f>
        <v>NaN</v>
      </c>
      <c r="BM66" s="5" t="str">
        <f>IF(_xlfn.XLOOKUP($B66,rf1_data!$B:$B,rf1_data!BE:BE,"NaN")="","NaN",(_xlfn.XLOOKUP($B66,rf1_data!$B:$B,rf1_data!BE:BE,"NaN")))</f>
        <v>NaN</v>
      </c>
      <c r="BN66" s="5" t="str">
        <f>IF(_xlfn.XLOOKUP($B66,rf1_data!$B:$B,rf1_data!BF:BF,"NaN")="","NaN",(_xlfn.XLOOKUP($B66,rf1_data!$B:$B,rf1_data!BF:BF,"NaN")))</f>
        <v>NaN</v>
      </c>
      <c r="BO66" s="5" t="str">
        <f>IF(_xlfn.XLOOKUP($B66,rf1_data!$B:$B,rf1_data!BG:BG,"NaN")="","NaN",(_xlfn.XLOOKUP($B66,rf1_data!$B:$B,rf1_data!BG:BG,"NaN")))</f>
        <v>NaN</v>
      </c>
      <c r="BP66" s="5">
        <f>IF(_xlfn.XLOOKUP($B66,rf1_data!$B:$B,rf1_data!BH:BH,"NaN")="","NaN",(_xlfn.XLOOKUP($B66,rf1_data!$B:$B,rf1_data!BH:BH,"NaN")))</f>
        <v>37</v>
      </c>
      <c r="BQ66" s="5">
        <f>IF(_xlfn.XLOOKUP($B66,rf1_data!$B:$B,rf1_data!BI:BI,"NaN")="","NaN",(_xlfn.XLOOKUP($B66,rf1_data!$B:$B,rf1_data!BI:BI,"NaN")))</f>
        <v>35</v>
      </c>
      <c r="BR66" s="5">
        <f>IF(_xlfn.XLOOKUP($B66,rf1_data!$B:$B,rf1_data!BJ:BJ,"NaN")="","NaN",(_xlfn.XLOOKUP($B66,rf1_data!$B:$B,rf1_data!BJ:BJ,"NaN")))</f>
        <v>8991</v>
      </c>
      <c r="BS66" s="5" t="str">
        <f>IF(_xlfn.XLOOKUP($B66,rf1_data!$B:$B,rf1_data!BK:BK,"NaN")="","NaN",(_xlfn.XLOOKUP($B66,rf1_data!$B:$B,rf1_data!BK:BK,"NaN")))</f>
        <v>NaN</v>
      </c>
      <c r="BT66" s="5" t="str">
        <f>IF(_xlfn.XLOOKUP($B66,rf1_data!$B:$B,rf1_data!BL:BL,"NaN")="","NaN",(_xlfn.XLOOKUP($B66,rf1_data!$B:$B,rf1_data!BL:BL,"NaN")))</f>
        <v>NaN</v>
      </c>
      <c r="BU66" s="5" t="str">
        <f>IF(_xlfn.XLOOKUP($B66,rf1_data!$B:$B,rf1_data!BM:BM,"NaN")="","NaN",(_xlfn.XLOOKUP($B66,rf1_data!$B:$B,rf1_data!BM:BM,"NaN")))</f>
        <v>NaN</v>
      </c>
      <c r="BV66" s="5" t="str">
        <f>IF(_xlfn.XLOOKUP($B66,rf1_data!$B:$B,rf1_data!BN:BN,"NaN")="","NaN",(_xlfn.XLOOKUP($B66,rf1_data!$B:$B,rf1_data!BN:BN,"NaN")))</f>
        <v>NaN</v>
      </c>
      <c r="BW66" s="5">
        <f>IF(_xlfn.XLOOKUP($B66,rf1_data!$B:$B,rf1_data!BO:BO,"NaN")="","NaN",(_xlfn.XLOOKUP($B66,rf1_data!$B:$B,rf1_data!BO:BO,"NaN")))</f>
        <v>3</v>
      </c>
      <c r="BX66" s="5">
        <f>IF(_xlfn.XLOOKUP($B66,rf1_data!$B:$B,rf1_data!BP:BP,"NaN")="","NaN",(_xlfn.XLOOKUP($B66,rf1_data!$B:$B,rf1_data!BP:BP,"NaN")))</f>
        <v>2.7</v>
      </c>
      <c r="BY66" s="5">
        <f>IF(_xlfn.XLOOKUP($B66,rf1_data!$B:$B,rf1_data!BQ:BQ,"NaN")="","NaN",(_xlfn.XLOOKUP($B66,rf1_data!$B:$B,rf1_data!BQ:BQ,"NaN")))</f>
        <v>3.4</v>
      </c>
      <c r="BZ66" s="5">
        <f>IF(_xlfn.XLOOKUP($B66,rf1_data!$B:$B,rf1_data!BR:BR,"NaN")="","NaN",(_xlfn.XLOOKUP($B66,rf1_data!$B:$B,rf1_data!BR:BR,"NaN")))</f>
        <v>3.03</v>
      </c>
      <c r="CA66" s="5">
        <f>IF(_xlfn.XLOOKUP($B66,rf1_data!$B:$B,rf1_data!BS:BS,"NaN")="","NaN",(_xlfn.XLOOKUP($B66,rf1_data!$B:$B,rf1_data!BS:BS,"NaN")))</f>
        <v>4.3333333333333002</v>
      </c>
      <c r="CB66" s="5">
        <f>IF(_xlfn.XLOOKUP($B66,rf1_data!$B:$B,rf1_data!BT:BT,"NaN")="","NaN",(_xlfn.XLOOKUP($B66,rf1_data!$B:$B,rf1_data!BT:BT,"NaN")))</f>
        <v>4.3333333333333002</v>
      </c>
      <c r="CC66" s="5">
        <f>IF(_xlfn.XLOOKUP($B66,rf1_data!$B:$B,rf1_data!BU:BU,"NaN")="","NaN",(_xlfn.XLOOKUP($B66,rf1_data!$B:$B,rf1_data!BU:BU,"NaN")))</f>
        <v>4.3333333333333002</v>
      </c>
      <c r="CD66" s="5">
        <f>IF(_xlfn.XLOOKUP($B66,rf1_data!$B:$B,rf1_data!BV:BV,"NaN")="","NaN",(_xlfn.XLOOKUP($B66,rf1_data!$B:$B,rf1_data!BV:BV,"NaN")))</f>
        <v>4</v>
      </c>
      <c r="CE66" s="5">
        <f>IF(_xlfn.XLOOKUP($B66,rf1_data!$B:$B,rf1_data!BW:BW,"NaN")="","NaN",(_xlfn.XLOOKUP($B66,rf1_data!$B:$B,rf1_data!BW:BW,"NaN")))</f>
        <v>1.25</v>
      </c>
      <c r="CF66" s="5">
        <f>IF(_xlfn.XLOOKUP($B66,rf1_data!$B:$B,rf1_data!BX:BX,"NaN")="","NaN",(_xlfn.XLOOKUP($B66,rf1_data!$B:$B,rf1_data!BX:BX,"NaN")))</f>
        <v>0</v>
      </c>
      <c r="CG66" s="5">
        <f>IF(_xlfn.XLOOKUP($B66,rf1_data!$B:$B,rf1_data!BY:BY,"NaN")="","NaN",(_xlfn.XLOOKUP($B66,rf1_data!$B:$B,rf1_data!BY:BY,"NaN")))</f>
        <v>0</v>
      </c>
      <c r="CH66" s="5">
        <f>IF(_xlfn.XLOOKUP($B66,rf1_data!$B:$B,rf1_data!BZ:BZ,"NaN")="","NaN",(_xlfn.XLOOKUP($B66,rf1_data!$B:$B,rf1_data!BZ:BZ,"NaN")))</f>
        <v>16</v>
      </c>
      <c r="CI66" s="5" t="str">
        <f>IF(_xlfn.XLOOKUP($B66,rf1_data!$B:$B,rf1_data!CA:CA,"NaN")="","NaN",(_xlfn.XLOOKUP($B66,rf1_data!$B:$B,rf1_data!CA:CA,"NaN")))</f>
        <v>NaN</v>
      </c>
      <c r="CJ66" s="5">
        <f>IF(_xlfn.XLOOKUP($B66,rf1_data!$B:$B,rf1_data!CB:CB,"NaN")="","NaN",(_xlfn.XLOOKUP($B66,rf1_data!$B:$B,rf1_data!CB:CB,"NaN")))</f>
        <v>7</v>
      </c>
      <c r="CK66" s="5">
        <f>IF(_xlfn.XLOOKUP($B66,rf1_data!$B:$B,rf1_data!CC:CC,"NaN")="","NaN",(_xlfn.XLOOKUP($B66,rf1_data!$B:$B,rf1_data!CC:CC,"NaN")))</f>
        <v>1</v>
      </c>
      <c r="CL66" s="5">
        <f>IF(_xlfn.XLOOKUP($B66,rf1_data!$B:$B,rf1_data!CD:CD,"NaN")=0,"NaN",(_xlfn.XLOOKUP($B66,rf1_data!$B:$B,rf1_data!CD:CD,"NaN")))</f>
        <v>22</v>
      </c>
      <c r="CM66" s="5">
        <f>IF(_xlfn.XLOOKUP($B66,rf1_data!$B:$B,rf1_data!CE:CE,"NaN")="","NaN",(_xlfn.XLOOKUP($B66,rf1_data!$B:$B,rf1_data!CE:CE,"NaN")))</f>
        <v>24</v>
      </c>
      <c r="CN66" s="5">
        <f>IF(_xlfn.XLOOKUP($B66,rf1_data!$B:$B,rf1_data!CF:CF,"NaN")="","NaN",(_xlfn.XLOOKUP($B66,rf1_data!$B:$B,rf1_data!CF:CF,"NaN")))</f>
        <v>29</v>
      </c>
      <c r="CO66" s="5">
        <f>IF(_xlfn.XLOOKUP($B66,rf1_data!$B:$B,rf1_data!CG:CG,"NaN")="","NaN",(_xlfn.XLOOKUP($B66,rf1_data!$B:$B,rf1_data!CG:CG,"NaN")))</f>
        <v>12</v>
      </c>
      <c r="CP66" s="5">
        <f>IF(_xlfn.XLOOKUP($B66,rf1_data!$B:$B,rf1_data!CH:CH,"NaN")=0,"NaN",(_xlfn.XLOOKUP($B66,rf1_data!$B:$B,rf1_data!CH:CH,"NaN")))</f>
        <v>35</v>
      </c>
      <c r="CQ66" s="5">
        <f>IF(_xlfn.XLOOKUP($B66,rf1_data!$B:$B,rf1_data!CI:CI,"NaN")="","NaN",(_xlfn.XLOOKUP($B66,rf1_data!$B:$B,rf1_data!CI:CI,"NaN")))</f>
        <v>40</v>
      </c>
      <c r="CR66" s="5">
        <f>IF(_xlfn.XLOOKUP($B66,rf1_data!$B:$B,rf1_data!CJ:CJ,"NaN")="","NaN",(_xlfn.XLOOKUP($B66,rf1_data!$B:$B,rf1_data!CJ:CJ,"NaN")))</f>
        <v>60</v>
      </c>
      <c r="CS66" s="5">
        <f>IF(_xlfn.XLOOKUP($B66,rf1_data!$B:$B,rf1_data!CK:CK,"NaN")="","NaN",(_xlfn.XLOOKUP($B66,rf1_data!$B:$B,rf1_data!CK:CK,"NaN")))</f>
        <v>39</v>
      </c>
      <c r="CT66" s="5">
        <f>IF(_xlfn.XLOOKUP($B66,rf1_data!$B:$B,rf1_data!CL:CL,"NaN")="","NaN",(_xlfn.XLOOKUP($B66,rf1_data!$B:$B,rf1_data!CL:CL,"NaN")))</f>
        <v>60</v>
      </c>
      <c r="CU66" s="5">
        <f>IF(_xlfn.XLOOKUP($B66,rf1_data!$B:$B,rf1_data!CM:CM,"NaN")="","NaN",(_xlfn.XLOOKUP($B66,rf1_data!$B:$B,rf1_data!CM:CM,"NaN")))</f>
        <v>36</v>
      </c>
      <c r="CV66" s="5">
        <f>IF(_xlfn.XLOOKUP($B66,rf1_data!$B:$B,rf1_data!CN:CN,"NaN")="","NaN",(_xlfn.XLOOKUP($B66,rf1_data!$B:$B,rf1_data!CN:CN,"NaN")))</f>
        <v>60</v>
      </c>
      <c r="CW66" s="5" t="str">
        <f>IF(_xlfn.XLOOKUP($B66,rf1_data!$B:$B,rf1_data!CO:CO,"NaN")="","NaN",(_xlfn.XLOOKUP($B66,rf1_data!$B:$B,rf1_data!CO:CO,"NaN")))</f>
        <v>NaN</v>
      </c>
      <c r="CX66" s="5" t="str">
        <f>IF(_xlfn.XLOOKUP($B66,rf1_data!$B:$B,rf1_data!CP:CP,"NaN")="","NaN",(_xlfn.XLOOKUP($B66,rf1_data!$B:$B,rf1_data!CP:CP,"NaN")))</f>
        <v>NaN</v>
      </c>
      <c r="CY66" s="5">
        <f>IF(_xlfn.XLOOKUP($B66,rf1_data!$B:$B,rf1_data!CQ:CQ,"NaN")="","NaN",(_xlfn.XLOOKUP($B66,rf1_data!$B:$B,rf1_data!CQ:CQ,"NaN")))</f>
        <v>6</v>
      </c>
      <c r="CZ66" s="5">
        <f>IF(_xlfn.XLOOKUP($B66,rf1_data!$B:$B,rf1_data!CR:CR,"NaN")="","NaN",(_xlfn.XLOOKUP($B66,rf1_data!$B:$B,rf1_data!CR:CR,"NaN")))</f>
        <v>2</v>
      </c>
      <c r="DA66" s="5">
        <f>IF(_xlfn.XLOOKUP($B66,rf1_data!$B:$B,rf1_data!CS:CS,"NaN")="","NaN",(_xlfn.XLOOKUP($B66,rf1_data!$B:$B,rf1_data!CS:CS,"NaN")))</f>
        <v>1</v>
      </c>
      <c r="DB66" s="4">
        <f>IF(_xlfn.XLOOKUP($B66,island_data!$B:$B,island_data!H:H,"NaN")="","NaN",_xlfn.XLOOKUP($B66,island_data!$B:$B,island_data!H:H,"NaN"))</f>
        <v>0</v>
      </c>
      <c r="DC66" s="4">
        <f>IF(_xlfn.XLOOKUP($B66,island_data!$B:$B,island_data!I:I,"NaN")="","NaN",_xlfn.XLOOKUP($B66,island_data!$B:$B,island_data!I:I,"NaN"))</f>
        <v>0</v>
      </c>
      <c r="DD66" s="4">
        <f>IF(_xlfn.XLOOKUP($B66,island_data!$B:$B,island_data!J:J,"NaN")="","NaN",_xlfn.XLOOKUP($B66,island_data!$B:$B,island_data!J:J,"NaN"))</f>
        <v>1</v>
      </c>
      <c r="DE66" s="4">
        <f>IF(_xlfn.XLOOKUP($B66,island_data!$B:$B,island_data!K:K,"NaN")="","NaN",_xlfn.XLOOKUP($B66,island_data!$B:$B,island_data!K:K,"NaN"))</f>
        <v>3</v>
      </c>
      <c r="DF66" s="4">
        <f>IF(_xlfn.XLOOKUP($B66,island_data!$B:$B,island_data!L:L,"NaN")="","NaN",_xlfn.XLOOKUP($B66,island_data!$B:$B,island_data!L:L,"NaN"))</f>
        <v>0</v>
      </c>
      <c r="DG66" s="4">
        <f>IF(_xlfn.XLOOKUP($B66,island_data!$B:$B,island_data!M:M,"NaN")="","NaN",_xlfn.XLOOKUP($B66,island_data!$B:$B,island_data!M:M,"NaN"))</f>
        <v>2.9375</v>
      </c>
      <c r="DH66" s="4">
        <f>IF(_xlfn.XLOOKUP($B66,island_data!$B:$B,island_data!N:N,"NaN")="","NaN",_xlfn.XLOOKUP($B66,island_data!$B:$B,island_data!N:N,"NaN"))</f>
        <v>11</v>
      </c>
      <c r="DI66" s="4">
        <f>IF(_xlfn.XLOOKUP($B66,island_data!$B:$B,island_data!O:O,"NaN")=999,"NaN",_xlfn.XLOOKUP($B66,island_data!$B:$B,island_data!O:O,"NaN"))</f>
        <v>2</v>
      </c>
      <c r="DJ66" s="4">
        <f>IF(_xlfn.XLOOKUP($B66,island_data!$B:$B,island_data!P:P,"NaN")="","NaN",_xlfn.XLOOKUP($B66,island_data!$B:$B,island_data!P:P,"NaN"))</f>
        <v>9</v>
      </c>
      <c r="DK66" s="4">
        <f>IF(_xlfn.XLOOKUP($B66,island_data!$B:$B,island_data!Q:Q,"NaN")="","NaN",_xlfn.XLOOKUP($B66,island_data!$B:$B,island_data!Q:Q,"NaN"))</f>
        <v>6</v>
      </c>
      <c r="DL66" s="4">
        <f>IF(_xlfn.XLOOKUP($B66,island_data!$B:$B,island_data!R:R,"NaN")=999,"NaN",_xlfn.XLOOKUP($B66,island_data!$B:$B,island_data!R:R,"NaN"))</f>
        <v>15</v>
      </c>
      <c r="DM66" s="4">
        <f>IF(_xlfn.XLOOKUP($B66,island_data!$B:$B,island_data!S:S,"NaN")="","NaN",_xlfn.XLOOKUP($B66,island_data!$B:$B,island_data!S:S,"NaN"))</f>
        <v>4</v>
      </c>
      <c r="DN66" s="4">
        <f>IF(_xlfn.XLOOKUP($B66,island_data!$B:$B,island_data!T:T,"NaN")="","NaN",_xlfn.XLOOKUP($B66,island_data!$B:$B,island_data!T:T,"NaN"))</f>
        <v>4.1666666666666599</v>
      </c>
      <c r="DO66" s="4">
        <f>IF(_xlfn.XLOOKUP($B66,island_data!$B:$B,island_data!U:U,"NaN")="","NaN",_xlfn.XLOOKUP($B66,island_data!$B:$B,island_data!U:U,"NaN"))</f>
        <v>4</v>
      </c>
      <c r="DP66" s="4">
        <f>IF(_xlfn.XLOOKUP($B66,island_data!$B:$B,island_data!V:V,"NaN")="","NaN",_xlfn.XLOOKUP($B66,island_data!$B:$B,island_data!V:V,"NaN"))</f>
        <v>1</v>
      </c>
      <c r="DQ66" s="4">
        <f>IF(_xlfn.XLOOKUP($B66,island_data!$B:$B,island_data!W:W,"NaN")="","NaN",_xlfn.XLOOKUP($B66,island_data!$B:$B,island_data!W:W,"NaN"))</f>
        <v>6</v>
      </c>
      <c r="DR66" s="4">
        <f>IF(_xlfn.XLOOKUP($B66,island_data!$B:$B,island_data!X:X,"NaN")="","NaN",_xlfn.XLOOKUP($B66,island_data!$B:$B,island_data!X:X,"NaN"))</f>
        <v>4</v>
      </c>
      <c r="DS66" s="4" t="str">
        <f>IF(_xlfn.XLOOKUP($B66,island_data!$B:$B,island_data!Y:Y,"NaN")="","NaN",_xlfn.XLOOKUP($B66,island_data!$B:$B,island_data!Y:Y,"NaN"))</f>
        <v>NaN</v>
      </c>
      <c r="DT66" s="4" t="str">
        <f>IF(_xlfn.XLOOKUP($B66,island_data!$B:$B,island_data!Z:Z,"NaN")="","NaN",_xlfn.XLOOKUP($B66,island_data!$B:$B,island_data!Z:Z,"NaN"))</f>
        <v>NaN</v>
      </c>
      <c r="DU66" s="4" t="str">
        <f>IF(_xlfn.XLOOKUP($B66,island_data!$B:$B,island_data!AA:AA,"NaN")="","NaN",_xlfn.XLOOKUP($B66,island_data!$B:$B,island_data!AA:AA,"NaN"))</f>
        <v>NaN</v>
      </c>
      <c r="DV66" s="4">
        <f>IF(_xlfn.XLOOKUP($B66,island_data!$B:$B,island_data!AB:AB,"NaN")="","NaN",_xlfn.XLOOKUP($B66,island_data!$B:$B,island_data!AB:AB,"NaN"))</f>
        <v>3</v>
      </c>
      <c r="DW66" s="4">
        <f>IF(_xlfn.XLOOKUP($B66,island_data!$B:$B,island_data!AC:AC,"NaN")="","NaN",_xlfn.XLOOKUP($B66,island_data!$B:$B,island_data!AC:AC,"NaN"))</f>
        <v>11220</v>
      </c>
      <c r="DX66" s="4">
        <f>IF(_xlfn.XLOOKUP($B66,island_data!$B:$B,island_data!AD:AD,"NaN")="","NaN",_xlfn.XLOOKUP($B66,island_data!$B:$B,island_data!AD:AD,"NaN"))</f>
        <v>6</v>
      </c>
      <c r="DY66" s="4">
        <f>IF(_xlfn.XLOOKUP($B66,island_data!$B:$B,island_data!AE:AE,"NaN")="","NaN",_xlfn.XLOOKUP($B66,island_data!$B:$B,island_data!AE:AE,"NaN"))</f>
        <v>0</v>
      </c>
      <c r="DZ66" s="4" t="str">
        <f>IF(_xlfn.XLOOKUP($B66,island_data!$B:$B,island_data!AF:AF,"NaN")="","NaN",_xlfn.XLOOKUP($B66,island_data!$B:$B,island_data!AF:AF,"NaN"))</f>
        <v>NaN</v>
      </c>
      <c r="EA66" s="4" t="str">
        <f>IF(_xlfn.XLOOKUP($B66,island_data!$B:$B,island_data!AG:AG,"NaN")="","NaN",_xlfn.XLOOKUP($B66,island_data!$B:$B,island_data!AG:AG,"NaN"))</f>
        <v>NaN</v>
      </c>
      <c r="EB66" s="4" t="str">
        <f>IF(_xlfn.XLOOKUP($B66,island_data!$B:$B,island_data!AH:AH,"NaN")="","NaN",_xlfn.XLOOKUP($B66,island_data!$B:$B,island_data!AH:AH,"NaN"))</f>
        <v>NaN</v>
      </c>
      <c r="EC66" s="4">
        <f>IF(_xlfn.XLOOKUP($B66,island_data!$B:$B,island_data!AI:AI,"NaN")="","NaN",_xlfn.XLOOKUP($B66,island_data!$B:$B,island_data!AI:AI,"NaN"))</f>
        <v>11</v>
      </c>
      <c r="ED66" s="4">
        <f>IF(_xlfn.XLOOKUP($B66,island_data!$B:$B,island_data!AJ:AJ,"NaN")="","NaN",_xlfn.XLOOKUP($B66,island_data!$B:$B,island_data!AJ:AJ,"NaN"))</f>
        <v>9</v>
      </c>
      <c r="EE66" s="4">
        <f>IF(_xlfn.XLOOKUP($B66,island_data!$B:$B,island_data!AK:AK,"NaN")="","NaN",_xlfn.XLOOKUP($B66,island_data!$B:$B,island_data!AK:AK,"NaN"))</f>
        <v>10</v>
      </c>
      <c r="EF66" s="4">
        <f>IF(_xlfn.XLOOKUP($B66,island_data!$B:$B,island_data!AL:AL,"NaN")="","NaN",_xlfn.XLOOKUP($B66,island_data!$B:$B,island_data!AL:AL,"NaN"))</f>
        <v>15</v>
      </c>
      <c r="EG66" s="4">
        <f>IF(_xlfn.XLOOKUP($B66,island_data!$B:$B,island_data!AM:AM,"NaN")="","NaN",_xlfn.XLOOKUP($B66,island_data!$B:$B,island_data!AM:AM,"NaN"))</f>
        <v>14</v>
      </c>
      <c r="EH66" s="4" t="str">
        <f>IF(_xlfn.XLOOKUP($B66,island_data!$B:$B,island_data!AN:AN,"NaN")="","NaN",_xlfn.XLOOKUP($B66,island_data!$B:$B,island_data!AN:AN,"NaN"))</f>
        <v>NaN</v>
      </c>
      <c r="EI66" s="4" t="str">
        <f>IF(_xlfn.XLOOKUP($B66,island_data!$B:$B,island_data!AO:AO,"NaN")="","NaN",_xlfn.XLOOKUP($B66,island_data!$B:$B,island_data!AO:AO,"NaN"))</f>
        <v>NaN</v>
      </c>
      <c r="EJ66" s="8">
        <f>IF(_xlfn.XLOOKUP($A66,TabCAT!$A:$A,TabCAT!AU:AU,"NaN")="","NaN",(_xlfn.XLOOKUP($A66,TabCAT!$A:$A,TabCAT!AU:AU,"NaN")))</f>
        <v>219</v>
      </c>
      <c r="EK66" s="8" t="b">
        <f>IF(_xlfn.XLOOKUP($A66,TabCAT!$A:$A,TabCAT!AV:AV,"NaN")="","NaN",(_xlfn.XLOOKUP($A66,TabCAT!$A:$A,TabCAT!AV:AV,"NaN")))</f>
        <v>1</v>
      </c>
      <c r="EL66" s="8">
        <f>IF(_xlfn.XLOOKUP($A66,TabCAT!$A:$A,TabCAT!AW:AW,"NaN")="","NaN",(_xlfn.XLOOKUP($A66,TabCAT!$A:$A,TabCAT!AW:AW,"NaN")))</f>
        <v>2</v>
      </c>
      <c r="EM66" s="8">
        <f>IF(_xlfn.XLOOKUP($A66,TabCAT!$A:$A,TabCAT!AX:AX,"NaN")="","NaN",(_xlfn.XLOOKUP($A66,TabCAT!$A:$A,TabCAT!AX:AX,"NaN")))</f>
        <v>6</v>
      </c>
      <c r="EN66" s="8">
        <f>IF(_xlfn.XLOOKUP($A66,TabCAT!$A:$A,TabCAT!AY:AY,"NaN")="","NaN",(_xlfn.XLOOKUP($A66,TabCAT!$A:$A,TabCAT!AY:AY,"NaN")))</f>
        <v>8.6199999999999992</v>
      </c>
      <c r="EO66" s="8">
        <f>IF(_xlfn.XLOOKUP($A66,TabCAT!$A:$A,TabCAT!AZ:AZ,"NaN")="","NaN",(_xlfn.XLOOKUP($A66,TabCAT!$A:$A,TabCAT!AZ:AZ,"NaN")))</f>
        <v>32</v>
      </c>
      <c r="EP66" s="8">
        <f>IF(_xlfn.XLOOKUP($A66,TabCAT!$A:$A,TabCAT!BA:BA,"NaN")="","NaN",(_xlfn.XLOOKUP($A66,TabCAT!$A:$A,TabCAT!BA:BA,"NaN")))</f>
        <v>0.73723050000000001</v>
      </c>
      <c r="EQ66" s="8">
        <f>IF(_xlfn.XLOOKUP($A66,TabCAT!$A:$A,TabCAT!BB:BB,"NaN")="","NaN",(_xlfn.XLOOKUP($A66,TabCAT!$A:$A,TabCAT!BB:BB,"NaN")))</f>
        <v>0.21782775364992299</v>
      </c>
      <c r="ER66" s="8">
        <f>IF(_xlfn.XLOOKUP($A66,TabCAT!$A:$A,TabCAT!BC:BC,"NaN")="","NaN",(_xlfn.XLOOKUP($A66,TabCAT!$A:$A,TabCAT!BC:BC,"NaN")))</f>
        <v>16</v>
      </c>
      <c r="ES66" s="8">
        <f>IF(_xlfn.XLOOKUP($A66,TabCAT!$A:$A,TabCAT!BD:BD,"NaN")="","NaN",(_xlfn.XLOOKUP($A66,TabCAT!$A:$A,TabCAT!BD:BD,"NaN")))</f>
        <v>0.66964000000000001</v>
      </c>
      <c r="ET66" s="8">
        <f>IF(_xlfn.XLOOKUP($A66,TabCAT!$A:$A,TabCAT!BE:BE,"NaN")="","NaN",(_xlfn.XLOOKUP($A66,TabCAT!$A:$A,TabCAT!BE:BE,"NaN")))</f>
        <v>16</v>
      </c>
      <c r="EU66" s="8">
        <f>IF(_xlfn.XLOOKUP($A66,TabCAT!$A:$A,TabCAT!BF:BF,"NaN")="","NaN",(_xlfn.XLOOKUP($A66,TabCAT!$A:$A,TabCAT!BF:BF,"NaN")))</f>
        <v>0.80024300000000004</v>
      </c>
      <c r="EV66" s="8">
        <f>IF(_xlfn.XLOOKUP($A66,TabCAT!$A:$A,TabCAT!BG:BG,"NaN")="","NaN",(_xlfn.XLOOKUP($A66,TabCAT!$A:$A,TabCAT!BG:BG,"NaN")))</f>
        <v>0.32075500000000001</v>
      </c>
      <c r="EW66" s="8" t="str">
        <f>IF(_xlfn.XLOOKUP($A66,TabCAT!$A:$A,TabCAT!BH:BH,"NaN")="","NaN",(_xlfn.XLOOKUP($A66,TabCAT!$A:$A,TabCAT!BH:BH,"NaN")))</f>
        <v>3.0.0</v>
      </c>
      <c r="EX66" s="8" t="str">
        <f>IF(_xlfn.XLOOKUP($A66,TabCAT!$A:$A,TabCAT!BI:BI,"NaN")="","NaN",(_xlfn.XLOOKUP($A66,TabCAT!$A:$A,TabCAT!BI:BI,"NaN")))</f>
        <v>English</v>
      </c>
      <c r="EY66" s="8">
        <f>IF(_xlfn.XLOOKUP($A66,TabCAT!$A:$A,TabCAT!BJ:BJ,"NaN")="","NaN",(_xlfn.XLOOKUP($A66,TabCAT!$A:$A,TabCAT!BJ:BJ,"NaN")))</f>
        <v>268</v>
      </c>
      <c r="EZ66" s="8">
        <f>IF(_xlfn.XLOOKUP($A66,TabCAT!$A:$A,TabCAT!BK:BK,"NaN")="","NaN",(_xlfn.XLOOKUP($A66,TabCAT!$A:$A,TabCAT!BK:BK,"NaN")))</f>
        <v>1</v>
      </c>
      <c r="FA66" s="8">
        <f>IF(_xlfn.XLOOKUP($A66,TabCAT!$A:$A,TabCAT!BL:BL,"NaN")="","NaN",(_xlfn.XLOOKUP($A66,TabCAT!$A:$A,TabCAT!BL:BL,"NaN")))</f>
        <v>6</v>
      </c>
      <c r="FB66" s="8">
        <f>IF(_xlfn.XLOOKUP($A66,TabCAT!$A:$A,TabCAT!BM:BM,"NaN")="","NaN",(_xlfn.XLOOKUP($A66,TabCAT!$A:$A,TabCAT!BM:BM,"NaN")))</f>
        <v>1</v>
      </c>
      <c r="FC66" s="8">
        <f>IF(_xlfn.XLOOKUP($A66,TabCAT!$A:$A,TabCAT!BN:BN,"NaN")="","NaN",(_xlfn.XLOOKUP($A66,TabCAT!$A:$A,TabCAT!BN:BN,"NaN")))</f>
        <v>3</v>
      </c>
      <c r="FD66" s="8">
        <f>IF(_xlfn.XLOOKUP($A66,TabCAT!$A:$A,TabCAT!BO:BO,"NaN")="","NaN",(_xlfn.XLOOKUP($A66,TabCAT!$A:$A,TabCAT!BO:BO,"NaN")))</f>
        <v>9</v>
      </c>
      <c r="FE66" s="8">
        <f>IF(_xlfn.XLOOKUP($A66,TabCAT!$A:$A,TabCAT!BP:BP,"NaN")="","NaN",(_xlfn.XLOOKUP($A66,TabCAT!$A:$A,TabCAT!BP:BP,"NaN")))</f>
        <v>1</v>
      </c>
      <c r="FF66" s="8">
        <f>IF(_xlfn.XLOOKUP($A66,TabCAT!$A:$A,TabCAT!BQ:BQ,"NaN")="","NaN",(_xlfn.XLOOKUP($A66,TabCAT!$A:$A,TabCAT!BQ:BQ,"NaN")))</f>
        <v>5.5</v>
      </c>
      <c r="FG66" s="8">
        <f>IF(_xlfn.XLOOKUP($A66,TabCAT!$A:$A,TabCAT!BR:BR,"NaN")="","NaN",(_xlfn.XLOOKUP($A66,TabCAT!$A:$A,TabCAT!BR:BR,"NaN")))</f>
        <v>10</v>
      </c>
      <c r="FH66" s="8">
        <f>IF(_xlfn.XLOOKUP($A66,TabCAT!$A:$A,TabCAT!BS:BS,"NaN")="","NaN",(_xlfn.XLOOKUP($A66,TabCAT!$A:$A,TabCAT!BS:BS,"NaN")))</f>
        <v>0.83333333333333304</v>
      </c>
      <c r="FI66" s="8">
        <f>IF(_xlfn.XLOOKUP($A66,TabCAT!$A:$A,TabCAT!BT:BT,"NaN")="","NaN",(_xlfn.XLOOKUP($A66,TabCAT!$A:$A,TabCAT!BT:BT,"NaN")))</f>
        <v>5.5</v>
      </c>
      <c r="FJ66" s="8">
        <f>IF(_xlfn.XLOOKUP($A66,TabCAT!$A:$A,TabCAT!BU:BU,"NaN")="","NaN",(_xlfn.XLOOKUP($A66,TabCAT!$A:$A,TabCAT!BU:BU,"NaN")))</f>
        <v>14</v>
      </c>
      <c r="FK66" s="8">
        <f>IF(_xlfn.XLOOKUP($A66,TabCAT!$A:$A,TabCAT!BV:BV,"NaN")="","NaN",(_xlfn.XLOOKUP($A66,TabCAT!$A:$A,TabCAT!BV:BV,"NaN")))</f>
        <v>0.93333333333333302</v>
      </c>
      <c r="FL66" s="8">
        <f>IF(_xlfn.XLOOKUP($A66,TabCAT!$A:$A,TabCAT!BW:BW,"NaN")="","NaN",(_xlfn.XLOOKUP($A66,TabCAT!$A:$A,TabCAT!BW:BW,"NaN")))</f>
        <v>8.5</v>
      </c>
      <c r="FM66" s="8">
        <f>IF(_xlfn.XLOOKUP($A66,TabCAT!$A:$A,TabCAT!BX:BX,"NaN")="","NaN",(_xlfn.XLOOKUP($A66,TabCAT!$A:$A,TabCAT!BX:BX,"NaN")))</f>
        <v>39</v>
      </c>
      <c r="FN66" s="8">
        <f>IF(_xlfn.XLOOKUP($A66,TabCAT!$A:$A,TabCAT!BY:BY,"NaN")="","NaN",(_xlfn.XLOOKUP($A66,TabCAT!$A:$A,TabCAT!BY:BY,"NaN")))</f>
        <v>0.92857142857142805</v>
      </c>
      <c r="FO66" s="8">
        <f>IF(_xlfn.XLOOKUP($A66,TabCAT!$A:$A,TabCAT!BZ:BZ,"NaN")="","NaN",(_xlfn.XLOOKUP($A66,TabCAT!$A:$A,TabCAT!BZ:BZ,"NaN")))</f>
        <v>22.5</v>
      </c>
      <c r="FP66" s="8" t="str">
        <f>IF(_xlfn.XLOOKUP($A66,TabCAT!$A:$A,TabCAT!CA:CA,"NaN")="","NaN",(_xlfn.XLOOKUP($A66,TabCAT!$A:$A,TabCAT!CA:CA,"NaN")))</f>
        <v>3.0.0</v>
      </c>
      <c r="FQ66" s="8" t="str">
        <f>IF(_xlfn.XLOOKUP($A66,TabCAT!$A:$A,TabCAT!CB:CB,"NaN")="","NaN",(_xlfn.XLOOKUP($A66,TabCAT!$A:$A,TabCAT!CB:CB,"NaN")))</f>
        <v>English</v>
      </c>
      <c r="FR66" s="8">
        <f>IF(_xlfn.XLOOKUP($A66,TabCAT!$A:$A,TabCAT!CC:CC,"NaN")="","NaN",(_xlfn.XLOOKUP($A66,TabCAT!$A:$A,TabCAT!CC:CC,"NaN")))</f>
        <v>228</v>
      </c>
      <c r="FS66" s="8" t="b">
        <f>IF(_xlfn.XLOOKUP($A66,TabCAT!$A:$A,TabCAT!CD:CD,"NaN")="","NaN",(_xlfn.XLOOKUP($A66,TabCAT!$A:$A,TabCAT!CD:CD,"NaN")))</f>
        <v>1</v>
      </c>
      <c r="FT66" s="8">
        <f>IF(_xlfn.XLOOKUP($A66,TabCAT!$A:$A,TabCAT!CE:CE,"NaN")="","NaN",(_xlfn.XLOOKUP($A66,TabCAT!$A:$A,TabCAT!CE:CE,"NaN")))</f>
        <v>8</v>
      </c>
      <c r="FU66" s="8">
        <f>IF(_xlfn.XLOOKUP($A66,TabCAT!$A:$A,TabCAT!CF:CF,"NaN")="","NaN",(_xlfn.XLOOKUP($A66,TabCAT!$A:$A,TabCAT!CF:CF,"NaN")))</f>
        <v>0</v>
      </c>
      <c r="FV66" s="8">
        <f>IF(_xlfn.XLOOKUP($A66,TabCAT!$A:$A,TabCAT!CG:CG,"NaN")="","NaN",(_xlfn.XLOOKUP($A66,TabCAT!$A:$A,TabCAT!CG:CG,"NaN")))</f>
        <v>6.89</v>
      </c>
      <c r="FW66" s="8">
        <f>IF(_xlfn.XLOOKUP($A66,TabCAT!$A:$A,TabCAT!CH:CH,"NaN")="","NaN",(_xlfn.XLOOKUP($A66,TabCAT!$A:$A,TabCAT!CH:CH,"NaN")))</f>
        <v>16</v>
      </c>
      <c r="FX66" s="8">
        <f>IF(_xlfn.XLOOKUP($A66,TabCAT!$A:$A,TabCAT!CI:CI,"NaN")="","NaN",(_xlfn.XLOOKUP($A66,TabCAT!$A:$A,TabCAT!CI:CI,"NaN")))</f>
        <v>0.84444249999999998</v>
      </c>
      <c r="FY66" s="8">
        <f>IF(_xlfn.XLOOKUP($A66,TabCAT!$A:$A,TabCAT!CJ:CJ,"NaN")="","NaN",(_xlfn.XLOOKUP($A66,TabCAT!$A:$A,TabCAT!CJ:CJ,"NaN")))</f>
        <v>16</v>
      </c>
      <c r="FZ66" s="8">
        <f>IF(_xlfn.XLOOKUP($A66,TabCAT!$A:$A,TabCAT!CK:CK,"NaN")="","NaN",(_xlfn.XLOOKUP($A66,TabCAT!$A:$A,TabCAT!CK:CK,"NaN")))</f>
        <v>0.49395699999999998</v>
      </c>
      <c r="GA66" s="8">
        <f>IF(_xlfn.XLOOKUP($A66,TabCAT!$A:$A,TabCAT!CL:CL,"NaN")="","NaN",(_xlfn.XLOOKUP($A66,TabCAT!$A:$A,TabCAT!CL:CL,"NaN")))</f>
        <v>29</v>
      </c>
      <c r="GB66" s="8">
        <f>IF(_xlfn.XLOOKUP($A66,TabCAT!$A:$A,TabCAT!CM:CM,"NaN")="","NaN",(_xlfn.XLOOKUP($A66,TabCAT!$A:$A,TabCAT!CM:CM,"NaN")))</f>
        <v>0.99874300000000005</v>
      </c>
      <c r="GC66" s="8">
        <f>IF(_xlfn.XLOOKUP($A66,TabCAT!$A:$A,TabCAT!CN:CN,"NaN")="","NaN",(_xlfn.XLOOKUP($A66,TabCAT!$A:$A,TabCAT!CN:CN,"NaN")))</f>
        <v>17</v>
      </c>
      <c r="GD66" s="8">
        <f>IF(_xlfn.XLOOKUP($A66,TabCAT!$A:$A,TabCAT!CO:CO,"NaN")="","NaN",(_xlfn.XLOOKUP($A66,TabCAT!$A:$A,TabCAT!CO:CO,"NaN")))</f>
        <v>0.99874300000000005</v>
      </c>
      <c r="GE66" s="8">
        <f>IF(_xlfn.XLOOKUP($A66,TabCAT!$A:$A,TabCAT!CP:CP,"NaN")="","NaN",(_xlfn.XLOOKUP($A66,TabCAT!$A:$A,TabCAT!CP:CP,"NaN")))</f>
        <v>0.325930203790261</v>
      </c>
      <c r="GF66" s="8">
        <f>IF(_xlfn.XLOOKUP($A66,TabCAT!$A:$A,TabCAT!CQ:CQ,"NaN")="","NaN",(_xlfn.XLOOKUP($A66,TabCAT!$A:$A,TabCAT!CQ:CQ,"NaN")))</f>
        <v>54</v>
      </c>
      <c r="GG66" s="8">
        <f>IF(_xlfn.XLOOKUP($A66,TabCAT!$A:$A,TabCAT!CR:CR,"NaN")="","NaN",(_xlfn.XLOOKUP($A66,TabCAT!$A:$A,TabCAT!CR:CR,"NaN")))</f>
        <v>0.70818399999999904</v>
      </c>
      <c r="GH66" s="8">
        <f>IF(_xlfn.XLOOKUP($A66,TabCAT!$A:$A,TabCAT!CS:CS,"NaN")="","NaN",(_xlfn.XLOOKUP($A66,TabCAT!$A:$A,TabCAT!CS:CS,"NaN")))</f>
        <v>-1.3623190000000001</v>
      </c>
    </row>
    <row r="67" spans="1:190" x14ac:dyDescent="0.2">
      <c r="A67">
        <v>10804</v>
      </c>
      <c r="B67">
        <f>_xlfn.XLOOKUP(bippity_poppity_boo!A67,rf1_data!A:A,rf1_data!B:B)</f>
        <v>120798</v>
      </c>
      <c r="C67" s="2">
        <f>(_xlfn.XLOOKUP($A67,trust!$A:$A,trust!B:B,"NaN"))</f>
        <v>5.2727269999999997</v>
      </c>
      <c r="D67" s="2">
        <f>(_xlfn.XLOOKUP($A67,trust!$A:$A,trust!C:C,"NaN"))</f>
        <v>5.1666670000000003</v>
      </c>
      <c r="E67" s="2">
        <f>(_xlfn.XLOOKUP($A67,trust!$A:$A,trust!D:D,"NaN"))</f>
        <v>6</v>
      </c>
      <c r="F67" s="2">
        <f>(_xlfn.XLOOKUP($A67,trust!$A:$A,trust!E:E,"NaN"))</f>
        <v>4.2857139999999996</v>
      </c>
      <c r="G67" s="2">
        <f>(_xlfn.XLOOKUP($A67,trust!$A:$A,trust!F:F,"NaN"))</f>
        <v>6.6153849999999998</v>
      </c>
      <c r="H67" s="2">
        <f>(_xlfn.XLOOKUP($A67,trust!$A:$A,trust!G:G,"NaN"))</f>
        <v>4.3333329999999997</v>
      </c>
      <c r="I67" s="3">
        <f>IF(_xlfn.XLOOKUP($B67,island_data!$B:$B,island_data!C:C,"NaN")="","NaN",_xlfn.XLOOKUP($B67,island_data!$B:$B,island_data!C:C,"NaN"))</f>
        <v>45127</v>
      </c>
      <c r="J67" s="3">
        <f>IF(_xlfn.XLOOKUP($B67,island_data!$B:$B,island_data!D:D,"NaN")="","NaN",_xlfn.XLOOKUP($B67,island_data!$B:$B,island_data!D:D,"NaN"))</f>
        <v>35838</v>
      </c>
      <c r="K67" s="4">
        <f>IF(_xlfn.XLOOKUP($B67,island_data!$B:$B,island_data!E:E,"NaN")="","NaN",_xlfn.XLOOKUP($B67,island_data!$B:$B,island_data!E:E,"NaN"))</f>
        <v>25.43</v>
      </c>
      <c r="L67" s="5">
        <f>IF(_xlfn.XLOOKUP($B67,rf1_data!$B:$B,rf1_data!D:D,"NaN")="","NaN",(_xlfn.XLOOKUP($B67,rf1_data!$B:$B,rf1_data!D:D,"NaN")))</f>
        <v>25.5</v>
      </c>
      <c r="M67" s="5" t="str">
        <f>IF(_xlfn.XLOOKUP($B67,rf1_data!$B:$B,rf1_data!E:E,"NaN")="","NaN",(_xlfn.XLOOKUP($B67,rf1_data!$B:$B,rf1_data!E:E,"NaN")))</f>
        <v>Two or more races</v>
      </c>
      <c r="N67" s="5" t="str">
        <f>IF(_xlfn.XLOOKUP($B67,rf1_data!$B:$B,rf1_data!F:F,"NaN")="","NaN",(_xlfn.XLOOKUP($B67,rf1_data!$B:$B,rf1_data!F:F,"NaN")))</f>
        <v>Hispanic or Latino</v>
      </c>
      <c r="O67" s="5" t="str">
        <f>IF(_xlfn.XLOOKUP($B67,rf1_data!$B:$B,rf1_data!G:G,"NaN")="","NaN",(_xlfn.XLOOKUP($B67,rf1_data!$B:$B,rf1_data!G:G,"NaN")))</f>
        <v>Female</v>
      </c>
      <c r="P67" s="5">
        <f>IF(_xlfn.XLOOKUP($B67,rf1_data!$B:$B,rf1_data!H:H,"NaN")="","NaN",(_xlfn.XLOOKUP($B67,rf1_data!$B:$B,rf1_data!H:H,"NaN")))</f>
        <v>4.67</v>
      </c>
      <c r="Q67" s="5">
        <f>IF(_xlfn.XLOOKUP($B67,rf1_data!$B:$B,rf1_data!I:I,"NaN")="","NaN",(_xlfn.XLOOKUP($B67,rf1_data!$B:$B,rf1_data!I:I,"NaN")))</f>
        <v>4.7</v>
      </c>
      <c r="R67" s="5">
        <f>IF(_xlfn.XLOOKUP($B67,rf1_data!$B:$B,rf1_data!J:J,"NaN")="","NaN",(_xlfn.XLOOKUP($B67,rf1_data!$B:$B,rf1_data!J:J,"NaN")))</f>
        <v>4</v>
      </c>
      <c r="S67" s="5">
        <f>IF(_xlfn.XLOOKUP($B67,rf1_data!$B:$B,rf1_data!K:K,"NaN")="","NaN",(_xlfn.XLOOKUP($B67,rf1_data!$B:$B,rf1_data!K:K,"NaN")))</f>
        <v>2</v>
      </c>
      <c r="T67" s="5">
        <f>IF(_xlfn.XLOOKUP($B67,rf1_data!$B:$B,rf1_data!L:L,"NaN")="","NaN",(_xlfn.XLOOKUP($B67,rf1_data!$B:$B,rf1_data!L:L,"NaN")))</f>
        <v>0</v>
      </c>
      <c r="U67" s="5">
        <f>IF(_xlfn.XLOOKUP($B67,rf1_data!$B:$B,rf1_data!M:M,"NaN")="","NaN",(_xlfn.XLOOKUP($B67,rf1_data!$B:$B,rf1_data!M:M,"NaN")))</f>
        <v>6.5</v>
      </c>
      <c r="V67" s="5">
        <f>IF(_xlfn.XLOOKUP($B67,rf1_data!$B:$B,rf1_data!N:N,"NaN")="","NaN",(_xlfn.XLOOKUP($B67,rf1_data!$B:$B,rf1_data!N:N,"NaN")))</f>
        <v>5.83</v>
      </c>
      <c r="W67" s="5">
        <f>IF(_xlfn.XLOOKUP($B67,rf1_data!$B:$B,rf1_data!O:O,"NaN")="","NaN",(_xlfn.XLOOKUP($B67,rf1_data!$B:$B,rf1_data!O:O,"NaN")))</f>
        <v>6.25</v>
      </c>
      <c r="X67" s="5">
        <f>IF(_xlfn.XLOOKUP($B67,rf1_data!$B:$B,rf1_data!P:P,"NaN")="","NaN",(_xlfn.XLOOKUP($B67,rf1_data!$B:$B,rf1_data!P:P,"NaN")))</f>
        <v>6</v>
      </c>
      <c r="Y67" s="5">
        <f>IF(_xlfn.XLOOKUP($B67,rf1_data!$B:$B,rf1_data!Q:Q,"NaN")="","NaN",(_xlfn.XLOOKUP($B67,rf1_data!$B:$B,rf1_data!Q:Q,"NaN")))</f>
        <v>5.9</v>
      </c>
      <c r="Z67" s="5">
        <f>IF(_xlfn.XLOOKUP($B67,rf1_data!$B:$B,rf1_data!R:R,"NaN")="","NaN",(_xlfn.XLOOKUP($B67,rf1_data!$B:$B,rf1_data!R:R,"NaN")))</f>
        <v>16</v>
      </c>
      <c r="AA67" s="5">
        <f>IF(_xlfn.XLOOKUP($B67,rf1_data!$B:$B,rf1_data!S:S,"NaN")="","NaN",(_xlfn.XLOOKUP($B67,rf1_data!$B:$B,rf1_data!S:S,"NaN")))</f>
        <v>6</v>
      </c>
      <c r="AB67" s="5">
        <f>IF(_xlfn.XLOOKUP($B67,rf1_data!$B:$B,rf1_data!T:T,"NaN")="","NaN",(_xlfn.XLOOKUP($B67,rf1_data!$B:$B,rf1_data!T:T,"NaN")))</f>
        <v>6</v>
      </c>
      <c r="AC67" s="5">
        <f>IF(_xlfn.XLOOKUP($B67,rf1_data!$B:$B,rf1_data!U:U,"NaN")="","NaN",(_xlfn.XLOOKUP($B67,rf1_data!$B:$B,rf1_data!U:U,"NaN")))</f>
        <v>0</v>
      </c>
      <c r="AD67" s="5">
        <f>IF(_xlfn.XLOOKUP($B67,rf1_data!$B:$B,rf1_data!V:V,"NaN")="","NaN",(_xlfn.XLOOKUP($B67,rf1_data!$B:$B,rf1_data!V:V,"NaN")))</f>
        <v>4</v>
      </c>
      <c r="AE67" s="5">
        <f>IF(_xlfn.XLOOKUP($B67,rf1_data!$B:$B,rf1_data!W:W,"NaN")="","NaN",(_xlfn.XLOOKUP($B67,rf1_data!$B:$B,rf1_data!W:W,"NaN")))</f>
        <v>1</v>
      </c>
      <c r="AF67" s="5">
        <f>IF(_xlfn.XLOOKUP($B67,rf1_data!$B:$B,rf1_data!X:X,"NaN")="","NaN",(_xlfn.XLOOKUP($B67,rf1_data!$B:$B,rf1_data!X:X,"NaN")))</f>
        <v>3</v>
      </c>
      <c r="AG67" s="5">
        <f>IF(_xlfn.XLOOKUP($B67,rf1_data!$B:$B,rf1_data!Y:Y,"NaN")="","NaN",(_xlfn.XLOOKUP($B67,rf1_data!$B:$B,rf1_data!Y:Y,"NaN")))</f>
        <v>8</v>
      </c>
      <c r="AH67" s="5">
        <f>IF(_xlfn.XLOOKUP($B67,rf1_data!$B:$B,rf1_data!Z:Z,"NaN")="","NaN",(_xlfn.XLOOKUP($B67,rf1_data!$B:$B,rf1_data!Z:Z,"NaN")))</f>
        <v>1</v>
      </c>
      <c r="AI67" s="5">
        <f>IF(_xlfn.XLOOKUP($B67,rf1_data!$B:$B,rf1_data!AA:AA,"NaN")="","NaN",(_xlfn.XLOOKUP($B67,rf1_data!$B:$B,rf1_data!AA:AA,"NaN")))</f>
        <v>4</v>
      </c>
      <c r="AJ67" s="5">
        <f>IF(_xlfn.XLOOKUP($B67,rf1_data!$B:$B,rf1_data!AB:AB,"NaN")="","NaN",(_xlfn.XLOOKUP($B67,rf1_data!$B:$B,rf1_data!AB:AB,"NaN")))</f>
        <v>17</v>
      </c>
      <c r="AK67" s="5">
        <f>IF(_xlfn.XLOOKUP($B67,rf1_data!$B:$B,rf1_data!AC:AC,"NaN")="","NaN",(_xlfn.XLOOKUP($B67,rf1_data!$B:$B,rf1_data!AC:AC,"NaN")))</f>
        <v>31</v>
      </c>
      <c r="AL67" s="5">
        <f>IF(_xlfn.XLOOKUP($B67,rf1_data!$B:$B,rf1_data!AD:AD,"NaN")="","NaN",(_xlfn.XLOOKUP($B67,rf1_data!$B:$B,rf1_data!AD:AD,"NaN")))</f>
        <v>10</v>
      </c>
      <c r="AM67" s="5">
        <f>IF(_xlfn.XLOOKUP($B67,rf1_data!$B:$B,rf1_data!AE:AE,"NaN")="","NaN",(_xlfn.XLOOKUP($B67,rf1_data!$B:$B,rf1_data!AE:AE,"NaN")))</f>
        <v>0</v>
      </c>
      <c r="AN67" s="5">
        <f>IF(_xlfn.XLOOKUP($B67,rf1_data!$B:$B,rf1_data!AF:AF,"NaN")="","NaN",(_xlfn.XLOOKUP($B67,rf1_data!$B:$B,rf1_data!AF:AF,"NaN")))</f>
        <v>0</v>
      </c>
      <c r="AO67" s="5">
        <f>IF(_xlfn.XLOOKUP($B67,rf1_data!$B:$B,rf1_data!AG:AG,"NaN")="","NaN",(_xlfn.XLOOKUP($B67,rf1_data!$B:$B,rf1_data!AG:AG,"NaN")))</f>
        <v>2</v>
      </c>
      <c r="AP67" s="5">
        <f>IF(_xlfn.XLOOKUP($B67,rf1_data!$B:$B,rf1_data!AH:AH,"NaN")="","NaN",(_xlfn.XLOOKUP($B67,rf1_data!$B:$B,rf1_data!AH:AH,"NaN")))</f>
        <v>2</v>
      </c>
      <c r="AQ67" s="5">
        <f>IF(_xlfn.XLOOKUP($B67,rf1_data!$B:$B,rf1_data!AI:AI,"NaN")="","NaN",(_xlfn.XLOOKUP($B67,rf1_data!$B:$B,rf1_data!AI:AI,"NaN")))</f>
        <v>2</v>
      </c>
      <c r="AR67" s="5">
        <f>IF(_xlfn.XLOOKUP($B67,rf1_data!$B:$B,rf1_data!AJ:AJ,"NaN")="","NaN",(_xlfn.XLOOKUP($B67,rf1_data!$B:$B,rf1_data!AJ:AJ,"NaN")))</f>
        <v>2</v>
      </c>
      <c r="AS67" s="5">
        <f>IF(_xlfn.XLOOKUP($B67,rf1_data!$B:$B,rf1_data!AK:AK,"NaN")="","NaN",(_xlfn.XLOOKUP($B67,rf1_data!$B:$B,rf1_data!AK:AK,"NaN")))</f>
        <v>3</v>
      </c>
      <c r="AT67" s="5">
        <f>IF(_xlfn.XLOOKUP($B67,rf1_data!$B:$B,rf1_data!AL:AL,"NaN")="","NaN",(_xlfn.XLOOKUP($B67,rf1_data!$B:$B,rf1_data!AL:AL,"NaN")))</f>
        <v>10</v>
      </c>
      <c r="AU67" s="5">
        <f>IF(_xlfn.XLOOKUP($B67,rf1_data!$B:$B,rf1_data!AM:AM,"NaN")="","NaN",(_xlfn.XLOOKUP($B67,rf1_data!$B:$B,rf1_data!AM:AM,"NaN")))</f>
        <v>1.17</v>
      </c>
      <c r="AV67" s="5">
        <f>IF(_xlfn.XLOOKUP($B67,rf1_data!$B:$B,rf1_data!AN:AN,"NaN")="","NaN",(_xlfn.XLOOKUP($B67,rf1_data!$B:$B,rf1_data!AN:AN,"NaN")))</f>
        <v>14</v>
      </c>
      <c r="AW67" s="5">
        <f>IF(_xlfn.XLOOKUP($B67,rf1_data!$B:$B,rf1_data!AO:AO,"NaN")="","NaN",(_xlfn.XLOOKUP($B67,rf1_data!$B:$B,rf1_data!AO:AO,"NaN")))</f>
        <v>2.5</v>
      </c>
      <c r="AX67" s="5">
        <f>IF(_xlfn.XLOOKUP($B67,rf1_data!$B:$B,rf1_data!AP:AP,"NaN")="","NaN",(_xlfn.XLOOKUP($B67,rf1_data!$B:$B,rf1_data!AP:AP,"NaN")))</f>
        <v>9999</v>
      </c>
      <c r="AY67" s="5" t="str">
        <f>IF(_xlfn.XLOOKUP($B67,rf1_data!$B:$B,rf1_data!AQ:AQ,"NaN")="","NaN",(_xlfn.XLOOKUP($B67,rf1_data!$B:$B,rf1_data!AQ:AQ,"NaN")))</f>
        <v>NaN</v>
      </c>
      <c r="AZ67" s="5" t="str">
        <f>IF(_xlfn.XLOOKUP($B67,rf1_data!$B:$B,rf1_data!AR:AR,"NaN")="","NaN",(_xlfn.XLOOKUP($B67,rf1_data!$B:$B,rf1_data!AR:AR,"NaN")))</f>
        <v>NaN</v>
      </c>
      <c r="BA67" s="5" t="str">
        <f>IF(_xlfn.XLOOKUP($B67,rf1_data!$B:$B,rf1_data!AS:AS,"NaN")="","NaN",(_xlfn.XLOOKUP($B67,rf1_data!$B:$B,rf1_data!AS:AS,"NaN")))</f>
        <v>NaN</v>
      </c>
      <c r="BB67" s="5" t="str">
        <f>IF(_xlfn.XLOOKUP($B67,rf1_data!$B:$B,rf1_data!AT:AT,"NaN")="","NaN",(_xlfn.XLOOKUP($B67,rf1_data!$B:$B,rf1_data!AT:AT,"NaN")))</f>
        <v>NaN</v>
      </c>
      <c r="BC67" s="5" t="str">
        <f>IF(_xlfn.XLOOKUP($B67,rf1_data!$B:$B,rf1_data!AU:AU,"NaN")="","NaN",(_xlfn.XLOOKUP($B67,rf1_data!$B:$B,rf1_data!AU:AU,"NaN")))</f>
        <v>NaN</v>
      </c>
      <c r="BD67" s="5" t="str">
        <f>IF(_xlfn.XLOOKUP($B67,rf1_data!$B:$B,rf1_data!AV:AV,"NaN")="","NaN",(_xlfn.XLOOKUP($B67,rf1_data!$B:$B,rf1_data!AV:AV,"NaN")))</f>
        <v>NaN</v>
      </c>
      <c r="BE67" s="5" t="str">
        <f>IF(_xlfn.XLOOKUP($B67,rf1_data!$B:$B,rf1_data!AW:AW,"NaN")="","NaN",(_xlfn.XLOOKUP($B67,rf1_data!$B:$B,rf1_data!AW:AW,"NaN")))</f>
        <v>NaN</v>
      </c>
      <c r="BF67" s="5" t="str">
        <f>IF(_xlfn.XLOOKUP($B67,rf1_data!$B:$B,rf1_data!AX:AX,"NaN")="","NaN",(_xlfn.XLOOKUP($B67,rf1_data!$B:$B,rf1_data!AX:AX,"NaN")))</f>
        <v>NaN</v>
      </c>
      <c r="BG67" s="5" t="str">
        <f>IF(_xlfn.XLOOKUP($B67,rf1_data!$B:$B,rf1_data!AY:AY,"NaN")="","NaN",(_xlfn.XLOOKUP($B67,rf1_data!$B:$B,rf1_data!AY:AY,"NaN")))</f>
        <v>NaN</v>
      </c>
      <c r="BH67" s="5" t="str">
        <f>IF(_xlfn.XLOOKUP($B67,rf1_data!$B:$B,rf1_data!AZ:AZ,"NaN")="","NaN",(_xlfn.XLOOKUP($B67,rf1_data!$B:$B,rf1_data!AZ:AZ,"NaN")))</f>
        <v>NaN</v>
      </c>
      <c r="BI67" s="5">
        <f>IF(_xlfn.XLOOKUP($B67,rf1_data!$B:$B,rf1_data!BA:BA,"NaN")="","NaN",(_xlfn.XLOOKUP($B67,rf1_data!$B:$B,rf1_data!BA:BA,"NaN")))</f>
        <v>20</v>
      </c>
      <c r="BJ67" s="5" t="str">
        <f>IF(_xlfn.XLOOKUP($B67,rf1_data!$B:$B,rf1_data!BB:BB,"NaN")="","NaN",(_xlfn.XLOOKUP($B67,rf1_data!$B:$B,rf1_data!BB:BB,"NaN")))</f>
        <v>NaN</v>
      </c>
      <c r="BK67" s="5" t="str">
        <f>IF(_xlfn.XLOOKUP($B67,rf1_data!$B:$B,rf1_data!BC:BC,"NaN")="","NaN",(_xlfn.XLOOKUP($B67,rf1_data!$B:$B,rf1_data!BC:BC,"NaN")))</f>
        <v>NaN</v>
      </c>
      <c r="BL67" s="5" t="str">
        <f>IF(_xlfn.XLOOKUP($B67,rf1_data!$B:$B,rf1_data!BD:BD,"NaN")="","NaN",(_xlfn.XLOOKUP($B67,rf1_data!$B:$B,rf1_data!BD:BD,"NaN")))</f>
        <v>NaN</v>
      </c>
      <c r="BM67" s="5" t="str">
        <f>IF(_xlfn.XLOOKUP($B67,rf1_data!$B:$B,rf1_data!BE:BE,"NaN")="","NaN",(_xlfn.XLOOKUP($B67,rf1_data!$B:$B,rf1_data!BE:BE,"NaN")))</f>
        <v>NaN</v>
      </c>
      <c r="BN67" s="5" t="str">
        <f>IF(_xlfn.XLOOKUP($B67,rf1_data!$B:$B,rf1_data!BF:BF,"NaN")="","NaN",(_xlfn.XLOOKUP($B67,rf1_data!$B:$B,rf1_data!BF:BF,"NaN")))</f>
        <v>NaN</v>
      </c>
      <c r="BO67" s="5" t="str">
        <f>IF(_xlfn.XLOOKUP($B67,rf1_data!$B:$B,rf1_data!BG:BG,"NaN")="","NaN",(_xlfn.XLOOKUP($B67,rf1_data!$B:$B,rf1_data!BG:BG,"NaN")))</f>
        <v>NaN</v>
      </c>
      <c r="BP67" s="5" t="str">
        <f>IF(_xlfn.XLOOKUP($B67,rf1_data!$B:$B,rf1_data!BH:BH,"NaN")="","NaN",(_xlfn.XLOOKUP($B67,rf1_data!$B:$B,rf1_data!BH:BH,"NaN")))</f>
        <v>NaN</v>
      </c>
      <c r="BQ67" s="5" t="str">
        <f>IF(_xlfn.XLOOKUP($B67,rf1_data!$B:$B,rf1_data!BI:BI,"NaN")="","NaN",(_xlfn.XLOOKUP($B67,rf1_data!$B:$B,rf1_data!BI:BI,"NaN")))</f>
        <v>NaN</v>
      </c>
      <c r="BR67" s="5">
        <f>IF(_xlfn.XLOOKUP($B67,rf1_data!$B:$B,rf1_data!BJ:BJ,"NaN")="","NaN",(_xlfn.XLOOKUP($B67,rf1_data!$B:$B,rf1_data!BJ:BJ,"NaN")))</f>
        <v>8991</v>
      </c>
      <c r="BS67" s="5" t="str">
        <f>IF(_xlfn.XLOOKUP($B67,rf1_data!$B:$B,rf1_data!BK:BK,"NaN")="","NaN",(_xlfn.XLOOKUP($B67,rf1_data!$B:$B,rf1_data!BK:BK,"NaN")))</f>
        <v>NaN</v>
      </c>
      <c r="BT67" s="5" t="str">
        <f>IF(_xlfn.XLOOKUP($B67,rf1_data!$B:$B,rf1_data!BL:BL,"NaN")="","NaN",(_xlfn.XLOOKUP($B67,rf1_data!$B:$B,rf1_data!BL:BL,"NaN")))</f>
        <v>NaN</v>
      </c>
      <c r="BU67" s="5" t="str">
        <f>IF(_xlfn.XLOOKUP($B67,rf1_data!$B:$B,rf1_data!BM:BM,"NaN")="","NaN",(_xlfn.XLOOKUP($B67,rf1_data!$B:$B,rf1_data!BM:BM,"NaN")))</f>
        <v>NaN</v>
      </c>
      <c r="BV67" s="5" t="str">
        <f>IF(_xlfn.XLOOKUP($B67,rf1_data!$B:$B,rf1_data!BN:BN,"NaN")="","NaN",(_xlfn.XLOOKUP($B67,rf1_data!$B:$B,rf1_data!BN:BN,"NaN")))</f>
        <v>NaN</v>
      </c>
      <c r="BW67" s="5">
        <f>IF(_xlfn.XLOOKUP($B67,rf1_data!$B:$B,rf1_data!BO:BO,"NaN")="","NaN",(_xlfn.XLOOKUP($B67,rf1_data!$B:$B,rf1_data!BO:BO,"NaN")))</f>
        <v>3.3</v>
      </c>
      <c r="BX67" s="5">
        <f>IF(_xlfn.XLOOKUP($B67,rf1_data!$B:$B,rf1_data!BP:BP,"NaN")="","NaN",(_xlfn.XLOOKUP($B67,rf1_data!$B:$B,rf1_data!BP:BP,"NaN")))</f>
        <v>3.2</v>
      </c>
      <c r="BY67" s="5">
        <f>IF(_xlfn.XLOOKUP($B67,rf1_data!$B:$B,rf1_data!BQ:BQ,"NaN")="","NaN",(_xlfn.XLOOKUP($B67,rf1_data!$B:$B,rf1_data!BQ:BQ,"NaN")))</f>
        <v>3.3</v>
      </c>
      <c r="BZ67" s="5">
        <f>IF(_xlfn.XLOOKUP($B67,rf1_data!$B:$B,rf1_data!BR:BR,"NaN")="","NaN",(_xlfn.XLOOKUP($B67,rf1_data!$B:$B,rf1_data!BR:BR,"NaN")))</f>
        <v>3.27</v>
      </c>
      <c r="CA67" s="5">
        <f>IF(_xlfn.XLOOKUP($B67,rf1_data!$B:$B,rf1_data!BS:BS,"NaN")="","NaN",(_xlfn.XLOOKUP($B67,rf1_data!$B:$B,rf1_data!BS:BS,"NaN")))</f>
        <v>6</v>
      </c>
      <c r="CB67" s="5">
        <f>IF(_xlfn.XLOOKUP($B67,rf1_data!$B:$B,rf1_data!BT:BT,"NaN")="","NaN",(_xlfn.XLOOKUP($B67,rf1_data!$B:$B,rf1_data!BT:BT,"NaN")))</f>
        <v>5.5</v>
      </c>
      <c r="CC67" s="5">
        <f>IF(_xlfn.XLOOKUP($B67,rf1_data!$B:$B,rf1_data!BU:BU,"NaN")="","NaN",(_xlfn.XLOOKUP($B67,rf1_data!$B:$B,rf1_data!BU:BU,"NaN")))</f>
        <v>6</v>
      </c>
      <c r="CD67" s="5">
        <f>IF(_xlfn.XLOOKUP($B67,rf1_data!$B:$B,rf1_data!BV:BV,"NaN")="","NaN",(_xlfn.XLOOKUP($B67,rf1_data!$B:$B,rf1_data!BV:BV,"NaN")))</f>
        <v>5.5</v>
      </c>
      <c r="CE67" s="5">
        <f>IF(_xlfn.XLOOKUP($B67,rf1_data!$B:$B,rf1_data!BW:BW,"NaN")="","NaN",(_xlfn.XLOOKUP($B67,rf1_data!$B:$B,rf1_data!BW:BW,"NaN")))</f>
        <v>0.25</v>
      </c>
      <c r="CF67" s="5">
        <f>IF(_xlfn.XLOOKUP($B67,rf1_data!$B:$B,rf1_data!BX:BX,"NaN")="","NaN",(_xlfn.XLOOKUP($B67,rf1_data!$B:$B,rf1_data!BX:BX,"NaN")))</f>
        <v>0</v>
      </c>
      <c r="CG67" s="5">
        <f>IF(_xlfn.XLOOKUP($B67,rf1_data!$B:$B,rf1_data!BY:BY,"NaN")="","NaN",(_xlfn.XLOOKUP($B67,rf1_data!$B:$B,rf1_data!BY:BY,"NaN")))</f>
        <v>0</v>
      </c>
      <c r="CH67" s="5">
        <f>IF(_xlfn.XLOOKUP($B67,rf1_data!$B:$B,rf1_data!BZ:BZ,"NaN")="","NaN",(_xlfn.XLOOKUP($B67,rf1_data!$B:$B,rf1_data!BZ:BZ,"NaN")))</f>
        <v>23</v>
      </c>
      <c r="CI67" s="5">
        <f>IF(_xlfn.XLOOKUP($B67,rf1_data!$B:$B,rf1_data!CA:CA,"NaN")="","NaN",(_xlfn.XLOOKUP($B67,rf1_data!$B:$B,rf1_data!CA:CA,"NaN")))</f>
        <v>25</v>
      </c>
      <c r="CJ67" s="5">
        <f>IF(_xlfn.XLOOKUP($B67,rf1_data!$B:$B,rf1_data!CB:CB,"NaN")="","NaN",(_xlfn.XLOOKUP($B67,rf1_data!$B:$B,rf1_data!CB:CB,"NaN")))</f>
        <v>9</v>
      </c>
      <c r="CK67" s="5">
        <f>IF(_xlfn.XLOOKUP($B67,rf1_data!$B:$B,rf1_data!CC:CC,"NaN")="","NaN",(_xlfn.XLOOKUP($B67,rf1_data!$B:$B,rf1_data!CC:CC,"NaN")))</f>
        <v>1</v>
      </c>
      <c r="CL67" s="5">
        <f>IF(_xlfn.XLOOKUP($B67,rf1_data!$B:$B,rf1_data!CD:CD,"NaN")=0,"NaN",(_xlfn.XLOOKUP($B67,rf1_data!$B:$B,rf1_data!CD:CD,"NaN")))</f>
        <v>32</v>
      </c>
      <c r="CM67" s="5">
        <f>IF(_xlfn.XLOOKUP($B67,rf1_data!$B:$B,rf1_data!CE:CE,"NaN")="","NaN",(_xlfn.XLOOKUP($B67,rf1_data!$B:$B,rf1_data!CE:CE,"NaN")))</f>
        <v>33</v>
      </c>
      <c r="CN67" s="5">
        <f>IF(_xlfn.XLOOKUP($B67,rf1_data!$B:$B,rf1_data!CF:CF,"NaN")="","NaN",(_xlfn.XLOOKUP($B67,rf1_data!$B:$B,rf1_data!CF:CF,"NaN")))</f>
        <v>54</v>
      </c>
      <c r="CO67" s="5">
        <f>IF(_xlfn.XLOOKUP($B67,rf1_data!$B:$B,rf1_data!CG:CG,"NaN")="","NaN",(_xlfn.XLOOKUP($B67,rf1_data!$B:$B,rf1_data!CG:CG,"NaN")))</f>
        <v>32</v>
      </c>
      <c r="CP67" s="5">
        <f>IF(_xlfn.XLOOKUP($B67,rf1_data!$B:$B,rf1_data!CH:CH,"NaN")=0,"NaN",(_xlfn.XLOOKUP($B67,rf1_data!$B:$B,rf1_data!CH:CH,"NaN")))</f>
        <v>33</v>
      </c>
      <c r="CQ67" s="5">
        <f>IF(_xlfn.XLOOKUP($B67,rf1_data!$B:$B,rf1_data!CI:CI,"NaN")="","NaN",(_xlfn.XLOOKUP($B67,rf1_data!$B:$B,rf1_data!CI:CI,"NaN")))</f>
        <v>42</v>
      </c>
      <c r="CR67" s="5">
        <f>IF(_xlfn.XLOOKUP($B67,rf1_data!$B:$B,rf1_data!CJ:CJ,"NaN")="","NaN",(_xlfn.XLOOKUP($B67,rf1_data!$B:$B,rf1_data!CJ:CJ,"NaN")))</f>
        <v>60</v>
      </c>
      <c r="CS67" s="5">
        <f>IF(_xlfn.XLOOKUP($B67,rf1_data!$B:$B,rf1_data!CK:CK,"NaN")="","NaN",(_xlfn.XLOOKUP($B67,rf1_data!$B:$B,rf1_data!CK:CK,"NaN")))</f>
        <v>30</v>
      </c>
      <c r="CT67" s="5">
        <f>IF(_xlfn.XLOOKUP($B67,rf1_data!$B:$B,rf1_data!CL:CL,"NaN")="","NaN",(_xlfn.XLOOKUP($B67,rf1_data!$B:$B,rf1_data!CL:CL,"NaN")))</f>
        <v>60</v>
      </c>
      <c r="CU67" s="5">
        <f>IF(_xlfn.XLOOKUP($B67,rf1_data!$B:$B,rf1_data!CM:CM,"NaN")="","NaN",(_xlfn.XLOOKUP($B67,rf1_data!$B:$B,rf1_data!CM:CM,"NaN")))</f>
        <v>23</v>
      </c>
      <c r="CV67" s="5">
        <f>IF(_xlfn.XLOOKUP($B67,rf1_data!$B:$B,rf1_data!CN:CN,"NaN")="","NaN",(_xlfn.XLOOKUP($B67,rf1_data!$B:$B,rf1_data!CN:CN,"NaN")))</f>
        <v>60</v>
      </c>
      <c r="CW67" s="5" t="str">
        <f>IF(_xlfn.XLOOKUP($B67,rf1_data!$B:$B,rf1_data!CO:CO,"NaN")="","NaN",(_xlfn.XLOOKUP($B67,rf1_data!$B:$B,rf1_data!CO:CO,"NaN")))</f>
        <v>NaN</v>
      </c>
      <c r="CX67" s="5" t="str">
        <f>IF(_xlfn.XLOOKUP($B67,rf1_data!$B:$B,rf1_data!CP:CP,"NaN")="","NaN",(_xlfn.XLOOKUP($B67,rf1_data!$B:$B,rf1_data!CP:CP,"NaN")))</f>
        <v>NaN</v>
      </c>
      <c r="CY67" s="5">
        <f>IF(_xlfn.XLOOKUP($B67,rf1_data!$B:$B,rf1_data!CQ:CQ,"NaN")="","NaN",(_xlfn.XLOOKUP($B67,rf1_data!$B:$B,rf1_data!CQ:CQ,"NaN")))</f>
        <v>2</v>
      </c>
      <c r="CZ67" s="5">
        <f>IF(_xlfn.XLOOKUP($B67,rf1_data!$B:$B,rf1_data!CR:CR,"NaN")="","NaN",(_xlfn.XLOOKUP($B67,rf1_data!$B:$B,rf1_data!CR:CR,"NaN")))</f>
        <v>1</v>
      </c>
      <c r="DA67" s="5">
        <f>IF(_xlfn.XLOOKUP($B67,rf1_data!$B:$B,rf1_data!CS:CS,"NaN")="","NaN",(_xlfn.XLOOKUP($B67,rf1_data!$B:$B,rf1_data!CS:CS,"NaN")))</f>
        <v>1</v>
      </c>
      <c r="DB67" s="4">
        <f>IF(_xlfn.XLOOKUP($B67,island_data!$B:$B,island_data!H:H,"NaN")="","NaN",_xlfn.XLOOKUP($B67,island_data!$B:$B,island_data!H:H,"NaN"))</f>
        <v>1</v>
      </c>
      <c r="DC67" s="4">
        <f>IF(_xlfn.XLOOKUP($B67,island_data!$B:$B,island_data!I:I,"NaN")="","NaN",_xlfn.XLOOKUP($B67,island_data!$B:$B,island_data!I:I,"NaN"))</f>
        <v>0</v>
      </c>
      <c r="DD67" s="4">
        <f>IF(_xlfn.XLOOKUP($B67,island_data!$B:$B,island_data!J:J,"NaN")="","NaN",_xlfn.XLOOKUP($B67,island_data!$B:$B,island_data!J:J,"NaN"))</f>
        <v>4</v>
      </c>
      <c r="DE67" s="4">
        <f>IF(_xlfn.XLOOKUP($B67,island_data!$B:$B,island_data!K:K,"NaN")="","NaN",_xlfn.XLOOKUP($B67,island_data!$B:$B,island_data!K:K,"NaN"))</f>
        <v>9</v>
      </c>
      <c r="DF67" s="4">
        <f>IF(_xlfn.XLOOKUP($B67,island_data!$B:$B,island_data!L:L,"NaN")="","NaN",_xlfn.XLOOKUP($B67,island_data!$B:$B,island_data!L:L,"NaN"))</f>
        <v>0</v>
      </c>
      <c r="DG67" s="4">
        <f>IF(_xlfn.XLOOKUP($B67,island_data!$B:$B,island_data!M:M,"NaN")="","NaN",_xlfn.XLOOKUP($B67,island_data!$B:$B,island_data!M:M,"NaN"))</f>
        <v>3.5</v>
      </c>
      <c r="DH67" s="4">
        <f>IF(_xlfn.XLOOKUP($B67,island_data!$B:$B,island_data!N:N,"NaN")="","NaN",_xlfn.XLOOKUP($B67,island_data!$B:$B,island_data!N:N,"NaN"))</f>
        <v>6</v>
      </c>
      <c r="DI67" s="4">
        <f>IF(_xlfn.XLOOKUP($B67,island_data!$B:$B,island_data!O:O,"NaN")=999,"NaN",_xlfn.XLOOKUP($B67,island_data!$B:$B,island_data!O:O,"NaN"))</f>
        <v>7</v>
      </c>
      <c r="DJ67" s="4">
        <f>IF(_xlfn.XLOOKUP($B67,island_data!$B:$B,island_data!P:P,"NaN")="","NaN",_xlfn.XLOOKUP($B67,island_data!$B:$B,island_data!P:P,"NaN"))</f>
        <v>10</v>
      </c>
      <c r="DK67" s="4">
        <f>IF(_xlfn.XLOOKUP($B67,island_data!$B:$B,island_data!Q:Q,"NaN")="","NaN",_xlfn.XLOOKUP($B67,island_data!$B:$B,island_data!Q:Q,"NaN"))</f>
        <v>8</v>
      </c>
      <c r="DL67" s="4">
        <f>IF(_xlfn.XLOOKUP($B67,island_data!$B:$B,island_data!R:R,"NaN")=999,"NaN",_xlfn.XLOOKUP($B67,island_data!$B:$B,island_data!R:R,"NaN"))</f>
        <v>15</v>
      </c>
      <c r="DM67" s="4">
        <f>IF(_xlfn.XLOOKUP($B67,island_data!$B:$B,island_data!S:S,"NaN")="","NaN",_xlfn.XLOOKUP($B67,island_data!$B:$B,island_data!S:S,"NaN"))</f>
        <v>10</v>
      </c>
      <c r="DN67" s="4">
        <f>IF(_xlfn.XLOOKUP($B67,island_data!$B:$B,island_data!T:T,"NaN")="","NaN",_xlfn.XLOOKUP($B67,island_data!$B:$B,island_data!T:T,"NaN"))</f>
        <v>4.25</v>
      </c>
      <c r="DO67" s="4">
        <f>IF(_xlfn.XLOOKUP($B67,island_data!$B:$B,island_data!U:U,"NaN")="","NaN",_xlfn.XLOOKUP($B67,island_data!$B:$B,island_data!U:U,"NaN"))</f>
        <v>4</v>
      </c>
      <c r="DP67" s="4">
        <f>IF(_xlfn.XLOOKUP($B67,island_data!$B:$B,island_data!V:V,"NaN")="","NaN",_xlfn.XLOOKUP($B67,island_data!$B:$B,island_data!V:V,"NaN"))</f>
        <v>0</v>
      </c>
      <c r="DQ67" s="4">
        <f>IF(_xlfn.XLOOKUP($B67,island_data!$B:$B,island_data!W:W,"NaN")="","NaN",_xlfn.XLOOKUP($B67,island_data!$B:$B,island_data!W:W,"NaN"))</f>
        <v>3</v>
      </c>
      <c r="DR67" s="4">
        <f>IF(_xlfn.XLOOKUP($B67,island_data!$B:$B,island_data!X:X,"NaN")="","NaN",_xlfn.XLOOKUP($B67,island_data!$B:$B,island_data!X:X,"NaN"))</f>
        <v>4</v>
      </c>
      <c r="DS67" s="4" t="str">
        <f>IF(_xlfn.XLOOKUP($B67,island_data!$B:$B,island_data!Y:Y,"NaN")="","NaN",_xlfn.XLOOKUP($B67,island_data!$B:$B,island_data!Y:Y,"NaN"))</f>
        <v>NaN</v>
      </c>
      <c r="DT67" s="4" t="str">
        <f>IF(_xlfn.XLOOKUP($B67,island_data!$B:$B,island_data!Z:Z,"NaN")="","NaN",_xlfn.XLOOKUP($B67,island_data!$B:$B,island_data!Z:Z,"NaN"))</f>
        <v>NaN</v>
      </c>
      <c r="DU67" s="4" t="str">
        <f>IF(_xlfn.XLOOKUP($B67,island_data!$B:$B,island_data!AA:AA,"NaN")="","NaN",_xlfn.XLOOKUP($B67,island_data!$B:$B,island_data!AA:AA,"NaN"))</f>
        <v>NaN</v>
      </c>
      <c r="DV67" s="4">
        <f>IF(_xlfn.XLOOKUP($B67,island_data!$B:$B,island_data!AB:AB,"NaN")="","NaN",_xlfn.XLOOKUP($B67,island_data!$B:$B,island_data!AB:AB,"NaN"))</f>
        <v>0</v>
      </c>
      <c r="DW67" s="4">
        <f>IF(_xlfn.XLOOKUP($B67,island_data!$B:$B,island_data!AC:AC,"NaN")="","NaN",_xlfn.XLOOKUP($B67,island_data!$B:$B,island_data!AC:AC,"NaN"))</f>
        <v>7307</v>
      </c>
      <c r="DX67" s="4">
        <f>IF(_xlfn.XLOOKUP($B67,island_data!$B:$B,island_data!AD:AD,"NaN")="","NaN",_xlfn.XLOOKUP($B67,island_data!$B:$B,island_data!AD:AD,"NaN"))</f>
        <v>3</v>
      </c>
      <c r="DY67" s="4">
        <f>IF(_xlfn.XLOOKUP($B67,island_data!$B:$B,island_data!AE:AE,"NaN")="","NaN",_xlfn.XLOOKUP($B67,island_data!$B:$B,island_data!AE:AE,"NaN"))</f>
        <v>1</v>
      </c>
      <c r="DZ67" s="4" t="str">
        <f>IF(_xlfn.XLOOKUP($B67,island_data!$B:$B,island_data!AF:AF,"NaN")="","NaN",_xlfn.XLOOKUP($B67,island_data!$B:$B,island_data!AF:AF,"NaN"))</f>
        <v>NaN</v>
      </c>
      <c r="EA67" s="4" t="str">
        <f>IF(_xlfn.XLOOKUP($B67,island_data!$B:$B,island_data!AG:AG,"NaN")="","NaN",_xlfn.XLOOKUP($B67,island_data!$B:$B,island_data!AG:AG,"NaN"))</f>
        <v>NaN</v>
      </c>
      <c r="EB67" s="4" t="str">
        <f>IF(_xlfn.XLOOKUP($B67,island_data!$B:$B,island_data!AH:AH,"NaN")="","NaN",_xlfn.XLOOKUP($B67,island_data!$B:$B,island_data!AH:AH,"NaN"))</f>
        <v>NaN</v>
      </c>
      <c r="EC67" s="4">
        <f>IF(_xlfn.XLOOKUP($B67,island_data!$B:$B,island_data!AI:AI,"NaN")="","NaN",_xlfn.XLOOKUP($B67,island_data!$B:$B,island_data!AI:AI,"NaN"))</f>
        <v>10</v>
      </c>
      <c r="ED67" s="4">
        <f>IF(_xlfn.XLOOKUP($B67,island_data!$B:$B,island_data!AJ:AJ,"NaN")="","NaN",_xlfn.XLOOKUP($B67,island_data!$B:$B,island_data!AJ:AJ,"NaN"))</f>
        <v>13</v>
      </c>
      <c r="EE67" s="4">
        <f>IF(_xlfn.XLOOKUP($B67,island_data!$B:$B,island_data!AK:AK,"NaN")="","NaN",_xlfn.XLOOKUP($B67,island_data!$B:$B,island_data!AK:AK,"NaN"))</f>
        <v>11</v>
      </c>
      <c r="EF67" s="4">
        <f>IF(_xlfn.XLOOKUP($B67,island_data!$B:$B,island_data!AL:AL,"NaN")="","NaN",_xlfn.XLOOKUP($B67,island_data!$B:$B,island_data!AL:AL,"NaN"))</f>
        <v>12</v>
      </c>
      <c r="EG67" s="4">
        <f>IF(_xlfn.XLOOKUP($B67,island_data!$B:$B,island_data!AM:AM,"NaN")="","NaN",_xlfn.XLOOKUP($B67,island_data!$B:$B,island_data!AM:AM,"NaN"))</f>
        <v>16</v>
      </c>
      <c r="EH67" s="4" t="str">
        <f>IF(_xlfn.XLOOKUP($B67,island_data!$B:$B,island_data!AN:AN,"NaN")="","NaN",_xlfn.XLOOKUP($B67,island_data!$B:$B,island_data!AN:AN,"NaN"))</f>
        <v>NaN</v>
      </c>
      <c r="EI67" s="4" t="str">
        <f>IF(_xlfn.XLOOKUP($B67,island_data!$B:$B,island_data!AO:AO,"NaN")="","NaN",_xlfn.XLOOKUP($B67,island_data!$B:$B,island_data!AO:AO,"NaN"))</f>
        <v>NaN</v>
      </c>
      <c r="EJ67" s="8">
        <f>IF(_xlfn.XLOOKUP($A67,TabCAT!$A:$A,TabCAT!AU:AU,"NaN")="","NaN",(_xlfn.XLOOKUP($A67,TabCAT!$A:$A,TabCAT!AU:AU,"NaN")))</f>
        <v>149</v>
      </c>
      <c r="EK67" s="8" t="b">
        <f>IF(_xlfn.XLOOKUP($A67,TabCAT!$A:$A,TabCAT!AV:AV,"NaN")="","NaN",(_xlfn.XLOOKUP($A67,TabCAT!$A:$A,TabCAT!AV:AV,"NaN")))</f>
        <v>1</v>
      </c>
      <c r="EL67" s="8">
        <f>IF(_xlfn.XLOOKUP($A67,TabCAT!$A:$A,TabCAT!AW:AW,"NaN")="","NaN",(_xlfn.XLOOKUP($A67,TabCAT!$A:$A,TabCAT!AW:AW,"NaN")))</f>
        <v>6</v>
      </c>
      <c r="EM67" s="8">
        <f>IF(_xlfn.XLOOKUP($A67,TabCAT!$A:$A,TabCAT!AX:AX,"NaN")="","NaN",(_xlfn.XLOOKUP($A67,TabCAT!$A:$A,TabCAT!AX:AX,"NaN")))</f>
        <v>0</v>
      </c>
      <c r="EN67" s="8">
        <f>IF(_xlfn.XLOOKUP($A67,TabCAT!$A:$A,TabCAT!AY:AY,"NaN")="","NaN",(_xlfn.XLOOKUP($A67,TabCAT!$A:$A,TabCAT!AY:AY,"NaN")))</f>
        <v>8.8699999999999992</v>
      </c>
      <c r="EO67" s="8">
        <f>IF(_xlfn.XLOOKUP($A67,TabCAT!$A:$A,TabCAT!AZ:AZ,"NaN")="","NaN",(_xlfn.XLOOKUP($A67,TabCAT!$A:$A,TabCAT!AZ:AZ,"NaN")))</f>
        <v>32</v>
      </c>
      <c r="EP67" s="8">
        <f>IF(_xlfn.XLOOKUP($A67,TabCAT!$A:$A,TabCAT!BA:BA,"NaN")="","NaN",(_xlfn.XLOOKUP($A67,TabCAT!$A:$A,TabCAT!BA:BA,"NaN")))</f>
        <v>0.69155750000000005</v>
      </c>
      <c r="EQ67" s="8">
        <f>IF(_xlfn.XLOOKUP($A67,TabCAT!$A:$A,TabCAT!BB:BB,"NaN")="","NaN",(_xlfn.XLOOKUP($A67,TabCAT!$A:$A,TabCAT!BB:BB,"NaN")))</f>
        <v>0.13656595526995999</v>
      </c>
      <c r="ER67" s="8">
        <f>IF(_xlfn.XLOOKUP($A67,TabCAT!$A:$A,TabCAT!BC:BC,"NaN")="","NaN",(_xlfn.XLOOKUP($A67,TabCAT!$A:$A,TabCAT!BC:BC,"NaN")))</f>
        <v>16</v>
      </c>
      <c r="ES67" s="8">
        <f>IF(_xlfn.XLOOKUP($A67,TabCAT!$A:$A,TabCAT!BD:BD,"NaN")="","NaN",(_xlfn.XLOOKUP($A67,TabCAT!$A:$A,TabCAT!BD:BD,"NaN")))</f>
        <v>0.64313200000000004</v>
      </c>
      <c r="ET67" s="8">
        <f>IF(_xlfn.XLOOKUP($A67,TabCAT!$A:$A,TabCAT!BE:BE,"NaN")="","NaN",(_xlfn.XLOOKUP($A67,TabCAT!$A:$A,TabCAT!BE:BE,"NaN")))</f>
        <v>16</v>
      </c>
      <c r="EU67" s="8">
        <f>IF(_xlfn.XLOOKUP($A67,TabCAT!$A:$A,TabCAT!BF:BF,"NaN")="","NaN",(_xlfn.XLOOKUP($A67,TabCAT!$A:$A,TabCAT!BF:BF,"NaN")))</f>
        <v>0.75372449999999902</v>
      </c>
      <c r="EV67" s="8" t="str">
        <f>IF(_xlfn.XLOOKUP($A67,TabCAT!$A:$A,TabCAT!BG:BG,"NaN")="","NaN",(_xlfn.XLOOKUP($A67,TabCAT!$A:$A,TabCAT!BG:BG,"NaN")))</f>
        <v>NaN</v>
      </c>
      <c r="EW67" s="8" t="str">
        <f>IF(_xlfn.XLOOKUP($A67,TabCAT!$A:$A,TabCAT!BH:BH,"NaN")="","NaN",(_xlfn.XLOOKUP($A67,TabCAT!$A:$A,TabCAT!BH:BH,"NaN")))</f>
        <v>3.0.0</v>
      </c>
      <c r="EX67" s="8" t="str">
        <f>IF(_xlfn.XLOOKUP($A67,TabCAT!$A:$A,TabCAT!BI:BI,"NaN")="","NaN",(_xlfn.XLOOKUP($A67,TabCAT!$A:$A,TabCAT!BI:BI,"NaN")))</f>
        <v>English</v>
      </c>
      <c r="EY67" s="8">
        <f>IF(_xlfn.XLOOKUP($A67,TabCAT!$A:$A,TabCAT!BJ:BJ,"NaN")="","NaN",(_xlfn.XLOOKUP($A67,TabCAT!$A:$A,TabCAT!BJ:BJ,"NaN")))</f>
        <v>265</v>
      </c>
      <c r="EZ67" s="8">
        <f>IF(_xlfn.XLOOKUP($A67,TabCAT!$A:$A,TabCAT!BK:BK,"NaN")="","NaN",(_xlfn.XLOOKUP($A67,TabCAT!$A:$A,TabCAT!BK:BK,"NaN")))</f>
        <v>1</v>
      </c>
      <c r="FA67" s="8">
        <f>IF(_xlfn.XLOOKUP($A67,TabCAT!$A:$A,TabCAT!BL:BL,"NaN")="","NaN",(_xlfn.XLOOKUP($A67,TabCAT!$A:$A,TabCAT!BL:BL,"NaN")))</f>
        <v>6</v>
      </c>
      <c r="FB67" s="8">
        <f>IF(_xlfn.XLOOKUP($A67,TabCAT!$A:$A,TabCAT!BM:BM,"NaN")="","NaN",(_xlfn.XLOOKUP($A67,TabCAT!$A:$A,TabCAT!BM:BM,"NaN")))</f>
        <v>1</v>
      </c>
      <c r="FC67" s="8">
        <f>IF(_xlfn.XLOOKUP($A67,TabCAT!$A:$A,TabCAT!BN:BN,"NaN")="","NaN",(_xlfn.XLOOKUP($A67,TabCAT!$A:$A,TabCAT!BN:BN,"NaN")))</f>
        <v>6</v>
      </c>
      <c r="FD67" s="8">
        <f>IF(_xlfn.XLOOKUP($A67,TabCAT!$A:$A,TabCAT!BO:BO,"NaN")="","NaN",(_xlfn.XLOOKUP($A67,TabCAT!$A:$A,TabCAT!BO:BO,"NaN")))</f>
        <v>8</v>
      </c>
      <c r="FE67" s="8">
        <f>IF(_xlfn.XLOOKUP($A67,TabCAT!$A:$A,TabCAT!BP:BP,"NaN")="","NaN",(_xlfn.XLOOKUP($A67,TabCAT!$A:$A,TabCAT!BP:BP,"NaN")))</f>
        <v>0.88888888888888795</v>
      </c>
      <c r="FF67" s="8">
        <f>IF(_xlfn.XLOOKUP($A67,TabCAT!$A:$A,TabCAT!BQ:BQ,"NaN")="","NaN",(_xlfn.XLOOKUP($A67,TabCAT!$A:$A,TabCAT!BQ:BQ,"NaN")))</f>
        <v>8</v>
      </c>
      <c r="FG67" s="8">
        <f>IF(_xlfn.XLOOKUP($A67,TabCAT!$A:$A,TabCAT!BR:BR,"NaN")="","NaN",(_xlfn.XLOOKUP($A67,TabCAT!$A:$A,TabCAT!BR:BR,"NaN")))</f>
        <v>11</v>
      </c>
      <c r="FH67" s="8">
        <f>IF(_xlfn.XLOOKUP($A67,TabCAT!$A:$A,TabCAT!BS:BS,"NaN")="","NaN",(_xlfn.XLOOKUP($A67,TabCAT!$A:$A,TabCAT!BS:BS,"NaN")))</f>
        <v>0.91666666666666596</v>
      </c>
      <c r="FI67" s="8">
        <f>IF(_xlfn.XLOOKUP($A67,TabCAT!$A:$A,TabCAT!BT:BT,"NaN")="","NaN",(_xlfn.XLOOKUP($A67,TabCAT!$A:$A,TabCAT!BT:BT,"NaN")))</f>
        <v>10.5</v>
      </c>
      <c r="FJ67" s="8">
        <f>IF(_xlfn.XLOOKUP($A67,TabCAT!$A:$A,TabCAT!BU:BU,"NaN")="","NaN",(_xlfn.XLOOKUP($A67,TabCAT!$A:$A,TabCAT!BU:BU,"NaN")))</f>
        <v>11</v>
      </c>
      <c r="FK67" s="8">
        <f>IF(_xlfn.XLOOKUP($A67,TabCAT!$A:$A,TabCAT!BV:BV,"NaN")="","NaN",(_xlfn.XLOOKUP($A67,TabCAT!$A:$A,TabCAT!BV:BV,"NaN")))</f>
        <v>0.73333333333333295</v>
      </c>
      <c r="FL67" s="8">
        <f>IF(_xlfn.XLOOKUP($A67,TabCAT!$A:$A,TabCAT!BW:BW,"NaN")="","NaN",(_xlfn.XLOOKUP($A67,TabCAT!$A:$A,TabCAT!BW:BW,"NaN")))</f>
        <v>10</v>
      </c>
      <c r="FM67" s="8">
        <f>IF(_xlfn.XLOOKUP($A67,TabCAT!$A:$A,TabCAT!BX:BX,"NaN")="","NaN",(_xlfn.XLOOKUP($A67,TabCAT!$A:$A,TabCAT!BX:BX,"NaN")))</f>
        <v>36</v>
      </c>
      <c r="FN67" s="8">
        <f>IF(_xlfn.XLOOKUP($A67,TabCAT!$A:$A,TabCAT!BY:BY,"NaN")="","NaN",(_xlfn.XLOOKUP($A67,TabCAT!$A:$A,TabCAT!BY:BY,"NaN")))</f>
        <v>0.85714285714285698</v>
      </c>
      <c r="FO67" s="8">
        <f>IF(_xlfn.XLOOKUP($A67,TabCAT!$A:$A,TabCAT!BZ:BZ,"NaN")="","NaN",(_xlfn.XLOOKUP($A67,TabCAT!$A:$A,TabCAT!BZ:BZ,"NaN")))</f>
        <v>34.5</v>
      </c>
      <c r="FP67" s="8" t="str">
        <f>IF(_xlfn.XLOOKUP($A67,TabCAT!$A:$A,TabCAT!CA:CA,"NaN")="","NaN",(_xlfn.XLOOKUP($A67,TabCAT!$A:$A,TabCAT!CA:CA,"NaN")))</f>
        <v>3.0.0</v>
      </c>
      <c r="FQ67" s="8" t="str">
        <f>IF(_xlfn.XLOOKUP($A67,TabCAT!$A:$A,TabCAT!CB:CB,"NaN")="","NaN",(_xlfn.XLOOKUP($A67,TabCAT!$A:$A,TabCAT!CB:CB,"NaN")))</f>
        <v>English</v>
      </c>
      <c r="FR67" s="8">
        <f>IF(_xlfn.XLOOKUP($A67,TabCAT!$A:$A,TabCAT!CC:CC,"NaN")="","NaN",(_xlfn.XLOOKUP($A67,TabCAT!$A:$A,TabCAT!CC:CC,"NaN")))</f>
        <v>225</v>
      </c>
      <c r="FS67" s="8" t="b">
        <f>IF(_xlfn.XLOOKUP($A67,TabCAT!$A:$A,TabCAT!CD:CD,"NaN")="","NaN",(_xlfn.XLOOKUP($A67,TabCAT!$A:$A,TabCAT!CD:CD,"NaN")))</f>
        <v>1</v>
      </c>
      <c r="FT67" s="8">
        <f>IF(_xlfn.XLOOKUP($A67,TabCAT!$A:$A,TabCAT!CE:CE,"NaN")="","NaN",(_xlfn.XLOOKUP($A67,TabCAT!$A:$A,TabCAT!CE:CE,"NaN")))</f>
        <v>8</v>
      </c>
      <c r="FU67" s="8">
        <f>IF(_xlfn.XLOOKUP($A67,TabCAT!$A:$A,TabCAT!CF:CF,"NaN")="","NaN",(_xlfn.XLOOKUP($A67,TabCAT!$A:$A,TabCAT!CF:CF,"NaN")))</f>
        <v>0</v>
      </c>
      <c r="FV67" s="8">
        <f>IF(_xlfn.XLOOKUP($A67,TabCAT!$A:$A,TabCAT!CG:CG,"NaN")="","NaN",(_xlfn.XLOOKUP($A67,TabCAT!$A:$A,TabCAT!CG:CG,"NaN")))</f>
        <v>8.51</v>
      </c>
      <c r="FW67" s="8">
        <f>IF(_xlfn.XLOOKUP($A67,TabCAT!$A:$A,TabCAT!CH:CH,"NaN")="","NaN",(_xlfn.XLOOKUP($A67,TabCAT!$A:$A,TabCAT!CH:CH,"NaN")))</f>
        <v>16</v>
      </c>
      <c r="FX67" s="8">
        <f>IF(_xlfn.XLOOKUP($A67,TabCAT!$A:$A,TabCAT!CI:CI,"NaN")="","NaN",(_xlfn.XLOOKUP($A67,TabCAT!$A:$A,TabCAT!CI:CI,"NaN")))</f>
        <v>0.57952300000000001</v>
      </c>
      <c r="FY67" s="8">
        <f>IF(_xlfn.XLOOKUP($A67,TabCAT!$A:$A,TabCAT!CJ:CJ,"NaN")="","NaN",(_xlfn.XLOOKUP($A67,TabCAT!$A:$A,TabCAT!CJ:CJ,"NaN")))</f>
        <v>16</v>
      </c>
      <c r="FZ67" s="8">
        <f>IF(_xlfn.XLOOKUP($A67,TabCAT!$A:$A,TabCAT!CK:CK,"NaN")="","NaN",(_xlfn.XLOOKUP($A67,TabCAT!$A:$A,TabCAT!CK:CK,"NaN")))</f>
        <v>0.66735750000000005</v>
      </c>
      <c r="GA67" s="8">
        <f>IF(_xlfn.XLOOKUP($A67,TabCAT!$A:$A,TabCAT!CL:CL,"NaN")="","NaN",(_xlfn.XLOOKUP($A67,TabCAT!$A:$A,TabCAT!CL:CL,"NaN")))</f>
        <v>32</v>
      </c>
      <c r="GB67" s="8">
        <f>IF(_xlfn.XLOOKUP($A67,TabCAT!$A:$A,TabCAT!CM:CM,"NaN")="","NaN",(_xlfn.XLOOKUP($A67,TabCAT!$A:$A,TabCAT!CM:CM,"NaN")))</f>
        <v>0.71174950000000003</v>
      </c>
      <c r="GC67" s="8">
        <f>IF(_xlfn.XLOOKUP($A67,TabCAT!$A:$A,TabCAT!CN:CN,"NaN")="","NaN",(_xlfn.XLOOKUP($A67,TabCAT!$A:$A,TabCAT!CN:CN,"NaN")))</f>
        <v>22</v>
      </c>
      <c r="GD67" s="8">
        <f>IF(_xlfn.XLOOKUP($A67,TabCAT!$A:$A,TabCAT!CO:CO,"NaN")="","NaN",(_xlfn.XLOOKUP($A67,TabCAT!$A:$A,TabCAT!CO:CO,"NaN")))</f>
        <v>0.73661100000000002</v>
      </c>
      <c r="GE67" s="8">
        <f>IF(_xlfn.XLOOKUP($A67,TabCAT!$A:$A,TabCAT!CP:CP,"NaN")="","NaN",(_xlfn.XLOOKUP($A67,TabCAT!$A:$A,TabCAT!CP:CP,"NaN")))</f>
        <v>0.14358032001641599</v>
      </c>
      <c r="GF67" s="8">
        <f>IF(_xlfn.XLOOKUP($A67,TabCAT!$A:$A,TabCAT!CQ:CQ,"NaN")="","NaN",(_xlfn.XLOOKUP($A67,TabCAT!$A:$A,TabCAT!CQ:CQ,"NaN")))</f>
        <v>52</v>
      </c>
      <c r="GG67" s="8">
        <f>IF(_xlfn.XLOOKUP($A67,TabCAT!$A:$A,TabCAT!CR:CR,"NaN")="","NaN",(_xlfn.XLOOKUP($A67,TabCAT!$A:$A,TabCAT!CR:CR,"NaN")))</f>
        <v>0.63871049999999996</v>
      </c>
      <c r="GH67" s="8" t="str">
        <f>IF(_xlfn.XLOOKUP($A67,TabCAT!$A:$A,TabCAT!CS:CS,"NaN")="","NaN",(_xlfn.XLOOKUP($A67,TabCAT!$A:$A,TabCAT!CS:CS,"NaN")))</f>
        <v>NaN</v>
      </c>
    </row>
    <row r="68" spans="1:190" x14ac:dyDescent="0.2">
      <c r="A68">
        <v>10806</v>
      </c>
      <c r="B68">
        <f>_xlfn.XLOOKUP(bippity_poppity_boo!A68,rf1_data!A:A,rf1_data!B:B)</f>
        <v>150896</v>
      </c>
      <c r="C68" s="2">
        <f>(_xlfn.XLOOKUP($A68,trust!$A:$A,trust!B:B,"NaN"))</f>
        <v>2.2222219999999999</v>
      </c>
      <c r="D68" s="2">
        <f>(_xlfn.XLOOKUP($A68,trust!$A:$A,trust!C:C,"NaN"))</f>
        <v>2.8571430000000002</v>
      </c>
      <c r="E68" s="2">
        <f>(_xlfn.XLOOKUP($A68,trust!$A:$A,trust!D:D,"NaN"))</f>
        <v>4</v>
      </c>
      <c r="F68" s="2">
        <f>(_xlfn.XLOOKUP($A68,trust!$A:$A,trust!E:E,"NaN"))</f>
        <v>4.3333329999999997</v>
      </c>
      <c r="G68" s="2">
        <f>(_xlfn.XLOOKUP($A68,trust!$A:$A,trust!F:F,"NaN"))</f>
        <v>4.5</v>
      </c>
      <c r="H68" s="2">
        <f>(_xlfn.XLOOKUP($A68,trust!$A:$A,trust!G:G,"NaN"))</f>
        <v>6.5</v>
      </c>
      <c r="I68" s="3">
        <f>IF(_xlfn.XLOOKUP($B68,island_data!$B:$B,island_data!C:C,"NaN")="","NaN",_xlfn.XLOOKUP($B68,island_data!$B:$B,island_data!C:C,"NaN"))</f>
        <v>45127</v>
      </c>
      <c r="J68" s="3">
        <f>IF(_xlfn.XLOOKUP($B68,island_data!$B:$B,island_data!D:D,"NaN")="","NaN",_xlfn.XLOOKUP($B68,island_data!$B:$B,island_data!D:D,"NaN"))</f>
        <v>35315</v>
      </c>
      <c r="K68" s="4">
        <f>IF(_xlfn.XLOOKUP($B68,island_data!$B:$B,island_data!E:E,"NaN")="","NaN",_xlfn.XLOOKUP($B68,island_data!$B:$B,island_data!E:E,"NaN"))</f>
        <v>26.86</v>
      </c>
      <c r="L68" s="5">
        <f>IF(_xlfn.XLOOKUP($B68,rf1_data!$B:$B,rf1_data!D:D,"NaN")="","NaN",(_xlfn.XLOOKUP($B68,rf1_data!$B:$B,rf1_data!D:D,"NaN")))</f>
        <v>26.99</v>
      </c>
      <c r="M68" s="5" t="str">
        <f>IF(_xlfn.XLOOKUP($B68,rf1_data!$B:$B,rf1_data!E:E,"NaN")="","NaN",(_xlfn.XLOOKUP($B68,rf1_data!$B:$B,rf1_data!E:E,"NaN")))</f>
        <v>Prefer not to respond</v>
      </c>
      <c r="N68" s="5" t="str">
        <f>IF(_xlfn.XLOOKUP($B68,rf1_data!$B:$B,rf1_data!F:F,"NaN")="","NaN",(_xlfn.XLOOKUP($B68,rf1_data!$B:$B,rf1_data!F:F,"NaN")))</f>
        <v>Not Hispanic or Latino</v>
      </c>
      <c r="O68" s="5" t="str">
        <f>IF(_xlfn.XLOOKUP($B68,rf1_data!$B:$B,rf1_data!G:G,"NaN")="","NaN",(_xlfn.XLOOKUP($B68,rf1_data!$B:$B,rf1_data!G:G,"NaN")))</f>
        <v>Male</v>
      </c>
      <c r="P68" s="5" t="str">
        <f>IF(_xlfn.XLOOKUP($B68,rf1_data!$B:$B,rf1_data!H:H,"NaN")="","NaN",(_xlfn.XLOOKUP($B68,rf1_data!$B:$B,rf1_data!H:H,"NaN")))</f>
        <v>NaN</v>
      </c>
      <c r="Q68" s="5" t="str">
        <f>IF(_xlfn.XLOOKUP($B68,rf1_data!$B:$B,rf1_data!I:I,"NaN")="","NaN",(_xlfn.XLOOKUP($B68,rf1_data!$B:$B,rf1_data!I:I,"NaN")))</f>
        <v>NaN</v>
      </c>
      <c r="R68" s="5" t="str">
        <f>IF(_xlfn.XLOOKUP($B68,rf1_data!$B:$B,rf1_data!J:J,"NaN")="","NaN",(_xlfn.XLOOKUP($B68,rf1_data!$B:$B,rf1_data!J:J,"NaN")))</f>
        <v>NaN</v>
      </c>
      <c r="S68" s="5" t="str">
        <f>IF(_xlfn.XLOOKUP($B68,rf1_data!$B:$B,rf1_data!K:K,"NaN")="","NaN",(_xlfn.XLOOKUP($B68,rf1_data!$B:$B,rf1_data!K:K,"NaN")))</f>
        <v>NaN</v>
      </c>
      <c r="T68" s="5">
        <f>IF(_xlfn.XLOOKUP($B68,rf1_data!$B:$B,rf1_data!L:L,"NaN")="","NaN",(_xlfn.XLOOKUP($B68,rf1_data!$B:$B,rf1_data!L:L,"NaN")))</f>
        <v>0</v>
      </c>
      <c r="U68" s="5" t="str">
        <f>IF(_xlfn.XLOOKUP($B68,rf1_data!$B:$B,rf1_data!M:M,"NaN")="","NaN",(_xlfn.XLOOKUP($B68,rf1_data!$B:$B,rf1_data!M:M,"NaN")))</f>
        <v>NaN</v>
      </c>
      <c r="V68" s="5" t="str">
        <f>IF(_xlfn.XLOOKUP($B68,rf1_data!$B:$B,rf1_data!N:N,"NaN")="","NaN",(_xlfn.XLOOKUP($B68,rf1_data!$B:$B,rf1_data!N:N,"NaN")))</f>
        <v>NaN</v>
      </c>
      <c r="W68" s="5" t="str">
        <f>IF(_xlfn.XLOOKUP($B68,rf1_data!$B:$B,rf1_data!O:O,"NaN")="","NaN",(_xlfn.XLOOKUP($B68,rf1_data!$B:$B,rf1_data!O:O,"NaN")))</f>
        <v>NaN</v>
      </c>
      <c r="X68" s="5" t="str">
        <f>IF(_xlfn.XLOOKUP($B68,rf1_data!$B:$B,rf1_data!P:P,"NaN")="","NaN",(_xlfn.XLOOKUP($B68,rf1_data!$B:$B,rf1_data!P:P,"NaN")))</f>
        <v>NaN</v>
      </c>
      <c r="Y68" s="5" t="str">
        <f>IF(_xlfn.XLOOKUP($B68,rf1_data!$B:$B,rf1_data!Q:Q,"NaN")="","NaN",(_xlfn.XLOOKUP($B68,rf1_data!$B:$B,rf1_data!Q:Q,"NaN")))</f>
        <v>NaN</v>
      </c>
      <c r="Z68" s="5" t="str">
        <f>IF(_xlfn.XLOOKUP($B68,rf1_data!$B:$B,rf1_data!R:R,"NaN")="","NaN",(_xlfn.XLOOKUP($B68,rf1_data!$B:$B,rf1_data!R:R,"NaN")))</f>
        <v>NaN</v>
      </c>
      <c r="AA68" s="5" t="str">
        <f>IF(_xlfn.XLOOKUP($B68,rf1_data!$B:$B,rf1_data!S:S,"NaN")="","NaN",(_xlfn.XLOOKUP($B68,rf1_data!$B:$B,rf1_data!S:S,"NaN")))</f>
        <v>NaN</v>
      </c>
      <c r="AB68" s="5" t="str">
        <f>IF(_xlfn.XLOOKUP($B68,rf1_data!$B:$B,rf1_data!T:T,"NaN")="","NaN",(_xlfn.XLOOKUP($B68,rf1_data!$B:$B,rf1_data!T:T,"NaN")))</f>
        <v>NaN</v>
      </c>
      <c r="AC68" s="5" t="str">
        <f>IF(_xlfn.XLOOKUP($B68,rf1_data!$B:$B,rf1_data!U:U,"NaN")="","NaN",(_xlfn.XLOOKUP($B68,rf1_data!$B:$B,rf1_data!U:U,"NaN")))</f>
        <v>NaN</v>
      </c>
      <c r="AD68" s="5" t="str">
        <f>IF(_xlfn.XLOOKUP($B68,rf1_data!$B:$B,rf1_data!V:V,"NaN")="","NaN",(_xlfn.XLOOKUP($B68,rf1_data!$B:$B,rf1_data!V:V,"NaN")))</f>
        <v>NaN</v>
      </c>
      <c r="AE68" s="5">
        <f>IF(_xlfn.XLOOKUP($B68,rf1_data!$B:$B,rf1_data!W:W,"NaN")="","NaN",(_xlfn.XLOOKUP($B68,rf1_data!$B:$B,rf1_data!W:W,"NaN")))</f>
        <v>0</v>
      </c>
      <c r="AF68" s="5">
        <f>IF(_xlfn.XLOOKUP($B68,rf1_data!$B:$B,rf1_data!X:X,"NaN")="","NaN",(_xlfn.XLOOKUP($B68,rf1_data!$B:$B,rf1_data!X:X,"NaN")))</f>
        <v>0</v>
      </c>
      <c r="AG68" s="5">
        <f>IF(_xlfn.XLOOKUP($B68,rf1_data!$B:$B,rf1_data!Y:Y,"NaN")="","NaN",(_xlfn.XLOOKUP($B68,rf1_data!$B:$B,rf1_data!Y:Y,"NaN")))</f>
        <v>0</v>
      </c>
      <c r="AH68" s="5">
        <f>IF(_xlfn.XLOOKUP($B68,rf1_data!$B:$B,rf1_data!Z:Z,"NaN")="","NaN",(_xlfn.XLOOKUP($B68,rf1_data!$B:$B,rf1_data!Z:Z,"NaN")))</f>
        <v>0</v>
      </c>
      <c r="AI68" s="5">
        <f>IF(_xlfn.XLOOKUP($B68,rf1_data!$B:$B,rf1_data!AA:AA,"NaN")="","NaN",(_xlfn.XLOOKUP($B68,rf1_data!$B:$B,rf1_data!AA:AA,"NaN")))</f>
        <v>0</v>
      </c>
      <c r="AJ68" s="5">
        <f>IF(_xlfn.XLOOKUP($B68,rf1_data!$B:$B,rf1_data!AB:AB,"NaN")="","NaN",(_xlfn.XLOOKUP($B68,rf1_data!$B:$B,rf1_data!AB:AB,"NaN")))</f>
        <v>0</v>
      </c>
      <c r="AK68" s="5">
        <f>IF(_xlfn.XLOOKUP($B68,rf1_data!$B:$B,rf1_data!AC:AC,"NaN")="","NaN",(_xlfn.XLOOKUP($B68,rf1_data!$B:$B,rf1_data!AC:AC,"NaN")))</f>
        <v>27</v>
      </c>
      <c r="AL68" s="5">
        <f>IF(_xlfn.XLOOKUP($B68,rf1_data!$B:$B,rf1_data!AD:AD,"NaN")="","NaN",(_xlfn.XLOOKUP($B68,rf1_data!$B:$B,rf1_data!AD:AD,"NaN")))</f>
        <v>11</v>
      </c>
      <c r="AM68" s="5">
        <f>IF(_xlfn.XLOOKUP($B68,rf1_data!$B:$B,rf1_data!AE:AE,"NaN")="","NaN",(_xlfn.XLOOKUP($B68,rf1_data!$B:$B,rf1_data!AE:AE,"NaN")))</f>
        <v>0</v>
      </c>
      <c r="AN68" s="5">
        <f>IF(_xlfn.XLOOKUP($B68,rf1_data!$B:$B,rf1_data!AF:AF,"NaN")="","NaN",(_xlfn.XLOOKUP($B68,rf1_data!$B:$B,rf1_data!AF:AF,"NaN")))</f>
        <v>0</v>
      </c>
      <c r="AO68" s="5">
        <f>IF(_xlfn.XLOOKUP($B68,rf1_data!$B:$B,rf1_data!AG:AG,"NaN")="","NaN",(_xlfn.XLOOKUP($B68,rf1_data!$B:$B,rf1_data!AG:AG,"NaN")))</f>
        <v>5</v>
      </c>
      <c r="AP68" s="5">
        <f>IF(_xlfn.XLOOKUP($B68,rf1_data!$B:$B,rf1_data!AH:AH,"NaN")="","NaN",(_xlfn.XLOOKUP($B68,rf1_data!$B:$B,rf1_data!AH:AH,"NaN")))</f>
        <v>6</v>
      </c>
      <c r="AQ68" s="5">
        <f>IF(_xlfn.XLOOKUP($B68,rf1_data!$B:$B,rf1_data!AI:AI,"NaN")="","NaN",(_xlfn.XLOOKUP($B68,rf1_data!$B:$B,rf1_data!AI:AI,"NaN")))</f>
        <v>3.5</v>
      </c>
      <c r="AR68" s="5">
        <f>IF(_xlfn.XLOOKUP($B68,rf1_data!$B:$B,rf1_data!AJ:AJ,"NaN")="","NaN",(_xlfn.XLOOKUP($B68,rf1_data!$B:$B,rf1_data!AJ:AJ,"NaN")))</f>
        <v>5.5</v>
      </c>
      <c r="AS68" s="5">
        <f>IF(_xlfn.XLOOKUP($B68,rf1_data!$B:$B,rf1_data!AK:AK,"NaN")="","NaN",(_xlfn.XLOOKUP($B68,rf1_data!$B:$B,rf1_data!AK:AK,"NaN")))</f>
        <v>2.4</v>
      </c>
      <c r="AT68" s="5">
        <f>IF(_xlfn.XLOOKUP($B68,rf1_data!$B:$B,rf1_data!AL:AL,"NaN")="","NaN",(_xlfn.XLOOKUP($B68,rf1_data!$B:$B,rf1_data!AL:AL,"NaN")))</f>
        <v>14</v>
      </c>
      <c r="AU68" s="5">
        <f>IF(_xlfn.XLOOKUP($B68,rf1_data!$B:$B,rf1_data!AM:AM,"NaN")="","NaN",(_xlfn.XLOOKUP($B68,rf1_data!$B:$B,rf1_data!AM:AM,"NaN")))</f>
        <v>2.33</v>
      </c>
      <c r="AV68" s="5">
        <f>IF(_xlfn.XLOOKUP($B68,rf1_data!$B:$B,rf1_data!AN:AN,"NaN")="","NaN",(_xlfn.XLOOKUP($B68,rf1_data!$B:$B,rf1_data!AN:AN,"NaN")))</f>
        <v>6</v>
      </c>
      <c r="AW68" s="5">
        <f>IF(_xlfn.XLOOKUP($B68,rf1_data!$B:$B,rf1_data!AO:AO,"NaN")="","NaN",(_xlfn.XLOOKUP($B68,rf1_data!$B:$B,rf1_data!AO:AO,"NaN")))</f>
        <v>2.33</v>
      </c>
      <c r="AX68" s="5">
        <f>IF(_xlfn.XLOOKUP($B68,rf1_data!$B:$B,rf1_data!AP:AP,"NaN")="","NaN",(_xlfn.XLOOKUP($B68,rf1_data!$B:$B,rf1_data!AP:AP,"NaN")))</f>
        <v>9999</v>
      </c>
      <c r="AY68" s="5" t="str">
        <f>IF(_xlfn.XLOOKUP($B68,rf1_data!$B:$B,rf1_data!AQ:AQ,"NaN")="","NaN",(_xlfn.XLOOKUP($B68,rf1_data!$B:$B,rf1_data!AQ:AQ,"NaN")))</f>
        <v>NaN</v>
      </c>
      <c r="AZ68" s="5" t="str">
        <f>IF(_xlfn.XLOOKUP($B68,rf1_data!$B:$B,rf1_data!AR:AR,"NaN")="","NaN",(_xlfn.XLOOKUP($B68,rf1_data!$B:$B,rf1_data!AR:AR,"NaN")))</f>
        <v>NaN</v>
      </c>
      <c r="BA68" s="5" t="str">
        <f>IF(_xlfn.XLOOKUP($B68,rf1_data!$B:$B,rf1_data!AS:AS,"NaN")="","NaN",(_xlfn.XLOOKUP($B68,rf1_data!$B:$B,rf1_data!AS:AS,"NaN")))</f>
        <v>NaN</v>
      </c>
      <c r="BB68" s="5" t="str">
        <f>IF(_xlfn.XLOOKUP($B68,rf1_data!$B:$B,rf1_data!AT:AT,"NaN")="","NaN",(_xlfn.XLOOKUP($B68,rf1_data!$B:$B,rf1_data!AT:AT,"NaN")))</f>
        <v>NaN</v>
      </c>
      <c r="BC68" s="5" t="str">
        <f>IF(_xlfn.XLOOKUP($B68,rf1_data!$B:$B,rf1_data!AU:AU,"NaN")="","NaN",(_xlfn.XLOOKUP($B68,rf1_data!$B:$B,rf1_data!AU:AU,"NaN")))</f>
        <v>NaN</v>
      </c>
      <c r="BD68" s="5" t="str">
        <f>IF(_xlfn.XLOOKUP($B68,rf1_data!$B:$B,rf1_data!AV:AV,"NaN")="","NaN",(_xlfn.XLOOKUP($B68,rf1_data!$B:$B,rf1_data!AV:AV,"NaN")))</f>
        <v>NaN</v>
      </c>
      <c r="BE68" s="5" t="str">
        <f>IF(_xlfn.XLOOKUP($B68,rf1_data!$B:$B,rf1_data!AW:AW,"NaN")="","NaN",(_xlfn.XLOOKUP($B68,rf1_data!$B:$B,rf1_data!AW:AW,"NaN")))</f>
        <v>NaN</v>
      </c>
      <c r="BF68" s="5" t="str">
        <f>IF(_xlfn.XLOOKUP($B68,rf1_data!$B:$B,rf1_data!AX:AX,"NaN")="","NaN",(_xlfn.XLOOKUP($B68,rf1_data!$B:$B,rf1_data!AX:AX,"NaN")))</f>
        <v>NaN</v>
      </c>
      <c r="BG68" s="5" t="str">
        <f>IF(_xlfn.XLOOKUP($B68,rf1_data!$B:$B,rf1_data!AY:AY,"NaN")="","NaN",(_xlfn.XLOOKUP($B68,rf1_data!$B:$B,rf1_data!AY:AY,"NaN")))</f>
        <v>NaN</v>
      </c>
      <c r="BH68" s="5" t="str">
        <f>IF(_xlfn.XLOOKUP($B68,rf1_data!$B:$B,rf1_data!AZ:AZ,"NaN")="","NaN",(_xlfn.XLOOKUP($B68,rf1_data!$B:$B,rf1_data!AZ:AZ,"NaN")))</f>
        <v>NaN</v>
      </c>
      <c r="BI68" s="5">
        <f>IF(_xlfn.XLOOKUP($B68,rf1_data!$B:$B,rf1_data!BA:BA,"NaN")="","NaN",(_xlfn.XLOOKUP($B68,rf1_data!$B:$B,rf1_data!BA:BA,"NaN")))</f>
        <v>20</v>
      </c>
      <c r="BJ68" s="5" t="str">
        <f>IF(_xlfn.XLOOKUP($B68,rf1_data!$B:$B,rf1_data!BB:BB,"NaN")="","NaN",(_xlfn.XLOOKUP($B68,rf1_data!$B:$B,rf1_data!BB:BB,"NaN")))</f>
        <v>NaN</v>
      </c>
      <c r="BK68" s="5" t="str">
        <f>IF(_xlfn.XLOOKUP($B68,rf1_data!$B:$B,rf1_data!BC:BC,"NaN")="","NaN",(_xlfn.XLOOKUP($B68,rf1_data!$B:$B,rf1_data!BC:BC,"NaN")))</f>
        <v>NaN</v>
      </c>
      <c r="BL68" s="5" t="str">
        <f>IF(_xlfn.XLOOKUP($B68,rf1_data!$B:$B,rf1_data!BD:BD,"NaN")="","NaN",(_xlfn.XLOOKUP($B68,rf1_data!$B:$B,rf1_data!BD:BD,"NaN")))</f>
        <v>NaN</v>
      </c>
      <c r="BM68" s="5" t="str">
        <f>IF(_xlfn.XLOOKUP($B68,rf1_data!$B:$B,rf1_data!BE:BE,"NaN")="","NaN",(_xlfn.XLOOKUP($B68,rf1_data!$B:$B,rf1_data!BE:BE,"NaN")))</f>
        <v>NaN</v>
      </c>
      <c r="BN68" s="5" t="str">
        <f>IF(_xlfn.XLOOKUP($B68,rf1_data!$B:$B,rf1_data!BF:BF,"NaN")="","NaN",(_xlfn.XLOOKUP($B68,rf1_data!$B:$B,rf1_data!BF:BF,"NaN")))</f>
        <v>NaN</v>
      </c>
      <c r="BO68" s="5" t="str">
        <f>IF(_xlfn.XLOOKUP($B68,rf1_data!$B:$B,rf1_data!BG:BG,"NaN")="","NaN",(_xlfn.XLOOKUP($B68,rf1_data!$B:$B,rf1_data!BG:BG,"NaN")))</f>
        <v>NaN</v>
      </c>
      <c r="BP68" s="5" t="str">
        <f>IF(_xlfn.XLOOKUP($B68,rf1_data!$B:$B,rf1_data!BH:BH,"NaN")="","NaN",(_xlfn.XLOOKUP($B68,rf1_data!$B:$B,rf1_data!BH:BH,"NaN")))</f>
        <v>NaN</v>
      </c>
      <c r="BQ68" s="5" t="str">
        <f>IF(_xlfn.XLOOKUP($B68,rf1_data!$B:$B,rf1_data!BI:BI,"NaN")="","NaN",(_xlfn.XLOOKUP($B68,rf1_data!$B:$B,rf1_data!BI:BI,"NaN")))</f>
        <v>NaN</v>
      </c>
      <c r="BR68" s="5">
        <f>IF(_xlfn.XLOOKUP($B68,rf1_data!$B:$B,rf1_data!BJ:BJ,"NaN")="","NaN",(_xlfn.XLOOKUP($B68,rf1_data!$B:$B,rf1_data!BJ:BJ,"NaN")))</f>
        <v>8991</v>
      </c>
      <c r="BS68" s="5" t="str">
        <f>IF(_xlfn.XLOOKUP($B68,rf1_data!$B:$B,rf1_data!BK:BK,"NaN")="","NaN",(_xlfn.XLOOKUP($B68,rf1_data!$B:$B,rf1_data!BK:BK,"NaN")))</f>
        <v>NaN</v>
      </c>
      <c r="BT68" s="5" t="str">
        <f>IF(_xlfn.XLOOKUP($B68,rf1_data!$B:$B,rf1_data!BL:BL,"NaN")="","NaN",(_xlfn.XLOOKUP($B68,rf1_data!$B:$B,rf1_data!BL:BL,"NaN")))</f>
        <v>NaN</v>
      </c>
      <c r="BU68" s="5" t="str">
        <f>IF(_xlfn.XLOOKUP($B68,rf1_data!$B:$B,rf1_data!BM:BM,"NaN")="","NaN",(_xlfn.XLOOKUP($B68,rf1_data!$B:$B,rf1_data!BM:BM,"NaN")))</f>
        <v>NaN</v>
      </c>
      <c r="BV68" s="5" t="str">
        <f>IF(_xlfn.XLOOKUP($B68,rf1_data!$B:$B,rf1_data!BN:BN,"NaN")="","NaN",(_xlfn.XLOOKUP($B68,rf1_data!$B:$B,rf1_data!BN:BN,"NaN")))</f>
        <v>NaN</v>
      </c>
      <c r="BW68" s="5" t="str">
        <f>IF(_xlfn.XLOOKUP($B68,rf1_data!$B:$B,rf1_data!BO:BO,"NaN")="","NaN",(_xlfn.XLOOKUP($B68,rf1_data!$B:$B,rf1_data!BO:BO,"NaN")))</f>
        <v>NaN</v>
      </c>
      <c r="BX68" s="5" t="str">
        <f>IF(_xlfn.XLOOKUP($B68,rf1_data!$B:$B,rf1_data!BP:BP,"NaN")="","NaN",(_xlfn.XLOOKUP($B68,rf1_data!$B:$B,rf1_data!BP:BP,"NaN")))</f>
        <v>NaN</v>
      </c>
      <c r="BY68" s="5" t="str">
        <f>IF(_xlfn.XLOOKUP($B68,rf1_data!$B:$B,rf1_data!BQ:BQ,"NaN")="","NaN",(_xlfn.XLOOKUP($B68,rf1_data!$B:$B,rf1_data!BQ:BQ,"NaN")))</f>
        <v>NaN</v>
      </c>
      <c r="BZ68" s="5" t="str">
        <f>IF(_xlfn.XLOOKUP($B68,rf1_data!$B:$B,rf1_data!BR:BR,"NaN")="","NaN",(_xlfn.XLOOKUP($B68,rf1_data!$B:$B,rf1_data!BR:BR,"NaN")))</f>
        <v>NaN</v>
      </c>
      <c r="CA68" s="5">
        <f>IF(_xlfn.XLOOKUP($B68,rf1_data!$B:$B,rf1_data!BS:BS,"NaN")="","NaN",(_xlfn.XLOOKUP($B68,rf1_data!$B:$B,rf1_data!BS:BS,"NaN")))</f>
        <v>6</v>
      </c>
      <c r="CB68" s="5">
        <f>IF(_xlfn.XLOOKUP($B68,rf1_data!$B:$B,rf1_data!BT:BT,"NaN")="","NaN",(_xlfn.XLOOKUP($B68,rf1_data!$B:$B,rf1_data!BT:BT,"NaN")))</f>
        <v>3.8333333333333299</v>
      </c>
      <c r="CC68" s="5">
        <f>IF(_xlfn.XLOOKUP($B68,rf1_data!$B:$B,rf1_data!BU:BU,"NaN")="","NaN",(_xlfn.XLOOKUP($B68,rf1_data!$B:$B,rf1_data!BU:BU,"NaN")))</f>
        <v>3.5</v>
      </c>
      <c r="CD68" s="5">
        <f>IF(_xlfn.XLOOKUP($B68,rf1_data!$B:$B,rf1_data!BV:BV,"NaN")="","NaN",(_xlfn.XLOOKUP($B68,rf1_data!$B:$B,rf1_data!BV:BV,"NaN")))</f>
        <v>2.6666666666666599</v>
      </c>
      <c r="CE68" s="5" t="str">
        <f>IF(_xlfn.XLOOKUP($B68,rf1_data!$B:$B,rf1_data!BW:BW,"NaN")="","NaN",(_xlfn.XLOOKUP($B68,rf1_data!$B:$B,rf1_data!BW:BW,"NaN")))</f>
        <v>NaN</v>
      </c>
      <c r="CF68" s="5">
        <f>IF(_xlfn.XLOOKUP($B68,rf1_data!$B:$B,rf1_data!BX:BX,"NaN")="","NaN",(_xlfn.XLOOKUP($B68,rf1_data!$B:$B,rf1_data!BX:BX,"NaN")))</f>
        <v>0</v>
      </c>
      <c r="CG68" s="5">
        <f>IF(_xlfn.XLOOKUP($B68,rf1_data!$B:$B,rf1_data!BY:BY,"NaN")="","NaN",(_xlfn.XLOOKUP($B68,rf1_data!$B:$B,rf1_data!BY:BY,"NaN")))</f>
        <v>0</v>
      </c>
      <c r="CH68" s="5">
        <f>IF(_xlfn.XLOOKUP($B68,rf1_data!$B:$B,rf1_data!BZ:BZ,"NaN")="","NaN",(_xlfn.XLOOKUP($B68,rf1_data!$B:$B,rf1_data!BZ:BZ,"NaN")))</f>
        <v>14</v>
      </c>
      <c r="CI68" s="5">
        <f>IF(_xlfn.XLOOKUP($B68,rf1_data!$B:$B,rf1_data!CA:CA,"NaN")="","NaN",(_xlfn.XLOOKUP($B68,rf1_data!$B:$B,rf1_data!CA:CA,"NaN")))</f>
        <v>26</v>
      </c>
      <c r="CJ68" s="5">
        <f>IF(_xlfn.XLOOKUP($B68,rf1_data!$B:$B,rf1_data!CB:CB,"NaN")="","NaN",(_xlfn.XLOOKUP($B68,rf1_data!$B:$B,rf1_data!CB:CB,"NaN")))</f>
        <v>5</v>
      </c>
      <c r="CK68" s="5">
        <f>IF(_xlfn.XLOOKUP($B68,rf1_data!$B:$B,rf1_data!CC:CC,"NaN")="","NaN",(_xlfn.XLOOKUP($B68,rf1_data!$B:$B,rf1_data!CC:CC,"NaN")))</f>
        <v>0.83333333333333004</v>
      </c>
      <c r="CL68" s="5">
        <f>IF(_xlfn.XLOOKUP($B68,rf1_data!$B:$B,rf1_data!CD:CD,"NaN")=0,"NaN",(_xlfn.XLOOKUP($B68,rf1_data!$B:$B,rf1_data!CD:CD,"NaN")))</f>
        <v>18</v>
      </c>
      <c r="CM68" s="5">
        <f>IF(_xlfn.XLOOKUP($B68,rf1_data!$B:$B,rf1_data!CE:CE,"NaN")="","NaN",(_xlfn.XLOOKUP($B68,rf1_data!$B:$B,rf1_data!CE:CE,"NaN")))</f>
        <v>45</v>
      </c>
      <c r="CN68" s="5">
        <f>IF(_xlfn.XLOOKUP($B68,rf1_data!$B:$B,rf1_data!CF:CF,"NaN")="","NaN",(_xlfn.XLOOKUP($B68,rf1_data!$B:$B,rf1_data!CF:CF,"NaN")))</f>
        <v>50</v>
      </c>
      <c r="CO68" s="5">
        <f>IF(_xlfn.XLOOKUP($B68,rf1_data!$B:$B,rf1_data!CG:CG,"NaN")="","NaN",(_xlfn.XLOOKUP($B68,rf1_data!$B:$B,rf1_data!CG:CG,"NaN")))</f>
        <v>22</v>
      </c>
      <c r="CP68" s="5">
        <f>IF(_xlfn.XLOOKUP($B68,rf1_data!$B:$B,rf1_data!CH:CH,"NaN")=0,"NaN",(_xlfn.XLOOKUP($B68,rf1_data!$B:$B,rf1_data!CH:CH,"NaN")))</f>
        <v>31</v>
      </c>
      <c r="CQ68" s="5">
        <f>IF(_xlfn.XLOOKUP($B68,rf1_data!$B:$B,rf1_data!CI:CI,"NaN")="","NaN",(_xlfn.XLOOKUP($B68,rf1_data!$B:$B,rf1_data!CI:CI,"NaN")))</f>
        <v>44</v>
      </c>
      <c r="CR68" s="5">
        <f>IF(_xlfn.XLOOKUP($B68,rf1_data!$B:$B,rf1_data!CJ:CJ,"NaN")="","NaN",(_xlfn.XLOOKUP($B68,rf1_data!$B:$B,rf1_data!CJ:CJ,"NaN")))</f>
        <v>60</v>
      </c>
      <c r="CS68" s="5">
        <f>IF(_xlfn.XLOOKUP($B68,rf1_data!$B:$B,rf1_data!CK:CK,"NaN")="","NaN",(_xlfn.XLOOKUP($B68,rf1_data!$B:$B,rf1_data!CK:CK,"NaN")))</f>
        <v>36</v>
      </c>
      <c r="CT68" s="5">
        <f>IF(_xlfn.XLOOKUP($B68,rf1_data!$B:$B,rf1_data!CL:CL,"NaN")="","NaN",(_xlfn.XLOOKUP($B68,rf1_data!$B:$B,rf1_data!CL:CL,"NaN")))</f>
        <v>60</v>
      </c>
      <c r="CU68" s="5">
        <f>IF(_xlfn.XLOOKUP($B68,rf1_data!$B:$B,rf1_data!CM:CM,"NaN")="","NaN",(_xlfn.XLOOKUP($B68,rf1_data!$B:$B,rf1_data!CM:CM,"NaN")))</f>
        <v>27</v>
      </c>
      <c r="CV68" s="5">
        <f>IF(_xlfn.XLOOKUP($B68,rf1_data!$B:$B,rf1_data!CN:CN,"NaN")="","NaN",(_xlfn.XLOOKUP($B68,rf1_data!$B:$B,rf1_data!CN:CN,"NaN")))</f>
        <v>60</v>
      </c>
      <c r="CW68" s="5">
        <f>IF(_xlfn.XLOOKUP($B68,rf1_data!$B:$B,rf1_data!CO:CO,"NaN")="","NaN",(_xlfn.XLOOKUP($B68,rf1_data!$B:$B,rf1_data!CO:CO,"NaN")))</f>
        <v>1</v>
      </c>
      <c r="CX68" s="5">
        <f>IF(_xlfn.XLOOKUP($B68,rf1_data!$B:$B,rf1_data!CP:CP,"NaN")="","NaN",(_xlfn.XLOOKUP($B68,rf1_data!$B:$B,rf1_data!CP:CP,"NaN")))</f>
        <v>1</v>
      </c>
      <c r="CY68" s="5">
        <f>IF(_xlfn.XLOOKUP($B68,rf1_data!$B:$B,rf1_data!CQ:CQ,"NaN")="","NaN",(_xlfn.XLOOKUP($B68,rf1_data!$B:$B,rf1_data!CQ:CQ,"NaN")))</f>
        <v>5</v>
      </c>
      <c r="CZ68" s="5">
        <f>IF(_xlfn.XLOOKUP($B68,rf1_data!$B:$B,rf1_data!CR:CR,"NaN")="","NaN",(_xlfn.XLOOKUP($B68,rf1_data!$B:$B,rf1_data!CR:CR,"NaN")))</f>
        <v>1</v>
      </c>
      <c r="DA68" s="5">
        <f>IF(_xlfn.XLOOKUP($B68,rf1_data!$B:$B,rf1_data!CS:CS,"NaN")="","NaN",(_xlfn.XLOOKUP($B68,rf1_data!$B:$B,rf1_data!CS:CS,"NaN")))</f>
        <v>1</v>
      </c>
      <c r="DB68" s="4">
        <f>IF(_xlfn.XLOOKUP($B68,island_data!$B:$B,island_data!H:H,"NaN")="","NaN",_xlfn.XLOOKUP($B68,island_data!$B:$B,island_data!H:H,"NaN"))</f>
        <v>7</v>
      </c>
      <c r="DC68" s="4">
        <f>IF(_xlfn.XLOOKUP($B68,island_data!$B:$B,island_data!I:I,"NaN")="","NaN",_xlfn.XLOOKUP($B68,island_data!$B:$B,island_data!I:I,"NaN"))</f>
        <v>2</v>
      </c>
      <c r="DD68" s="4">
        <f>IF(_xlfn.XLOOKUP($B68,island_data!$B:$B,island_data!J:J,"NaN")="","NaN",_xlfn.XLOOKUP($B68,island_data!$B:$B,island_data!J:J,"NaN"))</f>
        <v>0</v>
      </c>
      <c r="DE68" s="4">
        <f>IF(_xlfn.XLOOKUP($B68,island_data!$B:$B,island_data!K:K,"NaN")="","NaN",_xlfn.XLOOKUP($B68,island_data!$B:$B,island_data!K:K,"NaN"))</f>
        <v>1</v>
      </c>
      <c r="DF68" s="4">
        <f>IF(_xlfn.XLOOKUP($B68,island_data!$B:$B,island_data!L:L,"NaN")="","NaN",_xlfn.XLOOKUP($B68,island_data!$B:$B,island_data!L:L,"NaN"))</f>
        <v>0</v>
      </c>
      <c r="DG68" s="4">
        <f>IF(_xlfn.XLOOKUP($B68,island_data!$B:$B,island_data!M:M,"NaN")="","NaN",_xlfn.XLOOKUP($B68,island_data!$B:$B,island_data!M:M,"NaN"))</f>
        <v>2.875</v>
      </c>
      <c r="DH68" s="4">
        <f>IF(_xlfn.XLOOKUP($B68,island_data!$B:$B,island_data!N:N,"NaN")="","NaN",_xlfn.XLOOKUP($B68,island_data!$B:$B,island_data!N:N,"NaN"))</f>
        <v>10</v>
      </c>
      <c r="DI68" s="4">
        <f>IF(_xlfn.XLOOKUP($B68,island_data!$B:$B,island_data!O:O,"NaN")=999,"NaN",_xlfn.XLOOKUP($B68,island_data!$B:$B,island_data!O:O,"NaN"))</f>
        <v>5</v>
      </c>
      <c r="DJ68" s="4">
        <f>IF(_xlfn.XLOOKUP($B68,island_data!$B:$B,island_data!P:P,"NaN")="","NaN",_xlfn.XLOOKUP($B68,island_data!$B:$B,island_data!P:P,"NaN"))</f>
        <v>9</v>
      </c>
      <c r="DK68" s="4">
        <f>IF(_xlfn.XLOOKUP($B68,island_data!$B:$B,island_data!Q:Q,"NaN")="","NaN",_xlfn.XLOOKUP($B68,island_data!$B:$B,island_data!Q:Q,"NaN"))</f>
        <v>0</v>
      </c>
      <c r="DL68" s="4">
        <f>IF(_xlfn.XLOOKUP($B68,island_data!$B:$B,island_data!R:R,"NaN")=999,"NaN",_xlfn.XLOOKUP($B68,island_data!$B:$B,island_data!R:R,"NaN"))</f>
        <v>15</v>
      </c>
      <c r="DM68" s="4">
        <f>IF(_xlfn.XLOOKUP($B68,island_data!$B:$B,island_data!S:S,"NaN")="","NaN",_xlfn.XLOOKUP($B68,island_data!$B:$B,island_data!S:S,"NaN"))</f>
        <v>7</v>
      </c>
      <c r="DN68" s="4">
        <f>IF(_xlfn.XLOOKUP($B68,island_data!$B:$B,island_data!T:T,"NaN")="","NaN",_xlfn.XLOOKUP($B68,island_data!$B:$B,island_data!T:T,"NaN"))</f>
        <v>2.9166666666666599</v>
      </c>
      <c r="DO68" s="4">
        <f>IF(_xlfn.XLOOKUP($B68,island_data!$B:$B,island_data!U:U,"NaN")="","NaN",_xlfn.XLOOKUP($B68,island_data!$B:$B,island_data!U:U,"NaN"))</f>
        <v>5</v>
      </c>
      <c r="DP68" s="4">
        <f>IF(_xlfn.XLOOKUP($B68,island_data!$B:$B,island_data!V:V,"NaN")="","NaN",_xlfn.XLOOKUP($B68,island_data!$B:$B,island_data!V:V,"NaN"))</f>
        <v>0</v>
      </c>
      <c r="DQ68" s="4">
        <f>IF(_xlfn.XLOOKUP($B68,island_data!$B:$B,island_data!W:W,"NaN")="","NaN",_xlfn.XLOOKUP($B68,island_data!$B:$B,island_data!W:W,"NaN"))</f>
        <v>7</v>
      </c>
      <c r="DR68" s="4">
        <f>IF(_xlfn.XLOOKUP($B68,island_data!$B:$B,island_data!X:X,"NaN")="","NaN",_xlfn.XLOOKUP($B68,island_data!$B:$B,island_data!X:X,"NaN"))</f>
        <v>5</v>
      </c>
      <c r="DS68" s="4" t="str">
        <f>IF(_xlfn.XLOOKUP($B68,island_data!$B:$B,island_data!Y:Y,"NaN")="","NaN",_xlfn.XLOOKUP($B68,island_data!$B:$B,island_data!Y:Y,"NaN"))</f>
        <v>NaN</v>
      </c>
      <c r="DT68" s="4" t="str">
        <f>IF(_xlfn.XLOOKUP($B68,island_data!$B:$B,island_data!Z:Z,"NaN")="","NaN",_xlfn.XLOOKUP($B68,island_data!$B:$B,island_data!Z:Z,"NaN"))</f>
        <v>NaN</v>
      </c>
      <c r="DU68" s="4" t="str">
        <f>IF(_xlfn.XLOOKUP($B68,island_data!$B:$B,island_data!AA:AA,"NaN")="","NaN",_xlfn.XLOOKUP($B68,island_data!$B:$B,island_data!AA:AA,"NaN"))</f>
        <v>NaN</v>
      </c>
      <c r="DV68" s="4">
        <f>IF(_xlfn.XLOOKUP($B68,island_data!$B:$B,island_data!AB:AB,"NaN")="","NaN",_xlfn.XLOOKUP($B68,island_data!$B:$B,island_data!AB:AB,"NaN"))</f>
        <v>0</v>
      </c>
      <c r="DW68" s="4">
        <f>IF(_xlfn.XLOOKUP($B68,island_data!$B:$B,island_data!AC:AC,"NaN")="","NaN",_xlfn.XLOOKUP($B68,island_data!$B:$B,island_data!AC:AC,"NaN"))</f>
        <v>7828</v>
      </c>
      <c r="DX68" s="4">
        <f>IF(_xlfn.XLOOKUP($B68,island_data!$B:$B,island_data!AD:AD,"NaN")="","NaN",_xlfn.XLOOKUP($B68,island_data!$B:$B,island_data!AD:AD,"NaN"))</f>
        <v>7</v>
      </c>
      <c r="DY68" s="4">
        <f>IF(_xlfn.XLOOKUP($B68,island_data!$B:$B,island_data!AE:AE,"NaN")="","NaN",_xlfn.XLOOKUP($B68,island_data!$B:$B,island_data!AE:AE,"NaN"))</f>
        <v>0</v>
      </c>
      <c r="DZ68" s="4" t="str">
        <f>IF(_xlfn.XLOOKUP($B68,island_data!$B:$B,island_data!AF:AF,"NaN")="","NaN",_xlfn.XLOOKUP($B68,island_data!$B:$B,island_data!AF:AF,"NaN"))</f>
        <v>NaN</v>
      </c>
      <c r="EA68" s="4" t="str">
        <f>IF(_xlfn.XLOOKUP($B68,island_data!$B:$B,island_data!AG:AG,"NaN")="","NaN",_xlfn.XLOOKUP($B68,island_data!$B:$B,island_data!AG:AG,"NaN"))</f>
        <v>NaN</v>
      </c>
      <c r="EB68" s="4" t="str">
        <f>IF(_xlfn.XLOOKUP($B68,island_data!$B:$B,island_data!AH:AH,"NaN")="","NaN",_xlfn.XLOOKUP($B68,island_data!$B:$B,island_data!AH:AH,"NaN"))</f>
        <v>NaN</v>
      </c>
      <c r="EC68" s="4">
        <f>IF(_xlfn.XLOOKUP($B68,island_data!$B:$B,island_data!AI:AI,"NaN")="","NaN",_xlfn.XLOOKUP($B68,island_data!$B:$B,island_data!AI:AI,"NaN"))</f>
        <v>18</v>
      </c>
      <c r="ED68" s="4">
        <f>IF(_xlfn.XLOOKUP($B68,island_data!$B:$B,island_data!AJ:AJ,"NaN")="","NaN",_xlfn.XLOOKUP($B68,island_data!$B:$B,island_data!AJ:AJ,"NaN"))</f>
        <v>18</v>
      </c>
      <c r="EE68" s="4">
        <f>IF(_xlfn.XLOOKUP($B68,island_data!$B:$B,island_data!AK:AK,"NaN")="","NaN",_xlfn.XLOOKUP($B68,island_data!$B:$B,island_data!AK:AK,"NaN"))</f>
        <v>17</v>
      </c>
      <c r="EF68" s="4">
        <f>IF(_xlfn.XLOOKUP($B68,island_data!$B:$B,island_data!AL:AL,"NaN")="","NaN",_xlfn.XLOOKUP($B68,island_data!$B:$B,island_data!AL:AL,"NaN"))</f>
        <v>20</v>
      </c>
      <c r="EG68" s="4">
        <f>IF(_xlfn.XLOOKUP($B68,island_data!$B:$B,island_data!AM:AM,"NaN")="","NaN",_xlfn.XLOOKUP($B68,island_data!$B:$B,island_data!AM:AM,"NaN"))</f>
        <v>20</v>
      </c>
      <c r="EH68" s="4" t="str">
        <f>IF(_xlfn.XLOOKUP($B68,island_data!$B:$B,island_data!AN:AN,"NaN")="","NaN",_xlfn.XLOOKUP($B68,island_data!$B:$B,island_data!AN:AN,"NaN"))</f>
        <v>NaN</v>
      </c>
      <c r="EI68" s="4" t="str">
        <f>IF(_xlfn.XLOOKUP($B68,island_data!$B:$B,island_data!AO:AO,"NaN")="","NaN",_xlfn.XLOOKUP($B68,island_data!$B:$B,island_data!AO:AO,"NaN"))</f>
        <v>NaN</v>
      </c>
      <c r="EJ68" s="8" t="str">
        <f>IF(_xlfn.XLOOKUP($A68,TabCAT!$A:$A,TabCAT!AU:AU,"NaN")="","NaN",(_xlfn.XLOOKUP($A68,TabCAT!$A:$A,TabCAT!AU:AU,"NaN")))</f>
        <v>NaN</v>
      </c>
      <c r="EK68" s="8" t="str">
        <f>IF(_xlfn.XLOOKUP($A68,TabCAT!$A:$A,TabCAT!AV:AV,"NaN")="","NaN",(_xlfn.XLOOKUP($A68,TabCAT!$A:$A,TabCAT!AV:AV,"NaN")))</f>
        <v>NaN</v>
      </c>
      <c r="EL68" s="8" t="str">
        <f>IF(_xlfn.XLOOKUP($A68,TabCAT!$A:$A,TabCAT!AW:AW,"NaN")="","NaN",(_xlfn.XLOOKUP($A68,TabCAT!$A:$A,TabCAT!AW:AW,"NaN")))</f>
        <v>NaN</v>
      </c>
      <c r="EM68" s="8" t="str">
        <f>IF(_xlfn.XLOOKUP($A68,TabCAT!$A:$A,TabCAT!AX:AX,"NaN")="","NaN",(_xlfn.XLOOKUP($A68,TabCAT!$A:$A,TabCAT!AX:AX,"NaN")))</f>
        <v>NaN</v>
      </c>
      <c r="EN68" s="8" t="str">
        <f>IF(_xlfn.XLOOKUP($A68,TabCAT!$A:$A,TabCAT!AY:AY,"NaN")="","NaN",(_xlfn.XLOOKUP($A68,TabCAT!$A:$A,TabCAT!AY:AY,"NaN")))</f>
        <v>NaN</v>
      </c>
      <c r="EO68" s="8" t="str">
        <f>IF(_xlfn.XLOOKUP($A68,TabCAT!$A:$A,TabCAT!AZ:AZ,"NaN")="","NaN",(_xlfn.XLOOKUP($A68,TabCAT!$A:$A,TabCAT!AZ:AZ,"NaN")))</f>
        <v>NaN</v>
      </c>
      <c r="EP68" s="8" t="str">
        <f>IF(_xlfn.XLOOKUP($A68,TabCAT!$A:$A,TabCAT!BA:BA,"NaN")="","NaN",(_xlfn.XLOOKUP($A68,TabCAT!$A:$A,TabCAT!BA:BA,"NaN")))</f>
        <v>NaN</v>
      </c>
      <c r="EQ68" s="8" t="str">
        <f>IF(_xlfn.XLOOKUP($A68,TabCAT!$A:$A,TabCAT!BB:BB,"NaN")="","NaN",(_xlfn.XLOOKUP($A68,TabCAT!$A:$A,TabCAT!BB:BB,"NaN")))</f>
        <v>NaN</v>
      </c>
      <c r="ER68" s="8" t="str">
        <f>IF(_xlfn.XLOOKUP($A68,TabCAT!$A:$A,TabCAT!BC:BC,"NaN")="","NaN",(_xlfn.XLOOKUP($A68,TabCAT!$A:$A,TabCAT!BC:BC,"NaN")))</f>
        <v>NaN</v>
      </c>
      <c r="ES68" s="8" t="str">
        <f>IF(_xlfn.XLOOKUP($A68,TabCAT!$A:$A,TabCAT!BD:BD,"NaN")="","NaN",(_xlfn.XLOOKUP($A68,TabCAT!$A:$A,TabCAT!BD:BD,"NaN")))</f>
        <v>NaN</v>
      </c>
      <c r="ET68" s="8" t="str">
        <f>IF(_xlfn.XLOOKUP($A68,TabCAT!$A:$A,TabCAT!BE:BE,"NaN")="","NaN",(_xlfn.XLOOKUP($A68,TabCAT!$A:$A,TabCAT!BE:BE,"NaN")))</f>
        <v>NaN</v>
      </c>
      <c r="EU68" s="8" t="str">
        <f>IF(_xlfn.XLOOKUP($A68,TabCAT!$A:$A,TabCAT!BF:BF,"NaN")="","NaN",(_xlfn.XLOOKUP($A68,TabCAT!$A:$A,TabCAT!BF:BF,"NaN")))</f>
        <v>NaN</v>
      </c>
      <c r="EV68" s="8" t="str">
        <f>IF(_xlfn.XLOOKUP($A68,TabCAT!$A:$A,TabCAT!BG:BG,"NaN")="","NaN",(_xlfn.XLOOKUP($A68,TabCAT!$A:$A,TabCAT!BG:BG,"NaN")))</f>
        <v>NaN</v>
      </c>
      <c r="EW68" s="8" t="str">
        <f>IF(_xlfn.XLOOKUP($A68,TabCAT!$A:$A,TabCAT!BH:BH,"NaN")="","NaN",(_xlfn.XLOOKUP($A68,TabCAT!$A:$A,TabCAT!BH:BH,"NaN")))</f>
        <v>NaN</v>
      </c>
      <c r="EX68" s="8" t="str">
        <f>IF(_xlfn.XLOOKUP($A68,TabCAT!$A:$A,TabCAT!BI:BI,"NaN")="","NaN",(_xlfn.XLOOKUP($A68,TabCAT!$A:$A,TabCAT!BI:BI,"NaN")))</f>
        <v>NaN</v>
      </c>
      <c r="EY68" s="8" t="str">
        <f>IF(_xlfn.XLOOKUP($A68,TabCAT!$A:$A,TabCAT!BJ:BJ,"NaN")="","NaN",(_xlfn.XLOOKUP($A68,TabCAT!$A:$A,TabCAT!BJ:BJ,"NaN")))</f>
        <v>NaN</v>
      </c>
      <c r="EZ68" s="8" t="str">
        <f>IF(_xlfn.XLOOKUP($A68,TabCAT!$A:$A,TabCAT!BK:BK,"NaN")="","NaN",(_xlfn.XLOOKUP($A68,TabCAT!$A:$A,TabCAT!BK:BK,"NaN")))</f>
        <v>NaN</v>
      </c>
      <c r="FA68" s="8" t="str">
        <f>IF(_xlfn.XLOOKUP($A68,TabCAT!$A:$A,TabCAT!BL:BL,"NaN")="","NaN",(_xlfn.XLOOKUP($A68,TabCAT!$A:$A,TabCAT!BL:BL,"NaN")))</f>
        <v>NaN</v>
      </c>
      <c r="FB68" s="8" t="str">
        <f>IF(_xlfn.XLOOKUP($A68,TabCAT!$A:$A,TabCAT!BM:BM,"NaN")="","NaN",(_xlfn.XLOOKUP($A68,TabCAT!$A:$A,TabCAT!BM:BM,"NaN")))</f>
        <v>NaN</v>
      </c>
      <c r="FC68" s="8" t="str">
        <f>IF(_xlfn.XLOOKUP($A68,TabCAT!$A:$A,TabCAT!BN:BN,"NaN")="","NaN",(_xlfn.XLOOKUP($A68,TabCAT!$A:$A,TabCAT!BN:BN,"NaN")))</f>
        <v>NaN</v>
      </c>
      <c r="FD68" s="8" t="str">
        <f>IF(_xlfn.XLOOKUP($A68,TabCAT!$A:$A,TabCAT!BO:BO,"NaN")="","NaN",(_xlfn.XLOOKUP($A68,TabCAT!$A:$A,TabCAT!BO:BO,"NaN")))</f>
        <v>NaN</v>
      </c>
      <c r="FE68" s="8" t="str">
        <f>IF(_xlfn.XLOOKUP($A68,TabCAT!$A:$A,TabCAT!BP:BP,"NaN")="","NaN",(_xlfn.XLOOKUP($A68,TabCAT!$A:$A,TabCAT!BP:BP,"NaN")))</f>
        <v>NaN</v>
      </c>
      <c r="FF68" s="8" t="str">
        <f>IF(_xlfn.XLOOKUP($A68,TabCAT!$A:$A,TabCAT!BQ:BQ,"NaN")="","NaN",(_xlfn.XLOOKUP($A68,TabCAT!$A:$A,TabCAT!BQ:BQ,"NaN")))</f>
        <v>NaN</v>
      </c>
      <c r="FG68" s="8" t="str">
        <f>IF(_xlfn.XLOOKUP($A68,TabCAT!$A:$A,TabCAT!BR:BR,"NaN")="","NaN",(_xlfn.XLOOKUP($A68,TabCAT!$A:$A,TabCAT!BR:BR,"NaN")))</f>
        <v>NaN</v>
      </c>
      <c r="FH68" s="8" t="str">
        <f>IF(_xlfn.XLOOKUP($A68,TabCAT!$A:$A,TabCAT!BS:BS,"NaN")="","NaN",(_xlfn.XLOOKUP($A68,TabCAT!$A:$A,TabCAT!BS:BS,"NaN")))</f>
        <v>NaN</v>
      </c>
      <c r="FI68" s="8" t="str">
        <f>IF(_xlfn.XLOOKUP($A68,TabCAT!$A:$A,TabCAT!BT:BT,"NaN")="","NaN",(_xlfn.XLOOKUP($A68,TabCAT!$A:$A,TabCAT!BT:BT,"NaN")))</f>
        <v>NaN</v>
      </c>
      <c r="FJ68" s="8" t="str">
        <f>IF(_xlfn.XLOOKUP($A68,TabCAT!$A:$A,TabCAT!BU:BU,"NaN")="","NaN",(_xlfn.XLOOKUP($A68,TabCAT!$A:$A,TabCAT!BU:BU,"NaN")))</f>
        <v>NaN</v>
      </c>
      <c r="FK68" s="8" t="str">
        <f>IF(_xlfn.XLOOKUP($A68,TabCAT!$A:$A,TabCAT!BV:BV,"NaN")="","NaN",(_xlfn.XLOOKUP($A68,TabCAT!$A:$A,TabCAT!BV:BV,"NaN")))</f>
        <v>NaN</v>
      </c>
      <c r="FL68" s="8" t="str">
        <f>IF(_xlfn.XLOOKUP($A68,TabCAT!$A:$A,TabCAT!BW:BW,"NaN")="","NaN",(_xlfn.XLOOKUP($A68,TabCAT!$A:$A,TabCAT!BW:BW,"NaN")))</f>
        <v>NaN</v>
      </c>
      <c r="FM68" s="8" t="str">
        <f>IF(_xlfn.XLOOKUP($A68,TabCAT!$A:$A,TabCAT!BX:BX,"NaN")="","NaN",(_xlfn.XLOOKUP($A68,TabCAT!$A:$A,TabCAT!BX:BX,"NaN")))</f>
        <v>NaN</v>
      </c>
      <c r="FN68" s="8" t="str">
        <f>IF(_xlfn.XLOOKUP($A68,TabCAT!$A:$A,TabCAT!BY:BY,"NaN")="","NaN",(_xlfn.XLOOKUP($A68,TabCAT!$A:$A,TabCAT!BY:BY,"NaN")))</f>
        <v>NaN</v>
      </c>
      <c r="FO68" s="8" t="str">
        <f>IF(_xlfn.XLOOKUP($A68,TabCAT!$A:$A,TabCAT!BZ:BZ,"NaN")="","NaN",(_xlfn.XLOOKUP($A68,TabCAT!$A:$A,TabCAT!BZ:BZ,"NaN")))</f>
        <v>NaN</v>
      </c>
      <c r="FP68" s="8" t="str">
        <f>IF(_xlfn.XLOOKUP($A68,TabCAT!$A:$A,TabCAT!CA:CA,"NaN")="","NaN",(_xlfn.XLOOKUP($A68,TabCAT!$A:$A,TabCAT!CA:CA,"NaN")))</f>
        <v>NaN</v>
      </c>
      <c r="FQ68" s="8" t="str">
        <f>IF(_xlfn.XLOOKUP($A68,TabCAT!$A:$A,TabCAT!CB:CB,"NaN")="","NaN",(_xlfn.XLOOKUP($A68,TabCAT!$A:$A,TabCAT!CB:CB,"NaN")))</f>
        <v>NaN</v>
      </c>
      <c r="FR68" s="8" t="str">
        <f>IF(_xlfn.XLOOKUP($A68,TabCAT!$A:$A,TabCAT!CC:CC,"NaN")="","NaN",(_xlfn.XLOOKUP($A68,TabCAT!$A:$A,TabCAT!CC:CC,"NaN")))</f>
        <v>NaN</v>
      </c>
      <c r="FS68" s="8" t="str">
        <f>IF(_xlfn.XLOOKUP($A68,TabCAT!$A:$A,TabCAT!CD:CD,"NaN")="","NaN",(_xlfn.XLOOKUP($A68,TabCAT!$A:$A,TabCAT!CD:CD,"NaN")))</f>
        <v>NaN</v>
      </c>
      <c r="FT68" s="8" t="str">
        <f>IF(_xlfn.XLOOKUP($A68,TabCAT!$A:$A,TabCAT!CE:CE,"NaN")="","NaN",(_xlfn.XLOOKUP($A68,TabCAT!$A:$A,TabCAT!CE:CE,"NaN")))</f>
        <v>NaN</v>
      </c>
      <c r="FU68" s="8" t="str">
        <f>IF(_xlfn.XLOOKUP($A68,TabCAT!$A:$A,TabCAT!CF:CF,"NaN")="","NaN",(_xlfn.XLOOKUP($A68,TabCAT!$A:$A,TabCAT!CF:CF,"NaN")))</f>
        <v>NaN</v>
      </c>
      <c r="FV68" s="8" t="str">
        <f>IF(_xlfn.XLOOKUP($A68,TabCAT!$A:$A,TabCAT!CG:CG,"NaN")="","NaN",(_xlfn.XLOOKUP($A68,TabCAT!$A:$A,TabCAT!CG:CG,"NaN")))</f>
        <v>NaN</v>
      </c>
      <c r="FW68" s="8" t="str">
        <f>IF(_xlfn.XLOOKUP($A68,TabCAT!$A:$A,TabCAT!CH:CH,"NaN")="","NaN",(_xlfn.XLOOKUP($A68,TabCAT!$A:$A,TabCAT!CH:CH,"NaN")))</f>
        <v>NaN</v>
      </c>
      <c r="FX68" s="8" t="str">
        <f>IF(_xlfn.XLOOKUP($A68,TabCAT!$A:$A,TabCAT!CI:CI,"NaN")="","NaN",(_xlfn.XLOOKUP($A68,TabCAT!$A:$A,TabCAT!CI:CI,"NaN")))</f>
        <v>NaN</v>
      </c>
      <c r="FY68" s="8" t="str">
        <f>IF(_xlfn.XLOOKUP($A68,TabCAT!$A:$A,TabCAT!CJ:CJ,"NaN")="","NaN",(_xlfn.XLOOKUP($A68,TabCAT!$A:$A,TabCAT!CJ:CJ,"NaN")))</f>
        <v>NaN</v>
      </c>
      <c r="FZ68" s="8" t="str">
        <f>IF(_xlfn.XLOOKUP($A68,TabCAT!$A:$A,TabCAT!CK:CK,"NaN")="","NaN",(_xlfn.XLOOKUP($A68,TabCAT!$A:$A,TabCAT!CK:CK,"NaN")))</f>
        <v>NaN</v>
      </c>
      <c r="GA68" s="8" t="str">
        <f>IF(_xlfn.XLOOKUP($A68,TabCAT!$A:$A,TabCAT!CL:CL,"NaN")="","NaN",(_xlfn.XLOOKUP($A68,TabCAT!$A:$A,TabCAT!CL:CL,"NaN")))</f>
        <v>NaN</v>
      </c>
      <c r="GB68" s="8" t="str">
        <f>IF(_xlfn.XLOOKUP($A68,TabCAT!$A:$A,TabCAT!CM:CM,"NaN")="","NaN",(_xlfn.XLOOKUP($A68,TabCAT!$A:$A,TabCAT!CM:CM,"NaN")))</f>
        <v>NaN</v>
      </c>
      <c r="GC68" s="8" t="str">
        <f>IF(_xlfn.XLOOKUP($A68,TabCAT!$A:$A,TabCAT!CN:CN,"NaN")="","NaN",(_xlfn.XLOOKUP($A68,TabCAT!$A:$A,TabCAT!CN:CN,"NaN")))</f>
        <v>NaN</v>
      </c>
      <c r="GD68" s="8" t="str">
        <f>IF(_xlfn.XLOOKUP($A68,TabCAT!$A:$A,TabCAT!CO:CO,"NaN")="","NaN",(_xlfn.XLOOKUP($A68,TabCAT!$A:$A,TabCAT!CO:CO,"NaN")))</f>
        <v>NaN</v>
      </c>
      <c r="GE68" s="8" t="str">
        <f>IF(_xlfn.XLOOKUP($A68,TabCAT!$A:$A,TabCAT!CP:CP,"NaN")="","NaN",(_xlfn.XLOOKUP($A68,TabCAT!$A:$A,TabCAT!CP:CP,"NaN")))</f>
        <v>NaN</v>
      </c>
      <c r="GF68" s="8" t="str">
        <f>IF(_xlfn.XLOOKUP($A68,TabCAT!$A:$A,TabCAT!CQ:CQ,"NaN")="","NaN",(_xlfn.XLOOKUP($A68,TabCAT!$A:$A,TabCAT!CQ:CQ,"NaN")))</f>
        <v>NaN</v>
      </c>
      <c r="GG68" s="8" t="str">
        <f>IF(_xlfn.XLOOKUP($A68,TabCAT!$A:$A,TabCAT!CR:CR,"NaN")="","NaN",(_xlfn.XLOOKUP($A68,TabCAT!$A:$A,TabCAT!CR:CR,"NaN")))</f>
        <v>NaN</v>
      </c>
      <c r="GH68" s="8" t="str">
        <f>IF(_xlfn.XLOOKUP($A68,TabCAT!$A:$A,TabCAT!CS:CS,"NaN")="","NaN",(_xlfn.XLOOKUP($A68,TabCAT!$A:$A,TabCAT!CS:CS,"NaN")))</f>
        <v>NaN</v>
      </c>
    </row>
    <row r="69" spans="1:190" x14ac:dyDescent="0.2">
      <c r="A69">
        <v>10807</v>
      </c>
      <c r="B69">
        <f>_xlfn.XLOOKUP(bippity_poppity_boo!A69,rf1_data!A:A,rf1_data!B:B)</f>
        <v>12365</v>
      </c>
      <c r="C69" s="2">
        <f>(_xlfn.XLOOKUP($A69,trust!$A:$A,trust!B:B,"NaN"))</f>
        <v>5.0769229999999999</v>
      </c>
      <c r="D69" s="2">
        <f>(_xlfn.XLOOKUP($A69,trust!$A:$A,trust!C:C,"NaN"))</f>
        <v>6.3333329999999997</v>
      </c>
      <c r="E69" s="2">
        <f>(_xlfn.XLOOKUP($A69,trust!$A:$A,trust!D:D,"NaN"))</f>
        <v>5.6666670000000003</v>
      </c>
      <c r="F69" s="2">
        <f>(_xlfn.XLOOKUP($A69,trust!$A:$A,trust!E:E,"NaN"))</f>
        <v>5.3846150000000002</v>
      </c>
      <c r="G69" s="2">
        <f>(_xlfn.XLOOKUP($A69,trust!$A:$A,trust!F:F,"NaN"))</f>
        <v>6.1538459999999997</v>
      </c>
      <c r="H69" s="2">
        <f>(_xlfn.XLOOKUP($A69,trust!$A:$A,trust!G:G,"NaN"))</f>
        <v>6</v>
      </c>
      <c r="I69" s="3">
        <f>IF(_xlfn.XLOOKUP($B69,island_data!$B:$B,island_data!C:C,"NaN")="","NaN",_xlfn.XLOOKUP($B69,island_data!$B:$B,island_data!C:C,"NaN"))</f>
        <v>45181</v>
      </c>
      <c r="J69" s="3">
        <f>IF(_xlfn.XLOOKUP($B69,island_data!$B:$B,island_data!D:D,"NaN")="","NaN",_xlfn.XLOOKUP($B69,island_data!$B:$B,island_data!D:D,"NaN"))</f>
        <v>23995</v>
      </c>
      <c r="K69" s="4">
        <f>IF(_xlfn.XLOOKUP($B69,island_data!$B:$B,island_data!E:E,"NaN")="","NaN",_xlfn.XLOOKUP($B69,island_data!$B:$B,island_data!E:E,"NaN"))</f>
        <v>58.01</v>
      </c>
      <c r="L69" s="5">
        <f>IF(_xlfn.XLOOKUP($B69,rf1_data!$B:$B,rf1_data!D:D,"NaN")="","NaN",(_xlfn.XLOOKUP($B69,rf1_data!$B:$B,rf1_data!D:D,"NaN")))</f>
        <v>58.05</v>
      </c>
      <c r="M69" s="5" t="str">
        <f>IF(_xlfn.XLOOKUP($B69,rf1_data!$B:$B,rf1_data!E:E,"NaN")="","NaN",(_xlfn.XLOOKUP($B69,rf1_data!$B:$B,rf1_data!E:E,"NaN")))</f>
        <v>Black or African American</v>
      </c>
      <c r="N69" s="5" t="str">
        <f>IF(_xlfn.XLOOKUP($B69,rf1_data!$B:$B,rf1_data!F:F,"NaN")="","NaN",(_xlfn.XLOOKUP($B69,rf1_data!$B:$B,rf1_data!F:F,"NaN")))</f>
        <v>Not Hispanic or Latino</v>
      </c>
      <c r="O69" s="5" t="str">
        <f>IF(_xlfn.XLOOKUP($B69,rf1_data!$B:$B,rf1_data!G:G,"NaN")="","NaN",(_xlfn.XLOOKUP($B69,rf1_data!$B:$B,rf1_data!G:G,"NaN")))</f>
        <v>Male</v>
      </c>
      <c r="P69" s="5">
        <f>IF(_xlfn.XLOOKUP($B69,rf1_data!$B:$B,rf1_data!H:H,"NaN")="","NaN",(_xlfn.XLOOKUP($B69,rf1_data!$B:$B,rf1_data!H:H,"NaN")))</f>
        <v>4.78</v>
      </c>
      <c r="Q69" s="5">
        <f>IF(_xlfn.XLOOKUP($B69,rf1_data!$B:$B,rf1_data!I:I,"NaN")="","NaN",(_xlfn.XLOOKUP($B69,rf1_data!$B:$B,rf1_data!I:I,"NaN")))</f>
        <v>4.5999999999999996</v>
      </c>
      <c r="R69" s="5">
        <f>IF(_xlfn.XLOOKUP($B69,rf1_data!$B:$B,rf1_data!J:J,"NaN")="","NaN",(_xlfn.XLOOKUP($B69,rf1_data!$B:$B,rf1_data!J:J,"NaN")))</f>
        <v>2</v>
      </c>
      <c r="S69" s="5">
        <f>IF(_xlfn.XLOOKUP($B69,rf1_data!$B:$B,rf1_data!K:K,"NaN")="","NaN",(_xlfn.XLOOKUP($B69,rf1_data!$B:$B,rf1_data!K:K,"NaN")))</f>
        <v>0</v>
      </c>
      <c r="T69" s="5">
        <f>IF(_xlfn.XLOOKUP($B69,rf1_data!$B:$B,rf1_data!L:L,"NaN")="","NaN",(_xlfn.XLOOKUP($B69,rf1_data!$B:$B,rf1_data!L:L,"NaN")))</f>
        <v>0</v>
      </c>
      <c r="U69" s="5">
        <f>IF(_xlfn.XLOOKUP($B69,rf1_data!$B:$B,rf1_data!M:M,"NaN")="","NaN",(_xlfn.XLOOKUP($B69,rf1_data!$B:$B,rf1_data!M:M,"NaN")))</f>
        <v>6.67</v>
      </c>
      <c r="V69" s="5">
        <f>IF(_xlfn.XLOOKUP($B69,rf1_data!$B:$B,rf1_data!N:N,"NaN")="","NaN",(_xlfn.XLOOKUP($B69,rf1_data!$B:$B,rf1_data!N:N,"NaN")))</f>
        <v>5.33</v>
      </c>
      <c r="W69" s="5">
        <f>IF(_xlfn.XLOOKUP($B69,rf1_data!$B:$B,rf1_data!O:O,"NaN")="","NaN",(_xlfn.XLOOKUP($B69,rf1_data!$B:$B,rf1_data!O:O,"NaN")))</f>
        <v>4.5</v>
      </c>
      <c r="X69" s="5">
        <f>IF(_xlfn.XLOOKUP($B69,rf1_data!$B:$B,rf1_data!P:P,"NaN")="","NaN",(_xlfn.XLOOKUP($B69,rf1_data!$B:$B,rf1_data!P:P,"NaN")))</f>
        <v>5.83</v>
      </c>
      <c r="Y69" s="5">
        <f>IF(_xlfn.XLOOKUP($B69,rf1_data!$B:$B,rf1_data!Q:Q,"NaN")="","NaN",(_xlfn.XLOOKUP($B69,rf1_data!$B:$B,rf1_data!Q:Q,"NaN")))</f>
        <v>5.57</v>
      </c>
      <c r="Z69" s="5">
        <f>IF(_xlfn.XLOOKUP($B69,rf1_data!$B:$B,rf1_data!R:R,"NaN")="","NaN",(_xlfn.XLOOKUP($B69,rf1_data!$B:$B,rf1_data!R:R,"NaN")))</f>
        <v>7</v>
      </c>
      <c r="AA69" s="5">
        <f>IF(_xlfn.XLOOKUP($B69,rf1_data!$B:$B,rf1_data!S:S,"NaN")="","NaN",(_xlfn.XLOOKUP($B69,rf1_data!$B:$B,rf1_data!S:S,"NaN")))</f>
        <v>1</v>
      </c>
      <c r="AB69" s="5">
        <f>IF(_xlfn.XLOOKUP($B69,rf1_data!$B:$B,rf1_data!T:T,"NaN")="","NaN",(_xlfn.XLOOKUP($B69,rf1_data!$B:$B,rf1_data!T:T,"NaN")))</f>
        <v>0</v>
      </c>
      <c r="AC69" s="5">
        <f>IF(_xlfn.XLOOKUP($B69,rf1_data!$B:$B,rf1_data!U:U,"NaN")="","NaN",(_xlfn.XLOOKUP($B69,rf1_data!$B:$B,rf1_data!U:U,"NaN")))</f>
        <v>0</v>
      </c>
      <c r="AD69" s="5">
        <f>IF(_xlfn.XLOOKUP($B69,rf1_data!$B:$B,rf1_data!V:V,"NaN")="","NaN",(_xlfn.XLOOKUP($B69,rf1_data!$B:$B,rf1_data!V:V,"NaN")))</f>
        <v>6</v>
      </c>
      <c r="AE69" s="5">
        <f>IF(_xlfn.XLOOKUP($B69,rf1_data!$B:$B,rf1_data!W:W,"NaN")="","NaN",(_xlfn.XLOOKUP($B69,rf1_data!$B:$B,rf1_data!W:W,"NaN")))</f>
        <v>3</v>
      </c>
      <c r="AF69" s="5">
        <f>IF(_xlfn.XLOOKUP($B69,rf1_data!$B:$B,rf1_data!X:X,"NaN")="","NaN",(_xlfn.XLOOKUP($B69,rf1_data!$B:$B,rf1_data!X:X,"NaN")))</f>
        <v>5</v>
      </c>
      <c r="AG69" s="5">
        <f>IF(_xlfn.XLOOKUP($B69,rf1_data!$B:$B,rf1_data!Y:Y,"NaN")="","NaN",(_xlfn.XLOOKUP($B69,rf1_data!$B:$B,rf1_data!Y:Y,"NaN")))</f>
        <v>1</v>
      </c>
      <c r="AH69" s="5">
        <f>IF(_xlfn.XLOOKUP($B69,rf1_data!$B:$B,rf1_data!Z:Z,"NaN")="","NaN",(_xlfn.XLOOKUP($B69,rf1_data!$B:$B,rf1_data!Z:Z,"NaN")))</f>
        <v>4</v>
      </c>
      <c r="AI69" s="5">
        <f>IF(_xlfn.XLOOKUP($B69,rf1_data!$B:$B,rf1_data!AA:AA,"NaN")="","NaN",(_xlfn.XLOOKUP($B69,rf1_data!$B:$B,rf1_data!AA:AA,"NaN")))</f>
        <v>2</v>
      </c>
      <c r="AJ69" s="5">
        <f>IF(_xlfn.XLOOKUP($B69,rf1_data!$B:$B,rf1_data!AB:AB,"NaN")="","NaN",(_xlfn.XLOOKUP($B69,rf1_data!$B:$B,rf1_data!AB:AB,"NaN")))</f>
        <v>15</v>
      </c>
      <c r="AK69" s="5">
        <f>IF(_xlfn.XLOOKUP($B69,rf1_data!$B:$B,rf1_data!AC:AC,"NaN")="","NaN",(_xlfn.XLOOKUP($B69,rf1_data!$B:$B,rf1_data!AC:AC,"NaN")))</f>
        <v>36</v>
      </c>
      <c r="AL69" s="5">
        <f>IF(_xlfn.XLOOKUP($B69,rf1_data!$B:$B,rf1_data!AD:AD,"NaN")="","NaN",(_xlfn.XLOOKUP($B69,rf1_data!$B:$B,rf1_data!AD:AD,"NaN")))</f>
        <v>12</v>
      </c>
      <c r="AM69" s="5">
        <f>IF(_xlfn.XLOOKUP($B69,rf1_data!$B:$B,rf1_data!AE:AE,"NaN")="","NaN",(_xlfn.XLOOKUP($B69,rf1_data!$B:$B,rf1_data!AE:AE,"NaN")))</f>
        <v>0</v>
      </c>
      <c r="AN69" s="5">
        <f>IF(_xlfn.XLOOKUP($B69,rf1_data!$B:$B,rf1_data!AF:AF,"NaN")="","NaN",(_xlfn.XLOOKUP($B69,rf1_data!$B:$B,rf1_data!AF:AF,"NaN")))</f>
        <v>0</v>
      </c>
      <c r="AO69" s="5">
        <f>IF(_xlfn.XLOOKUP($B69,rf1_data!$B:$B,rf1_data!AG:AG,"NaN")="","NaN",(_xlfn.XLOOKUP($B69,rf1_data!$B:$B,rf1_data!AG:AG,"NaN")))</f>
        <v>7</v>
      </c>
      <c r="AP69" s="5">
        <f>IF(_xlfn.XLOOKUP($B69,rf1_data!$B:$B,rf1_data!AH:AH,"NaN")="","NaN",(_xlfn.XLOOKUP($B69,rf1_data!$B:$B,rf1_data!AH:AH,"NaN")))</f>
        <v>7</v>
      </c>
      <c r="AQ69" s="5">
        <f>IF(_xlfn.XLOOKUP($B69,rf1_data!$B:$B,rf1_data!AI:AI,"NaN")="","NaN",(_xlfn.XLOOKUP($B69,rf1_data!$B:$B,rf1_data!AI:AI,"NaN")))</f>
        <v>7</v>
      </c>
      <c r="AR69" s="5">
        <f>IF(_xlfn.XLOOKUP($B69,rf1_data!$B:$B,rf1_data!AJ:AJ,"NaN")="","NaN",(_xlfn.XLOOKUP($B69,rf1_data!$B:$B,rf1_data!AJ:AJ,"NaN")))</f>
        <v>7</v>
      </c>
      <c r="AS69" s="5">
        <f>IF(_xlfn.XLOOKUP($B69,rf1_data!$B:$B,rf1_data!AK:AK,"NaN")="","NaN",(_xlfn.XLOOKUP($B69,rf1_data!$B:$B,rf1_data!AK:AK,"NaN")))</f>
        <v>2.2000000000000002</v>
      </c>
      <c r="AT69" s="5">
        <f>IF(_xlfn.XLOOKUP($B69,rf1_data!$B:$B,rf1_data!AL:AL,"NaN")="","NaN",(_xlfn.XLOOKUP($B69,rf1_data!$B:$B,rf1_data!AL:AL,"NaN")))</f>
        <v>9</v>
      </c>
      <c r="AU69" s="5">
        <f>IF(_xlfn.XLOOKUP($B69,rf1_data!$B:$B,rf1_data!AM:AM,"NaN")="","NaN",(_xlfn.XLOOKUP($B69,rf1_data!$B:$B,rf1_data!AM:AM,"NaN")))</f>
        <v>1</v>
      </c>
      <c r="AV69" s="5">
        <f>IF(_xlfn.XLOOKUP($B69,rf1_data!$B:$B,rf1_data!AN:AN,"NaN")="","NaN",(_xlfn.XLOOKUP($B69,rf1_data!$B:$B,rf1_data!AN:AN,"NaN")))</f>
        <v>0</v>
      </c>
      <c r="AW69" s="5">
        <f>IF(_xlfn.XLOOKUP($B69,rf1_data!$B:$B,rf1_data!AO:AO,"NaN")="","NaN",(_xlfn.XLOOKUP($B69,rf1_data!$B:$B,rf1_data!AO:AO,"NaN")))</f>
        <v>3</v>
      </c>
      <c r="AX69" s="5">
        <f>IF(_xlfn.XLOOKUP($B69,rf1_data!$B:$B,rf1_data!AP:AP,"NaN")="","NaN",(_xlfn.XLOOKUP($B69,rf1_data!$B:$B,rf1_data!AP:AP,"NaN")))</f>
        <v>9999</v>
      </c>
      <c r="AY69" s="5" t="str">
        <f>IF(_xlfn.XLOOKUP($B69,rf1_data!$B:$B,rf1_data!AQ:AQ,"NaN")="","NaN",(_xlfn.XLOOKUP($B69,rf1_data!$B:$B,rf1_data!AQ:AQ,"NaN")))</f>
        <v>NaN</v>
      </c>
      <c r="AZ69" s="5" t="str">
        <f>IF(_xlfn.XLOOKUP($B69,rf1_data!$B:$B,rf1_data!AR:AR,"NaN")="","NaN",(_xlfn.XLOOKUP($B69,rf1_data!$B:$B,rf1_data!AR:AR,"NaN")))</f>
        <v>NaN</v>
      </c>
      <c r="BA69" s="5" t="str">
        <f>IF(_xlfn.XLOOKUP($B69,rf1_data!$B:$B,rf1_data!AS:AS,"NaN")="","NaN",(_xlfn.XLOOKUP($B69,rf1_data!$B:$B,rf1_data!AS:AS,"NaN")))</f>
        <v>NaN</v>
      </c>
      <c r="BB69" s="5" t="str">
        <f>IF(_xlfn.XLOOKUP($B69,rf1_data!$B:$B,rf1_data!AT:AT,"NaN")="","NaN",(_xlfn.XLOOKUP($B69,rf1_data!$B:$B,rf1_data!AT:AT,"NaN")))</f>
        <v>NaN</v>
      </c>
      <c r="BC69" s="5" t="str">
        <f>IF(_xlfn.XLOOKUP($B69,rf1_data!$B:$B,rf1_data!AU:AU,"NaN")="","NaN",(_xlfn.XLOOKUP($B69,rf1_data!$B:$B,rf1_data!AU:AU,"NaN")))</f>
        <v>NaN</v>
      </c>
      <c r="BD69" s="5" t="str">
        <f>IF(_xlfn.XLOOKUP($B69,rf1_data!$B:$B,rf1_data!AV:AV,"NaN")="","NaN",(_xlfn.XLOOKUP($B69,rf1_data!$B:$B,rf1_data!AV:AV,"NaN")))</f>
        <v>NaN</v>
      </c>
      <c r="BE69" s="5" t="str">
        <f>IF(_xlfn.XLOOKUP($B69,rf1_data!$B:$B,rf1_data!AW:AW,"NaN")="","NaN",(_xlfn.XLOOKUP($B69,rf1_data!$B:$B,rf1_data!AW:AW,"NaN")))</f>
        <v>NaN</v>
      </c>
      <c r="BF69" s="5" t="str">
        <f>IF(_xlfn.XLOOKUP($B69,rf1_data!$B:$B,rf1_data!AX:AX,"NaN")="","NaN",(_xlfn.XLOOKUP($B69,rf1_data!$B:$B,rf1_data!AX:AX,"NaN")))</f>
        <v>NaN</v>
      </c>
      <c r="BG69" s="5" t="str">
        <f>IF(_xlfn.XLOOKUP($B69,rf1_data!$B:$B,rf1_data!AY:AY,"NaN")="","NaN",(_xlfn.XLOOKUP($B69,rf1_data!$B:$B,rf1_data!AY:AY,"NaN")))</f>
        <v>NaN</v>
      </c>
      <c r="BH69" s="5" t="str">
        <f>IF(_xlfn.XLOOKUP($B69,rf1_data!$B:$B,rf1_data!AZ:AZ,"NaN")="","NaN",(_xlfn.XLOOKUP($B69,rf1_data!$B:$B,rf1_data!AZ:AZ,"NaN")))</f>
        <v>NaN</v>
      </c>
      <c r="BI69" s="5">
        <f>IF(_xlfn.XLOOKUP($B69,rf1_data!$B:$B,rf1_data!BA:BA,"NaN")="","NaN",(_xlfn.XLOOKUP($B69,rf1_data!$B:$B,rf1_data!BA:BA,"NaN")))</f>
        <v>20</v>
      </c>
      <c r="BJ69" s="5" t="str">
        <f>IF(_xlfn.XLOOKUP($B69,rf1_data!$B:$B,rf1_data!BB:BB,"NaN")="","NaN",(_xlfn.XLOOKUP($B69,rf1_data!$B:$B,rf1_data!BB:BB,"NaN")))</f>
        <v>NaN</v>
      </c>
      <c r="BK69" s="5" t="str">
        <f>IF(_xlfn.XLOOKUP($B69,rf1_data!$B:$B,rf1_data!BC:BC,"NaN")="","NaN",(_xlfn.XLOOKUP($B69,rf1_data!$B:$B,rf1_data!BC:BC,"NaN")))</f>
        <v>NaN</v>
      </c>
      <c r="BL69" s="5" t="str">
        <f>IF(_xlfn.XLOOKUP($B69,rf1_data!$B:$B,rf1_data!BD:BD,"NaN")="","NaN",(_xlfn.XLOOKUP($B69,rf1_data!$B:$B,rf1_data!BD:BD,"NaN")))</f>
        <v>NaN</v>
      </c>
      <c r="BM69" s="5" t="str">
        <f>IF(_xlfn.XLOOKUP($B69,rf1_data!$B:$B,rf1_data!BE:BE,"NaN")="","NaN",(_xlfn.XLOOKUP($B69,rf1_data!$B:$B,rf1_data!BE:BE,"NaN")))</f>
        <v>NaN</v>
      </c>
      <c r="BN69" s="5" t="str">
        <f>IF(_xlfn.XLOOKUP($B69,rf1_data!$B:$B,rf1_data!BF:BF,"NaN")="","NaN",(_xlfn.XLOOKUP($B69,rf1_data!$B:$B,rf1_data!BF:BF,"NaN")))</f>
        <v>NaN</v>
      </c>
      <c r="BO69" s="5" t="str">
        <f>IF(_xlfn.XLOOKUP($B69,rf1_data!$B:$B,rf1_data!BG:BG,"NaN")="","NaN",(_xlfn.XLOOKUP($B69,rf1_data!$B:$B,rf1_data!BG:BG,"NaN")))</f>
        <v>NaN</v>
      </c>
      <c r="BP69" s="5" t="str">
        <f>IF(_xlfn.XLOOKUP($B69,rf1_data!$B:$B,rf1_data!BH:BH,"NaN")="","NaN",(_xlfn.XLOOKUP($B69,rf1_data!$B:$B,rf1_data!BH:BH,"NaN")))</f>
        <v>NaN</v>
      </c>
      <c r="BQ69" s="5" t="str">
        <f>IF(_xlfn.XLOOKUP($B69,rf1_data!$B:$B,rf1_data!BI:BI,"NaN")="","NaN",(_xlfn.XLOOKUP($B69,rf1_data!$B:$B,rf1_data!BI:BI,"NaN")))</f>
        <v>NaN</v>
      </c>
      <c r="BR69" s="5">
        <f>IF(_xlfn.XLOOKUP($B69,rf1_data!$B:$B,rf1_data!BJ:BJ,"NaN")="","NaN",(_xlfn.XLOOKUP($B69,rf1_data!$B:$B,rf1_data!BJ:BJ,"NaN")))</f>
        <v>8991</v>
      </c>
      <c r="BS69" s="5" t="str">
        <f>IF(_xlfn.XLOOKUP($B69,rf1_data!$B:$B,rf1_data!BK:BK,"NaN")="","NaN",(_xlfn.XLOOKUP($B69,rf1_data!$B:$B,rf1_data!BK:BK,"NaN")))</f>
        <v>NaN</v>
      </c>
      <c r="BT69" s="5" t="str">
        <f>IF(_xlfn.XLOOKUP($B69,rf1_data!$B:$B,rf1_data!BL:BL,"NaN")="","NaN",(_xlfn.XLOOKUP($B69,rf1_data!$B:$B,rf1_data!BL:BL,"NaN")))</f>
        <v>NaN</v>
      </c>
      <c r="BU69" s="5" t="str">
        <f>IF(_xlfn.XLOOKUP($B69,rf1_data!$B:$B,rf1_data!BM:BM,"NaN")="","NaN",(_xlfn.XLOOKUP($B69,rf1_data!$B:$B,rf1_data!BM:BM,"NaN")))</f>
        <v>NaN</v>
      </c>
      <c r="BV69" s="5" t="str">
        <f>IF(_xlfn.XLOOKUP($B69,rf1_data!$B:$B,rf1_data!BN:BN,"NaN")="","NaN",(_xlfn.XLOOKUP($B69,rf1_data!$B:$B,rf1_data!BN:BN,"NaN")))</f>
        <v>NaN</v>
      </c>
      <c r="BW69" s="5">
        <f>IF(_xlfn.XLOOKUP($B69,rf1_data!$B:$B,rf1_data!BO:BO,"NaN")="","NaN",(_xlfn.XLOOKUP($B69,rf1_data!$B:$B,rf1_data!BO:BO,"NaN")))</f>
        <v>2.8</v>
      </c>
      <c r="BX69" s="5">
        <f>IF(_xlfn.XLOOKUP($B69,rf1_data!$B:$B,rf1_data!BP:BP,"NaN")="","NaN",(_xlfn.XLOOKUP($B69,rf1_data!$B:$B,rf1_data!BP:BP,"NaN")))</f>
        <v>3.6</v>
      </c>
      <c r="BY69" s="5">
        <f>IF(_xlfn.XLOOKUP($B69,rf1_data!$B:$B,rf1_data!BQ:BQ,"NaN")="","NaN",(_xlfn.XLOOKUP($B69,rf1_data!$B:$B,rf1_data!BQ:BQ,"NaN")))</f>
        <v>2.6</v>
      </c>
      <c r="BZ69" s="5">
        <f>IF(_xlfn.XLOOKUP($B69,rf1_data!$B:$B,rf1_data!BR:BR,"NaN")="","NaN",(_xlfn.XLOOKUP($B69,rf1_data!$B:$B,rf1_data!BR:BR,"NaN")))</f>
        <v>3</v>
      </c>
      <c r="CA69" s="5">
        <f>IF(_xlfn.XLOOKUP($B69,rf1_data!$B:$B,rf1_data!BS:BS,"NaN")="","NaN",(_xlfn.XLOOKUP($B69,rf1_data!$B:$B,rf1_data!BS:BS,"NaN")))</f>
        <v>2.6666666666666998</v>
      </c>
      <c r="CB69" s="5">
        <f>IF(_xlfn.XLOOKUP($B69,rf1_data!$B:$B,rf1_data!BT:BT,"NaN")="","NaN",(_xlfn.XLOOKUP($B69,rf1_data!$B:$B,rf1_data!BT:BT,"NaN")))</f>
        <v>2.1666666666666998</v>
      </c>
      <c r="CC69" s="5">
        <f>IF(_xlfn.XLOOKUP($B69,rf1_data!$B:$B,rf1_data!BU:BU,"NaN")="","NaN",(_xlfn.XLOOKUP($B69,rf1_data!$B:$B,rf1_data!BU:BU,"NaN")))</f>
        <v>4.6666666666666998</v>
      </c>
      <c r="CD69" s="5">
        <f>IF(_xlfn.XLOOKUP($B69,rf1_data!$B:$B,rf1_data!BV:BV,"NaN")="","NaN",(_xlfn.XLOOKUP($B69,rf1_data!$B:$B,rf1_data!BV:BV,"NaN")))</f>
        <v>6</v>
      </c>
      <c r="CE69" s="5">
        <f>IF(_xlfn.XLOOKUP($B69,rf1_data!$B:$B,rf1_data!BW:BW,"NaN")="","NaN",(_xlfn.XLOOKUP($B69,rf1_data!$B:$B,rf1_data!BW:BW,"NaN")))</f>
        <v>0.5</v>
      </c>
      <c r="CF69" s="5">
        <f>IF(_xlfn.XLOOKUP($B69,rf1_data!$B:$B,rf1_data!BX:BX,"NaN")="","NaN",(_xlfn.XLOOKUP($B69,rf1_data!$B:$B,rf1_data!BX:BX,"NaN")))</f>
        <v>0</v>
      </c>
      <c r="CG69" s="5">
        <f>IF(_xlfn.XLOOKUP($B69,rf1_data!$B:$B,rf1_data!BY:BY,"NaN")="","NaN",(_xlfn.XLOOKUP($B69,rf1_data!$B:$B,rf1_data!BY:BY,"NaN")))</f>
        <v>0</v>
      </c>
      <c r="CH69" s="5">
        <f>IF(_xlfn.XLOOKUP($B69,rf1_data!$B:$B,rf1_data!BZ:BZ,"NaN")="","NaN",(_xlfn.XLOOKUP($B69,rf1_data!$B:$B,rf1_data!BZ:BZ,"NaN")))</f>
        <v>18</v>
      </c>
      <c r="CI69" s="5">
        <f>IF(_xlfn.XLOOKUP($B69,rf1_data!$B:$B,rf1_data!CA:CA,"NaN")="","NaN",(_xlfn.XLOOKUP($B69,rf1_data!$B:$B,rf1_data!CA:CA,"NaN")))</f>
        <v>27</v>
      </c>
      <c r="CJ69" s="5">
        <f>IF(_xlfn.XLOOKUP($B69,rf1_data!$B:$B,rf1_data!CB:CB,"NaN")="","NaN",(_xlfn.XLOOKUP($B69,rf1_data!$B:$B,rf1_data!CB:CB,"NaN")))</f>
        <v>7</v>
      </c>
      <c r="CK69" s="5">
        <f>IF(_xlfn.XLOOKUP($B69,rf1_data!$B:$B,rf1_data!CC:CC,"NaN")="","NaN",(_xlfn.XLOOKUP($B69,rf1_data!$B:$B,rf1_data!CC:CC,"NaN")))</f>
        <v>1</v>
      </c>
      <c r="CL69" s="5">
        <f>IF(_xlfn.XLOOKUP($B69,rf1_data!$B:$B,rf1_data!CD:CD,"NaN")=0,"NaN",(_xlfn.XLOOKUP($B69,rf1_data!$B:$B,rf1_data!CD:CD,"NaN")))</f>
        <v>25</v>
      </c>
      <c r="CM69" s="5">
        <f>IF(_xlfn.XLOOKUP($B69,rf1_data!$B:$B,rf1_data!CE:CE,"NaN")="","NaN",(_xlfn.XLOOKUP($B69,rf1_data!$B:$B,rf1_data!CE:CE,"NaN")))</f>
        <v>23</v>
      </c>
      <c r="CN69" s="5">
        <f>IF(_xlfn.XLOOKUP($B69,rf1_data!$B:$B,rf1_data!CF:CF,"NaN")="","NaN",(_xlfn.XLOOKUP($B69,rf1_data!$B:$B,rf1_data!CF:CF,"NaN")))</f>
        <v>24</v>
      </c>
      <c r="CO69" s="5">
        <f>IF(_xlfn.XLOOKUP($B69,rf1_data!$B:$B,rf1_data!CG:CG,"NaN")="","NaN",(_xlfn.XLOOKUP($B69,rf1_data!$B:$B,rf1_data!CG:CG,"NaN")))</f>
        <v>21</v>
      </c>
      <c r="CP69" s="5">
        <f>IF(_xlfn.XLOOKUP($B69,rf1_data!$B:$B,rf1_data!CH:CH,"NaN")=0,"NaN",(_xlfn.XLOOKUP($B69,rf1_data!$B:$B,rf1_data!CH:CH,"NaN")))</f>
        <v>18</v>
      </c>
      <c r="CQ69" s="5">
        <f>IF(_xlfn.XLOOKUP($B69,rf1_data!$B:$B,rf1_data!CI:CI,"NaN")="","NaN",(_xlfn.XLOOKUP($B69,rf1_data!$B:$B,rf1_data!CI:CI,"NaN")))</f>
        <v>26</v>
      </c>
      <c r="CR69" s="5">
        <f>IF(_xlfn.XLOOKUP($B69,rf1_data!$B:$B,rf1_data!CJ:CJ,"NaN")="","NaN",(_xlfn.XLOOKUP($B69,rf1_data!$B:$B,rf1_data!CJ:CJ,"NaN")))</f>
        <v>60</v>
      </c>
      <c r="CS69" s="5">
        <f>IF(_xlfn.XLOOKUP($B69,rf1_data!$B:$B,rf1_data!CK:CK,"NaN")="","NaN",(_xlfn.XLOOKUP($B69,rf1_data!$B:$B,rf1_data!CK:CK,"NaN")))</f>
        <v>20</v>
      </c>
      <c r="CT69" s="5">
        <f>IF(_xlfn.XLOOKUP($B69,rf1_data!$B:$B,rf1_data!CL:CL,"NaN")="","NaN",(_xlfn.XLOOKUP($B69,rf1_data!$B:$B,rf1_data!CL:CL,"NaN")))</f>
        <v>60</v>
      </c>
      <c r="CU69" s="5">
        <f>IF(_xlfn.XLOOKUP($B69,rf1_data!$B:$B,rf1_data!CM:CM,"NaN")="","NaN",(_xlfn.XLOOKUP($B69,rf1_data!$B:$B,rf1_data!CM:CM,"NaN")))</f>
        <v>22</v>
      </c>
      <c r="CV69" s="5">
        <f>IF(_xlfn.XLOOKUP($B69,rf1_data!$B:$B,rf1_data!CN:CN,"NaN")="","NaN",(_xlfn.XLOOKUP($B69,rf1_data!$B:$B,rf1_data!CN:CN,"NaN")))</f>
        <v>60</v>
      </c>
      <c r="CW69" s="5">
        <f>IF(_xlfn.XLOOKUP($B69,rf1_data!$B:$B,rf1_data!CO:CO,"NaN")="","NaN",(_xlfn.XLOOKUP($B69,rf1_data!$B:$B,rf1_data!CO:CO,"NaN")))</f>
        <v>4</v>
      </c>
      <c r="CX69" s="5">
        <f>IF(_xlfn.XLOOKUP($B69,rf1_data!$B:$B,rf1_data!CP:CP,"NaN")="","NaN",(_xlfn.XLOOKUP($B69,rf1_data!$B:$B,rf1_data!CP:CP,"NaN")))</f>
        <v>4</v>
      </c>
      <c r="CY69" s="5">
        <f>IF(_xlfn.XLOOKUP($B69,rf1_data!$B:$B,rf1_data!CQ:CQ,"NaN")="","NaN",(_xlfn.XLOOKUP($B69,rf1_data!$B:$B,rf1_data!CQ:CQ,"NaN")))</f>
        <v>7</v>
      </c>
      <c r="CZ69" s="5">
        <f>IF(_xlfn.XLOOKUP($B69,rf1_data!$B:$B,rf1_data!CR:CR,"NaN")="","NaN",(_xlfn.XLOOKUP($B69,rf1_data!$B:$B,rf1_data!CR:CR,"NaN")))</f>
        <v>4</v>
      </c>
      <c r="DA69" s="5">
        <f>IF(_xlfn.XLOOKUP($B69,rf1_data!$B:$B,rf1_data!CS:CS,"NaN")="","NaN",(_xlfn.XLOOKUP($B69,rf1_data!$B:$B,rf1_data!CS:CS,"NaN")))</f>
        <v>1</v>
      </c>
      <c r="DB69" s="4">
        <f>IF(_xlfn.XLOOKUP($B69,island_data!$B:$B,island_data!H:H,"NaN")="","NaN",_xlfn.XLOOKUP($B69,island_data!$B:$B,island_data!H:H,"NaN"))</f>
        <v>0</v>
      </c>
      <c r="DC69" s="4">
        <f>IF(_xlfn.XLOOKUP($B69,island_data!$B:$B,island_data!I:I,"NaN")="","NaN",_xlfn.XLOOKUP($B69,island_data!$B:$B,island_data!I:I,"NaN"))</f>
        <v>0</v>
      </c>
      <c r="DD69" s="4">
        <f>IF(_xlfn.XLOOKUP($B69,island_data!$B:$B,island_data!J:J,"NaN")="","NaN",_xlfn.XLOOKUP($B69,island_data!$B:$B,island_data!J:J,"NaN"))</f>
        <v>3</v>
      </c>
      <c r="DE69" s="4">
        <f>IF(_xlfn.XLOOKUP($B69,island_data!$B:$B,island_data!K:K,"NaN")="","NaN",_xlfn.XLOOKUP($B69,island_data!$B:$B,island_data!K:K,"NaN"))</f>
        <v>14</v>
      </c>
      <c r="DF69" s="4">
        <f>IF(_xlfn.XLOOKUP($B69,island_data!$B:$B,island_data!L:L,"NaN")="","NaN",_xlfn.XLOOKUP($B69,island_data!$B:$B,island_data!L:L,"NaN"))</f>
        <v>12</v>
      </c>
      <c r="DG69" s="4">
        <f>IF(_xlfn.XLOOKUP($B69,island_data!$B:$B,island_data!M:M,"NaN")="","NaN",_xlfn.XLOOKUP($B69,island_data!$B:$B,island_data!M:M,"NaN"))</f>
        <v>4.3125</v>
      </c>
      <c r="DH69" s="4">
        <f>IF(_xlfn.XLOOKUP($B69,island_data!$B:$B,island_data!N:N,"NaN")="","NaN",_xlfn.XLOOKUP($B69,island_data!$B:$B,island_data!N:N,"NaN"))</f>
        <v>12</v>
      </c>
      <c r="DI69" s="4">
        <f>IF(_xlfn.XLOOKUP($B69,island_data!$B:$B,island_data!O:O,"NaN")=999,"NaN",_xlfn.XLOOKUP($B69,island_data!$B:$B,island_data!O:O,"NaN"))</f>
        <v>12</v>
      </c>
      <c r="DJ69" s="4">
        <f>IF(_xlfn.XLOOKUP($B69,island_data!$B:$B,island_data!P:P,"NaN")="","NaN",_xlfn.XLOOKUP($B69,island_data!$B:$B,island_data!P:P,"NaN"))</f>
        <v>12</v>
      </c>
      <c r="DK69" s="4">
        <f>IF(_xlfn.XLOOKUP($B69,island_data!$B:$B,island_data!Q:Q,"NaN")="","NaN",_xlfn.XLOOKUP($B69,island_data!$B:$B,island_data!Q:Q,"NaN"))</f>
        <v>3</v>
      </c>
      <c r="DL69" s="4">
        <f>IF(_xlfn.XLOOKUP($B69,island_data!$B:$B,island_data!R:R,"NaN")=999,"NaN",_xlfn.XLOOKUP($B69,island_data!$B:$B,island_data!R:R,"NaN"))</f>
        <v>18</v>
      </c>
      <c r="DM69" s="4">
        <f>IF(_xlfn.XLOOKUP($B69,island_data!$B:$B,island_data!S:S,"NaN")="","NaN",_xlfn.XLOOKUP($B69,island_data!$B:$B,island_data!S:S,"NaN"))</f>
        <v>12</v>
      </c>
      <c r="DN69" s="4">
        <f>IF(_xlfn.XLOOKUP($B69,island_data!$B:$B,island_data!T:T,"NaN")="","NaN",_xlfn.XLOOKUP($B69,island_data!$B:$B,island_data!T:T,"NaN"))</f>
        <v>7</v>
      </c>
      <c r="DO69" s="4">
        <f>IF(_xlfn.XLOOKUP($B69,island_data!$B:$B,island_data!U:U,"NaN")="","NaN",_xlfn.XLOOKUP($B69,island_data!$B:$B,island_data!U:U,"NaN"))</f>
        <v>4</v>
      </c>
      <c r="DP69" s="4">
        <f>IF(_xlfn.XLOOKUP($B69,island_data!$B:$B,island_data!V:V,"NaN")="","NaN",_xlfn.XLOOKUP($B69,island_data!$B:$B,island_data!V:V,"NaN"))</f>
        <v>1</v>
      </c>
      <c r="DQ69" s="4">
        <f>IF(_xlfn.XLOOKUP($B69,island_data!$B:$B,island_data!W:W,"NaN")="","NaN",_xlfn.XLOOKUP($B69,island_data!$B:$B,island_data!W:W,"NaN"))</f>
        <v>4</v>
      </c>
      <c r="DR69" s="4">
        <f>IF(_xlfn.XLOOKUP($B69,island_data!$B:$B,island_data!X:X,"NaN")="","NaN",_xlfn.XLOOKUP($B69,island_data!$B:$B,island_data!X:X,"NaN"))</f>
        <v>4</v>
      </c>
      <c r="DS69" s="4" t="str">
        <f>IF(_xlfn.XLOOKUP($B69,island_data!$B:$B,island_data!Y:Y,"NaN")="","NaN",_xlfn.XLOOKUP($B69,island_data!$B:$B,island_data!Y:Y,"NaN"))</f>
        <v>NaN</v>
      </c>
      <c r="DT69" s="4" t="str">
        <f>IF(_xlfn.XLOOKUP($B69,island_data!$B:$B,island_data!Z:Z,"NaN")="","NaN",_xlfn.XLOOKUP($B69,island_data!$B:$B,island_data!Z:Z,"NaN"))</f>
        <v>NaN</v>
      </c>
      <c r="DU69" s="4" t="str">
        <f>IF(_xlfn.XLOOKUP($B69,island_data!$B:$B,island_data!AA:AA,"NaN")="","NaN",_xlfn.XLOOKUP($B69,island_data!$B:$B,island_data!AA:AA,"NaN"))</f>
        <v>NaN</v>
      </c>
      <c r="DV69" s="4">
        <f>IF(_xlfn.XLOOKUP($B69,island_data!$B:$B,island_data!AB:AB,"NaN")="","NaN",_xlfn.XLOOKUP($B69,island_data!$B:$B,island_data!AB:AB,"NaN"))</f>
        <v>4</v>
      </c>
      <c r="DW69" s="4">
        <f>IF(_xlfn.XLOOKUP($B69,island_data!$B:$B,island_data!AC:AC,"NaN")="","NaN",_xlfn.XLOOKUP($B69,island_data!$B:$B,island_data!AC:AC,"NaN"))</f>
        <v>10301</v>
      </c>
      <c r="DX69" s="4">
        <f>IF(_xlfn.XLOOKUP($B69,island_data!$B:$B,island_data!AD:AD,"NaN")="","NaN",_xlfn.XLOOKUP($B69,island_data!$B:$B,island_data!AD:AD,"NaN"))</f>
        <v>4</v>
      </c>
      <c r="DY69" s="4">
        <f>IF(_xlfn.XLOOKUP($B69,island_data!$B:$B,island_data!AE:AE,"NaN")="","NaN",_xlfn.XLOOKUP($B69,island_data!$B:$B,island_data!AE:AE,"NaN"))</f>
        <v>0</v>
      </c>
      <c r="DZ69" s="4" t="str">
        <f>IF(_xlfn.XLOOKUP($B69,island_data!$B:$B,island_data!AF:AF,"NaN")="","NaN",_xlfn.XLOOKUP($B69,island_data!$B:$B,island_data!AF:AF,"NaN"))</f>
        <v>NaN</v>
      </c>
      <c r="EA69" s="4" t="str">
        <f>IF(_xlfn.XLOOKUP($B69,island_data!$B:$B,island_data!AG:AG,"NaN")="","NaN",_xlfn.XLOOKUP($B69,island_data!$B:$B,island_data!AG:AG,"NaN"))</f>
        <v>NaN</v>
      </c>
      <c r="EB69" s="4" t="str">
        <f>IF(_xlfn.XLOOKUP($B69,island_data!$B:$B,island_data!AH:AH,"NaN")="","NaN",_xlfn.XLOOKUP($B69,island_data!$B:$B,island_data!AH:AH,"NaN"))</f>
        <v>NaN</v>
      </c>
      <c r="EC69" s="4">
        <f>IF(_xlfn.XLOOKUP($B69,island_data!$B:$B,island_data!AI:AI,"NaN")="","NaN",_xlfn.XLOOKUP($B69,island_data!$B:$B,island_data!AI:AI,"NaN"))</f>
        <v>14</v>
      </c>
      <c r="ED69" s="4">
        <f>IF(_xlfn.XLOOKUP($B69,island_data!$B:$B,island_data!AJ:AJ,"NaN")="","NaN",_xlfn.XLOOKUP($B69,island_data!$B:$B,island_data!AJ:AJ,"NaN"))</f>
        <v>15</v>
      </c>
      <c r="EE69" s="4">
        <f>IF(_xlfn.XLOOKUP($B69,island_data!$B:$B,island_data!AK:AK,"NaN")="","NaN",_xlfn.XLOOKUP($B69,island_data!$B:$B,island_data!AK:AK,"NaN"))</f>
        <v>10</v>
      </c>
      <c r="EF69" s="4">
        <f>IF(_xlfn.XLOOKUP($B69,island_data!$B:$B,island_data!AL:AL,"NaN")="","NaN",_xlfn.XLOOKUP($B69,island_data!$B:$B,island_data!AL:AL,"NaN"))</f>
        <v>13</v>
      </c>
      <c r="EG69" s="4">
        <f>IF(_xlfn.XLOOKUP($B69,island_data!$B:$B,island_data!AM:AM,"NaN")="","NaN",_xlfn.XLOOKUP($B69,island_data!$B:$B,island_data!AM:AM,"NaN"))</f>
        <v>26</v>
      </c>
      <c r="EH69" s="4" t="str">
        <f>IF(_xlfn.XLOOKUP($B69,island_data!$B:$B,island_data!AN:AN,"NaN")="","NaN",_xlfn.XLOOKUP($B69,island_data!$B:$B,island_data!AN:AN,"NaN"))</f>
        <v>NaN</v>
      </c>
      <c r="EI69" s="4" t="str">
        <f>IF(_xlfn.XLOOKUP($B69,island_data!$B:$B,island_data!AO:AO,"NaN")="","NaN",_xlfn.XLOOKUP($B69,island_data!$B:$B,island_data!AO:AO,"NaN"))</f>
        <v>NaN</v>
      </c>
      <c r="EJ69" s="8" t="str">
        <f>IF(_xlfn.XLOOKUP($A69,TabCAT!$A:$A,TabCAT!AU:AU,"NaN")="","NaN",(_xlfn.XLOOKUP($A69,TabCAT!$A:$A,TabCAT!AU:AU,"NaN")))</f>
        <v>NaN</v>
      </c>
      <c r="EK69" s="8" t="str">
        <f>IF(_xlfn.XLOOKUP($A69,TabCAT!$A:$A,TabCAT!AV:AV,"NaN")="","NaN",(_xlfn.XLOOKUP($A69,TabCAT!$A:$A,TabCAT!AV:AV,"NaN")))</f>
        <v>NaN</v>
      </c>
      <c r="EL69" s="8" t="str">
        <f>IF(_xlfn.XLOOKUP($A69,TabCAT!$A:$A,TabCAT!AW:AW,"NaN")="","NaN",(_xlfn.XLOOKUP($A69,TabCAT!$A:$A,TabCAT!AW:AW,"NaN")))</f>
        <v>NaN</v>
      </c>
      <c r="EM69" s="8" t="str">
        <f>IF(_xlfn.XLOOKUP($A69,TabCAT!$A:$A,TabCAT!AX:AX,"NaN")="","NaN",(_xlfn.XLOOKUP($A69,TabCAT!$A:$A,TabCAT!AX:AX,"NaN")))</f>
        <v>NaN</v>
      </c>
      <c r="EN69" s="8" t="str">
        <f>IF(_xlfn.XLOOKUP($A69,TabCAT!$A:$A,TabCAT!AY:AY,"NaN")="","NaN",(_xlfn.XLOOKUP($A69,TabCAT!$A:$A,TabCAT!AY:AY,"NaN")))</f>
        <v>NaN</v>
      </c>
      <c r="EO69" s="8" t="str">
        <f>IF(_xlfn.XLOOKUP($A69,TabCAT!$A:$A,TabCAT!AZ:AZ,"NaN")="","NaN",(_xlfn.XLOOKUP($A69,TabCAT!$A:$A,TabCAT!AZ:AZ,"NaN")))</f>
        <v>NaN</v>
      </c>
      <c r="EP69" s="8" t="str">
        <f>IF(_xlfn.XLOOKUP($A69,TabCAT!$A:$A,TabCAT!BA:BA,"NaN")="","NaN",(_xlfn.XLOOKUP($A69,TabCAT!$A:$A,TabCAT!BA:BA,"NaN")))</f>
        <v>NaN</v>
      </c>
      <c r="EQ69" s="8" t="str">
        <f>IF(_xlfn.XLOOKUP($A69,TabCAT!$A:$A,TabCAT!BB:BB,"NaN")="","NaN",(_xlfn.XLOOKUP($A69,TabCAT!$A:$A,TabCAT!BB:BB,"NaN")))</f>
        <v>NaN</v>
      </c>
      <c r="ER69" s="8" t="str">
        <f>IF(_xlfn.XLOOKUP($A69,TabCAT!$A:$A,TabCAT!BC:BC,"NaN")="","NaN",(_xlfn.XLOOKUP($A69,TabCAT!$A:$A,TabCAT!BC:BC,"NaN")))</f>
        <v>NaN</v>
      </c>
      <c r="ES69" s="8" t="str">
        <f>IF(_xlfn.XLOOKUP($A69,TabCAT!$A:$A,TabCAT!BD:BD,"NaN")="","NaN",(_xlfn.XLOOKUP($A69,TabCAT!$A:$A,TabCAT!BD:BD,"NaN")))</f>
        <v>NaN</v>
      </c>
      <c r="ET69" s="8" t="str">
        <f>IF(_xlfn.XLOOKUP($A69,TabCAT!$A:$A,TabCAT!BE:BE,"NaN")="","NaN",(_xlfn.XLOOKUP($A69,TabCAT!$A:$A,TabCAT!BE:BE,"NaN")))</f>
        <v>NaN</v>
      </c>
      <c r="EU69" s="8" t="str">
        <f>IF(_xlfn.XLOOKUP($A69,TabCAT!$A:$A,TabCAT!BF:BF,"NaN")="","NaN",(_xlfn.XLOOKUP($A69,TabCAT!$A:$A,TabCAT!BF:BF,"NaN")))</f>
        <v>NaN</v>
      </c>
      <c r="EV69" s="8" t="str">
        <f>IF(_xlfn.XLOOKUP($A69,TabCAT!$A:$A,TabCAT!BG:BG,"NaN")="","NaN",(_xlfn.XLOOKUP($A69,TabCAT!$A:$A,TabCAT!BG:BG,"NaN")))</f>
        <v>NaN</v>
      </c>
      <c r="EW69" s="8" t="str">
        <f>IF(_xlfn.XLOOKUP($A69,TabCAT!$A:$A,TabCAT!BH:BH,"NaN")="","NaN",(_xlfn.XLOOKUP($A69,TabCAT!$A:$A,TabCAT!BH:BH,"NaN")))</f>
        <v>NaN</v>
      </c>
      <c r="EX69" s="8" t="str">
        <f>IF(_xlfn.XLOOKUP($A69,TabCAT!$A:$A,TabCAT!BI:BI,"NaN")="","NaN",(_xlfn.XLOOKUP($A69,TabCAT!$A:$A,TabCAT!BI:BI,"NaN")))</f>
        <v>NaN</v>
      </c>
      <c r="EY69" s="8" t="str">
        <f>IF(_xlfn.XLOOKUP($A69,TabCAT!$A:$A,TabCAT!BJ:BJ,"NaN")="","NaN",(_xlfn.XLOOKUP($A69,TabCAT!$A:$A,TabCAT!BJ:BJ,"NaN")))</f>
        <v>NaN</v>
      </c>
      <c r="EZ69" s="8" t="str">
        <f>IF(_xlfn.XLOOKUP($A69,TabCAT!$A:$A,TabCAT!BK:BK,"NaN")="","NaN",(_xlfn.XLOOKUP($A69,TabCAT!$A:$A,TabCAT!BK:BK,"NaN")))</f>
        <v>NaN</v>
      </c>
      <c r="FA69" s="8" t="str">
        <f>IF(_xlfn.XLOOKUP($A69,TabCAT!$A:$A,TabCAT!BL:BL,"NaN")="","NaN",(_xlfn.XLOOKUP($A69,TabCAT!$A:$A,TabCAT!BL:BL,"NaN")))</f>
        <v>NaN</v>
      </c>
      <c r="FB69" s="8" t="str">
        <f>IF(_xlfn.XLOOKUP($A69,TabCAT!$A:$A,TabCAT!BM:BM,"NaN")="","NaN",(_xlfn.XLOOKUP($A69,TabCAT!$A:$A,TabCAT!BM:BM,"NaN")))</f>
        <v>NaN</v>
      </c>
      <c r="FC69" s="8" t="str">
        <f>IF(_xlfn.XLOOKUP($A69,TabCAT!$A:$A,TabCAT!BN:BN,"NaN")="","NaN",(_xlfn.XLOOKUP($A69,TabCAT!$A:$A,TabCAT!BN:BN,"NaN")))</f>
        <v>NaN</v>
      </c>
      <c r="FD69" s="8" t="str">
        <f>IF(_xlfn.XLOOKUP($A69,TabCAT!$A:$A,TabCAT!BO:BO,"NaN")="","NaN",(_xlfn.XLOOKUP($A69,TabCAT!$A:$A,TabCAT!BO:BO,"NaN")))</f>
        <v>NaN</v>
      </c>
      <c r="FE69" s="8" t="str">
        <f>IF(_xlfn.XLOOKUP($A69,TabCAT!$A:$A,TabCAT!BP:BP,"NaN")="","NaN",(_xlfn.XLOOKUP($A69,TabCAT!$A:$A,TabCAT!BP:BP,"NaN")))</f>
        <v>NaN</v>
      </c>
      <c r="FF69" s="8" t="str">
        <f>IF(_xlfn.XLOOKUP($A69,TabCAT!$A:$A,TabCAT!BQ:BQ,"NaN")="","NaN",(_xlfn.XLOOKUP($A69,TabCAT!$A:$A,TabCAT!BQ:BQ,"NaN")))</f>
        <v>NaN</v>
      </c>
      <c r="FG69" s="8" t="str">
        <f>IF(_xlfn.XLOOKUP($A69,TabCAT!$A:$A,TabCAT!BR:BR,"NaN")="","NaN",(_xlfn.XLOOKUP($A69,TabCAT!$A:$A,TabCAT!BR:BR,"NaN")))</f>
        <v>NaN</v>
      </c>
      <c r="FH69" s="8" t="str">
        <f>IF(_xlfn.XLOOKUP($A69,TabCAT!$A:$A,TabCAT!BS:BS,"NaN")="","NaN",(_xlfn.XLOOKUP($A69,TabCAT!$A:$A,TabCAT!BS:BS,"NaN")))</f>
        <v>NaN</v>
      </c>
      <c r="FI69" s="8" t="str">
        <f>IF(_xlfn.XLOOKUP($A69,TabCAT!$A:$A,TabCAT!BT:BT,"NaN")="","NaN",(_xlfn.XLOOKUP($A69,TabCAT!$A:$A,TabCAT!BT:BT,"NaN")))</f>
        <v>NaN</v>
      </c>
      <c r="FJ69" s="8" t="str">
        <f>IF(_xlfn.XLOOKUP($A69,TabCAT!$A:$A,TabCAT!BU:BU,"NaN")="","NaN",(_xlfn.XLOOKUP($A69,TabCAT!$A:$A,TabCAT!BU:BU,"NaN")))</f>
        <v>NaN</v>
      </c>
      <c r="FK69" s="8" t="str">
        <f>IF(_xlfn.XLOOKUP($A69,TabCAT!$A:$A,TabCAT!BV:BV,"NaN")="","NaN",(_xlfn.XLOOKUP($A69,TabCAT!$A:$A,TabCAT!BV:BV,"NaN")))</f>
        <v>NaN</v>
      </c>
      <c r="FL69" s="8" t="str">
        <f>IF(_xlfn.XLOOKUP($A69,TabCAT!$A:$A,TabCAT!BW:BW,"NaN")="","NaN",(_xlfn.XLOOKUP($A69,TabCAT!$A:$A,TabCAT!BW:BW,"NaN")))</f>
        <v>NaN</v>
      </c>
      <c r="FM69" s="8" t="str">
        <f>IF(_xlfn.XLOOKUP($A69,TabCAT!$A:$A,TabCAT!BX:BX,"NaN")="","NaN",(_xlfn.XLOOKUP($A69,TabCAT!$A:$A,TabCAT!BX:BX,"NaN")))</f>
        <v>NaN</v>
      </c>
      <c r="FN69" s="8" t="str">
        <f>IF(_xlfn.XLOOKUP($A69,TabCAT!$A:$A,TabCAT!BY:BY,"NaN")="","NaN",(_xlfn.XLOOKUP($A69,TabCAT!$A:$A,TabCAT!BY:BY,"NaN")))</f>
        <v>NaN</v>
      </c>
      <c r="FO69" s="8" t="str">
        <f>IF(_xlfn.XLOOKUP($A69,TabCAT!$A:$A,TabCAT!BZ:BZ,"NaN")="","NaN",(_xlfn.XLOOKUP($A69,TabCAT!$A:$A,TabCAT!BZ:BZ,"NaN")))</f>
        <v>NaN</v>
      </c>
      <c r="FP69" s="8" t="str">
        <f>IF(_xlfn.XLOOKUP($A69,TabCAT!$A:$A,TabCAT!CA:CA,"NaN")="","NaN",(_xlfn.XLOOKUP($A69,TabCAT!$A:$A,TabCAT!CA:CA,"NaN")))</f>
        <v>NaN</v>
      </c>
      <c r="FQ69" s="8" t="str">
        <f>IF(_xlfn.XLOOKUP($A69,TabCAT!$A:$A,TabCAT!CB:CB,"NaN")="","NaN",(_xlfn.XLOOKUP($A69,TabCAT!$A:$A,TabCAT!CB:CB,"NaN")))</f>
        <v>NaN</v>
      </c>
      <c r="FR69" s="8" t="str">
        <f>IF(_xlfn.XLOOKUP($A69,TabCAT!$A:$A,TabCAT!CC:CC,"NaN")="","NaN",(_xlfn.XLOOKUP($A69,TabCAT!$A:$A,TabCAT!CC:CC,"NaN")))</f>
        <v>NaN</v>
      </c>
      <c r="FS69" s="8" t="str">
        <f>IF(_xlfn.XLOOKUP($A69,TabCAT!$A:$A,TabCAT!CD:CD,"NaN")="","NaN",(_xlfn.XLOOKUP($A69,TabCAT!$A:$A,TabCAT!CD:CD,"NaN")))</f>
        <v>NaN</v>
      </c>
      <c r="FT69" s="8" t="str">
        <f>IF(_xlfn.XLOOKUP($A69,TabCAT!$A:$A,TabCAT!CE:CE,"NaN")="","NaN",(_xlfn.XLOOKUP($A69,TabCAT!$A:$A,TabCAT!CE:CE,"NaN")))</f>
        <v>NaN</v>
      </c>
      <c r="FU69" s="8" t="str">
        <f>IF(_xlfn.XLOOKUP($A69,TabCAT!$A:$A,TabCAT!CF:CF,"NaN")="","NaN",(_xlfn.XLOOKUP($A69,TabCAT!$A:$A,TabCAT!CF:CF,"NaN")))</f>
        <v>NaN</v>
      </c>
      <c r="FV69" s="8" t="str">
        <f>IF(_xlfn.XLOOKUP($A69,TabCAT!$A:$A,TabCAT!CG:CG,"NaN")="","NaN",(_xlfn.XLOOKUP($A69,TabCAT!$A:$A,TabCAT!CG:CG,"NaN")))</f>
        <v>NaN</v>
      </c>
      <c r="FW69" s="8" t="str">
        <f>IF(_xlfn.XLOOKUP($A69,TabCAT!$A:$A,TabCAT!CH:CH,"NaN")="","NaN",(_xlfn.XLOOKUP($A69,TabCAT!$A:$A,TabCAT!CH:CH,"NaN")))</f>
        <v>NaN</v>
      </c>
      <c r="FX69" s="8" t="str">
        <f>IF(_xlfn.XLOOKUP($A69,TabCAT!$A:$A,TabCAT!CI:CI,"NaN")="","NaN",(_xlfn.XLOOKUP($A69,TabCAT!$A:$A,TabCAT!CI:CI,"NaN")))</f>
        <v>NaN</v>
      </c>
      <c r="FY69" s="8" t="str">
        <f>IF(_xlfn.XLOOKUP($A69,TabCAT!$A:$A,TabCAT!CJ:CJ,"NaN")="","NaN",(_xlfn.XLOOKUP($A69,TabCAT!$A:$A,TabCAT!CJ:CJ,"NaN")))</f>
        <v>NaN</v>
      </c>
      <c r="FZ69" s="8" t="str">
        <f>IF(_xlfn.XLOOKUP($A69,TabCAT!$A:$A,TabCAT!CK:CK,"NaN")="","NaN",(_xlfn.XLOOKUP($A69,TabCAT!$A:$A,TabCAT!CK:CK,"NaN")))</f>
        <v>NaN</v>
      </c>
      <c r="GA69" s="8" t="str">
        <f>IF(_xlfn.XLOOKUP($A69,TabCAT!$A:$A,TabCAT!CL:CL,"NaN")="","NaN",(_xlfn.XLOOKUP($A69,TabCAT!$A:$A,TabCAT!CL:CL,"NaN")))</f>
        <v>NaN</v>
      </c>
      <c r="GB69" s="8" t="str">
        <f>IF(_xlfn.XLOOKUP($A69,TabCAT!$A:$A,TabCAT!CM:CM,"NaN")="","NaN",(_xlfn.XLOOKUP($A69,TabCAT!$A:$A,TabCAT!CM:CM,"NaN")))</f>
        <v>NaN</v>
      </c>
      <c r="GC69" s="8" t="str">
        <f>IF(_xlfn.XLOOKUP($A69,TabCAT!$A:$A,TabCAT!CN:CN,"NaN")="","NaN",(_xlfn.XLOOKUP($A69,TabCAT!$A:$A,TabCAT!CN:CN,"NaN")))</f>
        <v>NaN</v>
      </c>
      <c r="GD69" s="8" t="str">
        <f>IF(_xlfn.XLOOKUP($A69,TabCAT!$A:$A,TabCAT!CO:CO,"NaN")="","NaN",(_xlfn.XLOOKUP($A69,TabCAT!$A:$A,TabCAT!CO:CO,"NaN")))</f>
        <v>NaN</v>
      </c>
      <c r="GE69" s="8" t="str">
        <f>IF(_xlfn.XLOOKUP($A69,TabCAT!$A:$A,TabCAT!CP:CP,"NaN")="","NaN",(_xlfn.XLOOKUP($A69,TabCAT!$A:$A,TabCAT!CP:CP,"NaN")))</f>
        <v>NaN</v>
      </c>
      <c r="GF69" s="8" t="str">
        <f>IF(_xlfn.XLOOKUP($A69,TabCAT!$A:$A,TabCAT!CQ:CQ,"NaN")="","NaN",(_xlfn.XLOOKUP($A69,TabCAT!$A:$A,TabCAT!CQ:CQ,"NaN")))</f>
        <v>NaN</v>
      </c>
      <c r="GG69" s="8" t="str">
        <f>IF(_xlfn.XLOOKUP($A69,TabCAT!$A:$A,TabCAT!CR:CR,"NaN")="","NaN",(_xlfn.XLOOKUP($A69,TabCAT!$A:$A,TabCAT!CR:CR,"NaN")))</f>
        <v>NaN</v>
      </c>
      <c r="GH69" s="8" t="str">
        <f>IF(_xlfn.XLOOKUP($A69,TabCAT!$A:$A,TabCAT!CS:CS,"NaN")="","NaN",(_xlfn.XLOOKUP($A69,TabCAT!$A:$A,TabCAT!CS:CS,"NaN")))</f>
        <v>NaN</v>
      </c>
    </row>
    <row r="70" spans="1:190" ht="15" customHeight="1" x14ac:dyDescent="0.2">
      <c r="A70">
        <v>10809</v>
      </c>
      <c r="B70">
        <f>_xlfn.XLOOKUP(bippity_poppity_boo!A70,rf1_data!A:A,rf1_data!B:B)</f>
        <v>180255</v>
      </c>
      <c r="C70" s="2">
        <f>(_xlfn.XLOOKUP($A70,trust!$A:$A,trust!B:B,"NaN"))</f>
        <v>2.75</v>
      </c>
      <c r="D70" s="2">
        <f>(_xlfn.XLOOKUP($A70,trust!$A:$A,trust!C:C,"NaN"))</f>
        <v>3.2</v>
      </c>
      <c r="E70" s="2">
        <f>(_xlfn.XLOOKUP($A70,trust!$A:$A,trust!D:D,"NaN"))</f>
        <v>2.8</v>
      </c>
      <c r="F70" s="2">
        <f>(_xlfn.XLOOKUP($A70,trust!$A:$A,trust!E:E,"NaN"))</f>
        <v>3.3333330000000001</v>
      </c>
      <c r="G70" s="2">
        <f>(_xlfn.XLOOKUP($A70,trust!$A:$A,trust!F:F,"NaN"))</f>
        <v>4</v>
      </c>
      <c r="H70" s="2">
        <f>(_xlfn.XLOOKUP($A70,trust!$A:$A,trust!G:G,"NaN"))</f>
        <v>4.2857139999999996</v>
      </c>
      <c r="I70" s="3">
        <f>IF(_xlfn.XLOOKUP($B70,island_data!$B:$B,island_data!C:C,"NaN")="","NaN",_xlfn.XLOOKUP($B70,island_data!$B:$B,island_data!C:C,"NaN"))</f>
        <v>45181</v>
      </c>
      <c r="J70" s="3">
        <f>IF(_xlfn.XLOOKUP($B70,island_data!$B:$B,island_data!D:D,"NaN")="","NaN",_xlfn.XLOOKUP($B70,island_data!$B:$B,island_data!D:D,"NaN"))</f>
        <v>20096</v>
      </c>
      <c r="K70" s="4">
        <f>IF(_xlfn.XLOOKUP($B70,island_data!$B:$B,island_data!E:E,"NaN")="","NaN",_xlfn.XLOOKUP($B70,island_data!$B:$B,island_data!E:E,"NaN"))</f>
        <v>68.680000000000007</v>
      </c>
      <c r="L70" s="5">
        <f>IF(_xlfn.XLOOKUP($B70,rf1_data!$B:$B,rf1_data!D:D,"NaN")="","NaN",(_xlfn.XLOOKUP($B70,rf1_data!$B:$B,rf1_data!D:D,"NaN")))</f>
        <v>68.77</v>
      </c>
      <c r="M70" s="5" t="str">
        <f>IF(_xlfn.XLOOKUP($B70,rf1_data!$B:$B,rf1_data!E:E,"NaN")="","NaN",(_xlfn.XLOOKUP($B70,rf1_data!$B:$B,rf1_data!E:E,"NaN")))</f>
        <v>White</v>
      </c>
      <c r="N70" s="5" t="str">
        <f>IF(_xlfn.XLOOKUP($B70,rf1_data!$B:$B,rf1_data!F:F,"NaN")="","NaN",(_xlfn.XLOOKUP($B70,rf1_data!$B:$B,rf1_data!F:F,"NaN")))</f>
        <v>Not Hispanic or Latino</v>
      </c>
      <c r="O70" s="5" t="str">
        <f>IF(_xlfn.XLOOKUP($B70,rf1_data!$B:$B,rf1_data!G:G,"NaN")="","NaN",(_xlfn.XLOOKUP($B70,rf1_data!$B:$B,rf1_data!G:G,"NaN")))</f>
        <v>Male</v>
      </c>
      <c r="P70" s="5">
        <f>IF(_xlfn.XLOOKUP($B70,rf1_data!$B:$B,rf1_data!H:H,"NaN")="","NaN",(_xlfn.XLOOKUP($B70,rf1_data!$B:$B,rf1_data!H:H,"NaN")))</f>
        <v>4.4400000000000004</v>
      </c>
      <c r="Q70" s="5">
        <f>IF(_xlfn.XLOOKUP($B70,rf1_data!$B:$B,rf1_data!I:I,"NaN")="","NaN",(_xlfn.XLOOKUP($B70,rf1_data!$B:$B,rf1_data!I:I,"NaN")))</f>
        <v>4.3</v>
      </c>
      <c r="R70" s="5">
        <f>IF(_xlfn.XLOOKUP($B70,rf1_data!$B:$B,rf1_data!J:J,"NaN")="","NaN",(_xlfn.XLOOKUP($B70,rf1_data!$B:$B,rf1_data!J:J,"NaN")))</f>
        <v>2</v>
      </c>
      <c r="S70" s="5">
        <f>IF(_xlfn.XLOOKUP($B70,rf1_data!$B:$B,rf1_data!K:K,"NaN")="","NaN",(_xlfn.XLOOKUP($B70,rf1_data!$B:$B,rf1_data!K:K,"NaN")))</f>
        <v>3</v>
      </c>
      <c r="T70" s="5">
        <f>IF(_xlfn.XLOOKUP($B70,rf1_data!$B:$B,rf1_data!L:L,"NaN")="","NaN",(_xlfn.XLOOKUP($B70,rf1_data!$B:$B,rf1_data!L:L,"NaN")))</f>
        <v>0</v>
      </c>
      <c r="U70" s="5">
        <f>IF(_xlfn.XLOOKUP($B70,rf1_data!$B:$B,rf1_data!M:M,"NaN")="","NaN",(_xlfn.XLOOKUP($B70,rf1_data!$B:$B,rf1_data!M:M,"NaN")))</f>
        <v>4.17</v>
      </c>
      <c r="V70" s="5">
        <f>IF(_xlfn.XLOOKUP($B70,rf1_data!$B:$B,rf1_data!N:N,"NaN")="","NaN",(_xlfn.XLOOKUP($B70,rf1_data!$B:$B,rf1_data!N:N,"NaN")))</f>
        <v>4.5</v>
      </c>
      <c r="W70" s="5">
        <f>IF(_xlfn.XLOOKUP($B70,rf1_data!$B:$B,rf1_data!O:O,"NaN")="","NaN",(_xlfn.XLOOKUP($B70,rf1_data!$B:$B,rf1_data!O:O,"NaN")))</f>
        <v>5.63</v>
      </c>
      <c r="X70" s="5">
        <f>IF(_xlfn.XLOOKUP($B70,rf1_data!$B:$B,rf1_data!P:P,"NaN")="","NaN",(_xlfn.XLOOKUP($B70,rf1_data!$B:$B,rf1_data!P:P,"NaN")))</f>
        <v>4.67</v>
      </c>
      <c r="Y70" s="5">
        <f>IF(_xlfn.XLOOKUP($B70,rf1_data!$B:$B,rf1_data!Q:Q,"NaN")="","NaN",(_xlfn.XLOOKUP($B70,rf1_data!$B:$B,rf1_data!Q:Q,"NaN")))</f>
        <v>4.67</v>
      </c>
      <c r="Z70" s="5">
        <f>IF(_xlfn.XLOOKUP($B70,rf1_data!$B:$B,rf1_data!R:R,"NaN")="","NaN",(_xlfn.XLOOKUP($B70,rf1_data!$B:$B,rf1_data!R:R,"NaN")))</f>
        <v>23</v>
      </c>
      <c r="AA70" s="5">
        <f>IF(_xlfn.XLOOKUP($B70,rf1_data!$B:$B,rf1_data!S:S,"NaN")="","NaN",(_xlfn.XLOOKUP($B70,rf1_data!$B:$B,rf1_data!S:S,"NaN")))</f>
        <v>8</v>
      </c>
      <c r="AB70" s="5">
        <f>IF(_xlfn.XLOOKUP($B70,rf1_data!$B:$B,rf1_data!T:T,"NaN")="","NaN",(_xlfn.XLOOKUP($B70,rf1_data!$B:$B,rf1_data!T:T,"NaN")))</f>
        <v>11</v>
      </c>
      <c r="AC70" s="5">
        <f>IF(_xlfn.XLOOKUP($B70,rf1_data!$B:$B,rf1_data!U:U,"NaN")="","NaN",(_xlfn.XLOOKUP($B70,rf1_data!$B:$B,rf1_data!U:U,"NaN")))</f>
        <v>0</v>
      </c>
      <c r="AD70" s="5">
        <f>IF(_xlfn.XLOOKUP($B70,rf1_data!$B:$B,rf1_data!V:V,"NaN")="","NaN",(_xlfn.XLOOKUP($B70,rf1_data!$B:$B,rf1_data!V:V,"NaN")))</f>
        <v>4</v>
      </c>
      <c r="AE70" s="5">
        <f>IF(_xlfn.XLOOKUP($B70,rf1_data!$B:$B,rf1_data!W:W,"NaN")="","NaN",(_xlfn.XLOOKUP($B70,rf1_data!$B:$B,rf1_data!W:W,"NaN")))</f>
        <v>4</v>
      </c>
      <c r="AF70" s="5">
        <f>IF(_xlfn.XLOOKUP($B70,rf1_data!$B:$B,rf1_data!X:X,"NaN")="","NaN",(_xlfn.XLOOKUP($B70,rf1_data!$B:$B,rf1_data!X:X,"NaN")))</f>
        <v>4</v>
      </c>
      <c r="AG70" s="5">
        <f>IF(_xlfn.XLOOKUP($B70,rf1_data!$B:$B,rf1_data!Y:Y,"NaN")="","NaN",(_xlfn.XLOOKUP($B70,rf1_data!$B:$B,rf1_data!Y:Y,"NaN")))</f>
        <v>6</v>
      </c>
      <c r="AH70" s="5">
        <f>IF(_xlfn.XLOOKUP($B70,rf1_data!$B:$B,rf1_data!Z:Z,"NaN")="","NaN",(_xlfn.XLOOKUP($B70,rf1_data!$B:$B,rf1_data!Z:Z,"NaN")))</f>
        <v>1</v>
      </c>
      <c r="AI70" s="5">
        <f>IF(_xlfn.XLOOKUP($B70,rf1_data!$B:$B,rf1_data!AA:AA,"NaN")="","NaN",(_xlfn.XLOOKUP($B70,rf1_data!$B:$B,rf1_data!AA:AA,"NaN")))</f>
        <v>5</v>
      </c>
      <c r="AJ70" s="5">
        <f>IF(_xlfn.XLOOKUP($B70,rf1_data!$B:$B,rf1_data!AB:AB,"NaN")="","NaN",(_xlfn.XLOOKUP($B70,rf1_data!$B:$B,rf1_data!AB:AB,"NaN")))</f>
        <v>20</v>
      </c>
      <c r="AK70" s="5">
        <f>IF(_xlfn.XLOOKUP($B70,rf1_data!$B:$B,rf1_data!AC:AC,"NaN")="","NaN",(_xlfn.XLOOKUP($B70,rf1_data!$B:$B,rf1_data!AC:AC,"NaN")))</f>
        <v>30</v>
      </c>
      <c r="AL70" s="5">
        <f>IF(_xlfn.XLOOKUP($B70,rf1_data!$B:$B,rf1_data!AD:AD,"NaN")="","NaN",(_xlfn.XLOOKUP($B70,rf1_data!$B:$B,rf1_data!AD:AD,"NaN")))</f>
        <v>16</v>
      </c>
      <c r="AM70" s="5">
        <f>IF(_xlfn.XLOOKUP($B70,rf1_data!$B:$B,rf1_data!AE:AE,"NaN")="","NaN",(_xlfn.XLOOKUP($B70,rf1_data!$B:$B,rf1_data!AE:AE,"NaN")))</f>
        <v>0</v>
      </c>
      <c r="AN70" s="5">
        <f>IF(_xlfn.XLOOKUP($B70,rf1_data!$B:$B,rf1_data!AF:AF,"NaN")="","NaN",(_xlfn.XLOOKUP($B70,rf1_data!$B:$B,rf1_data!AF:AF,"NaN")))</f>
        <v>0</v>
      </c>
      <c r="AO70" s="5">
        <f>IF(_xlfn.XLOOKUP($B70,rf1_data!$B:$B,rf1_data!AG:AG,"NaN")="","NaN",(_xlfn.XLOOKUP($B70,rf1_data!$B:$B,rf1_data!AG:AG,"NaN")))</f>
        <v>5.58</v>
      </c>
      <c r="AP70" s="5">
        <f>IF(_xlfn.XLOOKUP($B70,rf1_data!$B:$B,rf1_data!AH:AH,"NaN")="","NaN",(_xlfn.XLOOKUP($B70,rf1_data!$B:$B,rf1_data!AH:AH,"NaN")))</f>
        <v>6.25</v>
      </c>
      <c r="AQ70" s="5">
        <f>IF(_xlfn.XLOOKUP($B70,rf1_data!$B:$B,rf1_data!AI:AI,"NaN")="","NaN",(_xlfn.XLOOKUP($B70,rf1_data!$B:$B,rf1_data!AI:AI,"NaN")))</f>
        <v>4.5</v>
      </c>
      <c r="AR70" s="5">
        <f>IF(_xlfn.XLOOKUP($B70,rf1_data!$B:$B,rf1_data!AJ:AJ,"NaN")="","NaN",(_xlfn.XLOOKUP($B70,rf1_data!$B:$B,rf1_data!AJ:AJ,"NaN")))</f>
        <v>6</v>
      </c>
      <c r="AS70" s="5">
        <f>IF(_xlfn.XLOOKUP($B70,rf1_data!$B:$B,rf1_data!AK:AK,"NaN")="","NaN",(_xlfn.XLOOKUP($B70,rf1_data!$B:$B,rf1_data!AK:AK,"NaN")))</f>
        <v>3</v>
      </c>
      <c r="AT70" s="5">
        <f>IF(_xlfn.XLOOKUP($B70,rf1_data!$B:$B,rf1_data!AL:AL,"NaN")="","NaN",(_xlfn.XLOOKUP($B70,rf1_data!$B:$B,rf1_data!AL:AL,"NaN")))</f>
        <v>22</v>
      </c>
      <c r="AU70" s="5">
        <f>IF(_xlfn.XLOOKUP($B70,rf1_data!$B:$B,rf1_data!AM:AM,"NaN")="","NaN",(_xlfn.XLOOKUP($B70,rf1_data!$B:$B,rf1_data!AM:AM,"NaN")))</f>
        <v>3.42</v>
      </c>
      <c r="AV70" s="5">
        <f>IF(_xlfn.XLOOKUP($B70,rf1_data!$B:$B,rf1_data!AN:AN,"NaN")="","NaN",(_xlfn.XLOOKUP($B70,rf1_data!$B:$B,rf1_data!AN:AN,"NaN")))</f>
        <v>17</v>
      </c>
      <c r="AW70" s="5">
        <f>IF(_xlfn.XLOOKUP($B70,rf1_data!$B:$B,rf1_data!AO:AO,"NaN")="","NaN",(_xlfn.XLOOKUP($B70,rf1_data!$B:$B,rf1_data!AO:AO,"NaN")))</f>
        <v>2.17</v>
      </c>
      <c r="AX70" s="5">
        <f>IF(_xlfn.XLOOKUP($B70,rf1_data!$B:$B,rf1_data!AP:AP,"NaN")="","NaN",(_xlfn.XLOOKUP($B70,rf1_data!$B:$B,rf1_data!AP:AP,"NaN")))</f>
        <v>9999</v>
      </c>
      <c r="AY70" s="5" t="str">
        <f>IF(_xlfn.XLOOKUP($B70,rf1_data!$B:$B,rf1_data!AQ:AQ,"NaN")="","NaN",(_xlfn.XLOOKUP($B70,rf1_data!$B:$B,rf1_data!AQ:AQ,"NaN")))</f>
        <v>NaN</v>
      </c>
      <c r="AZ70" s="5" t="str">
        <f>IF(_xlfn.XLOOKUP($B70,rf1_data!$B:$B,rf1_data!AR:AR,"NaN")="","NaN",(_xlfn.XLOOKUP($B70,rf1_data!$B:$B,rf1_data!AR:AR,"NaN")))</f>
        <v>NaN</v>
      </c>
      <c r="BA70" s="5" t="str">
        <f>IF(_xlfn.XLOOKUP($B70,rf1_data!$B:$B,rf1_data!AS:AS,"NaN")="","NaN",(_xlfn.XLOOKUP($B70,rf1_data!$B:$B,rf1_data!AS:AS,"NaN")))</f>
        <v>NaN</v>
      </c>
      <c r="BB70" s="5" t="str">
        <f>IF(_xlfn.XLOOKUP($B70,rf1_data!$B:$B,rf1_data!AT:AT,"NaN")="","NaN",(_xlfn.XLOOKUP($B70,rf1_data!$B:$B,rf1_data!AT:AT,"NaN")))</f>
        <v>NaN</v>
      </c>
      <c r="BC70" s="5" t="str">
        <f>IF(_xlfn.XLOOKUP($B70,rf1_data!$B:$B,rf1_data!AU:AU,"NaN")="","NaN",(_xlfn.XLOOKUP($B70,rf1_data!$B:$B,rf1_data!AU:AU,"NaN")))</f>
        <v>NaN</v>
      </c>
      <c r="BD70" s="5" t="str">
        <f>IF(_xlfn.XLOOKUP($B70,rf1_data!$B:$B,rf1_data!AV:AV,"NaN")="","NaN",(_xlfn.XLOOKUP($B70,rf1_data!$B:$B,rf1_data!AV:AV,"NaN")))</f>
        <v>NaN</v>
      </c>
      <c r="BE70" s="5" t="str">
        <f>IF(_xlfn.XLOOKUP($B70,rf1_data!$B:$B,rf1_data!AW:AW,"NaN")="","NaN",(_xlfn.XLOOKUP($B70,rf1_data!$B:$B,rf1_data!AW:AW,"NaN")))</f>
        <v>NaN</v>
      </c>
      <c r="BF70" s="5" t="str">
        <f>IF(_xlfn.XLOOKUP($B70,rf1_data!$B:$B,rf1_data!AX:AX,"NaN")="","NaN",(_xlfn.XLOOKUP($B70,rf1_data!$B:$B,rf1_data!AX:AX,"NaN")))</f>
        <v>NaN</v>
      </c>
      <c r="BG70" s="5" t="str">
        <f>IF(_xlfn.XLOOKUP($B70,rf1_data!$B:$B,rf1_data!AY:AY,"NaN")="","NaN",(_xlfn.XLOOKUP($B70,rf1_data!$B:$B,rf1_data!AY:AY,"NaN")))</f>
        <v>NaN</v>
      </c>
      <c r="BH70" s="5" t="str">
        <f>IF(_xlfn.XLOOKUP($B70,rf1_data!$B:$B,rf1_data!AZ:AZ,"NaN")="","NaN",(_xlfn.XLOOKUP($B70,rf1_data!$B:$B,rf1_data!AZ:AZ,"NaN")))</f>
        <v>NaN</v>
      </c>
      <c r="BI70" s="5">
        <f>IF(_xlfn.XLOOKUP($B70,rf1_data!$B:$B,rf1_data!BA:BA,"NaN")="","NaN",(_xlfn.XLOOKUP($B70,rf1_data!$B:$B,rf1_data!BA:BA,"NaN")))</f>
        <v>20</v>
      </c>
      <c r="BJ70" s="5" t="str">
        <f>IF(_xlfn.XLOOKUP($B70,rf1_data!$B:$B,rf1_data!BB:BB,"NaN")="","NaN",(_xlfn.XLOOKUP($B70,rf1_data!$B:$B,rf1_data!BB:BB,"NaN")))</f>
        <v>NaN</v>
      </c>
      <c r="BK70" s="5" t="str">
        <f>IF(_xlfn.XLOOKUP($B70,rf1_data!$B:$B,rf1_data!BC:BC,"NaN")="","NaN",(_xlfn.XLOOKUP($B70,rf1_data!$B:$B,rf1_data!BC:BC,"NaN")))</f>
        <v>NaN</v>
      </c>
      <c r="BL70" s="5" t="str">
        <f>IF(_xlfn.XLOOKUP($B70,rf1_data!$B:$B,rf1_data!BD:BD,"NaN")="","NaN",(_xlfn.XLOOKUP($B70,rf1_data!$B:$B,rf1_data!BD:BD,"NaN")))</f>
        <v>NaN</v>
      </c>
      <c r="BM70" s="5" t="str">
        <f>IF(_xlfn.XLOOKUP($B70,rf1_data!$B:$B,rf1_data!BE:BE,"NaN")="","NaN",(_xlfn.XLOOKUP($B70,rf1_data!$B:$B,rf1_data!BE:BE,"NaN")))</f>
        <v>NaN</v>
      </c>
      <c r="BN70" s="5" t="str">
        <f>IF(_xlfn.XLOOKUP($B70,rf1_data!$B:$B,rf1_data!BF:BF,"NaN")="","NaN",(_xlfn.XLOOKUP($B70,rf1_data!$B:$B,rf1_data!BF:BF,"NaN")))</f>
        <v>NaN</v>
      </c>
      <c r="BO70" s="5" t="str">
        <f>IF(_xlfn.XLOOKUP($B70,rf1_data!$B:$B,rf1_data!BG:BG,"NaN")="","NaN",(_xlfn.XLOOKUP($B70,rf1_data!$B:$B,rf1_data!BG:BG,"NaN")))</f>
        <v>NaN</v>
      </c>
      <c r="BP70" s="5" t="str">
        <f>IF(_xlfn.XLOOKUP($B70,rf1_data!$B:$B,rf1_data!BH:BH,"NaN")="","NaN",(_xlfn.XLOOKUP($B70,rf1_data!$B:$B,rf1_data!BH:BH,"NaN")))</f>
        <v>NaN</v>
      </c>
      <c r="BQ70" s="5" t="str">
        <f>IF(_xlfn.XLOOKUP($B70,rf1_data!$B:$B,rf1_data!BI:BI,"NaN")="","NaN",(_xlfn.XLOOKUP($B70,rf1_data!$B:$B,rf1_data!BI:BI,"NaN")))</f>
        <v>NaN</v>
      </c>
      <c r="BR70" s="5">
        <f>IF(_xlfn.XLOOKUP($B70,rf1_data!$B:$B,rf1_data!BJ:BJ,"NaN")="","NaN",(_xlfn.XLOOKUP($B70,rf1_data!$B:$B,rf1_data!BJ:BJ,"NaN")))</f>
        <v>8991</v>
      </c>
      <c r="BS70" s="5" t="str">
        <f>IF(_xlfn.XLOOKUP($B70,rf1_data!$B:$B,rf1_data!BK:BK,"NaN")="","NaN",(_xlfn.XLOOKUP($B70,rf1_data!$B:$B,rf1_data!BK:BK,"NaN")))</f>
        <v>NaN</v>
      </c>
      <c r="BT70" s="5" t="str">
        <f>IF(_xlfn.XLOOKUP($B70,rf1_data!$B:$B,rf1_data!BL:BL,"NaN")="","NaN",(_xlfn.XLOOKUP($B70,rf1_data!$B:$B,rf1_data!BL:BL,"NaN")))</f>
        <v>NaN</v>
      </c>
      <c r="BU70" s="5" t="str">
        <f>IF(_xlfn.XLOOKUP($B70,rf1_data!$B:$B,rf1_data!BM:BM,"NaN")="","NaN",(_xlfn.XLOOKUP($B70,rf1_data!$B:$B,rf1_data!BM:BM,"NaN")))</f>
        <v>NaN</v>
      </c>
      <c r="BV70" s="5" t="str">
        <f>IF(_xlfn.XLOOKUP($B70,rf1_data!$B:$B,rf1_data!BN:BN,"NaN")="","NaN",(_xlfn.XLOOKUP($B70,rf1_data!$B:$B,rf1_data!BN:BN,"NaN")))</f>
        <v>NaN</v>
      </c>
      <c r="BW70" s="5">
        <f>IF(_xlfn.XLOOKUP($B70,rf1_data!$B:$B,rf1_data!BO:BO,"NaN")="","NaN",(_xlfn.XLOOKUP($B70,rf1_data!$B:$B,rf1_data!BO:BO,"NaN")))</f>
        <v>3.7</v>
      </c>
      <c r="BX70" s="5">
        <f>IF(_xlfn.XLOOKUP($B70,rf1_data!$B:$B,rf1_data!BP:BP,"NaN")="","NaN",(_xlfn.XLOOKUP($B70,rf1_data!$B:$B,rf1_data!BP:BP,"NaN")))</f>
        <v>3</v>
      </c>
      <c r="BY70" s="5">
        <f>IF(_xlfn.XLOOKUP($B70,rf1_data!$B:$B,rf1_data!BQ:BQ,"NaN")="","NaN",(_xlfn.XLOOKUP($B70,rf1_data!$B:$B,rf1_data!BQ:BQ,"NaN")))</f>
        <v>3.3</v>
      </c>
      <c r="BZ70" s="5">
        <f>IF(_xlfn.XLOOKUP($B70,rf1_data!$B:$B,rf1_data!BR:BR,"NaN")="","NaN",(_xlfn.XLOOKUP($B70,rf1_data!$B:$B,rf1_data!BR:BR,"NaN")))</f>
        <v>3.33</v>
      </c>
      <c r="CA70" s="5">
        <f>IF(_xlfn.XLOOKUP($B70,rf1_data!$B:$B,rf1_data!BS:BS,"NaN")="","NaN",(_xlfn.XLOOKUP($B70,rf1_data!$B:$B,rf1_data!BS:BS,"NaN")))</f>
        <v>1</v>
      </c>
      <c r="CB70" s="5">
        <f>IF(_xlfn.XLOOKUP($B70,rf1_data!$B:$B,rf1_data!BT:BT,"NaN")="","NaN",(_xlfn.XLOOKUP($B70,rf1_data!$B:$B,rf1_data!BT:BT,"NaN")))</f>
        <v>1</v>
      </c>
      <c r="CC70" s="5">
        <f>IF(_xlfn.XLOOKUP($B70,rf1_data!$B:$B,rf1_data!BU:BU,"NaN")="","NaN",(_xlfn.XLOOKUP($B70,rf1_data!$B:$B,rf1_data!BU:BU,"NaN")))</f>
        <v>1</v>
      </c>
      <c r="CD70" s="5">
        <f>IF(_xlfn.XLOOKUP($B70,rf1_data!$B:$B,rf1_data!BV:BV,"NaN")="","NaN",(_xlfn.XLOOKUP($B70,rf1_data!$B:$B,rf1_data!BV:BV,"NaN")))</f>
        <v>1</v>
      </c>
      <c r="CE70" s="5">
        <f>IF(_xlfn.XLOOKUP($B70,rf1_data!$B:$B,rf1_data!BW:BW,"NaN")="","NaN",(_xlfn.XLOOKUP($B70,rf1_data!$B:$B,rf1_data!BW:BW,"NaN")))</f>
        <v>1.1499999999999999</v>
      </c>
      <c r="CF70" s="5">
        <f>IF(_xlfn.XLOOKUP($B70,rf1_data!$B:$B,rf1_data!BX:BX,"NaN")="","NaN",(_xlfn.XLOOKUP($B70,rf1_data!$B:$B,rf1_data!BX:BX,"NaN")))</f>
        <v>0</v>
      </c>
      <c r="CG70" s="5">
        <f>IF(_xlfn.XLOOKUP($B70,rf1_data!$B:$B,rf1_data!BY:BY,"NaN")="","NaN",(_xlfn.XLOOKUP($B70,rf1_data!$B:$B,rf1_data!BY:BY,"NaN")))</f>
        <v>0</v>
      </c>
      <c r="CH70" s="5">
        <f>IF(_xlfn.XLOOKUP($B70,rf1_data!$B:$B,rf1_data!BZ:BZ,"NaN")="","NaN",(_xlfn.XLOOKUP($B70,rf1_data!$B:$B,rf1_data!BZ:BZ,"NaN")))</f>
        <v>20</v>
      </c>
      <c r="CI70" s="5">
        <f>IF(_xlfn.XLOOKUP($B70,rf1_data!$B:$B,rf1_data!CA:CA,"NaN")="","NaN",(_xlfn.XLOOKUP($B70,rf1_data!$B:$B,rf1_data!CA:CA,"NaN")))</f>
        <v>21</v>
      </c>
      <c r="CJ70" s="5">
        <f>IF(_xlfn.XLOOKUP($B70,rf1_data!$B:$B,rf1_data!CB:CB,"NaN")="","NaN",(_xlfn.XLOOKUP($B70,rf1_data!$B:$B,rf1_data!CB:CB,"NaN")))</f>
        <v>7</v>
      </c>
      <c r="CK70" s="5">
        <f>IF(_xlfn.XLOOKUP($B70,rf1_data!$B:$B,rf1_data!CC:CC,"NaN")="","NaN",(_xlfn.XLOOKUP($B70,rf1_data!$B:$B,rf1_data!CC:CC,"NaN")))</f>
        <v>0.875</v>
      </c>
      <c r="CL70" s="5">
        <f>IF(_xlfn.XLOOKUP($B70,rf1_data!$B:$B,rf1_data!CD:CD,"NaN")=0,"NaN",(_xlfn.XLOOKUP($B70,rf1_data!$B:$B,rf1_data!CD:CD,"NaN")))</f>
        <v>25</v>
      </c>
      <c r="CM70" s="5">
        <f>IF(_xlfn.XLOOKUP($B70,rf1_data!$B:$B,rf1_data!CE:CE,"NaN")="","NaN",(_xlfn.XLOOKUP($B70,rf1_data!$B:$B,rf1_data!CE:CE,"NaN")))</f>
        <v>32</v>
      </c>
      <c r="CN70" s="5">
        <f>IF(_xlfn.XLOOKUP($B70,rf1_data!$B:$B,rf1_data!CF:CF,"NaN")="","NaN",(_xlfn.XLOOKUP($B70,rf1_data!$B:$B,rf1_data!CF:CF,"NaN")))</f>
        <v>44</v>
      </c>
      <c r="CO70" s="5">
        <f>IF(_xlfn.XLOOKUP($B70,rf1_data!$B:$B,rf1_data!CG:CG,"NaN")="","NaN",(_xlfn.XLOOKUP($B70,rf1_data!$B:$B,rf1_data!CG:CG,"NaN")))</f>
        <v>26</v>
      </c>
      <c r="CP70" s="5">
        <f>IF(_xlfn.XLOOKUP($B70,rf1_data!$B:$B,rf1_data!CH:CH,"NaN")=0,"NaN",(_xlfn.XLOOKUP($B70,rf1_data!$B:$B,rf1_data!CH:CH,"NaN")))</f>
        <v>18</v>
      </c>
      <c r="CQ70" s="5">
        <f>IF(_xlfn.XLOOKUP($B70,rf1_data!$B:$B,rf1_data!CI:CI,"NaN")="","NaN",(_xlfn.XLOOKUP($B70,rf1_data!$B:$B,rf1_data!CI:CI,"NaN")))</f>
        <v>48</v>
      </c>
      <c r="CR70" s="5">
        <f>IF(_xlfn.XLOOKUP($B70,rf1_data!$B:$B,rf1_data!CJ:CJ,"NaN")="","NaN",(_xlfn.XLOOKUP($B70,rf1_data!$B:$B,rf1_data!CJ:CJ,"NaN")))</f>
        <v>58</v>
      </c>
      <c r="CS70" s="5">
        <f>IF(_xlfn.XLOOKUP($B70,rf1_data!$B:$B,rf1_data!CK:CK,"NaN")="","NaN",(_xlfn.XLOOKUP($B70,rf1_data!$B:$B,rf1_data!CK:CK,"NaN")))</f>
        <v>48</v>
      </c>
      <c r="CT70" s="5">
        <f>IF(_xlfn.XLOOKUP($B70,rf1_data!$B:$B,rf1_data!CL:CL,"NaN")="","NaN",(_xlfn.XLOOKUP($B70,rf1_data!$B:$B,rf1_data!CL:CL,"NaN")))</f>
        <v>60</v>
      </c>
      <c r="CU70" s="5">
        <f>IF(_xlfn.XLOOKUP($B70,rf1_data!$B:$B,rf1_data!CM:CM,"NaN")="","NaN",(_xlfn.XLOOKUP($B70,rf1_data!$B:$B,rf1_data!CM:CM,"NaN")))</f>
        <v>25</v>
      </c>
      <c r="CV70" s="5">
        <f>IF(_xlfn.XLOOKUP($B70,rf1_data!$B:$B,rf1_data!CN:CN,"NaN")="","NaN",(_xlfn.XLOOKUP($B70,rf1_data!$B:$B,rf1_data!CN:CN,"NaN")))</f>
        <v>60</v>
      </c>
      <c r="CW70" s="5">
        <f>IF(_xlfn.XLOOKUP($B70,rf1_data!$B:$B,rf1_data!CO:CO,"NaN")="","NaN",(_xlfn.XLOOKUP($B70,rf1_data!$B:$B,rf1_data!CO:CO,"NaN")))</f>
        <v>5</v>
      </c>
      <c r="CX70" s="5">
        <f>IF(_xlfn.XLOOKUP($B70,rf1_data!$B:$B,rf1_data!CP:CP,"NaN")="","NaN",(_xlfn.XLOOKUP($B70,rf1_data!$B:$B,rf1_data!CP:CP,"NaN")))</f>
        <v>4</v>
      </c>
      <c r="CY70" s="5">
        <f>IF(_xlfn.XLOOKUP($B70,rf1_data!$B:$B,rf1_data!CQ:CQ,"NaN")="","NaN",(_xlfn.XLOOKUP($B70,rf1_data!$B:$B,rf1_data!CQ:CQ,"NaN")))</f>
        <v>6</v>
      </c>
      <c r="CZ70" s="5">
        <f>IF(_xlfn.XLOOKUP($B70,rf1_data!$B:$B,rf1_data!CR:CR,"NaN")="","NaN",(_xlfn.XLOOKUP($B70,rf1_data!$B:$B,rf1_data!CR:CR,"NaN")))</f>
        <v>1</v>
      </c>
      <c r="DA70" s="5">
        <f>IF(_xlfn.XLOOKUP($B70,rf1_data!$B:$B,rf1_data!CS:CS,"NaN")="","NaN",(_xlfn.XLOOKUP($B70,rf1_data!$B:$B,rf1_data!CS:CS,"NaN")))</f>
        <v>4</v>
      </c>
      <c r="DB70" s="4">
        <f>IF(_xlfn.XLOOKUP($B70,island_data!$B:$B,island_data!H:H,"NaN")="","NaN",_xlfn.XLOOKUP($B70,island_data!$B:$B,island_data!H:H,"NaN"))</f>
        <v>4</v>
      </c>
      <c r="DC70" s="4">
        <f>IF(_xlfn.XLOOKUP($B70,island_data!$B:$B,island_data!I:I,"NaN")="","NaN",_xlfn.XLOOKUP($B70,island_data!$B:$B,island_data!I:I,"NaN"))</f>
        <v>4</v>
      </c>
      <c r="DD70" s="4">
        <f>IF(_xlfn.XLOOKUP($B70,island_data!$B:$B,island_data!J:J,"NaN")="","NaN",_xlfn.XLOOKUP($B70,island_data!$B:$B,island_data!J:J,"NaN"))</f>
        <v>1</v>
      </c>
      <c r="DE70" s="4">
        <f>IF(_xlfn.XLOOKUP($B70,island_data!$B:$B,island_data!K:K,"NaN")="","NaN",_xlfn.XLOOKUP($B70,island_data!$B:$B,island_data!K:K,"NaN"))</f>
        <v>15</v>
      </c>
      <c r="DF70" s="4">
        <f>IF(_xlfn.XLOOKUP($B70,island_data!$B:$B,island_data!L:L,"NaN")="","NaN",_xlfn.XLOOKUP($B70,island_data!$B:$B,island_data!L:L,"NaN"))</f>
        <v>26</v>
      </c>
      <c r="DG70" s="4">
        <f>IF(_xlfn.XLOOKUP($B70,island_data!$B:$B,island_data!M:M,"NaN")="","NaN",_xlfn.XLOOKUP($B70,island_data!$B:$B,island_data!M:M,"NaN"))</f>
        <v>3.25</v>
      </c>
      <c r="DH70" s="4">
        <f>IF(_xlfn.XLOOKUP($B70,island_data!$B:$B,island_data!N:N,"NaN")="","NaN",_xlfn.XLOOKUP($B70,island_data!$B:$B,island_data!N:N,"NaN"))</f>
        <v>9</v>
      </c>
      <c r="DI70" s="4">
        <f>IF(_xlfn.XLOOKUP($B70,island_data!$B:$B,island_data!O:O,"NaN")=999,"NaN",_xlfn.XLOOKUP($B70,island_data!$B:$B,island_data!O:O,"NaN"))</f>
        <v>6</v>
      </c>
      <c r="DJ70" s="4">
        <f>IF(_xlfn.XLOOKUP($B70,island_data!$B:$B,island_data!P:P,"NaN")="","NaN",_xlfn.XLOOKUP($B70,island_data!$B:$B,island_data!P:P,"NaN"))</f>
        <v>10</v>
      </c>
      <c r="DK70" s="4">
        <f>IF(_xlfn.XLOOKUP($B70,island_data!$B:$B,island_data!Q:Q,"NaN")="","NaN",_xlfn.XLOOKUP($B70,island_data!$B:$B,island_data!Q:Q,"NaN"))</f>
        <v>1</v>
      </c>
      <c r="DL70" s="4">
        <f>IF(_xlfn.XLOOKUP($B70,island_data!$B:$B,island_data!R:R,"NaN")=999,"NaN",_xlfn.XLOOKUP($B70,island_data!$B:$B,island_data!R:R,"NaN"))</f>
        <v>18</v>
      </c>
      <c r="DM70" s="4">
        <f>IF(_xlfn.XLOOKUP($B70,island_data!$B:$B,island_data!S:S,"NaN")="","NaN",_xlfn.XLOOKUP($B70,island_data!$B:$B,island_data!S:S,"NaN"))</f>
        <v>8</v>
      </c>
      <c r="DN70" s="4">
        <f>IF(_xlfn.XLOOKUP($B70,island_data!$B:$B,island_data!T:T,"NaN")="","NaN",_xlfn.XLOOKUP($B70,island_data!$B:$B,island_data!T:T,"NaN"))</f>
        <v>4</v>
      </c>
      <c r="DO70" s="4">
        <f>IF(_xlfn.XLOOKUP($B70,island_data!$B:$B,island_data!U:U,"NaN")="","NaN",_xlfn.XLOOKUP($B70,island_data!$B:$B,island_data!U:U,"NaN"))</f>
        <v>4</v>
      </c>
      <c r="DP70" s="4">
        <f>IF(_xlfn.XLOOKUP($B70,island_data!$B:$B,island_data!V:V,"NaN")="","NaN",_xlfn.XLOOKUP($B70,island_data!$B:$B,island_data!V:V,"NaN"))</f>
        <v>0</v>
      </c>
      <c r="DQ70" s="4">
        <f>IF(_xlfn.XLOOKUP($B70,island_data!$B:$B,island_data!W:W,"NaN")="","NaN",_xlfn.XLOOKUP($B70,island_data!$B:$B,island_data!W:W,"NaN"))</f>
        <v>4</v>
      </c>
      <c r="DR70" s="4">
        <f>IF(_xlfn.XLOOKUP($B70,island_data!$B:$B,island_data!X:X,"NaN")="","NaN",_xlfn.XLOOKUP($B70,island_data!$B:$B,island_data!X:X,"NaN"))</f>
        <v>4</v>
      </c>
      <c r="DS70" s="4" t="str">
        <f>IF(_xlfn.XLOOKUP($B70,island_data!$B:$B,island_data!Y:Y,"NaN")="","NaN",_xlfn.XLOOKUP($B70,island_data!$B:$B,island_data!Y:Y,"NaN"))</f>
        <v>NaN</v>
      </c>
      <c r="DT70" s="4" t="str">
        <f>IF(_xlfn.XLOOKUP($B70,island_data!$B:$B,island_data!Z:Z,"NaN")="","NaN",_xlfn.XLOOKUP($B70,island_data!$B:$B,island_data!Z:Z,"NaN"))</f>
        <v>NaN</v>
      </c>
      <c r="DU70" s="4" t="str">
        <f>IF(_xlfn.XLOOKUP($B70,island_data!$B:$B,island_data!AA:AA,"NaN")="","NaN",_xlfn.XLOOKUP($B70,island_data!$B:$B,island_data!AA:AA,"NaN"))</f>
        <v>NaN</v>
      </c>
      <c r="DV70" s="4">
        <f>IF(_xlfn.XLOOKUP($B70,island_data!$B:$B,island_data!AB:AB,"NaN")="","NaN",_xlfn.XLOOKUP($B70,island_data!$B:$B,island_data!AB:AB,"NaN"))</f>
        <v>0</v>
      </c>
      <c r="DW70" s="4">
        <f>IF(_xlfn.XLOOKUP($B70,island_data!$B:$B,island_data!AC:AC,"NaN")="","NaN",_xlfn.XLOOKUP($B70,island_data!$B:$B,island_data!AC:AC,"NaN"))</f>
        <v>19111</v>
      </c>
      <c r="DX70" s="4">
        <f>IF(_xlfn.XLOOKUP($B70,island_data!$B:$B,island_data!AD:AD,"NaN")="","NaN",_xlfn.XLOOKUP($B70,island_data!$B:$B,island_data!AD:AD,"NaN"))</f>
        <v>4</v>
      </c>
      <c r="DY70" s="4">
        <f>IF(_xlfn.XLOOKUP($B70,island_data!$B:$B,island_data!AE:AE,"NaN")="","NaN",_xlfn.XLOOKUP($B70,island_data!$B:$B,island_data!AE:AE,"NaN"))</f>
        <v>0</v>
      </c>
      <c r="DZ70" s="4" t="str">
        <f>IF(_xlfn.XLOOKUP($B70,island_data!$B:$B,island_data!AF:AF,"NaN")="","NaN",_xlfn.XLOOKUP($B70,island_data!$B:$B,island_data!AF:AF,"NaN"))</f>
        <v>NaN</v>
      </c>
      <c r="EA70" s="4" t="str">
        <f>IF(_xlfn.XLOOKUP($B70,island_data!$B:$B,island_data!AG:AG,"NaN")="","NaN",_xlfn.XLOOKUP($B70,island_data!$B:$B,island_data!AG:AG,"NaN"))</f>
        <v>NaN</v>
      </c>
      <c r="EB70" s="4" t="str">
        <f>IF(_xlfn.XLOOKUP($B70,island_data!$B:$B,island_data!AH:AH,"NaN")="","NaN",_xlfn.XLOOKUP($B70,island_data!$B:$B,island_data!AH:AH,"NaN"))</f>
        <v>NaN</v>
      </c>
      <c r="EC70" s="4">
        <f>IF(_xlfn.XLOOKUP($B70,island_data!$B:$B,island_data!AI:AI,"NaN")="","NaN",_xlfn.XLOOKUP($B70,island_data!$B:$B,island_data!AI:AI,"NaN"))</f>
        <v>12</v>
      </c>
      <c r="ED70" s="4">
        <f>IF(_xlfn.XLOOKUP($B70,island_data!$B:$B,island_data!AJ:AJ,"NaN")="","NaN",_xlfn.XLOOKUP($B70,island_data!$B:$B,island_data!AJ:AJ,"NaN"))</f>
        <v>10</v>
      </c>
      <c r="EE70" s="4">
        <f>IF(_xlfn.XLOOKUP($B70,island_data!$B:$B,island_data!AK:AK,"NaN")="","NaN",_xlfn.XLOOKUP($B70,island_data!$B:$B,island_data!AK:AK,"NaN"))</f>
        <v>9</v>
      </c>
      <c r="EF70" s="4">
        <f>IF(_xlfn.XLOOKUP($B70,island_data!$B:$B,island_data!AL:AL,"NaN")="","NaN",_xlfn.XLOOKUP($B70,island_data!$B:$B,island_data!AL:AL,"NaN"))</f>
        <v>10</v>
      </c>
      <c r="EG70" s="4">
        <f>IF(_xlfn.XLOOKUP($B70,island_data!$B:$B,island_data!AM:AM,"NaN")="","NaN",_xlfn.XLOOKUP($B70,island_data!$B:$B,island_data!AM:AM,"NaN"))</f>
        <v>19</v>
      </c>
      <c r="EH70" s="4" t="str">
        <f>IF(_xlfn.XLOOKUP($B70,island_data!$B:$B,island_data!AN:AN,"NaN")="","NaN",_xlfn.XLOOKUP($B70,island_data!$B:$B,island_data!AN:AN,"NaN"))</f>
        <v>NaN</v>
      </c>
      <c r="EI70" s="4" t="str">
        <f>IF(_xlfn.XLOOKUP($B70,island_data!$B:$B,island_data!AO:AO,"NaN")="","NaN",_xlfn.XLOOKUP($B70,island_data!$B:$B,island_data!AO:AO,"NaN"))</f>
        <v>NaN</v>
      </c>
      <c r="EJ70" s="8" t="str">
        <f>IF(_xlfn.XLOOKUP($A70,TabCAT!$A:$A,TabCAT!AU:AU,"NaN")="","NaN",(_xlfn.XLOOKUP($A70,TabCAT!$A:$A,TabCAT!AU:AU,"NaN")))</f>
        <v>NaN</v>
      </c>
      <c r="EK70" s="8" t="str">
        <f>IF(_xlfn.XLOOKUP($A70,TabCAT!$A:$A,TabCAT!AV:AV,"NaN")="","NaN",(_xlfn.XLOOKUP($A70,TabCAT!$A:$A,TabCAT!AV:AV,"NaN")))</f>
        <v>NaN</v>
      </c>
      <c r="EL70" s="8" t="str">
        <f>IF(_xlfn.XLOOKUP($A70,TabCAT!$A:$A,TabCAT!AW:AW,"NaN")="","NaN",(_xlfn.XLOOKUP($A70,TabCAT!$A:$A,TabCAT!AW:AW,"NaN")))</f>
        <v>NaN</v>
      </c>
      <c r="EM70" s="8" t="str">
        <f>IF(_xlfn.XLOOKUP($A70,TabCAT!$A:$A,TabCAT!AX:AX,"NaN")="","NaN",(_xlfn.XLOOKUP($A70,TabCAT!$A:$A,TabCAT!AX:AX,"NaN")))</f>
        <v>NaN</v>
      </c>
      <c r="EN70" s="8" t="str">
        <f>IF(_xlfn.XLOOKUP($A70,TabCAT!$A:$A,TabCAT!AY:AY,"NaN")="","NaN",(_xlfn.XLOOKUP($A70,TabCAT!$A:$A,TabCAT!AY:AY,"NaN")))</f>
        <v>NaN</v>
      </c>
      <c r="EO70" s="8" t="str">
        <f>IF(_xlfn.XLOOKUP($A70,TabCAT!$A:$A,TabCAT!AZ:AZ,"NaN")="","NaN",(_xlfn.XLOOKUP($A70,TabCAT!$A:$A,TabCAT!AZ:AZ,"NaN")))</f>
        <v>NaN</v>
      </c>
      <c r="EP70" s="8" t="str">
        <f>IF(_xlfn.XLOOKUP($A70,TabCAT!$A:$A,TabCAT!BA:BA,"NaN")="","NaN",(_xlfn.XLOOKUP($A70,TabCAT!$A:$A,TabCAT!BA:BA,"NaN")))</f>
        <v>NaN</v>
      </c>
      <c r="EQ70" s="8" t="str">
        <f>IF(_xlfn.XLOOKUP($A70,TabCAT!$A:$A,TabCAT!BB:BB,"NaN")="","NaN",(_xlfn.XLOOKUP($A70,TabCAT!$A:$A,TabCAT!BB:BB,"NaN")))</f>
        <v>NaN</v>
      </c>
      <c r="ER70" s="8" t="str">
        <f>IF(_xlfn.XLOOKUP($A70,TabCAT!$A:$A,TabCAT!BC:BC,"NaN")="","NaN",(_xlfn.XLOOKUP($A70,TabCAT!$A:$A,TabCAT!BC:BC,"NaN")))</f>
        <v>NaN</v>
      </c>
      <c r="ES70" s="8" t="str">
        <f>IF(_xlfn.XLOOKUP($A70,TabCAT!$A:$A,TabCAT!BD:BD,"NaN")="","NaN",(_xlfn.XLOOKUP($A70,TabCAT!$A:$A,TabCAT!BD:BD,"NaN")))</f>
        <v>NaN</v>
      </c>
      <c r="ET70" s="8" t="str">
        <f>IF(_xlfn.XLOOKUP($A70,TabCAT!$A:$A,TabCAT!BE:BE,"NaN")="","NaN",(_xlfn.XLOOKUP($A70,TabCAT!$A:$A,TabCAT!BE:BE,"NaN")))</f>
        <v>NaN</v>
      </c>
      <c r="EU70" s="8" t="str">
        <f>IF(_xlfn.XLOOKUP($A70,TabCAT!$A:$A,TabCAT!BF:BF,"NaN")="","NaN",(_xlfn.XLOOKUP($A70,TabCAT!$A:$A,TabCAT!BF:BF,"NaN")))</f>
        <v>NaN</v>
      </c>
      <c r="EV70" s="8" t="str">
        <f>IF(_xlfn.XLOOKUP($A70,TabCAT!$A:$A,TabCAT!BG:BG,"NaN")="","NaN",(_xlfn.XLOOKUP($A70,TabCAT!$A:$A,TabCAT!BG:BG,"NaN")))</f>
        <v>NaN</v>
      </c>
      <c r="EW70" s="8" t="str">
        <f>IF(_xlfn.XLOOKUP($A70,TabCAT!$A:$A,TabCAT!BH:BH,"NaN")="","NaN",(_xlfn.XLOOKUP($A70,TabCAT!$A:$A,TabCAT!BH:BH,"NaN")))</f>
        <v>NaN</v>
      </c>
      <c r="EX70" s="8" t="str">
        <f>IF(_xlfn.XLOOKUP($A70,TabCAT!$A:$A,TabCAT!BI:BI,"NaN")="","NaN",(_xlfn.XLOOKUP($A70,TabCAT!$A:$A,TabCAT!BI:BI,"NaN")))</f>
        <v>NaN</v>
      </c>
      <c r="EY70" s="8" t="str">
        <f>IF(_xlfn.XLOOKUP($A70,TabCAT!$A:$A,TabCAT!BJ:BJ,"NaN")="","NaN",(_xlfn.XLOOKUP($A70,TabCAT!$A:$A,TabCAT!BJ:BJ,"NaN")))</f>
        <v>NaN</v>
      </c>
      <c r="EZ70" s="8" t="str">
        <f>IF(_xlfn.XLOOKUP($A70,TabCAT!$A:$A,TabCAT!BK:BK,"NaN")="","NaN",(_xlfn.XLOOKUP($A70,TabCAT!$A:$A,TabCAT!BK:BK,"NaN")))</f>
        <v>NaN</v>
      </c>
      <c r="FA70" s="8" t="str">
        <f>IF(_xlfn.XLOOKUP($A70,TabCAT!$A:$A,TabCAT!BL:BL,"NaN")="","NaN",(_xlfn.XLOOKUP($A70,TabCAT!$A:$A,TabCAT!BL:BL,"NaN")))</f>
        <v>NaN</v>
      </c>
      <c r="FB70" s="8" t="str">
        <f>IF(_xlfn.XLOOKUP($A70,TabCAT!$A:$A,TabCAT!BM:BM,"NaN")="","NaN",(_xlfn.XLOOKUP($A70,TabCAT!$A:$A,TabCAT!BM:BM,"NaN")))</f>
        <v>NaN</v>
      </c>
      <c r="FC70" s="8" t="str">
        <f>IF(_xlfn.XLOOKUP($A70,TabCAT!$A:$A,TabCAT!BN:BN,"NaN")="","NaN",(_xlfn.XLOOKUP($A70,TabCAT!$A:$A,TabCAT!BN:BN,"NaN")))</f>
        <v>NaN</v>
      </c>
      <c r="FD70" s="8" t="str">
        <f>IF(_xlfn.XLOOKUP($A70,TabCAT!$A:$A,TabCAT!BO:BO,"NaN")="","NaN",(_xlfn.XLOOKUP($A70,TabCAT!$A:$A,TabCAT!BO:BO,"NaN")))</f>
        <v>NaN</v>
      </c>
      <c r="FE70" s="8" t="str">
        <f>IF(_xlfn.XLOOKUP($A70,TabCAT!$A:$A,TabCAT!BP:BP,"NaN")="","NaN",(_xlfn.XLOOKUP($A70,TabCAT!$A:$A,TabCAT!BP:BP,"NaN")))</f>
        <v>NaN</v>
      </c>
      <c r="FF70" s="8" t="str">
        <f>IF(_xlfn.XLOOKUP($A70,TabCAT!$A:$A,TabCAT!BQ:BQ,"NaN")="","NaN",(_xlfn.XLOOKUP($A70,TabCAT!$A:$A,TabCAT!BQ:BQ,"NaN")))</f>
        <v>NaN</v>
      </c>
      <c r="FG70" s="8" t="str">
        <f>IF(_xlfn.XLOOKUP($A70,TabCAT!$A:$A,TabCAT!BR:BR,"NaN")="","NaN",(_xlfn.XLOOKUP($A70,TabCAT!$A:$A,TabCAT!BR:BR,"NaN")))</f>
        <v>NaN</v>
      </c>
      <c r="FH70" s="8" t="str">
        <f>IF(_xlfn.XLOOKUP($A70,TabCAT!$A:$A,TabCAT!BS:BS,"NaN")="","NaN",(_xlfn.XLOOKUP($A70,TabCAT!$A:$A,TabCAT!BS:BS,"NaN")))</f>
        <v>NaN</v>
      </c>
      <c r="FI70" s="8" t="str">
        <f>IF(_xlfn.XLOOKUP($A70,TabCAT!$A:$A,TabCAT!BT:BT,"NaN")="","NaN",(_xlfn.XLOOKUP($A70,TabCAT!$A:$A,TabCAT!BT:BT,"NaN")))</f>
        <v>NaN</v>
      </c>
      <c r="FJ70" s="8" t="str">
        <f>IF(_xlfn.XLOOKUP($A70,TabCAT!$A:$A,TabCAT!BU:BU,"NaN")="","NaN",(_xlfn.XLOOKUP($A70,TabCAT!$A:$A,TabCAT!BU:BU,"NaN")))</f>
        <v>NaN</v>
      </c>
      <c r="FK70" s="8" t="str">
        <f>IF(_xlfn.XLOOKUP($A70,TabCAT!$A:$A,TabCAT!BV:BV,"NaN")="","NaN",(_xlfn.XLOOKUP($A70,TabCAT!$A:$A,TabCAT!BV:BV,"NaN")))</f>
        <v>NaN</v>
      </c>
      <c r="FL70" s="8" t="str">
        <f>IF(_xlfn.XLOOKUP($A70,TabCAT!$A:$A,TabCAT!BW:BW,"NaN")="","NaN",(_xlfn.XLOOKUP($A70,TabCAT!$A:$A,TabCAT!BW:BW,"NaN")))</f>
        <v>NaN</v>
      </c>
      <c r="FM70" s="8" t="str">
        <f>IF(_xlfn.XLOOKUP($A70,TabCAT!$A:$A,TabCAT!BX:BX,"NaN")="","NaN",(_xlfn.XLOOKUP($A70,TabCAT!$A:$A,TabCAT!BX:BX,"NaN")))</f>
        <v>NaN</v>
      </c>
      <c r="FN70" s="8" t="str">
        <f>IF(_xlfn.XLOOKUP($A70,TabCAT!$A:$A,TabCAT!BY:BY,"NaN")="","NaN",(_xlfn.XLOOKUP($A70,TabCAT!$A:$A,TabCAT!BY:BY,"NaN")))</f>
        <v>NaN</v>
      </c>
      <c r="FO70" s="8" t="str">
        <f>IF(_xlfn.XLOOKUP($A70,TabCAT!$A:$A,TabCAT!BZ:BZ,"NaN")="","NaN",(_xlfn.XLOOKUP($A70,TabCAT!$A:$A,TabCAT!BZ:BZ,"NaN")))</f>
        <v>NaN</v>
      </c>
      <c r="FP70" s="8" t="str">
        <f>IF(_xlfn.XLOOKUP($A70,TabCAT!$A:$A,TabCAT!CA:CA,"NaN")="","NaN",(_xlfn.XLOOKUP($A70,TabCAT!$A:$A,TabCAT!CA:CA,"NaN")))</f>
        <v>NaN</v>
      </c>
      <c r="FQ70" s="8" t="str">
        <f>IF(_xlfn.XLOOKUP($A70,TabCAT!$A:$A,TabCAT!CB:CB,"NaN")="","NaN",(_xlfn.XLOOKUP($A70,TabCAT!$A:$A,TabCAT!CB:CB,"NaN")))</f>
        <v>NaN</v>
      </c>
      <c r="FR70" s="8" t="str">
        <f>IF(_xlfn.XLOOKUP($A70,TabCAT!$A:$A,TabCAT!CC:CC,"NaN")="","NaN",(_xlfn.XLOOKUP($A70,TabCAT!$A:$A,TabCAT!CC:CC,"NaN")))</f>
        <v>NaN</v>
      </c>
      <c r="FS70" s="8" t="str">
        <f>IF(_xlfn.XLOOKUP($A70,TabCAT!$A:$A,TabCAT!CD:CD,"NaN")="","NaN",(_xlfn.XLOOKUP($A70,TabCAT!$A:$A,TabCAT!CD:CD,"NaN")))</f>
        <v>NaN</v>
      </c>
      <c r="FT70" s="8" t="str">
        <f>IF(_xlfn.XLOOKUP($A70,TabCAT!$A:$A,TabCAT!CE:CE,"NaN")="","NaN",(_xlfn.XLOOKUP($A70,TabCAT!$A:$A,TabCAT!CE:CE,"NaN")))</f>
        <v>NaN</v>
      </c>
      <c r="FU70" s="8" t="str">
        <f>IF(_xlfn.XLOOKUP($A70,TabCAT!$A:$A,TabCAT!CF:CF,"NaN")="","NaN",(_xlfn.XLOOKUP($A70,TabCAT!$A:$A,TabCAT!CF:CF,"NaN")))</f>
        <v>NaN</v>
      </c>
      <c r="FV70" s="8" t="str">
        <f>IF(_xlfn.XLOOKUP($A70,TabCAT!$A:$A,TabCAT!CG:CG,"NaN")="","NaN",(_xlfn.XLOOKUP($A70,TabCAT!$A:$A,TabCAT!CG:CG,"NaN")))</f>
        <v>NaN</v>
      </c>
      <c r="FW70" s="8" t="str">
        <f>IF(_xlfn.XLOOKUP($A70,TabCAT!$A:$A,TabCAT!CH:CH,"NaN")="","NaN",(_xlfn.XLOOKUP($A70,TabCAT!$A:$A,TabCAT!CH:CH,"NaN")))</f>
        <v>NaN</v>
      </c>
      <c r="FX70" s="8" t="str">
        <f>IF(_xlfn.XLOOKUP($A70,TabCAT!$A:$A,TabCAT!CI:CI,"NaN")="","NaN",(_xlfn.XLOOKUP($A70,TabCAT!$A:$A,TabCAT!CI:CI,"NaN")))</f>
        <v>NaN</v>
      </c>
      <c r="FY70" s="8" t="str">
        <f>IF(_xlfn.XLOOKUP($A70,TabCAT!$A:$A,TabCAT!CJ:CJ,"NaN")="","NaN",(_xlfn.XLOOKUP($A70,TabCAT!$A:$A,TabCAT!CJ:CJ,"NaN")))</f>
        <v>NaN</v>
      </c>
      <c r="FZ70" s="8" t="str">
        <f>IF(_xlfn.XLOOKUP($A70,TabCAT!$A:$A,TabCAT!CK:CK,"NaN")="","NaN",(_xlfn.XLOOKUP($A70,TabCAT!$A:$A,TabCAT!CK:CK,"NaN")))</f>
        <v>NaN</v>
      </c>
      <c r="GA70" s="8" t="str">
        <f>IF(_xlfn.XLOOKUP($A70,TabCAT!$A:$A,TabCAT!CL:CL,"NaN")="","NaN",(_xlfn.XLOOKUP($A70,TabCAT!$A:$A,TabCAT!CL:CL,"NaN")))</f>
        <v>NaN</v>
      </c>
      <c r="GB70" s="8" t="str">
        <f>IF(_xlfn.XLOOKUP($A70,TabCAT!$A:$A,TabCAT!CM:CM,"NaN")="","NaN",(_xlfn.XLOOKUP($A70,TabCAT!$A:$A,TabCAT!CM:CM,"NaN")))</f>
        <v>NaN</v>
      </c>
      <c r="GC70" s="8" t="str">
        <f>IF(_xlfn.XLOOKUP($A70,TabCAT!$A:$A,TabCAT!CN:CN,"NaN")="","NaN",(_xlfn.XLOOKUP($A70,TabCAT!$A:$A,TabCAT!CN:CN,"NaN")))</f>
        <v>NaN</v>
      </c>
      <c r="GD70" s="8" t="str">
        <f>IF(_xlfn.XLOOKUP($A70,TabCAT!$A:$A,TabCAT!CO:CO,"NaN")="","NaN",(_xlfn.XLOOKUP($A70,TabCAT!$A:$A,TabCAT!CO:CO,"NaN")))</f>
        <v>NaN</v>
      </c>
      <c r="GE70" s="8" t="str">
        <f>IF(_xlfn.XLOOKUP($A70,TabCAT!$A:$A,TabCAT!CP:CP,"NaN")="","NaN",(_xlfn.XLOOKUP($A70,TabCAT!$A:$A,TabCAT!CP:CP,"NaN")))</f>
        <v>NaN</v>
      </c>
      <c r="GF70" s="8" t="str">
        <f>IF(_xlfn.XLOOKUP($A70,TabCAT!$A:$A,TabCAT!CQ:CQ,"NaN")="","NaN",(_xlfn.XLOOKUP($A70,TabCAT!$A:$A,TabCAT!CQ:CQ,"NaN")))</f>
        <v>NaN</v>
      </c>
      <c r="GG70" s="8" t="str">
        <f>IF(_xlfn.XLOOKUP($A70,TabCAT!$A:$A,TabCAT!CR:CR,"NaN")="","NaN",(_xlfn.XLOOKUP($A70,TabCAT!$A:$A,TabCAT!CR:CR,"NaN")))</f>
        <v>NaN</v>
      </c>
      <c r="GH70" s="8" t="str">
        <f>IF(_xlfn.XLOOKUP($A70,TabCAT!$A:$A,TabCAT!CS:CS,"NaN")="","NaN",(_xlfn.XLOOKUP($A70,TabCAT!$A:$A,TabCAT!CS:CS,"NaN")))</f>
        <v>NaN</v>
      </c>
    </row>
    <row r="71" spans="1:190" x14ac:dyDescent="0.2">
      <c r="A71">
        <v>10812</v>
      </c>
      <c r="B71">
        <f>_xlfn.XLOOKUP(bippity_poppity_boo!A71,rf1_data!A:A,rf1_data!B:B)</f>
        <v>131960</v>
      </c>
      <c r="C71" s="2">
        <f>(_xlfn.XLOOKUP($A71,trust!$A:$A,trust!B:B,"NaN"))</f>
        <v>3.6666669999999999</v>
      </c>
      <c r="D71" s="2">
        <f>(_xlfn.XLOOKUP($A71,trust!$A:$A,trust!C:C,"NaN"))</f>
        <v>4.1538459999999997</v>
      </c>
      <c r="E71" s="2">
        <f>(_xlfn.XLOOKUP($A71,trust!$A:$A,trust!D:D,"NaN"))</f>
        <v>5.2307689999999996</v>
      </c>
      <c r="F71" s="2">
        <f>(_xlfn.XLOOKUP($A71,trust!$A:$A,trust!E:E,"NaN"))</f>
        <v>4</v>
      </c>
      <c r="G71" s="2">
        <f>(_xlfn.XLOOKUP($A71,trust!$A:$A,trust!F:F,"NaN"))</f>
        <v>6.4285709999999998</v>
      </c>
      <c r="H71" s="2">
        <f>(_xlfn.XLOOKUP($A71,trust!$A:$A,trust!G:G,"NaN"))</f>
        <v>5.0769229999999999</v>
      </c>
      <c r="I71" s="3">
        <f>IF(_xlfn.XLOOKUP($B71,island_data!$B:$B,island_data!C:C,"NaN")="","NaN",_xlfn.XLOOKUP($B71,island_data!$B:$B,island_data!C:C,"NaN"))</f>
        <v>45089</v>
      </c>
      <c r="J71" s="3">
        <f>IF(_xlfn.XLOOKUP($B71,island_data!$B:$B,island_data!D:D,"NaN")="","NaN",_xlfn.XLOOKUP($B71,island_data!$B:$B,island_data!D:D,"NaN"))</f>
        <v>22225</v>
      </c>
      <c r="K71" s="4">
        <f>IF(_xlfn.XLOOKUP($B71,island_data!$B:$B,island_data!E:E,"NaN")="","NaN",_xlfn.XLOOKUP($B71,island_data!$B:$B,island_data!E:E,"NaN"))</f>
        <v>62.6</v>
      </c>
      <c r="L71" s="5">
        <f>IF(_xlfn.XLOOKUP($B71,rf1_data!$B:$B,rf1_data!D:D,"NaN")="","NaN",(_xlfn.XLOOKUP($B71,rf1_data!$B:$B,rf1_data!D:D,"NaN")))</f>
        <v>62.91</v>
      </c>
      <c r="M71" s="5" t="str">
        <f>IF(_xlfn.XLOOKUP($B71,rf1_data!$B:$B,rf1_data!E:E,"NaN")="","NaN",(_xlfn.XLOOKUP($B71,rf1_data!$B:$B,rf1_data!E:E,"NaN")))</f>
        <v>Black or African American</v>
      </c>
      <c r="N71" s="5" t="str">
        <f>IF(_xlfn.XLOOKUP($B71,rf1_data!$B:$B,rf1_data!F:F,"NaN")="","NaN",(_xlfn.XLOOKUP($B71,rf1_data!$B:$B,rf1_data!F:F,"NaN")))</f>
        <v>Not Hispanic or Latino</v>
      </c>
      <c r="O71" s="5" t="str">
        <f>IF(_xlfn.XLOOKUP($B71,rf1_data!$B:$B,rf1_data!G:G,"NaN")="","NaN",(_xlfn.XLOOKUP($B71,rf1_data!$B:$B,rf1_data!G:G,"NaN")))</f>
        <v>Male</v>
      </c>
      <c r="P71" s="5">
        <f>IF(_xlfn.XLOOKUP($B71,rf1_data!$B:$B,rf1_data!H:H,"NaN")="","NaN",(_xlfn.XLOOKUP($B71,rf1_data!$B:$B,rf1_data!H:H,"NaN")))</f>
        <v>3.22</v>
      </c>
      <c r="Q71" s="5">
        <f>IF(_xlfn.XLOOKUP($B71,rf1_data!$B:$B,rf1_data!I:I,"NaN")="","NaN",(_xlfn.XLOOKUP($B71,rf1_data!$B:$B,rf1_data!I:I,"NaN")))</f>
        <v>3</v>
      </c>
      <c r="R71" s="5">
        <f>IF(_xlfn.XLOOKUP($B71,rf1_data!$B:$B,rf1_data!J:J,"NaN")="","NaN",(_xlfn.XLOOKUP($B71,rf1_data!$B:$B,rf1_data!J:J,"NaN")))</f>
        <v>1</v>
      </c>
      <c r="S71" s="5">
        <f>IF(_xlfn.XLOOKUP($B71,rf1_data!$B:$B,rf1_data!K:K,"NaN")="","NaN",(_xlfn.XLOOKUP($B71,rf1_data!$B:$B,rf1_data!K:K,"NaN")))</f>
        <v>0</v>
      </c>
      <c r="T71" s="5">
        <f>IF(_xlfn.XLOOKUP($B71,rf1_data!$B:$B,rf1_data!L:L,"NaN")="","NaN",(_xlfn.XLOOKUP($B71,rf1_data!$B:$B,rf1_data!L:L,"NaN")))</f>
        <v>0</v>
      </c>
      <c r="U71" s="5">
        <f>IF(_xlfn.XLOOKUP($B71,rf1_data!$B:$B,rf1_data!M:M,"NaN")="","NaN",(_xlfn.XLOOKUP($B71,rf1_data!$B:$B,rf1_data!M:M,"NaN")))</f>
        <v>5.67</v>
      </c>
      <c r="V71" s="5">
        <f>IF(_xlfn.XLOOKUP($B71,rf1_data!$B:$B,rf1_data!N:N,"NaN")="","NaN",(_xlfn.XLOOKUP($B71,rf1_data!$B:$B,rf1_data!N:N,"NaN")))</f>
        <v>4.83</v>
      </c>
      <c r="W71" s="5">
        <f>IF(_xlfn.XLOOKUP($B71,rf1_data!$B:$B,rf1_data!O:O,"NaN")="","NaN",(_xlfn.XLOOKUP($B71,rf1_data!$B:$B,rf1_data!O:O,"NaN")))</f>
        <v>4.5</v>
      </c>
      <c r="X71" s="5">
        <f>IF(_xlfn.XLOOKUP($B71,rf1_data!$B:$B,rf1_data!P:P,"NaN")="","NaN",(_xlfn.XLOOKUP($B71,rf1_data!$B:$B,rf1_data!P:P,"NaN")))</f>
        <v>5.33</v>
      </c>
      <c r="Y71" s="5">
        <f>IF(_xlfn.XLOOKUP($B71,rf1_data!$B:$B,rf1_data!Q:Q,"NaN")="","NaN",(_xlfn.XLOOKUP($B71,rf1_data!$B:$B,rf1_data!Q:Q,"NaN")))</f>
        <v>5.0999999999999996</v>
      </c>
      <c r="Z71" s="5">
        <f>IF(_xlfn.XLOOKUP($B71,rf1_data!$B:$B,rf1_data!R:R,"NaN")="","NaN",(_xlfn.XLOOKUP($B71,rf1_data!$B:$B,rf1_data!R:R,"NaN")))</f>
        <v>1</v>
      </c>
      <c r="AA71" s="5">
        <f>IF(_xlfn.XLOOKUP($B71,rf1_data!$B:$B,rf1_data!S:S,"NaN")="","NaN",(_xlfn.XLOOKUP($B71,rf1_data!$B:$B,rf1_data!S:S,"NaN")))</f>
        <v>0</v>
      </c>
      <c r="AB71" s="5">
        <f>IF(_xlfn.XLOOKUP($B71,rf1_data!$B:$B,rf1_data!T:T,"NaN")="","NaN",(_xlfn.XLOOKUP($B71,rf1_data!$B:$B,rf1_data!T:T,"NaN")))</f>
        <v>1</v>
      </c>
      <c r="AC71" s="5">
        <f>IF(_xlfn.XLOOKUP($B71,rf1_data!$B:$B,rf1_data!U:U,"NaN")="","NaN",(_xlfn.XLOOKUP($B71,rf1_data!$B:$B,rf1_data!U:U,"NaN")))</f>
        <v>0</v>
      </c>
      <c r="AD71" s="5">
        <f>IF(_xlfn.XLOOKUP($B71,rf1_data!$B:$B,rf1_data!V:V,"NaN")="","NaN",(_xlfn.XLOOKUP($B71,rf1_data!$B:$B,rf1_data!V:V,"NaN")))</f>
        <v>0</v>
      </c>
      <c r="AE71" s="5">
        <f>IF(_xlfn.XLOOKUP($B71,rf1_data!$B:$B,rf1_data!W:W,"NaN")="","NaN",(_xlfn.XLOOKUP($B71,rf1_data!$B:$B,rf1_data!W:W,"NaN")))</f>
        <v>1</v>
      </c>
      <c r="AF71" s="5">
        <f>IF(_xlfn.XLOOKUP($B71,rf1_data!$B:$B,rf1_data!X:X,"NaN")="","NaN",(_xlfn.XLOOKUP($B71,rf1_data!$B:$B,rf1_data!X:X,"NaN")))</f>
        <v>1</v>
      </c>
      <c r="AG71" s="5">
        <f>IF(_xlfn.XLOOKUP($B71,rf1_data!$B:$B,rf1_data!Y:Y,"NaN")="","NaN",(_xlfn.XLOOKUP($B71,rf1_data!$B:$B,rf1_data!Y:Y,"NaN")))</f>
        <v>6</v>
      </c>
      <c r="AH71" s="5">
        <f>IF(_xlfn.XLOOKUP($B71,rf1_data!$B:$B,rf1_data!Z:Z,"NaN")="","NaN",(_xlfn.XLOOKUP($B71,rf1_data!$B:$B,rf1_data!Z:Z,"NaN")))</f>
        <v>1</v>
      </c>
      <c r="AI71" s="5">
        <f>IF(_xlfn.XLOOKUP($B71,rf1_data!$B:$B,rf1_data!AA:AA,"NaN")="","NaN",(_xlfn.XLOOKUP($B71,rf1_data!$B:$B,rf1_data!AA:AA,"NaN")))</f>
        <v>1</v>
      </c>
      <c r="AJ71" s="5">
        <f>IF(_xlfn.XLOOKUP($B71,rf1_data!$B:$B,rf1_data!AB:AB,"NaN")="","NaN",(_xlfn.XLOOKUP($B71,rf1_data!$B:$B,rf1_data!AB:AB,"NaN")))</f>
        <v>10</v>
      </c>
      <c r="AK71" s="5">
        <f>IF(_xlfn.XLOOKUP($B71,rf1_data!$B:$B,rf1_data!AC:AC,"NaN")="","NaN",(_xlfn.XLOOKUP($B71,rf1_data!$B:$B,rf1_data!AC:AC,"NaN")))</f>
        <v>34</v>
      </c>
      <c r="AL71" s="5">
        <f>IF(_xlfn.XLOOKUP($B71,rf1_data!$B:$B,rf1_data!AD:AD,"NaN")="","NaN",(_xlfn.XLOOKUP($B71,rf1_data!$B:$B,rf1_data!AD:AD,"NaN")))</f>
        <v>10</v>
      </c>
      <c r="AM71" s="5">
        <f>IF(_xlfn.XLOOKUP($B71,rf1_data!$B:$B,rf1_data!AE:AE,"NaN")="","NaN",(_xlfn.XLOOKUP($B71,rf1_data!$B:$B,rf1_data!AE:AE,"NaN")))</f>
        <v>0</v>
      </c>
      <c r="AN71" s="5">
        <f>IF(_xlfn.XLOOKUP($B71,rf1_data!$B:$B,rf1_data!AF:AF,"NaN")="","NaN",(_xlfn.XLOOKUP($B71,rf1_data!$B:$B,rf1_data!AF:AF,"NaN")))</f>
        <v>0</v>
      </c>
      <c r="AO71" s="5">
        <f>IF(_xlfn.XLOOKUP($B71,rf1_data!$B:$B,rf1_data!AG:AG,"NaN")="","NaN",(_xlfn.XLOOKUP($B71,rf1_data!$B:$B,rf1_data!AG:AG,"NaN")))</f>
        <v>6</v>
      </c>
      <c r="AP71" s="5">
        <f>IF(_xlfn.XLOOKUP($B71,rf1_data!$B:$B,rf1_data!AH:AH,"NaN")="","NaN",(_xlfn.XLOOKUP($B71,rf1_data!$B:$B,rf1_data!AH:AH,"NaN")))</f>
        <v>6</v>
      </c>
      <c r="AQ71" s="5">
        <f>IF(_xlfn.XLOOKUP($B71,rf1_data!$B:$B,rf1_data!AI:AI,"NaN")="","NaN",(_xlfn.XLOOKUP($B71,rf1_data!$B:$B,rf1_data!AI:AI,"NaN")))</f>
        <v>6</v>
      </c>
      <c r="AR71" s="5">
        <f>IF(_xlfn.XLOOKUP($B71,rf1_data!$B:$B,rf1_data!AJ:AJ,"NaN")="","NaN",(_xlfn.XLOOKUP($B71,rf1_data!$B:$B,rf1_data!AJ:AJ,"NaN")))</f>
        <v>6</v>
      </c>
      <c r="AS71" s="5">
        <f>IF(_xlfn.XLOOKUP($B71,rf1_data!$B:$B,rf1_data!AK:AK,"NaN")="","NaN",(_xlfn.XLOOKUP($B71,rf1_data!$B:$B,rf1_data!AK:AK,"NaN")))</f>
        <v>2.5</v>
      </c>
      <c r="AT71" s="5">
        <f>IF(_xlfn.XLOOKUP($B71,rf1_data!$B:$B,rf1_data!AL:AL,"NaN")="","NaN",(_xlfn.XLOOKUP($B71,rf1_data!$B:$B,rf1_data!AL:AL,"NaN")))</f>
        <v>6</v>
      </c>
      <c r="AU71" s="5">
        <f>IF(_xlfn.XLOOKUP($B71,rf1_data!$B:$B,rf1_data!AM:AM,"NaN")="","NaN",(_xlfn.XLOOKUP($B71,rf1_data!$B:$B,rf1_data!AM:AM,"NaN")))</f>
        <v>1.58</v>
      </c>
      <c r="AV71" s="5">
        <f>IF(_xlfn.XLOOKUP($B71,rf1_data!$B:$B,rf1_data!AN:AN,"NaN")="","NaN",(_xlfn.XLOOKUP($B71,rf1_data!$B:$B,rf1_data!AN:AN,"NaN")))</f>
        <v>3</v>
      </c>
      <c r="AW71" s="5">
        <f>IF(_xlfn.XLOOKUP($B71,rf1_data!$B:$B,rf1_data!AO:AO,"NaN")="","NaN",(_xlfn.XLOOKUP($B71,rf1_data!$B:$B,rf1_data!AO:AO,"NaN")))</f>
        <v>3</v>
      </c>
      <c r="AX71" s="5">
        <f>IF(_xlfn.XLOOKUP($B71,rf1_data!$B:$B,rf1_data!AP:AP,"NaN")="","NaN",(_xlfn.XLOOKUP($B71,rf1_data!$B:$B,rf1_data!AP:AP,"NaN")))</f>
        <v>9999</v>
      </c>
      <c r="AY71" s="5" t="str">
        <f>IF(_xlfn.XLOOKUP($B71,rf1_data!$B:$B,rf1_data!AQ:AQ,"NaN")="","NaN",(_xlfn.XLOOKUP($B71,rf1_data!$B:$B,rf1_data!AQ:AQ,"NaN")))</f>
        <v>NaN</v>
      </c>
      <c r="AZ71" s="5" t="str">
        <f>IF(_xlfn.XLOOKUP($B71,rf1_data!$B:$B,rf1_data!AR:AR,"NaN")="","NaN",(_xlfn.XLOOKUP($B71,rf1_data!$B:$B,rf1_data!AR:AR,"NaN")))</f>
        <v>NaN</v>
      </c>
      <c r="BA71" s="5" t="str">
        <f>IF(_xlfn.XLOOKUP($B71,rf1_data!$B:$B,rf1_data!AS:AS,"NaN")="","NaN",(_xlfn.XLOOKUP($B71,rf1_data!$B:$B,rf1_data!AS:AS,"NaN")))</f>
        <v>NaN</v>
      </c>
      <c r="BB71" s="5" t="str">
        <f>IF(_xlfn.XLOOKUP($B71,rf1_data!$B:$B,rf1_data!AT:AT,"NaN")="","NaN",(_xlfn.XLOOKUP($B71,rf1_data!$B:$B,rf1_data!AT:AT,"NaN")))</f>
        <v>NaN</v>
      </c>
      <c r="BC71" s="5" t="str">
        <f>IF(_xlfn.XLOOKUP($B71,rf1_data!$B:$B,rf1_data!AU:AU,"NaN")="","NaN",(_xlfn.XLOOKUP($B71,rf1_data!$B:$B,rf1_data!AU:AU,"NaN")))</f>
        <v>NaN</v>
      </c>
      <c r="BD71" s="5" t="str">
        <f>IF(_xlfn.XLOOKUP($B71,rf1_data!$B:$B,rf1_data!AV:AV,"NaN")="","NaN",(_xlfn.XLOOKUP($B71,rf1_data!$B:$B,rf1_data!AV:AV,"NaN")))</f>
        <v>NaN</v>
      </c>
      <c r="BE71" s="5" t="str">
        <f>IF(_xlfn.XLOOKUP($B71,rf1_data!$B:$B,rf1_data!AW:AW,"NaN")="","NaN",(_xlfn.XLOOKUP($B71,rf1_data!$B:$B,rf1_data!AW:AW,"NaN")))</f>
        <v>NaN</v>
      </c>
      <c r="BF71" s="5" t="str">
        <f>IF(_xlfn.XLOOKUP($B71,rf1_data!$B:$B,rf1_data!AX:AX,"NaN")="","NaN",(_xlfn.XLOOKUP($B71,rf1_data!$B:$B,rf1_data!AX:AX,"NaN")))</f>
        <v>NaN</v>
      </c>
      <c r="BG71" s="5" t="str">
        <f>IF(_xlfn.XLOOKUP($B71,rf1_data!$B:$B,rf1_data!AY:AY,"NaN")="","NaN",(_xlfn.XLOOKUP($B71,rf1_data!$B:$B,rf1_data!AY:AY,"NaN")))</f>
        <v>NaN</v>
      </c>
      <c r="BH71" s="5" t="str">
        <f>IF(_xlfn.XLOOKUP($B71,rf1_data!$B:$B,rf1_data!AZ:AZ,"NaN")="","NaN",(_xlfn.XLOOKUP($B71,rf1_data!$B:$B,rf1_data!AZ:AZ,"NaN")))</f>
        <v>NaN</v>
      </c>
      <c r="BI71" s="5">
        <f>IF(_xlfn.XLOOKUP($B71,rf1_data!$B:$B,rf1_data!BA:BA,"NaN")="","NaN",(_xlfn.XLOOKUP($B71,rf1_data!$B:$B,rf1_data!BA:BA,"NaN")))</f>
        <v>20</v>
      </c>
      <c r="BJ71" s="5" t="str">
        <f>IF(_xlfn.XLOOKUP($B71,rf1_data!$B:$B,rf1_data!BB:BB,"NaN")="","NaN",(_xlfn.XLOOKUP($B71,rf1_data!$B:$B,rf1_data!BB:BB,"NaN")))</f>
        <v>NaN</v>
      </c>
      <c r="BK71" s="5" t="str">
        <f>IF(_xlfn.XLOOKUP($B71,rf1_data!$B:$B,rf1_data!BC:BC,"NaN")="","NaN",(_xlfn.XLOOKUP($B71,rf1_data!$B:$B,rf1_data!BC:BC,"NaN")))</f>
        <v>NaN</v>
      </c>
      <c r="BL71" s="5" t="str">
        <f>IF(_xlfn.XLOOKUP($B71,rf1_data!$B:$B,rf1_data!BD:BD,"NaN")="","NaN",(_xlfn.XLOOKUP($B71,rf1_data!$B:$B,rf1_data!BD:BD,"NaN")))</f>
        <v>NaN</v>
      </c>
      <c r="BM71" s="5" t="str">
        <f>IF(_xlfn.XLOOKUP($B71,rf1_data!$B:$B,rf1_data!BE:BE,"NaN")="","NaN",(_xlfn.XLOOKUP($B71,rf1_data!$B:$B,rf1_data!BE:BE,"NaN")))</f>
        <v>NaN</v>
      </c>
      <c r="BN71" s="5" t="str">
        <f>IF(_xlfn.XLOOKUP($B71,rf1_data!$B:$B,rf1_data!BF:BF,"NaN")="","NaN",(_xlfn.XLOOKUP($B71,rf1_data!$B:$B,rf1_data!BF:BF,"NaN")))</f>
        <v>NaN</v>
      </c>
      <c r="BO71" s="5" t="str">
        <f>IF(_xlfn.XLOOKUP($B71,rf1_data!$B:$B,rf1_data!BG:BG,"NaN")="","NaN",(_xlfn.XLOOKUP($B71,rf1_data!$B:$B,rf1_data!BG:BG,"NaN")))</f>
        <v>NaN</v>
      </c>
      <c r="BP71" s="5" t="str">
        <f>IF(_xlfn.XLOOKUP($B71,rf1_data!$B:$B,rf1_data!BH:BH,"NaN")="","NaN",(_xlfn.XLOOKUP($B71,rf1_data!$B:$B,rf1_data!BH:BH,"NaN")))</f>
        <v>NaN</v>
      </c>
      <c r="BQ71" s="5" t="str">
        <f>IF(_xlfn.XLOOKUP($B71,rf1_data!$B:$B,rf1_data!BI:BI,"NaN")="","NaN",(_xlfn.XLOOKUP($B71,rf1_data!$B:$B,rf1_data!BI:BI,"NaN")))</f>
        <v>NaN</v>
      </c>
      <c r="BR71" s="5">
        <f>IF(_xlfn.XLOOKUP($B71,rf1_data!$B:$B,rf1_data!BJ:BJ,"NaN")="","NaN",(_xlfn.XLOOKUP($B71,rf1_data!$B:$B,rf1_data!BJ:BJ,"NaN")))</f>
        <v>8991</v>
      </c>
      <c r="BS71" s="5" t="str">
        <f>IF(_xlfn.XLOOKUP($B71,rf1_data!$B:$B,rf1_data!BK:BK,"NaN")="","NaN",(_xlfn.XLOOKUP($B71,rf1_data!$B:$B,rf1_data!BK:BK,"NaN")))</f>
        <v>NaN</v>
      </c>
      <c r="BT71" s="5" t="str">
        <f>IF(_xlfn.XLOOKUP($B71,rf1_data!$B:$B,rf1_data!BL:BL,"NaN")="","NaN",(_xlfn.XLOOKUP($B71,rf1_data!$B:$B,rf1_data!BL:BL,"NaN")))</f>
        <v>NaN</v>
      </c>
      <c r="BU71" s="5" t="str">
        <f>IF(_xlfn.XLOOKUP($B71,rf1_data!$B:$B,rf1_data!BM:BM,"NaN")="","NaN",(_xlfn.XLOOKUP($B71,rf1_data!$B:$B,rf1_data!BM:BM,"NaN")))</f>
        <v>NaN</v>
      </c>
      <c r="BV71" s="5" t="str">
        <f>IF(_xlfn.XLOOKUP($B71,rf1_data!$B:$B,rf1_data!BN:BN,"NaN")="","NaN",(_xlfn.XLOOKUP($B71,rf1_data!$B:$B,rf1_data!BN:BN,"NaN")))</f>
        <v>NaN</v>
      </c>
      <c r="BW71" s="5">
        <f>IF(_xlfn.XLOOKUP($B71,rf1_data!$B:$B,rf1_data!BO:BO,"NaN")="","NaN",(_xlfn.XLOOKUP($B71,rf1_data!$B:$B,rf1_data!BO:BO,"NaN")))</f>
        <v>3.8</v>
      </c>
      <c r="BX71" s="5">
        <f>IF(_xlfn.XLOOKUP($B71,rf1_data!$B:$B,rf1_data!BP:BP,"NaN")="","NaN",(_xlfn.XLOOKUP($B71,rf1_data!$B:$B,rf1_data!BP:BP,"NaN")))</f>
        <v>3.8</v>
      </c>
      <c r="BY71" s="5">
        <f>IF(_xlfn.XLOOKUP($B71,rf1_data!$B:$B,rf1_data!BQ:BQ,"NaN")="","NaN",(_xlfn.XLOOKUP($B71,rf1_data!$B:$B,rf1_data!BQ:BQ,"NaN")))</f>
        <v>3.8</v>
      </c>
      <c r="BZ71" s="5">
        <f>IF(_xlfn.XLOOKUP($B71,rf1_data!$B:$B,rf1_data!BR:BR,"NaN")="","NaN",(_xlfn.XLOOKUP($B71,rf1_data!$B:$B,rf1_data!BR:BR,"NaN")))</f>
        <v>3.8</v>
      </c>
      <c r="CA71" s="5">
        <f>IF(_xlfn.XLOOKUP($B71,rf1_data!$B:$B,rf1_data!BS:BS,"NaN")="","NaN",(_xlfn.XLOOKUP($B71,rf1_data!$B:$B,rf1_data!BS:BS,"NaN")))</f>
        <v>5.3333333333333002</v>
      </c>
      <c r="CB71" s="5">
        <f>IF(_xlfn.XLOOKUP($B71,rf1_data!$B:$B,rf1_data!BT:BT,"NaN")="","NaN",(_xlfn.XLOOKUP($B71,rf1_data!$B:$B,rf1_data!BT:BT,"NaN")))</f>
        <v>5.1666666666666998</v>
      </c>
      <c r="CC71" s="5">
        <f>IF(_xlfn.XLOOKUP($B71,rf1_data!$B:$B,rf1_data!BU:BU,"NaN")="","NaN",(_xlfn.XLOOKUP($B71,rf1_data!$B:$B,rf1_data!BU:BU,"NaN")))</f>
        <v>4</v>
      </c>
      <c r="CD71" s="5">
        <f>IF(_xlfn.XLOOKUP($B71,rf1_data!$B:$B,rf1_data!BV:BV,"NaN")="","NaN",(_xlfn.XLOOKUP($B71,rf1_data!$B:$B,rf1_data!BV:BV,"NaN")))</f>
        <v>3.3333333333333002</v>
      </c>
      <c r="CE71" s="5">
        <f>IF(_xlfn.XLOOKUP($B71,rf1_data!$B:$B,rf1_data!BW:BW,"NaN")="","NaN",(_xlfn.XLOOKUP($B71,rf1_data!$B:$B,rf1_data!BW:BW,"NaN")))</f>
        <v>0.3</v>
      </c>
      <c r="CF71" s="5">
        <f>IF(_xlfn.XLOOKUP($B71,rf1_data!$B:$B,rf1_data!BX:BX,"NaN")="","NaN",(_xlfn.XLOOKUP($B71,rf1_data!$B:$B,rf1_data!BX:BX,"NaN")))</f>
        <v>0</v>
      </c>
      <c r="CG71" s="5">
        <f>IF(_xlfn.XLOOKUP($B71,rf1_data!$B:$B,rf1_data!BY:BY,"NaN")="","NaN",(_xlfn.XLOOKUP($B71,rf1_data!$B:$B,rf1_data!BY:BY,"NaN")))</f>
        <v>0</v>
      </c>
      <c r="CH71" s="5">
        <f>IF(_xlfn.XLOOKUP($B71,rf1_data!$B:$B,rf1_data!BZ:BZ,"NaN")="","NaN",(_xlfn.XLOOKUP($B71,rf1_data!$B:$B,rf1_data!BZ:BZ,"NaN")))</f>
        <v>27</v>
      </c>
      <c r="CI71" s="5">
        <f>IF(_xlfn.XLOOKUP($B71,rf1_data!$B:$B,rf1_data!CA:CA,"NaN")="","NaN",(_xlfn.XLOOKUP($B71,rf1_data!$B:$B,rf1_data!CA:CA,"NaN")))</f>
        <v>20</v>
      </c>
      <c r="CJ71" s="5">
        <f>IF(_xlfn.XLOOKUP($B71,rf1_data!$B:$B,rf1_data!CB:CB,"NaN")="","NaN",(_xlfn.XLOOKUP($B71,rf1_data!$B:$B,rf1_data!CB:CB,"NaN")))</f>
        <v>7</v>
      </c>
      <c r="CK71" s="5">
        <f>IF(_xlfn.XLOOKUP($B71,rf1_data!$B:$B,rf1_data!CC:CC,"NaN")="","NaN",(_xlfn.XLOOKUP($B71,rf1_data!$B:$B,rf1_data!CC:CC,"NaN")))</f>
        <v>0.63636363636364002</v>
      </c>
      <c r="CL71" s="5">
        <f>IF(_xlfn.XLOOKUP($B71,rf1_data!$B:$B,rf1_data!CD:CD,"NaN")=0,"NaN",(_xlfn.XLOOKUP($B71,rf1_data!$B:$B,rf1_data!CD:CD,"NaN")))</f>
        <v>34</v>
      </c>
      <c r="CM71" s="5">
        <f>IF(_xlfn.XLOOKUP($B71,rf1_data!$B:$B,rf1_data!CE:CE,"NaN")="","NaN",(_xlfn.XLOOKUP($B71,rf1_data!$B:$B,rf1_data!CE:CE,"NaN")))</f>
        <v>26</v>
      </c>
      <c r="CN71" s="5">
        <f>IF(_xlfn.XLOOKUP($B71,rf1_data!$B:$B,rf1_data!CF:CF,"NaN")="","NaN",(_xlfn.XLOOKUP($B71,rf1_data!$B:$B,rf1_data!CF:CF,"NaN")))</f>
        <v>32</v>
      </c>
      <c r="CO71" s="5">
        <f>IF(_xlfn.XLOOKUP($B71,rf1_data!$B:$B,rf1_data!CG:CG,"NaN")="","NaN",(_xlfn.XLOOKUP($B71,rf1_data!$B:$B,rf1_data!CG:CG,"NaN")))</f>
        <v>20</v>
      </c>
      <c r="CP71" s="5">
        <f>IF(_xlfn.XLOOKUP($B71,rf1_data!$B:$B,rf1_data!CH:CH,"NaN")=0,"NaN",(_xlfn.XLOOKUP($B71,rf1_data!$B:$B,rf1_data!CH:CH,"NaN")))</f>
        <v>26</v>
      </c>
      <c r="CQ71" s="5">
        <f>IF(_xlfn.XLOOKUP($B71,rf1_data!$B:$B,rf1_data!CI:CI,"NaN")="","NaN",(_xlfn.XLOOKUP($B71,rf1_data!$B:$B,rf1_data!CI:CI,"NaN")))</f>
        <v>36</v>
      </c>
      <c r="CR71" s="5">
        <f>IF(_xlfn.XLOOKUP($B71,rf1_data!$B:$B,rf1_data!CJ:CJ,"NaN")="","NaN",(_xlfn.XLOOKUP($B71,rf1_data!$B:$B,rf1_data!CJ:CJ,"NaN")))</f>
        <v>60</v>
      </c>
      <c r="CS71" s="5">
        <f>IF(_xlfn.XLOOKUP($B71,rf1_data!$B:$B,rf1_data!CK:CK,"NaN")="","NaN",(_xlfn.XLOOKUP($B71,rf1_data!$B:$B,rf1_data!CK:CK,"NaN")))</f>
        <v>40</v>
      </c>
      <c r="CT71" s="5">
        <f>IF(_xlfn.XLOOKUP($B71,rf1_data!$B:$B,rf1_data!CL:CL,"NaN")="","NaN",(_xlfn.XLOOKUP($B71,rf1_data!$B:$B,rf1_data!CL:CL,"NaN")))</f>
        <v>60</v>
      </c>
      <c r="CU71" s="5">
        <f>IF(_xlfn.XLOOKUP($B71,rf1_data!$B:$B,rf1_data!CM:CM,"NaN")="","NaN",(_xlfn.XLOOKUP($B71,rf1_data!$B:$B,rf1_data!CM:CM,"NaN")))</f>
        <v>26</v>
      </c>
      <c r="CV71" s="5">
        <f>IF(_xlfn.XLOOKUP($B71,rf1_data!$B:$B,rf1_data!CN:CN,"NaN")="","NaN",(_xlfn.XLOOKUP($B71,rf1_data!$B:$B,rf1_data!CN:CN,"NaN")))</f>
        <v>60</v>
      </c>
      <c r="CW71" s="5">
        <f>IF(_xlfn.XLOOKUP($B71,rf1_data!$B:$B,rf1_data!CO:CO,"NaN")="","NaN",(_xlfn.XLOOKUP($B71,rf1_data!$B:$B,rf1_data!CO:CO,"NaN")))</f>
        <v>3</v>
      </c>
      <c r="CX71" s="5">
        <f>IF(_xlfn.XLOOKUP($B71,rf1_data!$B:$B,rf1_data!CP:CP,"NaN")="","NaN",(_xlfn.XLOOKUP($B71,rf1_data!$B:$B,rf1_data!CP:CP,"NaN")))</f>
        <v>3</v>
      </c>
      <c r="CY71" s="5">
        <f>IF(_xlfn.XLOOKUP($B71,rf1_data!$B:$B,rf1_data!CQ:CQ,"NaN")="","NaN",(_xlfn.XLOOKUP($B71,rf1_data!$B:$B,rf1_data!CQ:CQ,"NaN")))</f>
        <v>7</v>
      </c>
      <c r="CZ71" s="5">
        <f>IF(_xlfn.XLOOKUP($B71,rf1_data!$B:$B,rf1_data!CR:CR,"NaN")="","NaN",(_xlfn.XLOOKUP($B71,rf1_data!$B:$B,rf1_data!CR:CR,"NaN")))</f>
        <v>4</v>
      </c>
      <c r="DA71" s="5">
        <f>IF(_xlfn.XLOOKUP($B71,rf1_data!$B:$B,rf1_data!CS:CS,"NaN")="","NaN",(_xlfn.XLOOKUP($B71,rf1_data!$B:$B,rf1_data!CS:CS,"NaN")))</f>
        <v>3</v>
      </c>
      <c r="DB71" s="4">
        <f>IF(_xlfn.XLOOKUP($B71,island_data!$B:$B,island_data!H:H,"NaN")="","NaN",_xlfn.XLOOKUP($B71,island_data!$B:$B,island_data!H:H,"NaN"))</f>
        <v>3</v>
      </c>
      <c r="DC71" s="4">
        <f>IF(_xlfn.XLOOKUP($B71,island_data!$B:$B,island_data!I:I,"NaN")="","NaN",_xlfn.XLOOKUP($B71,island_data!$B:$B,island_data!I:I,"NaN"))</f>
        <v>0</v>
      </c>
      <c r="DD71" s="4">
        <f>IF(_xlfn.XLOOKUP($B71,island_data!$B:$B,island_data!J:J,"NaN")="","NaN",_xlfn.XLOOKUP($B71,island_data!$B:$B,island_data!J:J,"NaN"))</f>
        <v>0</v>
      </c>
      <c r="DE71" s="4">
        <f>IF(_xlfn.XLOOKUP($B71,island_data!$B:$B,island_data!K:K,"NaN")="","NaN",_xlfn.XLOOKUP($B71,island_data!$B:$B,island_data!K:K,"NaN"))</f>
        <v>2</v>
      </c>
      <c r="DF71" s="4">
        <f>IF(_xlfn.XLOOKUP($B71,island_data!$B:$B,island_data!L:L,"NaN")="","NaN",_xlfn.XLOOKUP($B71,island_data!$B:$B,island_data!L:L,"NaN"))</f>
        <v>0</v>
      </c>
      <c r="DG71" s="4">
        <f>IF(_xlfn.XLOOKUP($B71,island_data!$B:$B,island_data!M:M,"NaN")="","NaN",_xlfn.XLOOKUP($B71,island_data!$B:$B,island_data!M:M,"NaN"))</f>
        <v>3.875</v>
      </c>
      <c r="DH71" s="4">
        <f>IF(_xlfn.XLOOKUP($B71,island_data!$B:$B,island_data!N:N,"NaN")="","NaN",_xlfn.XLOOKUP($B71,island_data!$B:$B,island_data!N:N,"NaN"))</f>
        <v>12</v>
      </c>
      <c r="DI71" s="4">
        <f>IF(_xlfn.XLOOKUP($B71,island_data!$B:$B,island_data!O:O,"NaN")=999,"NaN",_xlfn.XLOOKUP($B71,island_data!$B:$B,island_data!O:O,"NaN"))</f>
        <v>12</v>
      </c>
      <c r="DJ71" s="4">
        <f>IF(_xlfn.XLOOKUP($B71,island_data!$B:$B,island_data!P:P,"NaN")="","NaN",_xlfn.XLOOKUP($B71,island_data!$B:$B,island_data!P:P,"NaN"))</f>
        <v>8</v>
      </c>
      <c r="DK71" s="4">
        <f>IF(_xlfn.XLOOKUP($B71,island_data!$B:$B,island_data!Q:Q,"NaN")="","NaN",_xlfn.XLOOKUP($B71,island_data!$B:$B,island_data!Q:Q,"NaN"))</f>
        <v>6</v>
      </c>
      <c r="DL71" s="4">
        <f>IF(_xlfn.XLOOKUP($B71,island_data!$B:$B,island_data!R:R,"NaN")=999,"NaN",_xlfn.XLOOKUP($B71,island_data!$B:$B,island_data!R:R,"NaN"))</f>
        <v>12</v>
      </c>
      <c r="DM71" s="4">
        <f>IF(_xlfn.XLOOKUP($B71,island_data!$B:$B,island_data!S:S,"NaN")="","NaN",_xlfn.XLOOKUP($B71,island_data!$B:$B,island_data!S:S,"NaN"))</f>
        <v>12</v>
      </c>
      <c r="DN71" s="4">
        <f>IF(_xlfn.XLOOKUP($B71,island_data!$B:$B,island_data!T:T,"NaN")="","NaN",_xlfn.XLOOKUP($B71,island_data!$B:$B,island_data!T:T,"NaN"))</f>
        <v>7</v>
      </c>
      <c r="DO71" s="4">
        <f>IF(_xlfn.XLOOKUP($B71,island_data!$B:$B,island_data!U:U,"NaN")="","NaN",_xlfn.XLOOKUP($B71,island_data!$B:$B,island_data!U:U,"NaN"))</f>
        <v>1</v>
      </c>
      <c r="DP71" s="4">
        <f>IF(_xlfn.XLOOKUP($B71,island_data!$B:$B,island_data!V:V,"NaN")="","NaN",_xlfn.XLOOKUP($B71,island_data!$B:$B,island_data!V:V,"NaN"))</f>
        <v>1</v>
      </c>
      <c r="DQ71" s="4">
        <f>IF(_xlfn.XLOOKUP($B71,island_data!$B:$B,island_data!W:W,"NaN")="","NaN",_xlfn.XLOOKUP($B71,island_data!$B:$B,island_data!W:W,"NaN"))</f>
        <v>7</v>
      </c>
      <c r="DR71" s="4">
        <f>IF(_xlfn.XLOOKUP($B71,island_data!$B:$B,island_data!X:X,"NaN")="","NaN",_xlfn.XLOOKUP($B71,island_data!$B:$B,island_data!X:X,"NaN"))</f>
        <v>1</v>
      </c>
      <c r="DS71" s="4" t="str">
        <f>IF(_xlfn.XLOOKUP($B71,island_data!$B:$B,island_data!Y:Y,"NaN")="","NaN",_xlfn.XLOOKUP($B71,island_data!$B:$B,island_data!Y:Y,"NaN"))</f>
        <v>NaN</v>
      </c>
      <c r="DT71" s="4" t="str">
        <f>IF(_xlfn.XLOOKUP($B71,island_data!$B:$B,island_data!Z:Z,"NaN")="","NaN",_xlfn.XLOOKUP($B71,island_data!$B:$B,island_data!Z:Z,"NaN"))</f>
        <v>NaN</v>
      </c>
      <c r="DU71" s="4" t="str">
        <f>IF(_xlfn.XLOOKUP($B71,island_data!$B:$B,island_data!AA:AA,"NaN")="","NaN",_xlfn.XLOOKUP($B71,island_data!$B:$B,island_data!AA:AA,"NaN"))</f>
        <v>NaN</v>
      </c>
      <c r="DV71" s="4">
        <f>IF(_xlfn.XLOOKUP($B71,island_data!$B:$B,island_data!AB:AB,"NaN")="","NaN",_xlfn.XLOOKUP($B71,island_data!$B:$B,island_data!AB:AB,"NaN"))</f>
        <v>0</v>
      </c>
      <c r="DW71" s="4">
        <f>IF(_xlfn.XLOOKUP($B71,island_data!$B:$B,island_data!AC:AC,"NaN")="","NaN",_xlfn.XLOOKUP($B71,island_data!$B:$B,island_data!AC:AC,"NaN"))</f>
        <v>19121</v>
      </c>
      <c r="DX71" s="4">
        <f>IF(_xlfn.XLOOKUP($B71,island_data!$B:$B,island_data!AD:AD,"NaN")="","NaN",_xlfn.XLOOKUP($B71,island_data!$B:$B,island_data!AD:AD,"NaN"))</f>
        <v>7</v>
      </c>
      <c r="DY71" s="4">
        <f>IF(_xlfn.XLOOKUP($B71,island_data!$B:$B,island_data!AE:AE,"NaN")="","NaN",_xlfn.XLOOKUP($B71,island_data!$B:$B,island_data!AE:AE,"NaN"))</f>
        <v>0</v>
      </c>
      <c r="DZ71" s="4" t="str">
        <f>IF(_xlfn.XLOOKUP($B71,island_data!$B:$B,island_data!AF:AF,"NaN")="","NaN",_xlfn.XLOOKUP($B71,island_data!$B:$B,island_data!AF:AF,"NaN"))</f>
        <v>NaN</v>
      </c>
      <c r="EA71" s="4" t="str">
        <f>IF(_xlfn.XLOOKUP($B71,island_data!$B:$B,island_data!AG:AG,"NaN")="","NaN",_xlfn.XLOOKUP($B71,island_data!$B:$B,island_data!AG:AG,"NaN"))</f>
        <v>NaN</v>
      </c>
      <c r="EB71" s="4" t="str">
        <f>IF(_xlfn.XLOOKUP($B71,island_data!$B:$B,island_data!AH:AH,"NaN")="","NaN",_xlfn.XLOOKUP($B71,island_data!$B:$B,island_data!AH:AH,"NaN"))</f>
        <v>NaN</v>
      </c>
      <c r="EC71" s="4">
        <f>IF(_xlfn.XLOOKUP($B71,island_data!$B:$B,island_data!AI:AI,"NaN")="","NaN",_xlfn.XLOOKUP($B71,island_data!$B:$B,island_data!AI:AI,"NaN"))</f>
        <v>18</v>
      </c>
      <c r="ED71" s="4">
        <f>IF(_xlfn.XLOOKUP($B71,island_data!$B:$B,island_data!AJ:AJ,"NaN")="","NaN",_xlfn.XLOOKUP($B71,island_data!$B:$B,island_data!AJ:AJ,"NaN"))</f>
        <v>14</v>
      </c>
      <c r="EE71" s="4">
        <f>IF(_xlfn.XLOOKUP($B71,island_data!$B:$B,island_data!AK:AK,"NaN")="","NaN",_xlfn.XLOOKUP($B71,island_data!$B:$B,island_data!AK:AK,"NaN"))</f>
        <v>20</v>
      </c>
      <c r="EF71" s="4">
        <f>IF(_xlfn.XLOOKUP($B71,island_data!$B:$B,island_data!AL:AL,"NaN")="","NaN",_xlfn.XLOOKUP($B71,island_data!$B:$B,island_data!AL:AL,"NaN"))</f>
        <v>21</v>
      </c>
      <c r="EG71" s="4">
        <f>IF(_xlfn.XLOOKUP($B71,island_data!$B:$B,island_data!AM:AM,"NaN")="","NaN",_xlfn.XLOOKUP($B71,island_data!$B:$B,island_data!AM:AM,"NaN"))</f>
        <v>15</v>
      </c>
      <c r="EH71" s="4">
        <f>IF(_xlfn.XLOOKUP($B71,island_data!$B:$B,island_data!AN:AN,"NaN")="","NaN",_xlfn.XLOOKUP($B71,island_data!$B:$B,island_data!AN:AN,"NaN"))</f>
        <v>0</v>
      </c>
      <c r="EI71" s="4" t="str">
        <f>IF(_xlfn.XLOOKUP($B71,island_data!$B:$B,island_data!AO:AO,"NaN")="","NaN",_xlfn.XLOOKUP($B71,island_data!$B:$B,island_data!AO:AO,"NaN"))</f>
        <v>NaN</v>
      </c>
      <c r="EJ71" s="8" t="str">
        <f>IF(_xlfn.XLOOKUP($A71,TabCAT!$A:$A,TabCAT!AU:AU,"NaN")="","NaN",(_xlfn.XLOOKUP($A71,TabCAT!$A:$A,TabCAT!AU:AU,"NaN")))</f>
        <v>NaN</v>
      </c>
      <c r="EK71" s="8" t="str">
        <f>IF(_xlfn.XLOOKUP($A71,TabCAT!$A:$A,TabCAT!AV:AV,"NaN")="","NaN",(_xlfn.XLOOKUP($A71,TabCAT!$A:$A,TabCAT!AV:AV,"NaN")))</f>
        <v>NaN</v>
      </c>
      <c r="EL71" s="8" t="str">
        <f>IF(_xlfn.XLOOKUP($A71,TabCAT!$A:$A,TabCAT!AW:AW,"NaN")="","NaN",(_xlfn.XLOOKUP($A71,TabCAT!$A:$A,TabCAT!AW:AW,"NaN")))</f>
        <v>NaN</v>
      </c>
      <c r="EM71" s="8" t="str">
        <f>IF(_xlfn.XLOOKUP($A71,TabCAT!$A:$A,TabCAT!AX:AX,"NaN")="","NaN",(_xlfn.XLOOKUP($A71,TabCAT!$A:$A,TabCAT!AX:AX,"NaN")))</f>
        <v>NaN</v>
      </c>
      <c r="EN71" s="8" t="str">
        <f>IF(_xlfn.XLOOKUP($A71,TabCAT!$A:$A,TabCAT!AY:AY,"NaN")="","NaN",(_xlfn.XLOOKUP($A71,TabCAT!$A:$A,TabCAT!AY:AY,"NaN")))</f>
        <v>NaN</v>
      </c>
      <c r="EO71" s="8" t="str">
        <f>IF(_xlfn.XLOOKUP($A71,TabCAT!$A:$A,TabCAT!AZ:AZ,"NaN")="","NaN",(_xlfn.XLOOKUP($A71,TabCAT!$A:$A,TabCAT!AZ:AZ,"NaN")))</f>
        <v>NaN</v>
      </c>
      <c r="EP71" s="8" t="str">
        <f>IF(_xlfn.XLOOKUP($A71,TabCAT!$A:$A,TabCAT!BA:BA,"NaN")="","NaN",(_xlfn.XLOOKUP($A71,TabCAT!$A:$A,TabCAT!BA:BA,"NaN")))</f>
        <v>NaN</v>
      </c>
      <c r="EQ71" s="8" t="str">
        <f>IF(_xlfn.XLOOKUP($A71,TabCAT!$A:$A,TabCAT!BB:BB,"NaN")="","NaN",(_xlfn.XLOOKUP($A71,TabCAT!$A:$A,TabCAT!BB:BB,"NaN")))</f>
        <v>NaN</v>
      </c>
      <c r="ER71" s="8" t="str">
        <f>IF(_xlfn.XLOOKUP($A71,TabCAT!$A:$A,TabCAT!BC:BC,"NaN")="","NaN",(_xlfn.XLOOKUP($A71,TabCAT!$A:$A,TabCAT!BC:BC,"NaN")))</f>
        <v>NaN</v>
      </c>
      <c r="ES71" s="8" t="str">
        <f>IF(_xlfn.XLOOKUP($A71,TabCAT!$A:$A,TabCAT!BD:BD,"NaN")="","NaN",(_xlfn.XLOOKUP($A71,TabCAT!$A:$A,TabCAT!BD:BD,"NaN")))</f>
        <v>NaN</v>
      </c>
      <c r="ET71" s="8" t="str">
        <f>IF(_xlfn.XLOOKUP($A71,TabCAT!$A:$A,TabCAT!BE:BE,"NaN")="","NaN",(_xlfn.XLOOKUP($A71,TabCAT!$A:$A,TabCAT!BE:BE,"NaN")))</f>
        <v>NaN</v>
      </c>
      <c r="EU71" s="8" t="str">
        <f>IF(_xlfn.XLOOKUP($A71,TabCAT!$A:$A,TabCAT!BF:BF,"NaN")="","NaN",(_xlfn.XLOOKUP($A71,TabCAT!$A:$A,TabCAT!BF:BF,"NaN")))</f>
        <v>NaN</v>
      </c>
      <c r="EV71" s="8" t="str">
        <f>IF(_xlfn.XLOOKUP($A71,TabCAT!$A:$A,TabCAT!BG:BG,"NaN")="","NaN",(_xlfn.XLOOKUP($A71,TabCAT!$A:$A,TabCAT!BG:BG,"NaN")))</f>
        <v>NaN</v>
      </c>
      <c r="EW71" s="8" t="str">
        <f>IF(_xlfn.XLOOKUP($A71,TabCAT!$A:$A,TabCAT!BH:BH,"NaN")="","NaN",(_xlfn.XLOOKUP($A71,TabCAT!$A:$A,TabCAT!BH:BH,"NaN")))</f>
        <v>NaN</v>
      </c>
      <c r="EX71" s="8" t="str">
        <f>IF(_xlfn.XLOOKUP($A71,TabCAT!$A:$A,TabCAT!BI:BI,"NaN")="","NaN",(_xlfn.XLOOKUP($A71,TabCAT!$A:$A,TabCAT!BI:BI,"NaN")))</f>
        <v>NaN</v>
      </c>
      <c r="EY71" s="8" t="str">
        <f>IF(_xlfn.XLOOKUP($A71,TabCAT!$A:$A,TabCAT!BJ:BJ,"NaN")="","NaN",(_xlfn.XLOOKUP($A71,TabCAT!$A:$A,TabCAT!BJ:BJ,"NaN")))</f>
        <v>NaN</v>
      </c>
      <c r="EZ71" s="8" t="str">
        <f>IF(_xlfn.XLOOKUP($A71,TabCAT!$A:$A,TabCAT!BK:BK,"NaN")="","NaN",(_xlfn.XLOOKUP($A71,TabCAT!$A:$A,TabCAT!BK:BK,"NaN")))</f>
        <v>NaN</v>
      </c>
      <c r="FA71" s="8" t="str">
        <f>IF(_xlfn.XLOOKUP($A71,TabCAT!$A:$A,TabCAT!BL:BL,"NaN")="","NaN",(_xlfn.XLOOKUP($A71,TabCAT!$A:$A,TabCAT!BL:BL,"NaN")))</f>
        <v>NaN</v>
      </c>
      <c r="FB71" s="8" t="str">
        <f>IF(_xlfn.XLOOKUP($A71,TabCAT!$A:$A,TabCAT!BM:BM,"NaN")="","NaN",(_xlfn.XLOOKUP($A71,TabCAT!$A:$A,TabCAT!BM:BM,"NaN")))</f>
        <v>NaN</v>
      </c>
      <c r="FC71" s="8" t="str">
        <f>IF(_xlfn.XLOOKUP($A71,TabCAT!$A:$A,TabCAT!BN:BN,"NaN")="","NaN",(_xlfn.XLOOKUP($A71,TabCAT!$A:$A,TabCAT!BN:BN,"NaN")))</f>
        <v>NaN</v>
      </c>
      <c r="FD71" s="8" t="str">
        <f>IF(_xlfn.XLOOKUP($A71,TabCAT!$A:$A,TabCAT!BO:BO,"NaN")="","NaN",(_xlfn.XLOOKUP($A71,TabCAT!$A:$A,TabCAT!BO:BO,"NaN")))</f>
        <v>NaN</v>
      </c>
      <c r="FE71" s="8" t="str">
        <f>IF(_xlfn.XLOOKUP($A71,TabCAT!$A:$A,TabCAT!BP:BP,"NaN")="","NaN",(_xlfn.XLOOKUP($A71,TabCAT!$A:$A,TabCAT!BP:BP,"NaN")))</f>
        <v>NaN</v>
      </c>
      <c r="FF71" s="8" t="str">
        <f>IF(_xlfn.XLOOKUP($A71,TabCAT!$A:$A,TabCAT!BQ:BQ,"NaN")="","NaN",(_xlfn.XLOOKUP($A71,TabCAT!$A:$A,TabCAT!BQ:BQ,"NaN")))</f>
        <v>NaN</v>
      </c>
      <c r="FG71" s="8" t="str">
        <f>IF(_xlfn.XLOOKUP($A71,TabCAT!$A:$A,TabCAT!BR:BR,"NaN")="","NaN",(_xlfn.XLOOKUP($A71,TabCAT!$A:$A,TabCAT!BR:BR,"NaN")))</f>
        <v>NaN</v>
      </c>
      <c r="FH71" s="8" t="str">
        <f>IF(_xlfn.XLOOKUP($A71,TabCAT!$A:$A,TabCAT!BS:BS,"NaN")="","NaN",(_xlfn.XLOOKUP($A71,TabCAT!$A:$A,TabCAT!BS:BS,"NaN")))</f>
        <v>NaN</v>
      </c>
      <c r="FI71" s="8" t="str">
        <f>IF(_xlfn.XLOOKUP($A71,TabCAT!$A:$A,TabCAT!BT:BT,"NaN")="","NaN",(_xlfn.XLOOKUP($A71,TabCAT!$A:$A,TabCAT!BT:BT,"NaN")))</f>
        <v>NaN</v>
      </c>
      <c r="FJ71" s="8" t="str">
        <f>IF(_xlfn.XLOOKUP($A71,TabCAT!$A:$A,TabCAT!BU:BU,"NaN")="","NaN",(_xlfn.XLOOKUP($A71,TabCAT!$A:$A,TabCAT!BU:BU,"NaN")))</f>
        <v>NaN</v>
      </c>
      <c r="FK71" s="8" t="str">
        <f>IF(_xlfn.XLOOKUP($A71,TabCAT!$A:$A,TabCAT!BV:BV,"NaN")="","NaN",(_xlfn.XLOOKUP($A71,TabCAT!$A:$A,TabCAT!BV:BV,"NaN")))</f>
        <v>NaN</v>
      </c>
      <c r="FL71" s="8" t="str">
        <f>IF(_xlfn.XLOOKUP($A71,TabCAT!$A:$A,TabCAT!BW:BW,"NaN")="","NaN",(_xlfn.XLOOKUP($A71,TabCAT!$A:$A,TabCAT!BW:BW,"NaN")))</f>
        <v>NaN</v>
      </c>
      <c r="FM71" s="8" t="str">
        <f>IF(_xlfn.XLOOKUP($A71,TabCAT!$A:$A,TabCAT!BX:BX,"NaN")="","NaN",(_xlfn.XLOOKUP($A71,TabCAT!$A:$A,TabCAT!BX:BX,"NaN")))</f>
        <v>NaN</v>
      </c>
      <c r="FN71" s="8" t="str">
        <f>IF(_xlfn.XLOOKUP($A71,TabCAT!$A:$A,TabCAT!BY:BY,"NaN")="","NaN",(_xlfn.XLOOKUP($A71,TabCAT!$A:$A,TabCAT!BY:BY,"NaN")))</f>
        <v>NaN</v>
      </c>
      <c r="FO71" s="8" t="str">
        <f>IF(_xlfn.XLOOKUP($A71,TabCAT!$A:$A,TabCAT!BZ:BZ,"NaN")="","NaN",(_xlfn.XLOOKUP($A71,TabCAT!$A:$A,TabCAT!BZ:BZ,"NaN")))</f>
        <v>NaN</v>
      </c>
      <c r="FP71" s="8" t="str">
        <f>IF(_xlfn.XLOOKUP($A71,TabCAT!$A:$A,TabCAT!CA:CA,"NaN")="","NaN",(_xlfn.XLOOKUP($A71,TabCAT!$A:$A,TabCAT!CA:CA,"NaN")))</f>
        <v>NaN</v>
      </c>
      <c r="FQ71" s="8" t="str">
        <f>IF(_xlfn.XLOOKUP($A71,TabCAT!$A:$A,TabCAT!CB:CB,"NaN")="","NaN",(_xlfn.XLOOKUP($A71,TabCAT!$A:$A,TabCAT!CB:CB,"NaN")))</f>
        <v>NaN</v>
      </c>
      <c r="FR71" s="8" t="str">
        <f>IF(_xlfn.XLOOKUP($A71,TabCAT!$A:$A,TabCAT!CC:CC,"NaN")="","NaN",(_xlfn.XLOOKUP($A71,TabCAT!$A:$A,TabCAT!CC:CC,"NaN")))</f>
        <v>NaN</v>
      </c>
      <c r="FS71" s="8" t="str">
        <f>IF(_xlfn.XLOOKUP($A71,TabCAT!$A:$A,TabCAT!CD:CD,"NaN")="","NaN",(_xlfn.XLOOKUP($A71,TabCAT!$A:$A,TabCAT!CD:CD,"NaN")))</f>
        <v>NaN</v>
      </c>
      <c r="FT71" s="8" t="str">
        <f>IF(_xlfn.XLOOKUP($A71,TabCAT!$A:$A,TabCAT!CE:CE,"NaN")="","NaN",(_xlfn.XLOOKUP($A71,TabCAT!$A:$A,TabCAT!CE:CE,"NaN")))</f>
        <v>NaN</v>
      </c>
      <c r="FU71" s="8" t="str">
        <f>IF(_xlfn.XLOOKUP($A71,TabCAT!$A:$A,TabCAT!CF:CF,"NaN")="","NaN",(_xlfn.XLOOKUP($A71,TabCAT!$A:$A,TabCAT!CF:CF,"NaN")))</f>
        <v>NaN</v>
      </c>
      <c r="FV71" s="8" t="str">
        <f>IF(_xlfn.XLOOKUP($A71,TabCAT!$A:$A,TabCAT!CG:CG,"NaN")="","NaN",(_xlfn.XLOOKUP($A71,TabCAT!$A:$A,TabCAT!CG:CG,"NaN")))</f>
        <v>NaN</v>
      </c>
      <c r="FW71" s="8" t="str">
        <f>IF(_xlfn.XLOOKUP($A71,TabCAT!$A:$A,TabCAT!CH:CH,"NaN")="","NaN",(_xlfn.XLOOKUP($A71,TabCAT!$A:$A,TabCAT!CH:CH,"NaN")))</f>
        <v>NaN</v>
      </c>
      <c r="FX71" s="8" t="str">
        <f>IF(_xlfn.XLOOKUP($A71,TabCAT!$A:$A,TabCAT!CI:CI,"NaN")="","NaN",(_xlfn.XLOOKUP($A71,TabCAT!$A:$A,TabCAT!CI:CI,"NaN")))</f>
        <v>NaN</v>
      </c>
      <c r="FY71" s="8" t="str">
        <f>IF(_xlfn.XLOOKUP($A71,TabCAT!$A:$A,TabCAT!CJ:CJ,"NaN")="","NaN",(_xlfn.XLOOKUP($A71,TabCAT!$A:$A,TabCAT!CJ:CJ,"NaN")))</f>
        <v>NaN</v>
      </c>
      <c r="FZ71" s="8" t="str">
        <f>IF(_xlfn.XLOOKUP($A71,TabCAT!$A:$A,TabCAT!CK:CK,"NaN")="","NaN",(_xlfn.XLOOKUP($A71,TabCAT!$A:$A,TabCAT!CK:CK,"NaN")))</f>
        <v>NaN</v>
      </c>
      <c r="GA71" s="8" t="str">
        <f>IF(_xlfn.XLOOKUP($A71,TabCAT!$A:$A,TabCAT!CL:CL,"NaN")="","NaN",(_xlfn.XLOOKUP($A71,TabCAT!$A:$A,TabCAT!CL:CL,"NaN")))</f>
        <v>NaN</v>
      </c>
      <c r="GB71" s="8" t="str">
        <f>IF(_xlfn.XLOOKUP($A71,TabCAT!$A:$A,TabCAT!CM:CM,"NaN")="","NaN",(_xlfn.XLOOKUP($A71,TabCAT!$A:$A,TabCAT!CM:CM,"NaN")))</f>
        <v>NaN</v>
      </c>
      <c r="GC71" s="8" t="str">
        <f>IF(_xlfn.XLOOKUP($A71,TabCAT!$A:$A,TabCAT!CN:CN,"NaN")="","NaN",(_xlfn.XLOOKUP($A71,TabCAT!$A:$A,TabCAT!CN:CN,"NaN")))</f>
        <v>NaN</v>
      </c>
      <c r="GD71" s="8" t="str">
        <f>IF(_xlfn.XLOOKUP($A71,TabCAT!$A:$A,TabCAT!CO:CO,"NaN")="","NaN",(_xlfn.XLOOKUP($A71,TabCAT!$A:$A,TabCAT!CO:CO,"NaN")))</f>
        <v>NaN</v>
      </c>
      <c r="GE71" s="8" t="str">
        <f>IF(_xlfn.XLOOKUP($A71,TabCAT!$A:$A,TabCAT!CP:CP,"NaN")="","NaN",(_xlfn.XLOOKUP($A71,TabCAT!$A:$A,TabCAT!CP:CP,"NaN")))</f>
        <v>NaN</v>
      </c>
      <c r="GF71" s="8" t="str">
        <f>IF(_xlfn.XLOOKUP($A71,TabCAT!$A:$A,TabCAT!CQ:CQ,"NaN")="","NaN",(_xlfn.XLOOKUP($A71,TabCAT!$A:$A,TabCAT!CQ:CQ,"NaN")))</f>
        <v>NaN</v>
      </c>
      <c r="GG71" s="8" t="str">
        <f>IF(_xlfn.XLOOKUP($A71,TabCAT!$A:$A,TabCAT!CR:CR,"NaN")="","NaN",(_xlfn.XLOOKUP($A71,TabCAT!$A:$A,TabCAT!CR:CR,"NaN")))</f>
        <v>NaN</v>
      </c>
      <c r="GH71" s="8" t="str">
        <f>IF(_xlfn.XLOOKUP($A71,TabCAT!$A:$A,TabCAT!CS:CS,"NaN")="","NaN",(_xlfn.XLOOKUP($A71,TabCAT!$A:$A,TabCAT!CS:CS,"NaN")))</f>
        <v>NaN</v>
      </c>
    </row>
    <row r="72" spans="1:190" x14ac:dyDescent="0.2">
      <c r="A72">
        <f>trust!A72</f>
        <v>0</v>
      </c>
      <c r="B72" t="e">
        <f>_xlfn.XLOOKUP(bippity_poppity_boo!A72,rf1_data!A:A,rf1_data!B:B)</f>
        <v>#N/A</v>
      </c>
      <c r="C72" s="2" t="str">
        <f>(_xlfn.XLOOKUP($A72,trust!$A:$A,trust!B:B,"NaN"))</f>
        <v>NaN</v>
      </c>
      <c r="D72" s="2" t="str">
        <f>(_xlfn.XLOOKUP($A72,trust!$A:$A,trust!C:C,"NaN"))</f>
        <v>NaN</v>
      </c>
      <c r="E72" s="2" t="str">
        <f>(_xlfn.XLOOKUP($A72,trust!$A:$A,trust!D:D,"NaN"))</f>
        <v>NaN</v>
      </c>
      <c r="F72" s="2" t="str">
        <f>(_xlfn.XLOOKUP($A72,trust!$A:$A,trust!E:E,"NaN"))</f>
        <v>NaN</v>
      </c>
      <c r="G72" s="2" t="str">
        <f>(_xlfn.XLOOKUP($A72,trust!$A:$A,trust!F:F,"NaN"))</f>
        <v>NaN</v>
      </c>
      <c r="H72" s="2" t="str">
        <f>(_xlfn.XLOOKUP($A72,trust!$A:$A,trust!G:G,"NaN"))</f>
        <v>NaN</v>
      </c>
      <c r="I72" s="3" t="e">
        <f>IF(_xlfn.XLOOKUP($B72,island_data!$B:$B,island_data!C:C,"NaN")="","NaN",_xlfn.XLOOKUP($B72,island_data!$B:$B,island_data!C:C,"NaN"))</f>
        <v>#N/A</v>
      </c>
      <c r="J72" s="3" t="e">
        <f>IF(_xlfn.XLOOKUP($B72,island_data!$B:$B,island_data!D:D,"NaN")="","NaN",_xlfn.XLOOKUP($B72,island_data!$B:$B,island_data!D:D,"NaN"))</f>
        <v>#N/A</v>
      </c>
      <c r="K72" s="4" t="e">
        <f>IF(_xlfn.XLOOKUP($B72,island_data!$B:$B,island_data!E:E,"NaN")="","NaN",_xlfn.XLOOKUP($B72,island_data!$B:$B,island_data!E:E,"NaN"))</f>
        <v>#N/A</v>
      </c>
      <c r="L72" s="5" t="e">
        <f>IF(_xlfn.XLOOKUP($B72,rf1_data!$B:$B,rf1_data!D:D,"NaN")="","NaN",(_xlfn.XLOOKUP($B72,rf1_data!$B:$B,rf1_data!D:D,"NaN")))</f>
        <v>#N/A</v>
      </c>
      <c r="M72" s="5" t="e">
        <f>IF(_xlfn.XLOOKUP($B72,rf1_data!$B:$B,rf1_data!E:E,"NaN")="","NaN",(_xlfn.XLOOKUP($B72,rf1_data!$B:$B,rf1_data!E:E,"NaN")))</f>
        <v>#N/A</v>
      </c>
      <c r="N72" s="5" t="e">
        <f>IF(_xlfn.XLOOKUP($B72,rf1_data!$B:$B,rf1_data!F:F,"NaN")="","NaN",(_xlfn.XLOOKUP($B72,rf1_data!$B:$B,rf1_data!F:F,"NaN")))</f>
        <v>#N/A</v>
      </c>
      <c r="O72" s="5" t="e">
        <f>IF(_xlfn.XLOOKUP($B72,rf1_data!$B:$B,rf1_data!G:G,"NaN")="","NaN",(_xlfn.XLOOKUP($B72,rf1_data!$B:$B,rf1_data!G:G,"NaN")))</f>
        <v>#N/A</v>
      </c>
      <c r="P72" s="5" t="e">
        <f>IF(_xlfn.XLOOKUP($B72,rf1_data!$B:$B,rf1_data!H:H,"NaN")="","NaN",(_xlfn.XLOOKUP($B72,rf1_data!$B:$B,rf1_data!H:H,"NaN")))</f>
        <v>#N/A</v>
      </c>
      <c r="Q72" s="5" t="e">
        <f>IF(_xlfn.XLOOKUP($B72,rf1_data!$B:$B,rf1_data!I:I,"NaN")="","NaN",(_xlfn.XLOOKUP($B72,rf1_data!$B:$B,rf1_data!I:I,"NaN")))</f>
        <v>#N/A</v>
      </c>
      <c r="R72" s="5" t="e">
        <f>IF(_xlfn.XLOOKUP($B72,rf1_data!$B:$B,rf1_data!J:J,"NaN")="","NaN",(_xlfn.XLOOKUP($B72,rf1_data!$B:$B,rf1_data!J:J,"NaN")))</f>
        <v>#N/A</v>
      </c>
      <c r="S72" s="5" t="e">
        <f>IF(_xlfn.XLOOKUP($B72,rf1_data!$B:$B,rf1_data!K:K,"NaN")="","NaN",(_xlfn.XLOOKUP($B72,rf1_data!$B:$B,rf1_data!K:K,"NaN")))</f>
        <v>#N/A</v>
      </c>
      <c r="T72" s="5" t="e">
        <f>IF(_xlfn.XLOOKUP($B72,rf1_data!$B:$B,rf1_data!L:L,"NaN")="","NaN",(_xlfn.XLOOKUP($B72,rf1_data!$B:$B,rf1_data!L:L,"NaN")))</f>
        <v>#N/A</v>
      </c>
      <c r="U72" s="5" t="e">
        <f>IF(_xlfn.XLOOKUP($B72,rf1_data!$B:$B,rf1_data!M:M,"NaN")="","NaN",(_xlfn.XLOOKUP($B72,rf1_data!$B:$B,rf1_data!M:M,"NaN")))</f>
        <v>#N/A</v>
      </c>
      <c r="V72" s="5" t="e">
        <f>IF(_xlfn.XLOOKUP($B72,rf1_data!$B:$B,rf1_data!N:N,"NaN")="","NaN",(_xlfn.XLOOKUP($B72,rf1_data!$B:$B,rf1_data!N:N,"NaN")))</f>
        <v>#N/A</v>
      </c>
      <c r="W72" s="5" t="e">
        <f>IF(_xlfn.XLOOKUP($B72,rf1_data!$B:$B,rf1_data!O:O,"NaN")="","NaN",(_xlfn.XLOOKUP($B72,rf1_data!$B:$B,rf1_data!O:O,"NaN")))</f>
        <v>#N/A</v>
      </c>
      <c r="X72" s="5" t="e">
        <f>IF(_xlfn.XLOOKUP($B72,rf1_data!$B:$B,rf1_data!P:P,"NaN")="","NaN",(_xlfn.XLOOKUP($B72,rf1_data!$B:$B,rf1_data!P:P,"NaN")))</f>
        <v>#N/A</v>
      </c>
      <c r="Y72" s="5" t="e">
        <f>IF(_xlfn.XLOOKUP($B72,rf1_data!$B:$B,rf1_data!Q:Q,"NaN")="","NaN",(_xlfn.XLOOKUP($B72,rf1_data!$B:$B,rf1_data!Q:Q,"NaN")))</f>
        <v>#N/A</v>
      </c>
      <c r="Z72" s="5" t="e">
        <f>IF(_xlfn.XLOOKUP($B72,rf1_data!$B:$B,rf1_data!R:R,"NaN")="","NaN",(_xlfn.XLOOKUP($B72,rf1_data!$B:$B,rf1_data!R:R,"NaN")))</f>
        <v>#N/A</v>
      </c>
      <c r="AA72" s="5" t="e">
        <f>IF(_xlfn.XLOOKUP($B72,rf1_data!$B:$B,rf1_data!S:S,"NaN")="","NaN",(_xlfn.XLOOKUP($B72,rf1_data!$B:$B,rf1_data!S:S,"NaN")))</f>
        <v>#N/A</v>
      </c>
      <c r="AB72" s="5" t="e">
        <f>IF(_xlfn.XLOOKUP($B72,rf1_data!$B:$B,rf1_data!T:T,"NaN")="","NaN",(_xlfn.XLOOKUP($B72,rf1_data!$B:$B,rf1_data!T:T,"NaN")))</f>
        <v>#N/A</v>
      </c>
      <c r="AC72" s="5" t="e">
        <f>IF(_xlfn.XLOOKUP($B72,rf1_data!$B:$B,rf1_data!U:U,"NaN")="","NaN",(_xlfn.XLOOKUP($B72,rf1_data!$B:$B,rf1_data!U:U,"NaN")))</f>
        <v>#N/A</v>
      </c>
      <c r="AD72" s="5" t="e">
        <f>IF(_xlfn.XLOOKUP($B72,rf1_data!$B:$B,rf1_data!V:V,"NaN")="","NaN",(_xlfn.XLOOKUP($B72,rf1_data!$B:$B,rf1_data!V:V,"NaN")))</f>
        <v>#N/A</v>
      </c>
      <c r="AE72" s="5" t="e">
        <f>IF(_xlfn.XLOOKUP($B72,rf1_data!$B:$B,rf1_data!W:W,"NaN")="","NaN",(_xlfn.XLOOKUP($B72,rf1_data!$B:$B,rf1_data!W:W,"NaN")))</f>
        <v>#N/A</v>
      </c>
      <c r="AF72" s="5" t="e">
        <f>IF(_xlfn.XLOOKUP($B72,rf1_data!$B:$B,rf1_data!X:X,"NaN")="","NaN",(_xlfn.XLOOKUP($B72,rf1_data!$B:$B,rf1_data!X:X,"NaN")))</f>
        <v>#N/A</v>
      </c>
      <c r="AG72" s="5" t="e">
        <f>IF(_xlfn.XLOOKUP($B72,rf1_data!$B:$B,rf1_data!Y:Y,"NaN")="","NaN",(_xlfn.XLOOKUP($B72,rf1_data!$B:$B,rf1_data!Y:Y,"NaN")))</f>
        <v>#N/A</v>
      </c>
      <c r="AH72" s="5" t="e">
        <f>IF(_xlfn.XLOOKUP($B72,rf1_data!$B:$B,rf1_data!Z:Z,"NaN")="","NaN",(_xlfn.XLOOKUP($B72,rf1_data!$B:$B,rf1_data!Z:Z,"NaN")))</f>
        <v>#N/A</v>
      </c>
      <c r="AI72" s="5" t="e">
        <f>IF(_xlfn.XLOOKUP($B72,rf1_data!$B:$B,rf1_data!AA:AA,"NaN")="","NaN",(_xlfn.XLOOKUP($B72,rf1_data!$B:$B,rf1_data!AA:AA,"NaN")))</f>
        <v>#N/A</v>
      </c>
      <c r="AJ72" s="5" t="e">
        <f>IF(_xlfn.XLOOKUP($B72,rf1_data!$B:$B,rf1_data!AB:AB,"NaN")="","NaN",(_xlfn.XLOOKUP($B72,rf1_data!$B:$B,rf1_data!AB:AB,"NaN")))</f>
        <v>#N/A</v>
      </c>
      <c r="AK72" s="5" t="e">
        <f>IF(_xlfn.XLOOKUP($B72,rf1_data!$B:$B,rf1_data!AC:AC,"NaN")="","NaN",(_xlfn.XLOOKUP($B72,rf1_data!$B:$B,rf1_data!AC:AC,"NaN")))</f>
        <v>#N/A</v>
      </c>
      <c r="AL72" s="5" t="e">
        <f>IF(_xlfn.XLOOKUP($B72,rf1_data!$B:$B,rf1_data!AD:AD,"NaN")="","NaN",(_xlfn.XLOOKUP($B72,rf1_data!$B:$B,rf1_data!AD:AD,"NaN")))</f>
        <v>#N/A</v>
      </c>
      <c r="AM72" s="5" t="e">
        <f>IF(_xlfn.XLOOKUP($B72,rf1_data!$B:$B,rf1_data!AE:AE,"NaN")="","NaN",(_xlfn.XLOOKUP($B72,rf1_data!$B:$B,rf1_data!AE:AE,"NaN")))</f>
        <v>#N/A</v>
      </c>
      <c r="AN72" s="5" t="e">
        <f>IF(_xlfn.XLOOKUP($B72,rf1_data!$B:$B,rf1_data!AF:AF,"NaN")="","NaN",(_xlfn.XLOOKUP($B72,rf1_data!$B:$B,rf1_data!AF:AF,"NaN")))</f>
        <v>#N/A</v>
      </c>
      <c r="AO72" s="5" t="e">
        <f>IF(_xlfn.XLOOKUP($B72,rf1_data!$B:$B,rf1_data!AG:AG,"NaN")="","NaN",(_xlfn.XLOOKUP($B72,rf1_data!$B:$B,rf1_data!AG:AG,"NaN")))</f>
        <v>#N/A</v>
      </c>
      <c r="AP72" s="5" t="e">
        <f>IF(_xlfn.XLOOKUP($B72,rf1_data!$B:$B,rf1_data!AH:AH,"NaN")="","NaN",(_xlfn.XLOOKUP($B72,rf1_data!$B:$B,rf1_data!AH:AH,"NaN")))</f>
        <v>#N/A</v>
      </c>
      <c r="AQ72" s="5" t="e">
        <f>IF(_xlfn.XLOOKUP($B72,rf1_data!$B:$B,rf1_data!AI:AI,"NaN")="","NaN",(_xlfn.XLOOKUP($B72,rf1_data!$B:$B,rf1_data!AI:AI,"NaN")))</f>
        <v>#N/A</v>
      </c>
      <c r="AR72" s="5" t="e">
        <f>IF(_xlfn.XLOOKUP($B72,rf1_data!$B:$B,rf1_data!AJ:AJ,"NaN")="","NaN",(_xlfn.XLOOKUP($B72,rf1_data!$B:$B,rf1_data!AJ:AJ,"NaN")))</f>
        <v>#N/A</v>
      </c>
      <c r="AS72" s="5" t="e">
        <f>IF(_xlfn.XLOOKUP($B72,rf1_data!$B:$B,rf1_data!AK:AK,"NaN")="","NaN",(_xlfn.XLOOKUP($B72,rf1_data!$B:$B,rf1_data!AK:AK,"NaN")))</f>
        <v>#N/A</v>
      </c>
      <c r="AT72" s="5" t="e">
        <f>IF(_xlfn.XLOOKUP($B72,rf1_data!$B:$B,rf1_data!AL:AL,"NaN")="","NaN",(_xlfn.XLOOKUP($B72,rf1_data!$B:$B,rf1_data!AL:AL,"NaN")))</f>
        <v>#N/A</v>
      </c>
      <c r="AU72" s="5" t="e">
        <f>IF(_xlfn.XLOOKUP($B72,rf1_data!$B:$B,rf1_data!AM:AM,"NaN")="","NaN",(_xlfn.XLOOKUP($B72,rf1_data!$B:$B,rf1_data!AM:AM,"NaN")))</f>
        <v>#N/A</v>
      </c>
      <c r="AV72" s="5" t="e">
        <f>IF(_xlfn.XLOOKUP($B72,rf1_data!$B:$B,rf1_data!AN:AN,"NaN")="","NaN",(_xlfn.XLOOKUP($B72,rf1_data!$B:$B,rf1_data!AN:AN,"NaN")))</f>
        <v>#N/A</v>
      </c>
      <c r="AW72" s="5" t="e">
        <f>IF(_xlfn.XLOOKUP($B72,rf1_data!$B:$B,rf1_data!AO:AO,"NaN")="","NaN",(_xlfn.XLOOKUP($B72,rf1_data!$B:$B,rf1_data!AO:AO,"NaN")))</f>
        <v>#N/A</v>
      </c>
      <c r="AX72" s="5" t="e">
        <f>IF(_xlfn.XLOOKUP($B72,rf1_data!$B:$B,rf1_data!AP:AP,"NaN")="","NaN",(_xlfn.XLOOKUP($B72,rf1_data!$B:$B,rf1_data!AP:AP,"NaN")))</f>
        <v>#N/A</v>
      </c>
      <c r="AY72" s="5" t="e">
        <f>IF(_xlfn.XLOOKUP($B72,rf1_data!$B:$B,rf1_data!AQ:AQ,"NaN")="","NaN",(_xlfn.XLOOKUP($B72,rf1_data!$B:$B,rf1_data!AQ:AQ,"NaN")))</f>
        <v>#N/A</v>
      </c>
      <c r="AZ72" s="5" t="e">
        <f>IF(_xlfn.XLOOKUP($B72,rf1_data!$B:$B,rf1_data!AR:AR,"NaN")="","NaN",(_xlfn.XLOOKUP($B72,rf1_data!$B:$B,rf1_data!AR:AR,"NaN")))</f>
        <v>#N/A</v>
      </c>
      <c r="BA72" s="5" t="e">
        <f>IF(_xlfn.XLOOKUP($B72,rf1_data!$B:$B,rf1_data!AS:AS,"NaN")="","NaN",(_xlfn.XLOOKUP($B72,rf1_data!$B:$B,rf1_data!AS:AS,"NaN")))</f>
        <v>#N/A</v>
      </c>
      <c r="BB72" s="5" t="e">
        <f>IF(_xlfn.XLOOKUP($B72,rf1_data!$B:$B,rf1_data!AT:AT,"NaN")="","NaN",(_xlfn.XLOOKUP($B72,rf1_data!$B:$B,rf1_data!AT:AT,"NaN")))</f>
        <v>#N/A</v>
      </c>
      <c r="BC72" s="5" t="e">
        <f>IF(_xlfn.XLOOKUP($B72,rf1_data!$B:$B,rf1_data!AU:AU,"NaN")="","NaN",(_xlfn.XLOOKUP($B72,rf1_data!$B:$B,rf1_data!AU:AU,"NaN")))</f>
        <v>#N/A</v>
      </c>
      <c r="BD72" s="5" t="e">
        <f>IF(_xlfn.XLOOKUP($B72,rf1_data!$B:$B,rf1_data!AV:AV,"NaN")="","NaN",(_xlfn.XLOOKUP($B72,rf1_data!$B:$B,rf1_data!AV:AV,"NaN")))</f>
        <v>#N/A</v>
      </c>
      <c r="BE72" s="5" t="e">
        <f>IF(_xlfn.XLOOKUP($B72,rf1_data!$B:$B,rf1_data!AW:AW,"NaN")="","NaN",(_xlfn.XLOOKUP($B72,rf1_data!$B:$B,rf1_data!AW:AW,"NaN")))</f>
        <v>#N/A</v>
      </c>
      <c r="BF72" s="5" t="e">
        <f>IF(_xlfn.XLOOKUP($B72,rf1_data!$B:$B,rf1_data!AX:AX,"NaN")="","NaN",(_xlfn.XLOOKUP($B72,rf1_data!$B:$B,rf1_data!AX:AX,"NaN")))</f>
        <v>#N/A</v>
      </c>
      <c r="BG72" s="5" t="e">
        <f>IF(_xlfn.XLOOKUP($B72,rf1_data!$B:$B,rf1_data!AY:AY,"NaN")="","NaN",(_xlfn.XLOOKUP($B72,rf1_data!$B:$B,rf1_data!AY:AY,"NaN")))</f>
        <v>#N/A</v>
      </c>
      <c r="BH72" s="5" t="e">
        <f>IF(_xlfn.XLOOKUP($B72,rf1_data!$B:$B,rf1_data!AZ:AZ,"NaN")="","NaN",(_xlfn.XLOOKUP($B72,rf1_data!$B:$B,rf1_data!AZ:AZ,"NaN")))</f>
        <v>#N/A</v>
      </c>
      <c r="BI72" s="5" t="e">
        <f>IF(_xlfn.XLOOKUP($B72,rf1_data!$B:$B,rf1_data!BA:BA,"NaN")="","NaN",(_xlfn.XLOOKUP($B72,rf1_data!$B:$B,rf1_data!BA:BA,"NaN")))</f>
        <v>#N/A</v>
      </c>
      <c r="BJ72" s="5" t="e">
        <f>IF(_xlfn.XLOOKUP($B72,rf1_data!$B:$B,rf1_data!BB:BB,"NaN")="","NaN",(_xlfn.XLOOKUP($B72,rf1_data!$B:$B,rf1_data!BB:BB,"NaN")))</f>
        <v>#N/A</v>
      </c>
      <c r="BK72" s="5" t="e">
        <f>IF(_xlfn.XLOOKUP($B72,rf1_data!$B:$B,rf1_data!BC:BC,"NaN")="","NaN",(_xlfn.XLOOKUP($B72,rf1_data!$B:$B,rf1_data!BC:BC,"NaN")))</f>
        <v>#N/A</v>
      </c>
      <c r="BL72" s="5" t="e">
        <f>IF(_xlfn.XLOOKUP($B72,rf1_data!$B:$B,rf1_data!BD:BD,"NaN")="","NaN",(_xlfn.XLOOKUP($B72,rf1_data!$B:$B,rf1_data!BD:BD,"NaN")))</f>
        <v>#N/A</v>
      </c>
      <c r="BM72" s="5" t="e">
        <f>IF(_xlfn.XLOOKUP($B72,rf1_data!$B:$B,rf1_data!BE:BE,"NaN")="","NaN",(_xlfn.XLOOKUP($B72,rf1_data!$B:$B,rf1_data!BE:BE,"NaN")))</f>
        <v>#N/A</v>
      </c>
      <c r="BN72" s="5" t="e">
        <f>IF(_xlfn.XLOOKUP($B72,rf1_data!$B:$B,rf1_data!BF:BF,"NaN")="","NaN",(_xlfn.XLOOKUP($B72,rf1_data!$B:$B,rf1_data!BF:BF,"NaN")))</f>
        <v>#N/A</v>
      </c>
      <c r="BO72" s="5" t="e">
        <f>IF(_xlfn.XLOOKUP($B72,rf1_data!$B:$B,rf1_data!BG:BG,"NaN")="","NaN",(_xlfn.XLOOKUP($B72,rf1_data!$B:$B,rf1_data!BG:BG,"NaN")))</f>
        <v>#N/A</v>
      </c>
      <c r="BP72" s="5" t="e">
        <f>IF(_xlfn.XLOOKUP($B72,rf1_data!$B:$B,rf1_data!BH:BH,"NaN")="","NaN",(_xlfn.XLOOKUP($B72,rf1_data!$B:$B,rf1_data!BH:BH,"NaN")))</f>
        <v>#N/A</v>
      </c>
      <c r="BQ72" s="5" t="e">
        <f>IF(_xlfn.XLOOKUP($B72,rf1_data!$B:$B,rf1_data!BI:BI,"NaN")="","NaN",(_xlfn.XLOOKUP($B72,rf1_data!$B:$B,rf1_data!BI:BI,"NaN")))</f>
        <v>#N/A</v>
      </c>
      <c r="BR72" s="5" t="e">
        <f>IF(_xlfn.XLOOKUP($B72,rf1_data!$B:$B,rf1_data!BJ:BJ,"NaN")="","NaN",(_xlfn.XLOOKUP($B72,rf1_data!$B:$B,rf1_data!BJ:BJ,"NaN")))</f>
        <v>#N/A</v>
      </c>
      <c r="BS72" s="5" t="e">
        <f>IF(_xlfn.XLOOKUP($B72,rf1_data!$B:$B,rf1_data!BK:BK,"NaN")="","NaN",(_xlfn.XLOOKUP($B72,rf1_data!$B:$B,rf1_data!BK:BK,"NaN")))</f>
        <v>#N/A</v>
      </c>
      <c r="BT72" s="5" t="e">
        <f>IF(_xlfn.XLOOKUP($B72,rf1_data!$B:$B,rf1_data!BL:BL,"NaN")="","NaN",(_xlfn.XLOOKUP($B72,rf1_data!$B:$B,rf1_data!BL:BL,"NaN")))</f>
        <v>#N/A</v>
      </c>
      <c r="BU72" s="5" t="e">
        <f>IF(_xlfn.XLOOKUP($B72,rf1_data!$B:$B,rf1_data!BM:BM,"NaN")="","NaN",(_xlfn.XLOOKUP($B72,rf1_data!$B:$B,rf1_data!BM:BM,"NaN")))</f>
        <v>#N/A</v>
      </c>
      <c r="BV72" s="5" t="e">
        <f>IF(_xlfn.XLOOKUP($B72,rf1_data!$B:$B,rf1_data!BN:BN,"NaN")="","NaN",(_xlfn.XLOOKUP($B72,rf1_data!$B:$B,rf1_data!BN:BN,"NaN")))</f>
        <v>#N/A</v>
      </c>
      <c r="BW72" s="5" t="e">
        <f>IF(_xlfn.XLOOKUP($B72,rf1_data!$B:$B,rf1_data!BO:BO,"NaN")="","NaN",(_xlfn.XLOOKUP($B72,rf1_data!$B:$B,rf1_data!BO:BO,"NaN")))</f>
        <v>#N/A</v>
      </c>
      <c r="BX72" s="5" t="e">
        <f>IF(_xlfn.XLOOKUP($B72,rf1_data!$B:$B,rf1_data!BP:BP,"NaN")="","NaN",(_xlfn.XLOOKUP($B72,rf1_data!$B:$B,rf1_data!BP:BP,"NaN")))</f>
        <v>#N/A</v>
      </c>
      <c r="BY72" s="5" t="e">
        <f>IF(_xlfn.XLOOKUP($B72,rf1_data!$B:$B,rf1_data!BQ:BQ,"NaN")="","NaN",(_xlfn.XLOOKUP($B72,rf1_data!$B:$B,rf1_data!BQ:BQ,"NaN")))</f>
        <v>#N/A</v>
      </c>
      <c r="BZ72" s="5" t="e">
        <f>IF(_xlfn.XLOOKUP($B72,rf1_data!$B:$B,rf1_data!BR:BR,"NaN")="","NaN",(_xlfn.XLOOKUP($B72,rf1_data!$B:$B,rf1_data!BR:BR,"NaN")))</f>
        <v>#N/A</v>
      </c>
      <c r="CA72" s="5" t="e">
        <f>IF(_xlfn.XLOOKUP($B72,rf1_data!$B:$B,rf1_data!BS:BS,"NaN")="","NaN",(_xlfn.XLOOKUP($B72,rf1_data!$B:$B,rf1_data!BS:BS,"NaN")))</f>
        <v>#N/A</v>
      </c>
      <c r="CB72" s="5" t="e">
        <f>IF(_xlfn.XLOOKUP($B72,rf1_data!$B:$B,rf1_data!BT:BT,"NaN")="","NaN",(_xlfn.XLOOKUP($B72,rf1_data!$B:$B,rf1_data!BT:BT,"NaN")))</f>
        <v>#N/A</v>
      </c>
      <c r="CC72" s="5" t="e">
        <f>IF(_xlfn.XLOOKUP($B72,rf1_data!$B:$B,rf1_data!BU:BU,"NaN")="","NaN",(_xlfn.XLOOKUP($B72,rf1_data!$B:$B,rf1_data!BU:BU,"NaN")))</f>
        <v>#N/A</v>
      </c>
      <c r="CD72" s="5" t="e">
        <f>IF(_xlfn.XLOOKUP($B72,rf1_data!$B:$B,rf1_data!BV:BV,"NaN")="","NaN",(_xlfn.XLOOKUP($B72,rf1_data!$B:$B,rf1_data!BV:BV,"NaN")))</f>
        <v>#N/A</v>
      </c>
      <c r="CE72" s="5" t="e">
        <f>IF(_xlfn.XLOOKUP($B72,rf1_data!$B:$B,rf1_data!BW:BW,"NaN")="","NaN",(_xlfn.XLOOKUP($B72,rf1_data!$B:$B,rf1_data!BW:BW,"NaN")))</f>
        <v>#N/A</v>
      </c>
      <c r="CF72" s="5" t="e">
        <f>IF(_xlfn.XLOOKUP($B72,rf1_data!$B:$B,rf1_data!BX:BX,"NaN")="","NaN",(_xlfn.XLOOKUP($B72,rf1_data!$B:$B,rf1_data!BX:BX,"NaN")))</f>
        <v>#N/A</v>
      </c>
      <c r="CG72" s="5" t="e">
        <f>IF(_xlfn.XLOOKUP($B72,rf1_data!$B:$B,rf1_data!BY:BY,"NaN")="","NaN",(_xlfn.XLOOKUP($B72,rf1_data!$B:$B,rf1_data!BY:BY,"NaN")))</f>
        <v>#N/A</v>
      </c>
      <c r="CH72" s="5" t="e">
        <f>IF(_xlfn.XLOOKUP($B72,rf1_data!$B:$B,rf1_data!BZ:BZ,"NaN")="","NaN",(_xlfn.XLOOKUP($B72,rf1_data!$B:$B,rf1_data!BZ:BZ,"NaN")))</f>
        <v>#N/A</v>
      </c>
      <c r="CI72" s="5" t="e">
        <f>IF(_xlfn.XLOOKUP($B72,rf1_data!$B:$B,rf1_data!CA:CA,"NaN")="","NaN",(_xlfn.XLOOKUP($B72,rf1_data!$B:$B,rf1_data!CA:CA,"NaN")))</f>
        <v>#N/A</v>
      </c>
      <c r="CJ72" s="5" t="e">
        <f>IF(_xlfn.XLOOKUP($B72,rf1_data!$B:$B,rf1_data!CB:CB,"NaN")="","NaN",(_xlfn.XLOOKUP($B72,rf1_data!$B:$B,rf1_data!CB:CB,"NaN")))</f>
        <v>#N/A</v>
      </c>
      <c r="CK72" s="5" t="e">
        <f>IF(_xlfn.XLOOKUP($B72,rf1_data!$B:$B,rf1_data!CC:CC,"NaN")="","NaN",(_xlfn.XLOOKUP($B72,rf1_data!$B:$B,rf1_data!CC:CC,"NaN")))</f>
        <v>#N/A</v>
      </c>
      <c r="CL72" s="5" t="e">
        <f>IF(_xlfn.XLOOKUP($B72,rf1_data!$B:$B,rf1_data!CD:CD,"NaN")=0,"NaN",(_xlfn.XLOOKUP($B72,rf1_data!$B:$B,rf1_data!CD:CD,"NaN")))</f>
        <v>#N/A</v>
      </c>
      <c r="CM72" s="5" t="e">
        <f>IF(_xlfn.XLOOKUP($B72,rf1_data!$B:$B,rf1_data!CE:CE,"NaN")="","NaN",(_xlfn.XLOOKUP($B72,rf1_data!$B:$B,rf1_data!CE:CE,"NaN")))</f>
        <v>#N/A</v>
      </c>
      <c r="CN72" s="5" t="e">
        <f>IF(_xlfn.XLOOKUP($B72,rf1_data!$B:$B,rf1_data!CF:CF,"NaN")="","NaN",(_xlfn.XLOOKUP($B72,rf1_data!$B:$B,rf1_data!CF:CF,"NaN")))</f>
        <v>#N/A</v>
      </c>
      <c r="CO72" s="5" t="e">
        <f>IF(_xlfn.XLOOKUP($B72,rf1_data!$B:$B,rf1_data!CG:CG,"NaN")="","NaN",(_xlfn.XLOOKUP($B72,rf1_data!$B:$B,rf1_data!CG:CG,"NaN")))</f>
        <v>#N/A</v>
      </c>
      <c r="CP72" s="5" t="e">
        <f>IF(_xlfn.XLOOKUP($B72,rf1_data!$B:$B,rf1_data!CH:CH,"NaN")=0,"NaN",(_xlfn.XLOOKUP($B72,rf1_data!$B:$B,rf1_data!CH:CH,"NaN")))</f>
        <v>#N/A</v>
      </c>
      <c r="CQ72" s="5" t="e">
        <f>IF(_xlfn.XLOOKUP($B72,rf1_data!$B:$B,rf1_data!CI:CI,"NaN")="","NaN",(_xlfn.XLOOKUP($B72,rf1_data!$B:$B,rf1_data!CI:CI,"NaN")))</f>
        <v>#N/A</v>
      </c>
      <c r="CR72" s="5" t="e">
        <f>IF(_xlfn.XLOOKUP($B72,rf1_data!$B:$B,rf1_data!CJ:CJ,"NaN")="","NaN",(_xlfn.XLOOKUP($B72,rf1_data!$B:$B,rf1_data!CJ:CJ,"NaN")))</f>
        <v>#N/A</v>
      </c>
      <c r="CS72" s="5" t="e">
        <f>IF(_xlfn.XLOOKUP($B72,rf1_data!$B:$B,rf1_data!CK:CK,"NaN")="","NaN",(_xlfn.XLOOKUP($B72,rf1_data!$B:$B,rf1_data!CK:CK,"NaN")))</f>
        <v>#N/A</v>
      </c>
      <c r="CT72" s="5" t="e">
        <f>IF(_xlfn.XLOOKUP($B72,rf1_data!$B:$B,rf1_data!CL:CL,"NaN")="","NaN",(_xlfn.XLOOKUP($B72,rf1_data!$B:$B,rf1_data!CL:CL,"NaN")))</f>
        <v>#N/A</v>
      </c>
      <c r="CU72" s="5" t="e">
        <f>IF(_xlfn.XLOOKUP($B72,rf1_data!$B:$B,rf1_data!CM:CM,"NaN")="","NaN",(_xlfn.XLOOKUP($B72,rf1_data!$B:$B,rf1_data!CM:CM,"NaN")))</f>
        <v>#N/A</v>
      </c>
      <c r="CV72" s="5" t="e">
        <f>IF(_xlfn.XLOOKUP($B72,rf1_data!$B:$B,rf1_data!CN:CN,"NaN")="","NaN",(_xlfn.XLOOKUP($B72,rf1_data!$B:$B,rf1_data!CN:CN,"NaN")))</f>
        <v>#N/A</v>
      </c>
      <c r="CW72" s="5" t="e">
        <f>IF(_xlfn.XLOOKUP($B72,rf1_data!$B:$B,rf1_data!CO:CO,"NaN")="","NaN",(_xlfn.XLOOKUP($B72,rf1_data!$B:$B,rf1_data!CO:CO,"NaN")))</f>
        <v>#N/A</v>
      </c>
      <c r="CX72" s="5" t="e">
        <f>IF(_xlfn.XLOOKUP($B72,rf1_data!$B:$B,rf1_data!CP:CP,"NaN")="","NaN",(_xlfn.XLOOKUP($B72,rf1_data!$B:$B,rf1_data!CP:CP,"NaN")))</f>
        <v>#N/A</v>
      </c>
      <c r="CY72" s="5" t="e">
        <f>IF(_xlfn.XLOOKUP($B72,rf1_data!$B:$B,rf1_data!CQ:CQ,"NaN")="","NaN",(_xlfn.XLOOKUP($B72,rf1_data!$B:$B,rf1_data!CQ:CQ,"NaN")))</f>
        <v>#N/A</v>
      </c>
      <c r="CZ72" s="5" t="e">
        <f>IF(_xlfn.XLOOKUP($B72,rf1_data!$B:$B,rf1_data!CR:CR,"NaN")="","NaN",(_xlfn.XLOOKUP($B72,rf1_data!$B:$B,rf1_data!CR:CR,"NaN")))</f>
        <v>#N/A</v>
      </c>
      <c r="DA72" s="5" t="e">
        <f>IF(_xlfn.XLOOKUP($B72,rf1_data!$B:$B,rf1_data!CS:CS,"NaN")="","NaN",(_xlfn.XLOOKUP($B72,rf1_data!$B:$B,rf1_data!CS:CS,"NaN")))</f>
        <v>#N/A</v>
      </c>
      <c r="DB72" s="4" t="e">
        <f>IF(_xlfn.XLOOKUP($B72,island_data!$B:$B,island_data!H:H,"NaN")="","NaN",_xlfn.XLOOKUP($B72,island_data!$B:$B,island_data!H:H,"NaN"))</f>
        <v>#N/A</v>
      </c>
      <c r="DC72" s="4" t="e">
        <f>IF(_xlfn.XLOOKUP($B72,island_data!$B:$B,island_data!I:I,"NaN")="","NaN",_xlfn.XLOOKUP($B72,island_data!$B:$B,island_data!I:I,"NaN"))</f>
        <v>#N/A</v>
      </c>
      <c r="DD72" s="4" t="e">
        <f>IF(_xlfn.XLOOKUP($B72,island_data!$B:$B,island_data!J:J,"NaN")="","NaN",_xlfn.XLOOKUP($B72,island_data!$B:$B,island_data!J:J,"NaN"))</f>
        <v>#N/A</v>
      </c>
      <c r="DE72" s="4" t="e">
        <f>IF(_xlfn.XLOOKUP($B72,island_data!$B:$B,island_data!K:K,"NaN")="","NaN",_xlfn.XLOOKUP($B72,island_data!$B:$B,island_data!K:K,"NaN"))</f>
        <v>#N/A</v>
      </c>
      <c r="DF72" s="4" t="e">
        <f>IF(_xlfn.XLOOKUP($B72,island_data!$B:$B,island_data!L:L,"NaN")="","NaN",_xlfn.XLOOKUP($B72,island_data!$B:$B,island_data!L:L,"NaN"))</f>
        <v>#N/A</v>
      </c>
      <c r="DG72" s="4" t="e">
        <f>IF(_xlfn.XLOOKUP($B72,island_data!$B:$B,island_data!M:M,"NaN")="","NaN",_xlfn.XLOOKUP($B72,island_data!$B:$B,island_data!M:M,"NaN"))</f>
        <v>#N/A</v>
      </c>
      <c r="DH72" s="4" t="e">
        <f>IF(_xlfn.XLOOKUP($B72,island_data!$B:$B,island_data!N:N,"NaN")="","NaN",_xlfn.XLOOKUP($B72,island_data!$B:$B,island_data!N:N,"NaN"))</f>
        <v>#N/A</v>
      </c>
      <c r="DI72" s="4" t="e">
        <f>IF(_xlfn.XLOOKUP($B72,island_data!$B:$B,island_data!O:O,"NaN")=999,"NaN",_xlfn.XLOOKUP($B72,island_data!$B:$B,island_data!O:O,"NaN"))</f>
        <v>#N/A</v>
      </c>
      <c r="DJ72" s="4" t="e">
        <f>IF(_xlfn.XLOOKUP($B72,island_data!$B:$B,island_data!P:P,"NaN")="","NaN",_xlfn.XLOOKUP($B72,island_data!$B:$B,island_data!P:P,"NaN"))</f>
        <v>#N/A</v>
      </c>
      <c r="DK72" s="4" t="e">
        <f>IF(_xlfn.XLOOKUP($B72,island_data!$B:$B,island_data!Q:Q,"NaN")="","NaN",_xlfn.XLOOKUP($B72,island_data!$B:$B,island_data!Q:Q,"NaN"))</f>
        <v>#N/A</v>
      </c>
      <c r="DL72" s="4" t="e">
        <f>IF(_xlfn.XLOOKUP($B72,island_data!$B:$B,island_data!R:R,"NaN")=999,"NaN",_xlfn.XLOOKUP($B72,island_data!$B:$B,island_data!R:R,"NaN"))</f>
        <v>#N/A</v>
      </c>
      <c r="DM72" s="4" t="e">
        <f>IF(_xlfn.XLOOKUP($B72,island_data!$B:$B,island_data!S:S,"NaN")="","NaN",_xlfn.XLOOKUP($B72,island_data!$B:$B,island_data!S:S,"NaN"))</f>
        <v>#N/A</v>
      </c>
      <c r="DN72" s="4" t="e">
        <f>IF(_xlfn.XLOOKUP($B72,island_data!$B:$B,island_data!T:T,"NaN")="","NaN",_xlfn.XLOOKUP($B72,island_data!$B:$B,island_data!T:T,"NaN"))</f>
        <v>#N/A</v>
      </c>
      <c r="DO72" s="4" t="e">
        <f>IF(_xlfn.XLOOKUP($B72,island_data!$B:$B,island_data!U:U,"NaN")="","NaN",_xlfn.XLOOKUP($B72,island_data!$B:$B,island_data!U:U,"NaN"))</f>
        <v>#N/A</v>
      </c>
      <c r="DP72" s="4" t="e">
        <f>IF(_xlfn.XLOOKUP($B72,island_data!$B:$B,island_data!V:V,"NaN")="","NaN",_xlfn.XLOOKUP($B72,island_data!$B:$B,island_data!V:V,"NaN"))</f>
        <v>#N/A</v>
      </c>
      <c r="DQ72" s="4" t="e">
        <f>IF(_xlfn.XLOOKUP($B72,island_data!$B:$B,island_data!W:W,"NaN")="","NaN",_xlfn.XLOOKUP($B72,island_data!$B:$B,island_data!W:W,"NaN"))</f>
        <v>#N/A</v>
      </c>
      <c r="DR72" s="4" t="e">
        <f>IF(_xlfn.XLOOKUP($B72,island_data!$B:$B,island_data!X:X,"NaN")="","NaN",_xlfn.XLOOKUP($B72,island_data!$B:$B,island_data!X:X,"NaN"))</f>
        <v>#N/A</v>
      </c>
      <c r="DS72" s="4" t="e">
        <f>IF(_xlfn.XLOOKUP($B72,island_data!$B:$B,island_data!Y:Y,"NaN")="","NaN",_xlfn.XLOOKUP($B72,island_data!$B:$B,island_data!Y:Y,"NaN"))</f>
        <v>#N/A</v>
      </c>
      <c r="DT72" s="4" t="e">
        <f>IF(_xlfn.XLOOKUP($B72,island_data!$B:$B,island_data!Z:Z,"NaN")="","NaN",_xlfn.XLOOKUP($B72,island_data!$B:$B,island_data!Z:Z,"NaN"))</f>
        <v>#N/A</v>
      </c>
      <c r="DU72" s="4" t="e">
        <f>IF(_xlfn.XLOOKUP($B72,island_data!$B:$B,island_data!AA:AA,"NaN")="","NaN",_xlfn.XLOOKUP($B72,island_data!$B:$B,island_data!AA:AA,"NaN"))</f>
        <v>#N/A</v>
      </c>
      <c r="DV72" s="4" t="e">
        <f>IF(_xlfn.XLOOKUP($B72,island_data!$B:$B,island_data!AB:AB,"NaN")="","NaN",_xlfn.XLOOKUP($B72,island_data!$B:$B,island_data!AB:AB,"NaN"))</f>
        <v>#N/A</v>
      </c>
      <c r="DW72" s="4" t="e">
        <f>IF(_xlfn.XLOOKUP($B72,island_data!$B:$B,island_data!AC:AC,"NaN")="","NaN",_xlfn.XLOOKUP($B72,island_data!$B:$B,island_data!AC:AC,"NaN"))</f>
        <v>#N/A</v>
      </c>
      <c r="DX72" s="4" t="e">
        <f>IF(_xlfn.XLOOKUP($B72,island_data!$B:$B,island_data!AD:AD,"NaN")="","NaN",_xlfn.XLOOKUP($B72,island_data!$B:$B,island_data!AD:AD,"NaN"))</f>
        <v>#N/A</v>
      </c>
      <c r="DY72" s="4" t="e">
        <f>IF(_xlfn.XLOOKUP($B72,island_data!$B:$B,island_data!AE:AE,"NaN")="","NaN",_xlfn.XLOOKUP($B72,island_data!$B:$B,island_data!AE:AE,"NaN"))</f>
        <v>#N/A</v>
      </c>
      <c r="DZ72" s="4" t="e">
        <f>IF(_xlfn.XLOOKUP($B72,island_data!$B:$B,island_data!AF:AF,"NaN")="","NaN",_xlfn.XLOOKUP($B72,island_data!$B:$B,island_data!AF:AF,"NaN"))</f>
        <v>#N/A</v>
      </c>
      <c r="EA72" s="4" t="e">
        <f>IF(_xlfn.XLOOKUP($B72,island_data!$B:$B,island_data!AG:AG,"NaN")="","NaN",_xlfn.XLOOKUP($B72,island_data!$B:$B,island_data!AG:AG,"NaN"))</f>
        <v>#N/A</v>
      </c>
      <c r="EB72" s="4" t="e">
        <f>IF(_xlfn.XLOOKUP($B72,island_data!$B:$B,island_data!AH:AH,"NaN")="","NaN",_xlfn.XLOOKUP($B72,island_data!$B:$B,island_data!AH:AH,"NaN"))</f>
        <v>#N/A</v>
      </c>
      <c r="EC72" s="4" t="e">
        <f>IF(_xlfn.XLOOKUP($B72,island_data!$B:$B,island_data!AI:AI,"NaN")="","NaN",_xlfn.XLOOKUP($B72,island_data!$B:$B,island_data!AI:AI,"NaN"))</f>
        <v>#N/A</v>
      </c>
      <c r="ED72" s="4" t="e">
        <f>IF(_xlfn.XLOOKUP($B72,island_data!$B:$B,island_data!AJ:AJ,"NaN")="","NaN",_xlfn.XLOOKUP($B72,island_data!$B:$B,island_data!AJ:AJ,"NaN"))</f>
        <v>#N/A</v>
      </c>
      <c r="EE72" s="4" t="e">
        <f>IF(_xlfn.XLOOKUP($B72,island_data!$B:$B,island_data!AK:AK,"NaN")="","NaN",_xlfn.XLOOKUP($B72,island_data!$B:$B,island_data!AK:AK,"NaN"))</f>
        <v>#N/A</v>
      </c>
      <c r="EF72" s="4" t="e">
        <f>IF(_xlfn.XLOOKUP($B72,island_data!$B:$B,island_data!AL:AL,"NaN")="","NaN",_xlfn.XLOOKUP($B72,island_data!$B:$B,island_data!AL:AL,"NaN"))</f>
        <v>#N/A</v>
      </c>
      <c r="EG72" s="4" t="e">
        <f>IF(_xlfn.XLOOKUP($B72,island_data!$B:$B,island_data!AM:AM,"NaN")="","NaN",_xlfn.XLOOKUP($B72,island_data!$B:$B,island_data!AM:AM,"NaN"))</f>
        <v>#N/A</v>
      </c>
      <c r="EH72" s="4" t="e">
        <f>IF(_xlfn.XLOOKUP($B72,island_data!$B:$B,island_data!AN:AN,"NaN")="","NaN",_xlfn.XLOOKUP($B72,island_data!$B:$B,island_data!AN:AN,"NaN"))</f>
        <v>#N/A</v>
      </c>
      <c r="EI72" s="4" t="e">
        <f>IF(_xlfn.XLOOKUP($B72,island_data!$B:$B,island_data!AO:AO,"NaN")="","NaN",_xlfn.XLOOKUP($B72,island_data!$B:$B,island_data!AO:AO,"NaN"))</f>
        <v>#N/A</v>
      </c>
      <c r="EJ72" s="8" t="str">
        <f>IF(_xlfn.XLOOKUP($A72,TabCAT!$A:$A,TabCAT!AU:AU,"NaN")="","NaN",(_xlfn.XLOOKUP($A72,TabCAT!$A:$A,TabCAT!AU:AU,"NaN")))</f>
        <v>NaN</v>
      </c>
      <c r="EK72" s="8" t="str">
        <f>IF(_xlfn.XLOOKUP($A72,TabCAT!$A:$A,TabCAT!AV:AV,"NaN")="","NaN",(_xlfn.XLOOKUP($A72,TabCAT!$A:$A,TabCAT!AV:AV,"NaN")))</f>
        <v>NaN</v>
      </c>
      <c r="EL72" s="8" t="str">
        <f>IF(_xlfn.XLOOKUP($A72,TabCAT!$A:$A,TabCAT!AW:AW,"NaN")="","NaN",(_xlfn.XLOOKUP($A72,TabCAT!$A:$A,TabCAT!AW:AW,"NaN")))</f>
        <v>NaN</v>
      </c>
      <c r="EM72" s="8" t="str">
        <f>IF(_xlfn.XLOOKUP($A72,TabCAT!$A:$A,TabCAT!AX:AX,"NaN")="","NaN",(_xlfn.XLOOKUP($A72,TabCAT!$A:$A,TabCAT!AX:AX,"NaN")))</f>
        <v>NaN</v>
      </c>
      <c r="EN72" s="8" t="str">
        <f>IF(_xlfn.XLOOKUP($A72,TabCAT!$A:$A,TabCAT!AY:AY,"NaN")="","NaN",(_xlfn.XLOOKUP($A72,TabCAT!$A:$A,TabCAT!AY:AY,"NaN")))</f>
        <v>NaN</v>
      </c>
      <c r="EO72" s="8" t="str">
        <f>IF(_xlfn.XLOOKUP($A72,TabCAT!$A:$A,TabCAT!AZ:AZ,"NaN")="","NaN",(_xlfn.XLOOKUP($A72,TabCAT!$A:$A,TabCAT!AZ:AZ,"NaN")))</f>
        <v>NaN</v>
      </c>
      <c r="EP72" s="8" t="str">
        <f>IF(_xlfn.XLOOKUP($A72,TabCAT!$A:$A,TabCAT!BA:BA,"NaN")="","NaN",(_xlfn.XLOOKUP($A72,TabCAT!$A:$A,TabCAT!BA:BA,"NaN")))</f>
        <v>NaN</v>
      </c>
      <c r="EQ72" s="8" t="str">
        <f>IF(_xlfn.XLOOKUP($A72,TabCAT!$A:$A,TabCAT!BB:BB,"NaN")="","NaN",(_xlfn.XLOOKUP($A72,TabCAT!$A:$A,TabCAT!BB:BB,"NaN")))</f>
        <v>NaN</v>
      </c>
      <c r="ER72" s="8" t="str">
        <f>IF(_xlfn.XLOOKUP($A72,TabCAT!$A:$A,TabCAT!BC:BC,"NaN")="","NaN",(_xlfn.XLOOKUP($A72,TabCAT!$A:$A,TabCAT!BC:BC,"NaN")))</f>
        <v>NaN</v>
      </c>
      <c r="ES72" s="8" t="str">
        <f>IF(_xlfn.XLOOKUP($A72,TabCAT!$A:$A,TabCAT!BD:BD,"NaN")="","NaN",(_xlfn.XLOOKUP($A72,TabCAT!$A:$A,TabCAT!BD:BD,"NaN")))</f>
        <v>NaN</v>
      </c>
      <c r="ET72" s="8" t="str">
        <f>IF(_xlfn.XLOOKUP($A72,TabCAT!$A:$A,TabCAT!BE:BE,"NaN")="","NaN",(_xlfn.XLOOKUP($A72,TabCAT!$A:$A,TabCAT!BE:BE,"NaN")))</f>
        <v>NaN</v>
      </c>
      <c r="EU72" s="8" t="str">
        <f>IF(_xlfn.XLOOKUP($A72,TabCAT!$A:$A,TabCAT!BF:BF,"NaN")="","NaN",(_xlfn.XLOOKUP($A72,TabCAT!$A:$A,TabCAT!BF:BF,"NaN")))</f>
        <v>NaN</v>
      </c>
      <c r="EV72" s="8" t="str">
        <f>IF(_xlfn.XLOOKUP($A72,TabCAT!$A:$A,TabCAT!BG:BG,"NaN")="","NaN",(_xlfn.XLOOKUP($A72,TabCAT!$A:$A,TabCAT!BG:BG,"NaN")))</f>
        <v>NaN</v>
      </c>
      <c r="EW72" s="8" t="str">
        <f>IF(_xlfn.XLOOKUP($A72,TabCAT!$A:$A,TabCAT!BH:BH,"NaN")="","NaN",(_xlfn.XLOOKUP($A72,TabCAT!$A:$A,TabCAT!BH:BH,"NaN")))</f>
        <v>NaN</v>
      </c>
      <c r="EX72" s="8" t="str">
        <f>IF(_xlfn.XLOOKUP($A72,TabCAT!$A:$A,TabCAT!BI:BI,"NaN")="","NaN",(_xlfn.XLOOKUP($A72,TabCAT!$A:$A,TabCAT!BI:BI,"NaN")))</f>
        <v>NaN</v>
      </c>
      <c r="EY72" s="8" t="str">
        <f>IF(_xlfn.XLOOKUP($A72,TabCAT!$A:$A,TabCAT!BJ:BJ,"NaN")="","NaN",(_xlfn.XLOOKUP($A72,TabCAT!$A:$A,TabCAT!BJ:BJ,"NaN")))</f>
        <v>NaN</v>
      </c>
      <c r="EZ72" s="8" t="str">
        <f>IF(_xlfn.XLOOKUP($A72,TabCAT!$A:$A,TabCAT!BK:BK,"NaN")="","NaN",(_xlfn.XLOOKUP($A72,TabCAT!$A:$A,TabCAT!BK:BK,"NaN")))</f>
        <v>NaN</v>
      </c>
      <c r="FA72" s="8" t="str">
        <f>IF(_xlfn.XLOOKUP($A72,TabCAT!$A:$A,TabCAT!BL:BL,"NaN")="","NaN",(_xlfn.XLOOKUP($A72,TabCAT!$A:$A,TabCAT!BL:BL,"NaN")))</f>
        <v>NaN</v>
      </c>
      <c r="FB72" s="8" t="str">
        <f>IF(_xlfn.XLOOKUP($A72,TabCAT!$A:$A,TabCAT!BM:BM,"NaN")="","NaN",(_xlfn.XLOOKUP($A72,TabCAT!$A:$A,TabCAT!BM:BM,"NaN")))</f>
        <v>NaN</v>
      </c>
      <c r="FC72" s="8" t="str">
        <f>IF(_xlfn.XLOOKUP($A72,TabCAT!$A:$A,TabCAT!BN:BN,"NaN")="","NaN",(_xlfn.XLOOKUP($A72,TabCAT!$A:$A,TabCAT!BN:BN,"NaN")))</f>
        <v>NaN</v>
      </c>
      <c r="FD72" s="8" t="str">
        <f>IF(_xlfn.XLOOKUP($A72,TabCAT!$A:$A,TabCAT!BO:BO,"NaN")="","NaN",(_xlfn.XLOOKUP($A72,TabCAT!$A:$A,TabCAT!BO:BO,"NaN")))</f>
        <v>NaN</v>
      </c>
      <c r="FE72" s="8" t="str">
        <f>IF(_xlfn.XLOOKUP($A72,TabCAT!$A:$A,TabCAT!BP:BP,"NaN")="","NaN",(_xlfn.XLOOKUP($A72,TabCAT!$A:$A,TabCAT!BP:BP,"NaN")))</f>
        <v>NaN</v>
      </c>
      <c r="FF72" s="8" t="str">
        <f>IF(_xlfn.XLOOKUP($A72,TabCAT!$A:$A,TabCAT!BQ:BQ,"NaN")="","NaN",(_xlfn.XLOOKUP($A72,TabCAT!$A:$A,TabCAT!BQ:BQ,"NaN")))</f>
        <v>NaN</v>
      </c>
      <c r="FG72" s="8" t="str">
        <f>IF(_xlfn.XLOOKUP($A72,TabCAT!$A:$A,TabCAT!BR:BR,"NaN")="","NaN",(_xlfn.XLOOKUP($A72,TabCAT!$A:$A,TabCAT!BR:BR,"NaN")))</f>
        <v>NaN</v>
      </c>
      <c r="FH72" s="8" t="str">
        <f>IF(_xlfn.XLOOKUP($A72,TabCAT!$A:$A,TabCAT!BS:BS,"NaN")="","NaN",(_xlfn.XLOOKUP($A72,TabCAT!$A:$A,TabCAT!BS:BS,"NaN")))</f>
        <v>NaN</v>
      </c>
      <c r="FI72" s="8" t="str">
        <f>IF(_xlfn.XLOOKUP($A72,TabCAT!$A:$A,TabCAT!BT:BT,"NaN")="","NaN",(_xlfn.XLOOKUP($A72,TabCAT!$A:$A,TabCAT!BT:BT,"NaN")))</f>
        <v>NaN</v>
      </c>
      <c r="FJ72" s="8" t="str">
        <f>IF(_xlfn.XLOOKUP($A72,TabCAT!$A:$A,TabCAT!BU:BU,"NaN")="","NaN",(_xlfn.XLOOKUP($A72,TabCAT!$A:$A,TabCAT!BU:BU,"NaN")))</f>
        <v>NaN</v>
      </c>
      <c r="FK72" s="8" t="str">
        <f>IF(_xlfn.XLOOKUP($A72,TabCAT!$A:$A,TabCAT!BV:BV,"NaN")="","NaN",(_xlfn.XLOOKUP($A72,TabCAT!$A:$A,TabCAT!BV:BV,"NaN")))</f>
        <v>NaN</v>
      </c>
      <c r="FL72" s="8" t="str">
        <f>IF(_xlfn.XLOOKUP($A72,TabCAT!$A:$A,TabCAT!BW:BW,"NaN")="","NaN",(_xlfn.XLOOKUP($A72,TabCAT!$A:$A,TabCAT!BW:BW,"NaN")))</f>
        <v>NaN</v>
      </c>
      <c r="FM72" s="8" t="str">
        <f>IF(_xlfn.XLOOKUP($A72,TabCAT!$A:$A,TabCAT!BX:BX,"NaN")="","NaN",(_xlfn.XLOOKUP($A72,TabCAT!$A:$A,TabCAT!BX:BX,"NaN")))</f>
        <v>NaN</v>
      </c>
      <c r="FN72" s="8" t="str">
        <f>IF(_xlfn.XLOOKUP($A72,TabCAT!$A:$A,TabCAT!BY:BY,"NaN")="","NaN",(_xlfn.XLOOKUP($A72,TabCAT!$A:$A,TabCAT!BY:BY,"NaN")))</f>
        <v>NaN</v>
      </c>
      <c r="FO72" s="8" t="str">
        <f>IF(_xlfn.XLOOKUP($A72,TabCAT!$A:$A,TabCAT!BZ:BZ,"NaN")="","NaN",(_xlfn.XLOOKUP($A72,TabCAT!$A:$A,TabCAT!BZ:BZ,"NaN")))</f>
        <v>NaN</v>
      </c>
      <c r="FP72" s="8" t="str">
        <f>IF(_xlfn.XLOOKUP($A72,TabCAT!$A:$A,TabCAT!CA:CA,"NaN")="","NaN",(_xlfn.XLOOKUP($A72,TabCAT!$A:$A,TabCAT!CA:CA,"NaN")))</f>
        <v>NaN</v>
      </c>
      <c r="FQ72" s="8" t="str">
        <f>IF(_xlfn.XLOOKUP($A72,TabCAT!$A:$A,TabCAT!CB:CB,"NaN")="","NaN",(_xlfn.XLOOKUP($A72,TabCAT!$A:$A,TabCAT!CB:CB,"NaN")))</f>
        <v>NaN</v>
      </c>
      <c r="FR72" s="8" t="str">
        <f>IF(_xlfn.XLOOKUP($A72,TabCAT!$A:$A,TabCAT!CC:CC,"NaN")="","NaN",(_xlfn.XLOOKUP($A72,TabCAT!$A:$A,TabCAT!CC:CC,"NaN")))</f>
        <v>NaN</v>
      </c>
      <c r="FS72" s="8" t="str">
        <f>IF(_xlfn.XLOOKUP($A72,TabCAT!$A:$A,TabCAT!CD:CD,"NaN")="","NaN",(_xlfn.XLOOKUP($A72,TabCAT!$A:$A,TabCAT!CD:CD,"NaN")))</f>
        <v>NaN</v>
      </c>
      <c r="FT72" s="8" t="str">
        <f>IF(_xlfn.XLOOKUP($A72,TabCAT!$A:$A,TabCAT!CE:CE,"NaN")="","NaN",(_xlfn.XLOOKUP($A72,TabCAT!$A:$A,TabCAT!CE:CE,"NaN")))</f>
        <v>NaN</v>
      </c>
      <c r="FU72" s="8" t="str">
        <f>IF(_xlfn.XLOOKUP($A72,TabCAT!$A:$A,TabCAT!CF:CF,"NaN")="","NaN",(_xlfn.XLOOKUP($A72,TabCAT!$A:$A,TabCAT!CF:CF,"NaN")))</f>
        <v>NaN</v>
      </c>
      <c r="FV72" s="8" t="str">
        <f>IF(_xlfn.XLOOKUP($A72,TabCAT!$A:$A,TabCAT!CG:CG,"NaN")="","NaN",(_xlfn.XLOOKUP($A72,TabCAT!$A:$A,TabCAT!CG:CG,"NaN")))</f>
        <v>NaN</v>
      </c>
      <c r="FW72" s="8" t="str">
        <f>IF(_xlfn.XLOOKUP($A72,TabCAT!$A:$A,TabCAT!CH:CH,"NaN")="","NaN",(_xlfn.XLOOKUP($A72,TabCAT!$A:$A,TabCAT!CH:CH,"NaN")))</f>
        <v>NaN</v>
      </c>
      <c r="FX72" s="8" t="str">
        <f>IF(_xlfn.XLOOKUP($A72,TabCAT!$A:$A,TabCAT!CI:CI,"NaN")="","NaN",(_xlfn.XLOOKUP($A72,TabCAT!$A:$A,TabCAT!CI:CI,"NaN")))</f>
        <v>NaN</v>
      </c>
      <c r="FY72" s="8" t="str">
        <f>IF(_xlfn.XLOOKUP($A72,TabCAT!$A:$A,TabCAT!CJ:CJ,"NaN")="","NaN",(_xlfn.XLOOKUP($A72,TabCAT!$A:$A,TabCAT!CJ:CJ,"NaN")))</f>
        <v>NaN</v>
      </c>
      <c r="FZ72" s="8" t="str">
        <f>IF(_xlfn.XLOOKUP($A72,TabCAT!$A:$A,TabCAT!CK:CK,"NaN")="","NaN",(_xlfn.XLOOKUP($A72,TabCAT!$A:$A,TabCAT!CK:CK,"NaN")))</f>
        <v>NaN</v>
      </c>
      <c r="GA72" s="8" t="str">
        <f>IF(_xlfn.XLOOKUP($A72,TabCAT!$A:$A,TabCAT!CL:CL,"NaN")="","NaN",(_xlfn.XLOOKUP($A72,TabCAT!$A:$A,TabCAT!CL:CL,"NaN")))</f>
        <v>NaN</v>
      </c>
      <c r="GB72" s="8" t="str">
        <f>IF(_xlfn.XLOOKUP($A72,TabCAT!$A:$A,TabCAT!CM:CM,"NaN")="","NaN",(_xlfn.XLOOKUP($A72,TabCAT!$A:$A,TabCAT!CM:CM,"NaN")))</f>
        <v>NaN</v>
      </c>
      <c r="GC72" s="8" t="str">
        <f>IF(_xlfn.XLOOKUP($A72,TabCAT!$A:$A,TabCAT!CN:CN,"NaN")="","NaN",(_xlfn.XLOOKUP($A72,TabCAT!$A:$A,TabCAT!CN:CN,"NaN")))</f>
        <v>NaN</v>
      </c>
      <c r="GD72" s="8" t="str">
        <f>IF(_xlfn.XLOOKUP($A72,TabCAT!$A:$A,TabCAT!CO:CO,"NaN")="","NaN",(_xlfn.XLOOKUP($A72,TabCAT!$A:$A,TabCAT!CO:CO,"NaN")))</f>
        <v>NaN</v>
      </c>
      <c r="GE72" s="8" t="str">
        <f>IF(_xlfn.XLOOKUP($A72,TabCAT!$A:$A,TabCAT!CP:CP,"NaN")="","NaN",(_xlfn.XLOOKUP($A72,TabCAT!$A:$A,TabCAT!CP:CP,"NaN")))</f>
        <v>NaN</v>
      </c>
      <c r="GF72" s="8" t="str">
        <f>IF(_xlfn.XLOOKUP($A72,TabCAT!$A:$A,TabCAT!CQ:CQ,"NaN")="","NaN",(_xlfn.XLOOKUP($A72,TabCAT!$A:$A,TabCAT!CQ:CQ,"NaN")))</f>
        <v>NaN</v>
      </c>
      <c r="GG72" s="8" t="str">
        <f>IF(_xlfn.XLOOKUP($A72,TabCAT!$A:$A,TabCAT!CR:CR,"NaN")="","NaN",(_xlfn.XLOOKUP($A72,TabCAT!$A:$A,TabCAT!CR:CR,"NaN")))</f>
        <v>NaN</v>
      </c>
      <c r="GH72" s="8" t="str">
        <f>IF(_xlfn.XLOOKUP($A72,TabCAT!$A:$A,TabCAT!CS:CS,"NaN")="","NaN",(_xlfn.XLOOKUP($A72,TabCAT!$A:$A,TabCAT!CS:CS,"NaN")))</f>
        <v>NaN</v>
      </c>
    </row>
    <row r="73" spans="1:190" x14ac:dyDescent="0.2">
      <c r="A73">
        <f>trust!A73</f>
        <v>0</v>
      </c>
      <c r="B73" t="e">
        <f>_xlfn.XLOOKUP(bippity_poppity_boo!A73,rf1_data!A:A,rf1_data!B:B)</f>
        <v>#N/A</v>
      </c>
      <c r="C73" s="2" t="str">
        <f>(_xlfn.XLOOKUP($A73,trust!$A:$A,trust!B:B,"NaN"))</f>
        <v>NaN</v>
      </c>
      <c r="D73" s="2" t="str">
        <f>(_xlfn.XLOOKUP($A73,trust!$A:$A,trust!C:C,"NaN"))</f>
        <v>NaN</v>
      </c>
      <c r="E73" s="2" t="str">
        <f>(_xlfn.XLOOKUP($A73,trust!$A:$A,trust!D:D,"NaN"))</f>
        <v>NaN</v>
      </c>
      <c r="F73" s="2" t="str">
        <f>(_xlfn.XLOOKUP($A73,trust!$A:$A,trust!E:E,"NaN"))</f>
        <v>NaN</v>
      </c>
      <c r="G73" s="2" t="str">
        <f>(_xlfn.XLOOKUP($A73,trust!$A:$A,trust!F:F,"NaN"))</f>
        <v>NaN</v>
      </c>
      <c r="H73" s="2" t="str">
        <f>(_xlfn.XLOOKUP($A73,trust!$A:$A,trust!G:G,"NaN"))</f>
        <v>NaN</v>
      </c>
      <c r="I73" s="3" t="e">
        <f>IF(_xlfn.XLOOKUP($B73,island_data!$B:$B,island_data!C:C,"NaN")="","NaN",_xlfn.XLOOKUP($B73,island_data!$B:$B,island_data!C:C,"NaN"))</f>
        <v>#N/A</v>
      </c>
      <c r="J73" s="3" t="e">
        <f>IF(_xlfn.XLOOKUP($B73,island_data!$B:$B,island_data!D:D,"NaN")="","NaN",_xlfn.XLOOKUP($B73,island_data!$B:$B,island_data!D:D,"NaN"))</f>
        <v>#N/A</v>
      </c>
      <c r="K73" s="4" t="e">
        <f>IF(_xlfn.XLOOKUP($B73,island_data!$B:$B,island_data!E:E,"NaN")="","NaN",_xlfn.XLOOKUP($B73,island_data!$B:$B,island_data!E:E,"NaN"))</f>
        <v>#N/A</v>
      </c>
      <c r="L73" s="5" t="e">
        <f>IF(_xlfn.XLOOKUP($B73,rf1_data!$B:$B,rf1_data!D:D,"NaN")="","NaN",(_xlfn.XLOOKUP($B73,rf1_data!$B:$B,rf1_data!D:D,"NaN")))</f>
        <v>#N/A</v>
      </c>
      <c r="M73" s="5" t="e">
        <f>IF(_xlfn.XLOOKUP($B73,rf1_data!$B:$B,rf1_data!E:E,"NaN")="","NaN",(_xlfn.XLOOKUP($B73,rf1_data!$B:$B,rf1_data!E:E,"NaN")))</f>
        <v>#N/A</v>
      </c>
      <c r="N73" s="5" t="e">
        <f>IF(_xlfn.XLOOKUP($B73,rf1_data!$B:$B,rf1_data!F:F,"NaN")="","NaN",(_xlfn.XLOOKUP($B73,rf1_data!$B:$B,rf1_data!F:F,"NaN")))</f>
        <v>#N/A</v>
      </c>
      <c r="O73" s="5" t="e">
        <f>IF(_xlfn.XLOOKUP($B73,rf1_data!$B:$B,rf1_data!G:G,"NaN")="","NaN",(_xlfn.XLOOKUP($B73,rf1_data!$B:$B,rf1_data!G:G,"NaN")))</f>
        <v>#N/A</v>
      </c>
      <c r="P73" s="5" t="e">
        <f>IF(_xlfn.XLOOKUP($B73,rf1_data!$B:$B,rf1_data!H:H,"NaN")="","NaN",(_xlfn.XLOOKUP($B73,rf1_data!$B:$B,rf1_data!H:H,"NaN")))</f>
        <v>#N/A</v>
      </c>
      <c r="Q73" s="5" t="e">
        <f>IF(_xlfn.XLOOKUP($B73,rf1_data!$B:$B,rf1_data!I:I,"NaN")="","NaN",(_xlfn.XLOOKUP($B73,rf1_data!$B:$B,rf1_data!I:I,"NaN")))</f>
        <v>#N/A</v>
      </c>
      <c r="R73" s="5" t="e">
        <f>IF(_xlfn.XLOOKUP($B73,rf1_data!$B:$B,rf1_data!J:J,"NaN")="","NaN",(_xlfn.XLOOKUP($B73,rf1_data!$B:$B,rf1_data!J:J,"NaN")))</f>
        <v>#N/A</v>
      </c>
      <c r="S73" s="5" t="e">
        <f>IF(_xlfn.XLOOKUP($B73,rf1_data!$B:$B,rf1_data!K:K,"NaN")="","NaN",(_xlfn.XLOOKUP($B73,rf1_data!$B:$B,rf1_data!K:K,"NaN")))</f>
        <v>#N/A</v>
      </c>
      <c r="T73" s="5" t="e">
        <f>IF(_xlfn.XLOOKUP($B73,rf1_data!$B:$B,rf1_data!L:L,"NaN")="","NaN",(_xlfn.XLOOKUP($B73,rf1_data!$B:$B,rf1_data!L:L,"NaN")))</f>
        <v>#N/A</v>
      </c>
      <c r="U73" s="5" t="e">
        <f>IF(_xlfn.XLOOKUP($B73,rf1_data!$B:$B,rf1_data!M:M,"NaN")="","NaN",(_xlfn.XLOOKUP($B73,rf1_data!$B:$B,rf1_data!M:M,"NaN")))</f>
        <v>#N/A</v>
      </c>
      <c r="V73" s="5" t="e">
        <f>IF(_xlfn.XLOOKUP($B73,rf1_data!$B:$B,rf1_data!N:N,"NaN")="","NaN",(_xlfn.XLOOKUP($B73,rf1_data!$B:$B,rf1_data!N:N,"NaN")))</f>
        <v>#N/A</v>
      </c>
      <c r="W73" s="5" t="e">
        <f>IF(_xlfn.XLOOKUP($B73,rf1_data!$B:$B,rf1_data!O:O,"NaN")="","NaN",(_xlfn.XLOOKUP($B73,rf1_data!$B:$B,rf1_data!O:O,"NaN")))</f>
        <v>#N/A</v>
      </c>
      <c r="X73" s="5" t="e">
        <f>IF(_xlfn.XLOOKUP($B73,rf1_data!$B:$B,rf1_data!P:P,"NaN")="","NaN",(_xlfn.XLOOKUP($B73,rf1_data!$B:$B,rf1_data!P:P,"NaN")))</f>
        <v>#N/A</v>
      </c>
      <c r="Y73" s="5" t="e">
        <f>IF(_xlfn.XLOOKUP($B73,rf1_data!$B:$B,rf1_data!Q:Q,"NaN")="","NaN",(_xlfn.XLOOKUP($B73,rf1_data!$B:$B,rf1_data!Q:Q,"NaN")))</f>
        <v>#N/A</v>
      </c>
      <c r="Z73" s="5" t="e">
        <f>IF(_xlfn.XLOOKUP($B73,rf1_data!$B:$B,rf1_data!R:R,"NaN")="","NaN",(_xlfn.XLOOKUP($B73,rf1_data!$B:$B,rf1_data!R:R,"NaN")))</f>
        <v>#N/A</v>
      </c>
      <c r="AA73" s="5" t="e">
        <f>IF(_xlfn.XLOOKUP($B73,rf1_data!$B:$B,rf1_data!S:S,"NaN")="","NaN",(_xlfn.XLOOKUP($B73,rf1_data!$B:$B,rf1_data!S:S,"NaN")))</f>
        <v>#N/A</v>
      </c>
      <c r="AB73" s="5" t="e">
        <f>IF(_xlfn.XLOOKUP($B73,rf1_data!$B:$B,rf1_data!T:T,"NaN")="","NaN",(_xlfn.XLOOKUP($B73,rf1_data!$B:$B,rf1_data!T:T,"NaN")))</f>
        <v>#N/A</v>
      </c>
      <c r="AC73" s="5" t="e">
        <f>IF(_xlfn.XLOOKUP($B73,rf1_data!$B:$B,rf1_data!U:U,"NaN")="","NaN",(_xlfn.XLOOKUP($B73,rf1_data!$B:$B,rf1_data!U:U,"NaN")))</f>
        <v>#N/A</v>
      </c>
      <c r="AD73" s="5" t="e">
        <f>IF(_xlfn.XLOOKUP($B73,rf1_data!$B:$B,rf1_data!V:V,"NaN")="","NaN",(_xlfn.XLOOKUP($B73,rf1_data!$B:$B,rf1_data!V:V,"NaN")))</f>
        <v>#N/A</v>
      </c>
      <c r="AE73" s="5" t="e">
        <f>IF(_xlfn.XLOOKUP($B73,rf1_data!$B:$B,rf1_data!W:W,"NaN")="","NaN",(_xlfn.XLOOKUP($B73,rf1_data!$B:$B,rf1_data!W:W,"NaN")))</f>
        <v>#N/A</v>
      </c>
      <c r="AF73" s="5" t="e">
        <f>IF(_xlfn.XLOOKUP($B73,rf1_data!$B:$B,rf1_data!X:X,"NaN")="","NaN",(_xlfn.XLOOKUP($B73,rf1_data!$B:$B,rf1_data!X:X,"NaN")))</f>
        <v>#N/A</v>
      </c>
      <c r="AG73" s="5" t="e">
        <f>IF(_xlfn.XLOOKUP($B73,rf1_data!$B:$B,rf1_data!Y:Y,"NaN")="","NaN",(_xlfn.XLOOKUP($B73,rf1_data!$B:$B,rf1_data!Y:Y,"NaN")))</f>
        <v>#N/A</v>
      </c>
      <c r="AH73" s="5" t="e">
        <f>IF(_xlfn.XLOOKUP($B73,rf1_data!$B:$B,rf1_data!Z:Z,"NaN")="","NaN",(_xlfn.XLOOKUP($B73,rf1_data!$B:$B,rf1_data!Z:Z,"NaN")))</f>
        <v>#N/A</v>
      </c>
      <c r="AI73" s="5" t="e">
        <f>IF(_xlfn.XLOOKUP($B73,rf1_data!$B:$B,rf1_data!AA:AA,"NaN")="","NaN",(_xlfn.XLOOKUP($B73,rf1_data!$B:$B,rf1_data!AA:AA,"NaN")))</f>
        <v>#N/A</v>
      </c>
      <c r="AJ73" s="5" t="e">
        <f>IF(_xlfn.XLOOKUP($B73,rf1_data!$B:$B,rf1_data!AB:AB,"NaN")="","NaN",(_xlfn.XLOOKUP($B73,rf1_data!$B:$B,rf1_data!AB:AB,"NaN")))</f>
        <v>#N/A</v>
      </c>
      <c r="AK73" s="5" t="e">
        <f>IF(_xlfn.XLOOKUP($B73,rf1_data!$B:$B,rf1_data!AC:AC,"NaN")="","NaN",(_xlfn.XLOOKUP($B73,rf1_data!$B:$B,rf1_data!AC:AC,"NaN")))</f>
        <v>#N/A</v>
      </c>
      <c r="AL73" s="5" t="e">
        <f>IF(_xlfn.XLOOKUP($B73,rf1_data!$B:$B,rf1_data!AD:AD,"NaN")="","NaN",(_xlfn.XLOOKUP($B73,rf1_data!$B:$B,rf1_data!AD:AD,"NaN")))</f>
        <v>#N/A</v>
      </c>
      <c r="AM73" s="5" t="e">
        <f>IF(_xlfn.XLOOKUP($B73,rf1_data!$B:$B,rf1_data!AE:AE,"NaN")="","NaN",(_xlfn.XLOOKUP($B73,rf1_data!$B:$B,rf1_data!AE:AE,"NaN")))</f>
        <v>#N/A</v>
      </c>
      <c r="AN73" s="5" t="e">
        <f>IF(_xlfn.XLOOKUP($B73,rf1_data!$B:$B,rf1_data!AF:AF,"NaN")="","NaN",(_xlfn.XLOOKUP($B73,rf1_data!$B:$B,rf1_data!AF:AF,"NaN")))</f>
        <v>#N/A</v>
      </c>
      <c r="AO73" s="5" t="e">
        <f>IF(_xlfn.XLOOKUP($B73,rf1_data!$B:$B,rf1_data!AG:AG,"NaN")="","NaN",(_xlfn.XLOOKUP($B73,rf1_data!$B:$B,rf1_data!AG:AG,"NaN")))</f>
        <v>#N/A</v>
      </c>
      <c r="AP73" s="5" t="e">
        <f>IF(_xlfn.XLOOKUP($B73,rf1_data!$B:$B,rf1_data!AH:AH,"NaN")="","NaN",(_xlfn.XLOOKUP($B73,rf1_data!$B:$B,rf1_data!AH:AH,"NaN")))</f>
        <v>#N/A</v>
      </c>
      <c r="AQ73" s="5" t="e">
        <f>IF(_xlfn.XLOOKUP($B73,rf1_data!$B:$B,rf1_data!AI:AI,"NaN")="","NaN",(_xlfn.XLOOKUP($B73,rf1_data!$B:$B,rf1_data!AI:AI,"NaN")))</f>
        <v>#N/A</v>
      </c>
      <c r="AR73" s="5" t="e">
        <f>IF(_xlfn.XLOOKUP($B73,rf1_data!$B:$B,rf1_data!AJ:AJ,"NaN")="","NaN",(_xlfn.XLOOKUP($B73,rf1_data!$B:$B,rf1_data!AJ:AJ,"NaN")))</f>
        <v>#N/A</v>
      </c>
      <c r="AS73" s="5" t="e">
        <f>IF(_xlfn.XLOOKUP($B73,rf1_data!$B:$B,rf1_data!AK:AK,"NaN")="","NaN",(_xlfn.XLOOKUP($B73,rf1_data!$B:$B,rf1_data!AK:AK,"NaN")))</f>
        <v>#N/A</v>
      </c>
      <c r="AT73" s="5" t="e">
        <f>IF(_xlfn.XLOOKUP($B73,rf1_data!$B:$B,rf1_data!AL:AL,"NaN")="","NaN",(_xlfn.XLOOKUP($B73,rf1_data!$B:$B,rf1_data!AL:AL,"NaN")))</f>
        <v>#N/A</v>
      </c>
      <c r="AU73" s="5" t="e">
        <f>IF(_xlfn.XLOOKUP($B73,rf1_data!$B:$B,rf1_data!AM:AM,"NaN")="","NaN",(_xlfn.XLOOKUP($B73,rf1_data!$B:$B,rf1_data!AM:AM,"NaN")))</f>
        <v>#N/A</v>
      </c>
      <c r="AV73" s="5" t="e">
        <f>IF(_xlfn.XLOOKUP($B73,rf1_data!$B:$B,rf1_data!AN:AN,"NaN")="","NaN",(_xlfn.XLOOKUP($B73,rf1_data!$B:$B,rf1_data!AN:AN,"NaN")))</f>
        <v>#N/A</v>
      </c>
      <c r="AW73" s="5" t="e">
        <f>IF(_xlfn.XLOOKUP($B73,rf1_data!$B:$B,rf1_data!AO:AO,"NaN")="","NaN",(_xlfn.XLOOKUP($B73,rf1_data!$B:$B,rf1_data!AO:AO,"NaN")))</f>
        <v>#N/A</v>
      </c>
      <c r="AX73" s="5" t="e">
        <f>IF(_xlfn.XLOOKUP($B73,rf1_data!$B:$B,rf1_data!AP:AP,"NaN")="","NaN",(_xlfn.XLOOKUP($B73,rf1_data!$B:$B,rf1_data!AP:AP,"NaN")))</f>
        <v>#N/A</v>
      </c>
      <c r="AY73" s="5" t="e">
        <f>IF(_xlfn.XLOOKUP($B73,rf1_data!$B:$B,rf1_data!AQ:AQ,"NaN")="","NaN",(_xlfn.XLOOKUP($B73,rf1_data!$B:$B,rf1_data!AQ:AQ,"NaN")))</f>
        <v>#N/A</v>
      </c>
      <c r="AZ73" s="5" t="e">
        <f>IF(_xlfn.XLOOKUP($B73,rf1_data!$B:$B,rf1_data!AR:AR,"NaN")="","NaN",(_xlfn.XLOOKUP($B73,rf1_data!$B:$B,rf1_data!AR:AR,"NaN")))</f>
        <v>#N/A</v>
      </c>
      <c r="BA73" s="5" t="e">
        <f>IF(_xlfn.XLOOKUP($B73,rf1_data!$B:$B,rf1_data!AS:AS,"NaN")="","NaN",(_xlfn.XLOOKUP($B73,rf1_data!$B:$B,rf1_data!AS:AS,"NaN")))</f>
        <v>#N/A</v>
      </c>
      <c r="BB73" s="5" t="e">
        <f>IF(_xlfn.XLOOKUP($B73,rf1_data!$B:$B,rf1_data!AT:AT,"NaN")="","NaN",(_xlfn.XLOOKUP($B73,rf1_data!$B:$B,rf1_data!AT:AT,"NaN")))</f>
        <v>#N/A</v>
      </c>
      <c r="BC73" s="5" t="e">
        <f>IF(_xlfn.XLOOKUP($B73,rf1_data!$B:$B,rf1_data!AU:AU,"NaN")="","NaN",(_xlfn.XLOOKUP($B73,rf1_data!$B:$B,rf1_data!AU:AU,"NaN")))</f>
        <v>#N/A</v>
      </c>
      <c r="BD73" s="5" t="e">
        <f>IF(_xlfn.XLOOKUP($B73,rf1_data!$B:$B,rf1_data!AV:AV,"NaN")="","NaN",(_xlfn.XLOOKUP($B73,rf1_data!$B:$B,rf1_data!AV:AV,"NaN")))</f>
        <v>#N/A</v>
      </c>
      <c r="BE73" s="5" t="e">
        <f>IF(_xlfn.XLOOKUP($B73,rf1_data!$B:$B,rf1_data!AW:AW,"NaN")="","NaN",(_xlfn.XLOOKUP($B73,rf1_data!$B:$B,rf1_data!AW:AW,"NaN")))</f>
        <v>#N/A</v>
      </c>
      <c r="BF73" s="5" t="e">
        <f>IF(_xlfn.XLOOKUP($B73,rf1_data!$B:$B,rf1_data!AX:AX,"NaN")="","NaN",(_xlfn.XLOOKUP($B73,rf1_data!$B:$B,rf1_data!AX:AX,"NaN")))</f>
        <v>#N/A</v>
      </c>
      <c r="BG73" s="5" t="e">
        <f>IF(_xlfn.XLOOKUP($B73,rf1_data!$B:$B,rf1_data!AY:AY,"NaN")="","NaN",(_xlfn.XLOOKUP($B73,rf1_data!$B:$B,rf1_data!AY:AY,"NaN")))</f>
        <v>#N/A</v>
      </c>
      <c r="BH73" s="5" t="e">
        <f>IF(_xlfn.XLOOKUP($B73,rf1_data!$B:$B,rf1_data!AZ:AZ,"NaN")="","NaN",(_xlfn.XLOOKUP($B73,rf1_data!$B:$B,rf1_data!AZ:AZ,"NaN")))</f>
        <v>#N/A</v>
      </c>
      <c r="BI73" s="5" t="e">
        <f>IF(_xlfn.XLOOKUP($B73,rf1_data!$B:$B,rf1_data!BA:BA,"NaN")="","NaN",(_xlfn.XLOOKUP($B73,rf1_data!$B:$B,rf1_data!BA:BA,"NaN")))</f>
        <v>#N/A</v>
      </c>
      <c r="BJ73" s="5" t="e">
        <f>IF(_xlfn.XLOOKUP($B73,rf1_data!$B:$B,rf1_data!BB:BB,"NaN")="","NaN",(_xlfn.XLOOKUP($B73,rf1_data!$B:$B,rf1_data!BB:BB,"NaN")))</f>
        <v>#N/A</v>
      </c>
      <c r="BK73" s="5" t="e">
        <f>IF(_xlfn.XLOOKUP($B73,rf1_data!$B:$B,rf1_data!BC:BC,"NaN")="","NaN",(_xlfn.XLOOKUP($B73,rf1_data!$B:$B,rf1_data!BC:BC,"NaN")))</f>
        <v>#N/A</v>
      </c>
      <c r="BL73" s="5" t="e">
        <f>IF(_xlfn.XLOOKUP($B73,rf1_data!$B:$B,rf1_data!BD:BD,"NaN")="","NaN",(_xlfn.XLOOKUP($B73,rf1_data!$B:$B,rf1_data!BD:BD,"NaN")))</f>
        <v>#N/A</v>
      </c>
      <c r="BM73" s="5" t="e">
        <f>IF(_xlfn.XLOOKUP($B73,rf1_data!$B:$B,rf1_data!BE:BE,"NaN")="","NaN",(_xlfn.XLOOKUP($B73,rf1_data!$B:$B,rf1_data!BE:BE,"NaN")))</f>
        <v>#N/A</v>
      </c>
      <c r="BN73" s="5" t="e">
        <f>IF(_xlfn.XLOOKUP($B73,rf1_data!$B:$B,rf1_data!BF:BF,"NaN")="","NaN",(_xlfn.XLOOKUP($B73,rf1_data!$B:$B,rf1_data!BF:BF,"NaN")))</f>
        <v>#N/A</v>
      </c>
      <c r="BO73" s="5" t="e">
        <f>IF(_xlfn.XLOOKUP($B73,rf1_data!$B:$B,rf1_data!BG:BG,"NaN")="","NaN",(_xlfn.XLOOKUP($B73,rf1_data!$B:$B,rf1_data!BG:BG,"NaN")))</f>
        <v>#N/A</v>
      </c>
      <c r="BP73" s="5" t="e">
        <f>IF(_xlfn.XLOOKUP($B73,rf1_data!$B:$B,rf1_data!BH:BH,"NaN")="","NaN",(_xlfn.XLOOKUP($B73,rf1_data!$B:$B,rf1_data!BH:BH,"NaN")))</f>
        <v>#N/A</v>
      </c>
      <c r="BQ73" s="5" t="e">
        <f>IF(_xlfn.XLOOKUP($B73,rf1_data!$B:$B,rf1_data!BI:BI,"NaN")="","NaN",(_xlfn.XLOOKUP($B73,rf1_data!$B:$B,rf1_data!BI:BI,"NaN")))</f>
        <v>#N/A</v>
      </c>
      <c r="BR73" s="5" t="e">
        <f>IF(_xlfn.XLOOKUP($B73,rf1_data!$B:$B,rf1_data!BJ:BJ,"NaN")="","NaN",(_xlfn.XLOOKUP($B73,rf1_data!$B:$B,rf1_data!BJ:BJ,"NaN")))</f>
        <v>#N/A</v>
      </c>
      <c r="BS73" s="5" t="e">
        <f>IF(_xlfn.XLOOKUP($B73,rf1_data!$B:$B,rf1_data!BK:BK,"NaN")="","NaN",(_xlfn.XLOOKUP($B73,rf1_data!$B:$B,rf1_data!BK:BK,"NaN")))</f>
        <v>#N/A</v>
      </c>
      <c r="BT73" s="5" t="e">
        <f>IF(_xlfn.XLOOKUP($B73,rf1_data!$B:$B,rf1_data!BL:BL,"NaN")="","NaN",(_xlfn.XLOOKUP($B73,rf1_data!$B:$B,rf1_data!BL:BL,"NaN")))</f>
        <v>#N/A</v>
      </c>
      <c r="BU73" s="5" t="e">
        <f>IF(_xlfn.XLOOKUP($B73,rf1_data!$B:$B,rf1_data!BM:BM,"NaN")="","NaN",(_xlfn.XLOOKUP($B73,rf1_data!$B:$B,rf1_data!BM:BM,"NaN")))</f>
        <v>#N/A</v>
      </c>
      <c r="BV73" s="5" t="e">
        <f>IF(_xlfn.XLOOKUP($B73,rf1_data!$B:$B,rf1_data!BN:BN,"NaN")="","NaN",(_xlfn.XLOOKUP($B73,rf1_data!$B:$B,rf1_data!BN:BN,"NaN")))</f>
        <v>#N/A</v>
      </c>
      <c r="BW73" s="5" t="e">
        <f>IF(_xlfn.XLOOKUP($B73,rf1_data!$B:$B,rf1_data!BO:BO,"NaN")="","NaN",(_xlfn.XLOOKUP($B73,rf1_data!$B:$B,rf1_data!BO:BO,"NaN")))</f>
        <v>#N/A</v>
      </c>
      <c r="BX73" s="5" t="e">
        <f>IF(_xlfn.XLOOKUP($B73,rf1_data!$B:$B,rf1_data!BP:BP,"NaN")="","NaN",(_xlfn.XLOOKUP($B73,rf1_data!$B:$B,rf1_data!BP:BP,"NaN")))</f>
        <v>#N/A</v>
      </c>
      <c r="BY73" s="5" t="e">
        <f>IF(_xlfn.XLOOKUP($B73,rf1_data!$B:$B,rf1_data!BQ:BQ,"NaN")="","NaN",(_xlfn.XLOOKUP($B73,rf1_data!$B:$B,rf1_data!BQ:BQ,"NaN")))</f>
        <v>#N/A</v>
      </c>
      <c r="BZ73" s="5" t="e">
        <f>IF(_xlfn.XLOOKUP($B73,rf1_data!$B:$B,rf1_data!BR:BR,"NaN")="","NaN",(_xlfn.XLOOKUP($B73,rf1_data!$B:$B,rf1_data!BR:BR,"NaN")))</f>
        <v>#N/A</v>
      </c>
      <c r="CA73" s="5" t="e">
        <f>IF(_xlfn.XLOOKUP($B73,rf1_data!$B:$B,rf1_data!BS:BS,"NaN")="","NaN",(_xlfn.XLOOKUP($B73,rf1_data!$B:$B,rf1_data!BS:BS,"NaN")))</f>
        <v>#N/A</v>
      </c>
      <c r="CB73" s="5" t="e">
        <f>IF(_xlfn.XLOOKUP($B73,rf1_data!$B:$B,rf1_data!BT:BT,"NaN")="","NaN",(_xlfn.XLOOKUP($B73,rf1_data!$B:$B,rf1_data!BT:BT,"NaN")))</f>
        <v>#N/A</v>
      </c>
      <c r="CC73" s="5" t="e">
        <f>IF(_xlfn.XLOOKUP($B73,rf1_data!$B:$B,rf1_data!BU:BU,"NaN")="","NaN",(_xlfn.XLOOKUP($B73,rf1_data!$B:$B,rf1_data!BU:BU,"NaN")))</f>
        <v>#N/A</v>
      </c>
      <c r="CD73" s="5" t="e">
        <f>IF(_xlfn.XLOOKUP($B73,rf1_data!$B:$B,rf1_data!BV:BV,"NaN")="","NaN",(_xlfn.XLOOKUP($B73,rf1_data!$B:$B,rf1_data!BV:BV,"NaN")))</f>
        <v>#N/A</v>
      </c>
      <c r="CE73" s="5" t="e">
        <f>IF(_xlfn.XLOOKUP($B73,rf1_data!$B:$B,rf1_data!BW:BW,"NaN")="","NaN",(_xlfn.XLOOKUP($B73,rf1_data!$B:$B,rf1_data!BW:BW,"NaN")))</f>
        <v>#N/A</v>
      </c>
      <c r="CF73" s="5" t="e">
        <f>IF(_xlfn.XLOOKUP($B73,rf1_data!$B:$B,rf1_data!BX:BX,"NaN")="","NaN",(_xlfn.XLOOKUP($B73,rf1_data!$B:$B,rf1_data!BX:BX,"NaN")))</f>
        <v>#N/A</v>
      </c>
      <c r="CG73" s="5" t="e">
        <f>IF(_xlfn.XLOOKUP($B73,rf1_data!$B:$B,rf1_data!BY:BY,"NaN")="","NaN",(_xlfn.XLOOKUP($B73,rf1_data!$B:$B,rf1_data!BY:BY,"NaN")))</f>
        <v>#N/A</v>
      </c>
      <c r="CH73" s="5" t="e">
        <f>IF(_xlfn.XLOOKUP($B73,rf1_data!$B:$B,rf1_data!BZ:BZ,"NaN")="","NaN",(_xlfn.XLOOKUP($B73,rf1_data!$B:$B,rf1_data!BZ:BZ,"NaN")))</f>
        <v>#N/A</v>
      </c>
      <c r="CI73" s="5" t="e">
        <f>IF(_xlfn.XLOOKUP($B73,rf1_data!$B:$B,rf1_data!CA:CA,"NaN")="","NaN",(_xlfn.XLOOKUP($B73,rf1_data!$B:$B,rf1_data!CA:CA,"NaN")))</f>
        <v>#N/A</v>
      </c>
      <c r="CJ73" s="5" t="e">
        <f>IF(_xlfn.XLOOKUP($B73,rf1_data!$B:$B,rf1_data!CB:CB,"NaN")="","NaN",(_xlfn.XLOOKUP($B73,rf1_data!$B:$B,rf1_data!CB:CB,"NaN")))</f>
        <v>#N/A</v>
      </c>
      <c r="CK73" s="5" t="e">
        <f>IF(_xlfn.XLOOKUP($B73,rf1_data!$B:$B,rf1_data!CC:CC,"NaN")="","NaN",(_xlfn.XLOOKUP($B73,rf1_data!$B:$B,rf1_data!CC:CC,"NaN")))</f>
        <v>#N/A</v>
      </c>
      <c r="CL73" s="5" t="e">
        <f>IF(_xlfn.XLOOKUP($B73,rf1_data!$B:$B,rf1_data!CD:CD,"NaN")=0,"NaN",(_xlfn.XLOOKUP($B73,rf1_data!$B:$B,rf1_data!CD:CD,"NaN")))</f>
        <v>#N/A</v>
      </c>
      <c r="CM73" s="5" t="e">
        <f>IF(_xlfn.XLOOKUP($B73,rf1_data!$B:$B,rf1_data!CE:CE,"NaN")="","NaN",(_xlfn.XLOOKUP($B73,rf1_data!$B:$B,rf1_data!CE:CE,"NaN")))</f>
        <v>#N/A</v>
      </c>
      <c r="CN73" s="5" t="e">
        <f>IF(_xlfn.XLOOKUP($B73,rf1_data!$B:$B,rf1_data!CF:CF,"NaN")="","NaN",(_xlfn.XLOOKUP($B73,rf1_data!$B:$B,rf1_data!CF:CF,"NaN")))</f>
        <v>#N/A</v>
      </c>
      <c r="CO73" s="5" t="e">
        <f>IF(_xlfn.XLOOKUP($B73,rf1_data!$B:$B,rf1_data!CG:CG,"NaN")="","NaN",(_xlfn.XLOOKUP($B73,rf1_data!$B:$B,rf1_data!CG:CG,"NaN")))</f>
        <v>#N/A</v>
      </c>
      <c r="CP73" s="5" t="e">
        <f>IF(_xlfn.XLOOKUP($B73,rf1_data!$B:$B,rf1_data!CH:CH,"NaN")=0,"NaN",(_xlfn.XLOOKUP($B73,rf1_data!$B:$B,rf1_data!CH:CH,"NaN")))</f>
        <v>#N/A</v>
      </c>
      <c r="CQ73" s="5" t="e">
        <f>IF(_xlfn.XLOOKUP($B73,rf1_data!$B:$B,rf1_data!CI:CI,"NaN")="","NaN",(_xlfn.XLOOKUP($B73,rf1_data!$B:$B,rf1_data!CI:CI,"NaN")))</f>
        <v>#N/A</v>
      </c>
      <c r="CR73" s="5" t="e">
        <f>IF(_xlfn.XLOOKUP($B73,rf1_data!$B:$B,rf1_data!CJ:CJ,"NaN")="","NaN",(_xlfn.XLOOKUP($B73,rf1_data!$B:$B,rf1_data!CJ:CJ,"NaN")))</f>
        <v>#N/A</v>
      </c>
      <c r="CS73" s="5" t="e">
        <f>IF(_xlfn.XLOOKUP($B73,rf1_data!$B:$B,rf1_data!CK:CK,"NaN")="","NaN",(_xlfn.XLOOKUP($B73,rf1_data!$B:$B,rf1_data!CK:CK,"NaN")))</f>
        <v>#N/A</v>
      </c>
      <c r="CT73" s="5" t="e">
        <f>IF(_xlfn.XLOOKUP($B73,rf1_data!$B:$B,rf1_data!CL:CL,"NaN")="","NaN",(_xlfn.XLOOKUP($B73,rf1_data!$B:$B,rf1_data!CL:CL,"NaN")))</f>
        <v>#N/A</v>
      </c>
      <c r="CU73" s="5" t="e">
        <f>IF(_xlfn.XLOOKUP($B73,rf1_data!$B:$B,rf1_data!CM:CM,"NaN")="","NaN",(_xlfn.XLOOKUP($B73,rf1_data!$B:$B,rf1_data!CM:CM,"NaN")))</f>
        <v>#N/A</v>
      </c>
      <c r="CV73" s="5" t="e">
        <f>IF(_xlfn.XLOOKUP($B73,rf1_data!$B:$B,rf1_data!CN:CN,"NaN")="","NaN",(_xlfn.XLOOKUP($B73,rf1_data!$B:$B,rf1_data!CN:CN,"NaN")))</f>
        <v>#N/A</v>
      </c>
      <c r="CW73" s="5" t="e">
        <f>IF(_xlfn.XLOOKUP($B73,rf1_data!$B:$B,rf1_data!CO:CO,"NaN")="","NaN",(_xlfn.XLOOKUP($B73,rf1_data!$B:$B,rf1_data!CO:CO,"NaN")))</f>
        <v>#N/A</v>
      </c>
      <c r="CX73" s="5" t="e">
        <f>IF(_xlfn.XLOOKUP($B73,rf1_data!$B:$B,rf1_data!CP:CP,"NaN")="","NaN",(_xlfn.XLOOKUP($B73,rf1_data!$B:$B,rf1_data!CP:CP,"NaN")))</f>
        <v>#N/A</v>
      </c>
      <c r="CY73" s="5" t="e">
        <f>IF(_xlfn.XLOOKUP($B73,rf1_data!$B:$B,rf1_data!CQ:CQ,"NaN")="","NaN",(_xlfn.XLOOKUP($B73,rf1_data!$B:$B,rf1_data!CQ:CQ,"NaN")))</f>
        <v>#N/A</v>
      </c>
      <c r="CZ73" s="5" t="e">
        <f>IF(_xlfn.XLOOKUP($B73,rf1_data!$B:$B,rf1_data!CR:CR,"NaN")="","NaN",(_xlfn.XLOOKUP($B73,rf1_data!$B:$B,rf1_data!CR:CR,"NaN")))</f>
        <v>#N/A</v>
      </c>
      <c r="DA73" s="5" t="e">
        <f>IF(_xlfn.XLOOKUP($B73,rf1_data!$B:$B,rf1_data!CS:CS,"NaN")="","NaN",(_xlfn.XLOOKUP($B73,rf1_data!$B:$B,rf1_data!CS:CS,"NaN")))</f>
        <v>#N/A</v>
      </c>
      <c r="DB73" s="4" t="e">
        <f>IF(_xlfn.XLOOKUP($B73,island_data!$B:$B,island_data!H:H,"NaN")="","NaN",_xlfn.XLOOKUP($B73,island_data!$B:$B,island_data!H:H,"NaN"))</f>
        <v>#N/A</v>
      </c>
      <c r="DC73" s="4" t="e">
        <f>IF(_xlfn.XLOOKUP($B73,island_data!$B:$B,island_data!I:I,"NaN")="","NaN",_xlfn.XLOOKUP($B73,island_data!$B:$B,island_data!I:I,"NaN"))</f>
        <v>#N/A</v>
      </c>
      <c r="DD73" s="4" t="e">
        <f>IF(_xlfn.XLOOKUP($B73,island_data!$B:$B,island_data!J:J,"NaN")="","NaN",_xlfn.XLOOKUP($B73,island_data!$B:$B,island_data!J:J,"NaN"))</f>
        <v>#N/A</v>
      </c>
      <c r="DE73" s="4" t="e">
        <f>IF(_xlfn.XLOOKUP($B73,island_data!$B:$B,island_data!K:K,"NaN")="","NaN",_xlfn.XLOOKUP($B73,island_data!$B:$B,island_data!K:K,"NaN"))</f>
        <v>#N/A</v>
      </c>
      <c r="DF73" s="4" t="e">
        <f>IF(_xlfn.XLOOKUP($B73,island_data!$B:$B,island_data!L:L,"NaN")="","NaN",_xlfn.XLOOKUP($B73,island_data!$B:$B,island_data!L:L,"NaN"))</f>
        <v>#N/A</v>
      </c>
      <c r="DG73" s="4" t="e">
        <f>IF(_xlfn.XLOOKUP($B73,island_data!$B:$B,island_data!M:M,"NaN")="","NaN",_xlfn.XLOOKUP($B73,island_data!$B:$B,island_data!M:M,"NaN"))</f>
        <v>#N/A</v>
      </c>
      <c r="DH73" s="4" t="e">
        <f>IF(_xlfn.XLOOKUP($B73,island_data!$B:$B,island_data!N:N,"NaN")="","NaN",_xlfn.XLOOKUP($B73,island_data!$B:$B,island_data!N:N,"NaN"))</f>
        <v>#N/A</v>
      </c>
      <c r="DI73" s="4" t="e">
        <f>IF(_xlfn.XLOOKUP($B73,island_data!$B:$B,island_data!O:O,"NaN")=999,"NaN",_xlfn.XLOOKUP($B73,island_data!$B:$B,island_data!O:O,"NaN"))</f>
        <v>#N/A</v>
      </c>
      <c r="DJ73" s="4" t="e">
        <f>IF(_xlfn.XLOOKUP($B73,island_data!$B:$B,island_data!P:P,"NaN")="","NaN",_xlfn.XLOOKUP($B73,island_data!$B:$B,island_data!P:P,"NaN"))</f>
        <v>#N/A</v>
      </c>
      <c r="DK73" s="4" t="e">
        <f>IF(_xlfn.XLOOKUP($B73,island_data!$B:$B,island_data!Q:Q,"NaN")="","NaN",_xlfn.XLOOKUP($B73,island_data!$B:$B,island_data!Q:Q,"NaN"))</f>
        <v>#N/A</v>
      </c>
      <c r="DL73" s="4" t="e">
        <f>IF(_xlfn.XLOOKUP($B73,island_data!$B:$B,island_data!R:R,"NaN")=999,"NaN",_xlfn.XLOOKUP($B73,island_data!$B:$B,island_data!R:R,"NaN"))</f>
        <v>#N/A</v>
      </c>
      <c r="DM73" s="4" t="e">
        <f>IF(_xlfn.XLOOKUP($B73,island_data!$B:$B,island_data!S:S,"NaN")="","NaN",_xlfn.XLOOKUP($B73,island_data!$B:$B,island_data!S:S,"NaN"))</f>
        <v>#N/A</v>
      </c>
      <c r="DN73" s="4" t="e">
        <f>IF(_xlfn.XLOOKUP($B73,island_data!$B:$B,island_data!T:T,"NaN")="","NaN",_xlfn.XLOOKUP($B73,island_data!$B:$B,island_data!T:T,"NaN"))</f>
        <v>#N/A</v>
      </c>
      <c r="DO73" s="4" t="e">
        <f>IF(_xlfn.XLOOKUP($B73,island_data!$B:$B,island_data!U:U,"NaN")="","NaN",_xlfn.XLOOKUP($B73,island_data!$B:$B,island_data!U:U,"NaN"))</f>
        <v>#N/A</v>
      </c>
      <c r="DP73" s="4" t="e">
        <f>IF(_xlfn.XLOOKUP($B73,island_data!$B:$B,island_data!V:V,"NaN")="","NaN",_xlfn.XLOOKUP($B73,island_data!$B:$B,island_data!V:V,"NaN"))</f>
        <v>#N/A</v>
      </c>
      <c r="DQ73" s="4" t="e">
        <f>IF(_xlfn.XLOOKUP($B73,island_data!$B:$B,island_data!W:W,"NaN")="","NaN",_xlfn.XLOOKUP($B73,island_data!$B:$B,island_data!W:W,"NaN"))</f>
        <v>#N/A</v>
      </c>
      <c r="DR73" s="4" t="e">
        <f>IF(_xlfn.XLOOKUP($B73,island_data!$B:$B,island_data!X:X,"NaN")="","NaN",_xlfn.XLOOKUP($B73,island_data!$B:$B,island_data!X:X,"NaN"))</f>
        <v>#N/A</v>
      </c>
      <c r="DS73" s="4" t="e">
        <f>IF(_xlfn.XLOOKUP($B73,island_data!$B:$B,island_data!Y:Y,"NaN")="","NaN",_xlfn.XLOOKUP($B73,island_data!$B:$B,island_data!Y:Y,"NaN"))</f>
        <v>#N/A</v>
      </c>
      <c r="DT73" s="4" t="e">
        <f>IF(_xlfn.XLOOKUP($B73,island_data!$B:$B,island_data!Z:Z,"NaN")="","NaN",_xlfn.XLOOKUP($B73,island_data!$B:$B,island_data!Z:Z,"NaN"))</f>
        <v>#N/A</v>
      </c>
      <c r="DU73" s="4" t="e">
        <f>IF(_xlfn.XLOOKUP($B73,island_data!$B:$B,island_data!AA:AA,"NaN")="","NaN",_xlfn.XLOOKUP($B73,island_data!$B:$B,island_data!AA:AA,"NaN"))</f>
        <v>#N/A</v>
      </c>
      <c r="DV73" s="4" t="e">
        <f>IF(_xlfn.XLOOKUP($B73,island_data!$B:$B,island_data!AB:AB,"NaN")="","NaN",_xlfn.XLOOKUP($B73,island_data!$B:$B,island_data!AB:AB,"NaN"))</f>
        <v>#N/A</v>
      </c>
      <c r="DW73" s="4" t="e">
        <f>IF(_xlfn.XLOOKUP($B73,island_data!$B:$B,island_data!AC:AC,"NaN")="","NaN",_xlfn.XLOOKUP($B73,island_data!$B:$B,island_data!AC:AC,"NaN"))</f>
        <v>#N/A</v>
      </c>
      <c r="DX73" s="4" t="e">
        <f>IF(_xlfn.XLOOKUP($B73,island_data!$B:$B,island_data!AD:AD,"NaN")="","NaN",_xlfn.XLOOKUP($B73,island_data!$B:$B,island_data!AD:AD,"NaN"))</f>
        <v>#N/A</v>
      </c>
      <c r="DY73" s="4" t="e">
        <f>IF(_xlfn.XLOOKUP($B73,island_data!$B:$B,island_data!AE:AE,"NaN")="","NaN",_xlfn.XLOOKUP($B73,island_data!$B:$B,island_data!AE:AE,"NaN"))</f>
        <v>#N/A</v>
      </c>
      <c r="DZ73" s="4" t="e">
        <f>IF(_xlfn.XLOOKUP($B73,island_data!$B:$B,island_data!AF:AF,"NaN")="","NaN",_xlfn.XLOOKUP($B73,island_data!$B:$B,island_data!AF:AF,"NaN"))</f>
        <v>#N/A</v>
      </c>
      <c r="EA73" s="4" t="e">
        <f>IF(_xlfn.XLOOKUP($B73,island_data!$B:$B,island_data!AG:AG,"NaN")="","NaN",_xlfn.XLOOKUP($B73,island_data!$B:$B,island_data!AG:AG,"NaN"))</f>
        <v>#N/A</v>
      </c>
      <c r="EB73" s="4" t="e">
        <f>IF(_xlfn.XLOOKUP($B73,island_data!$B:$B,island_data!AH:AH,"NaN")="","NaN",_xlfn.XLOOKUP($B73,island_data!$B:$B,island_data!AH:AH,"NaN"))</f>
        <v>#N/A</v>
      </c>
      <c r="EC73" s="4" t="e">
        <f>IF(_xlfn.XLOOKUP($B73,island_data!$B:$B,island_data!AI:AI,"NaN")="","NaN",_xlfn.XLOOKUP($B73,island_data!$B:$B,island_data!AI:AI,"NaN"))</f>
        <v>#N/A</v>
      </c>
      <c r="ED73" s="4" t="e">
        <f>IF(_xlfn.XLOOKUP($B73,island_data!$B:$B,island_data!AJ:AJ,"NaN")="","NaN",_xlfn.XLOOKUP($B73,island_data!$B:$B,island_data!AJ:AJ,"NaN"))</f>
        <v>#N/A</v>
      </c>
      <c r="EE73" s="4" t="e">
        <f>IF(_xlfn.XLOOKUP($B73,island_data!$B:$B,island_data!AK:AK,"NaN")="","NaN",_xlfn.XLOOKUP($B73,island_data!$B:$B,island_data!AK:AK,"NaN"))</f>
        <v>#N/A</v>
      </c>
      <c r="EF73" s="4" t="e">
        <f>IF(_xlfn.XLOOKUP($B73,island_data!$B:$B,island_data!AL:AL,"NaN")="","NaN",_xlfn.XLOOKUP($B73,island_data!$B:$B,island_data!AL:AL,"NaN"))</f>
        <v>#N/A</v>
      </c>
      <c r="EG73" s="4" t="e">
        <f>IF(_xlfn.XLOOKUP($B73,island_data!$B:$B,island_data!AM:AM,"NaN")="","NaN",_xlfn.XLOOKUP($B73,island_data!$B:$B,island_data!AM:AM,"NaN"))</f>
        <v>#N/A</v>
      </c>
      <c r="EH73" s="4" t="e">
        <f>IF(_xlfn.XLOOKUP($B73,island_data!$B:$B,island_data!AN:AN,"NaN")="","NaN",_xlfn.XLOOKUP($B73,island_data!$B:$B,island_data!AN:AN,"NaN"))</f>
        <v>#N/A</v>
      </c>
      <c r="EI73" s="4" t="e">
        <f>IF(_xlfn.XLOOKUP($B73,island_data!$B:$B,island_data!AO:AO,"NaN")="","NaN",_xlfn.XLOOKUP($B73,island_data!$B:$B,island_data!AO:AO,"NaN"))</f>
        <v>#N/A</v>
      </c>
      <c r="EJ73" s="8" t="str">
        <f>IF(_xlfn.XLOOKUP($A73,TabCAT!$A:$A,TabCAT!AU:AU,"NaN")="","NaN",(_xlfn.XLOOKUP($A73,TabCAT!$A:$A,TabCAT!AU:AU,"NaN")))</f>
        <v>NaN</v>
      </c>
      <c r="EK73" s="8" t="str">
        <f>IF(_xlfn.XLOOKUP($A73,TabCAT!$A:$A,TabCAT!AV:AV,"NaN")="","NaN",(_xlfn.XLOOKUP($A73,TabCAT!$A:$A,TabCAT!AV:AV,"NaN")))</f>
        <v>NaN</v>
      </c>
      <c r="EL73" s="8" t="str">
        <f>IF(_xlfn.XLOOKUP($A73,TabCAT!$A:$A,TabCAT!AW:AW,"NaN")="","NaN",(_xlfn.XLOOKUP($A73,TabCAT!$A:$A,TabCAT!AW:AW,"NaN")))</f>
        <v>NaN</v>
      </c>
      <c r="EM73" s="8" t="str">
        <f>IF(_xlfn.XLOOKUP($A73,TabCAT!$A:$A,TabCAT!AX:AX,"NaN")="","NaN",(_xlfn.XLOOKUP($A73,TabCAT!$A:$A,TabCAT!AX:AX,"NaN")))</f>
        <v>NaN</v>
      </c>
      <c r="EN73" s="8" t="str">
        <f>IF(_xlfn.XLOOKUP($A73,TabCAT!$A:$A,TabCAT!AY:AY,"NaN")="","NaN",(_xlfn.XLOOKUP($A73,TabCAT!$A:$A,TabCAT!AY:AY,"NaN")))</f>
        <v>NaN</v>
      </c>
      <c r="EO73" s="8" t="str">
        <f>IF(_xlfn.XLOOKUP($A73,TabCAT!$A:$A,TabCAT!AZ:AZ,"NaN")="","NaN",(_xlfn.XLOOKUP($A73,TabCAT!$A:$A,TabCAT!AZ:AZ,"NaN")))</f>
        <v>NaN</v>
      </c>
      <c r="EP73" s="8" t="str">
        <f>IF(_xlfn.XLOOKUP($A73,TabCAT!$A:$A,TabCAT!BA:BA,"NaN")="","NaN",(_xlfn.XLOOKUP($A73,TabCAT!$A:$A,TabCAT!BA:BA,"NaN")))</f>
        <v>NaN</v>
      </c>
      <c r="EQ73" s="8" t="str">
        <f>IF(_xlfn.XLOOKUP($A73,TabCAT!$A:$A,TabCAT!BB:BB,"NaN")="","NaN",(_xlfn.XLOOKUP($A73,TabCAT!$A:$A,TabCAT!BB:BB,"NaN")))</f>
        <v>NaN</v>
      </c>
      <c r="ER73" s="8" t="str">
        <f>IF(_xlfn.XLOOKUP($A73,TabCAT!$A:$A,TabCAT!BC:BC,"NaN")="","NaN",(_xlfn.XLOOKUP($A73,TabCAT!$A:$A,TabCAT!BC:BC,"NaN")))</f>
        <v>NaN</v>
      </c>
      <c r="ES73" s="8" t="str">
        <f>IF(_xlfn.XLOOKUP($A73,TabCAT!$A:$A,TabCAT!BD:BD,"NaN")="","NaN",(_xlfn.XLOOKUP($A73,TabCAT!$A:$A,TabCAT!BD:BD,"NaN")))</f>
        <v>NaN</v>
      </c>
      <c r="ET73" s="8" t="str">
        <f>IF(_xlfn.XLOOKUP($A73,TabCAT!$A:$A,TabCAT!BE:BE,"NaN")="","NaN",(_xlfn.XLOOKUP($A73,TabCAT!$A:$A,TabCAT!BE:BE,"NaN")))</f>
        <v>NaN</v>
      </c>
      <c r="EU73" s="8" t="str">
        <f>IF(_xlfn.XLOOKUP($A73,TabCAT!$A:$A,TabCAT!BF:BF,"NaN")="","NaN",(_xlfn.XLOOKUP($A73,TabCAT!$A:$A,TabCAT!BF:BF,"NaN")))</f>
        <v>NaN</v>
      </c>
      <c r="EV73" s="8" t="str">
        <f>IF(_xlfn.XLOOKUP($A73,TabCAT!$A:$A,TabCAT!BG:BG,"NaN")="","NaN",(_xlfn.XLOOKUP($A73,TabCAT!$A:$A,TabCAT!BG:BG,"NaN")))</f>
        <v>NaN</v>
      </c>
      <c r="EW73" s="8" t="str">
        <f>IF(_xlfn.XLOOKUP($A73,TabCAT!$A:$A,TabCAT!BH:BH,"NaN")="","NaN",(_xlfn.XLOOKUP($A73,TabCAT!$A:$A,TabCAT!BH:BH,"NaN")))</f>
        <v>NaN</v>
      </c>
      <c r="EX73" s="8" t="str">
        <f>IF(_xlfn.XLOOKUP($A73,TabCAT!$A:$A,TabCAT!BI:BI,"NaN")="","NaN",(_xlfn.XLOOKUP($A73,TabCAT!$A:$A,TabCAT!BI:BI,"NaN")))</f>
        <v>NaN</v>
      </c>
      <c r="EY73" s="8" t="str">
        <f>IF(_xlfn.XLOOKUP($A73,TabCAT!$A:$A,TabCAT!BJ:BJ,"NaN")="","NaN",(_xlfn.XLOOKUP($A73,TabCAT!$A:$A,TabCAT!BJ:BJ,"NaN")))</f>
        <v>NaN</v>
      </c>
      <c r="EZ73" s="8" t="str">
        <f>IF(_xlfn.XLOOKUP($A73,TabCAT!$A:$A,TabCAT!BK:BK,"NaN")="","NaN",(_xlfn.XLOOKUP($A73,TabCAT!$A:$A,TabCAT!BK:BK,"NaN")))</f>
        <v>NaN</v>
      </c>
      <c r="FA73" s="8" t="str">
        <f>IF(_xlfn.XLOOKUP($A73,TabCAT!$A:$A,TabCAT!BL:BL,"NaN")="","NaN",(_xlfn.XLOOKUP($A73,TabCAT!$A:$A,TabCAT!BL:BL,"NaN")))</f>
        <v>NaN</v>
      </c>
      <c r="FB73" s="8" t="str">
        <f>IF(_xlfn.XLOOKUP($A73,TabCAT!$A:$A,TabCAT!BM:BM,"NaN")="","NaN",(_xlfn.XLOOKUP($A73,TabCAT!$A:$A,TabCAT!BM:BM,"NaN")))</f>
        <v>NaN</v>
      </c>
      <c r="FC73" s="8" t="str">
        <f>IF(_xlfn.XLOOKUP($A73,TabCAT!$A:$A,TabCAT!BN:BN,"NaN")="","NaN",(_xlfn.XLOOKUP($A73,TabCAT!$A:$A,TabCAT!BN:BN,"NaN")))</f>
        <v>NaN</v>
      </c>
      <c r="FD73" s="8" t="str">
        <f>IF(_xlfn.XLOOKUP($A73,TabCAT!$A:$A,TabCAT!BO:BO,"NaN")="","NaN",(_xlfn.XLOOKUP($A73,TabCAT!$A:$A,TabCAT!BO:BO,"NaN")))</f>
        <v>NaN</v>
      </c>
      <c r="FE73" s="8" t="str">
        <f>IF(_xlfn.XLOOKUP($A73,TabCAT!$A:$A,TabCAT!BP:BP,"NaN")="","NaN",(_xlfn.XLOOKUP($A73,TabCAT!$A:$A,TabCAT!BP:BP,"NaN")))</f>
        <v>NaN</v>
      </c>
      <c r="FF73" s="8" t="str">
        <f>IF(_xlfn.XLOOKUP($A73,TabCAT!$A:$A,TabCAT!BQ:BQ,"NaN")="","NaN",(_xlfn.XLOOKUP($A73,TabCAT!$A:$A,TabCAT!BQ:BQ,"NaN")))</f>
        <v>NaN</v>
      </c>
      <c r="FG73" s="8" t="str">
        <f>IF(_xlfn.XLOOKUP($A73,TabCAT!$A:$A,TabCAT!BR:BR,"NaN")="","NaN",(_xlfn.XLOOKUP($A73,TabCAT!$A:$A,TabCAT!BR:BR,"NaN")))</f>
        <v>NaN</v>
      </c>
      <c r="FH73" s="8" t="str">
        <f>IF(_xlfn.XLOOKUP($A73,TabCAT!$A:$A,TabCAT!BS:BS,"NaN")="","NaN",(_xlfn.XLOOKUP($A73,TabCAT!$A:$A,TabCAT!BS:BS,"NaN")))</f>
        <v>NaN</v>
      </c>
      <c r="FI73" s="8" t="str">
        <f>IF(_xlfn.XLOOKUP($A73,TabCAT!$A:$A,TabCAT!BT:BT,"NaN")="","NaN",(_xlfn.XLOOKUP($A73,TabCAT!$A:$A,TabCAT!BT:BT,"NaN")))</f>
        <v>NaN</v>
      </c>
      <c r="FJ73" s="8" t="str">
        <f>IF(_xlfn.XLOOKUP($A73,TabCAT!$A:$A,TabCAT!BU:BU,"NaN")="","NaN",(_xlfn.XLOOKUP($A73,TabCAT!$A:$A,TabCAT!BU:BU,"NaN")))</f>
        <v>NaN</v>
      </c>
      <c r="FK73" s="8" t="str">
        <f>IF(_xlfn.XLOOKUP($A73,TabCAT!$A:$A,TabCAT!BV:BV,"NaN")="","NaN",(_xlfn.XLOOKUP($A73,TabCAT!$A:$A,TabCAT!BV:BV,"NaN")))</f>
        <v>NaN</v>
      </c>
      <c r="FL73" s="8" t="str">
        <f>IF(_xlfn.XLOOKUP($A73,TabCAT!$A:$A,TabCAT!BW:BW,"NaN")="","NaN",(_xlfn.XLOOKUP($A73,TabCAT!$A:$A,TabCAT!BW:BW,"NaN")))</f>
        <v>NaN</v>
      </c>
      <c r="FM73" s="8" t="str">
        <f>IF(_xlfn.XLOOKUP($A73,TabCAT!$A:$A,TabCAT!BX:BX,"NaN")="","NaN",(_xlfn.XLOOKUP($A73,TabCAT!$A:$A,TabCAT!BX:BX,"NaN")))</f>
        <v>NaN</v>
      </c>
      <c r="FN73" s="8" t="str">
        <f>IF(_xlfn.XLOOKUP($A73,TabCAT!$A:$A,TabCAT!BY:BY,"NaN")="","NaN",(_xlfn.XLOOKUP($A73,TabCAT!$A:$A,TabCAT!BY:BY,"NaN")))</f>
        <v>NaN</v>
      </c>
      <c r="FO73" s="8" t="str">
        <f>IF(_xlfn.XLOOKUP($A73,TabCAT!$A:$A,TabCAT!BZ:BZ,"NaN")="","NaN",(_xlfn.XLOOKUP($A73,TabCAT!$A:$A,TabCAT!BZ:BZ,"NaN")))</f>
        <v>NaN</v>
      </c>
      <c r="FP73" s="8" t="str">
        <f>IF(_xlfn.XLOOKUP($A73,TabCAT!$A:$A,TabCAT!CA:CA,"NaN")="","NaN",(_xlfn.XLOOKUP($A73,TabCAT!$A:$A,TabCAT!CA:CA,"NaN")))</f>
        <v>NaN</v>
      </c>
      <c r="FQ73" s="8" t="str">
        <f>IF(_xlfn.XLOOKUP($A73,TabCAT!$A:$A,TabCAT!CB:CB,"NaN")="","NaN",(_xlfn.XLOOKUP($A73,TabCAT!$A:$A,TabCAT!CB:CB,"NaN")))</f>
        <v>NaN</v>
      </c>
      <c r="FR73" s="8" t="str">
        <f>IF(_xlfn.XLOOKUP($A73,TabCAT!$A:$A,TabCAT!CC:CC,"NaN")="","NaN",(_xlfn.XLOOKUP($A73,TabCAT!$A:$A,TabCAT!CC:CC,"NaN")))</f>
        <v>NaN</v>
      </c>
      <c r="FS73" s="8" t="str">
        <f>IF(_xlfn.XLOOKUP($A73,TabCAT!$A:$A,TabCAT!CD:CD,"NaN")="","NaN",(_xlfn.XLOOKUP($A73,TabCAT!$A:$A,TabCAT!CD:CD,"NaN")))</f>
        <v>NaN</v>
      </c>
      <c r="FT73" s="8" t="str">
        <f>IF(_xlfn.XLOOKUP($A73,TabCAT!$A:$A,TabCAT!CE:CE,"NaN")="","NaN",(_xlfn.XLOOKUP($A73,TabCAT!$A:$A,TabCAT!CE:CE,"NaN")))</f>
        <v>NaN</v>
      </c>
      <c r="FU73" s="8" t="str">
        <f>IF(_xlfn.XLOOKUP($A73,TabCAT!$A:$A,TabCAT!CF:CF,"NaN")="","NaN",(_xlfn.XLOOKUP($A73,TabCAT!$A:$A,TabCAT!CF:CF,"NaN")))</f>
        <v>NaN</v>
      </c>
      <c r="FV73" s="8" t="str">
        <f>IF(_xlfn.XLOOKUP($A73,TabCAT!$A:$A,TabCAT!CG:CG,"NaN")="","NaN",(_xlfn.XLOOKUP($A73,TabCAT!$A:$A,TabCAT!CG:CG,"NaN")))</f>
        <v>NaN</v>
      </c>
      <c r="FW73" s="8" t="str">
        <f>IF(_xlfn.XLOOKUP($A73,TabCAT!$A:$A,TabCAT!CH:CH,"NaN")="","NaN",(_xlfn.XLOOKUP($A73,TabCAT!$A:$A,TabCAT!CH:CH,"NaN")))</f>
        <v>NaN</v>
      </c>
      <c r="FX73" s="8" t="str">
        <f>IF(_xlfn.XLOOKUP($A73,TabCAT!$A:$A,TabCAT!CI:CI,"NaN")="","NaN",(_xlfn.XLOOKUP($A73,TabCAT!$A:$A,TabCAT!CI:CI,"NaN")))</f>
        <v>NaN</v>
      </c>
      <c r="FY73" s="8" t="str">
        <f>IF(_xlfn.XLOOKUP($A73,TabCAT!$A:$A,TabCAT!CJ:CJ,"NaN")="","NaN",(_xlfn.XLOOKUP($A73,TabCAT!$A:$A,TabCAT!CJ:CJ,"NaN")))</f>
        <v>NaN</v>
      </c>
      <c r="FZ73" s="8" t="str">
        <f>IF(_xlfn.XLOOKUP($A73,TabCAT!$A:$A,TabCAT!CK:CK,"NaN")="","NaN",(_xlfn.XLOOKUP($A73,TabCAT!$A:$A,TabCAT!CK:CK,"NaN")))</f>
        <v>NaN</v>
      </c>
      <c r="GA73" s="8" t="str">
        <f>IF(_xlfn.XLOOKUP($A73,TabCAT!$A:$A,TabCAT!CL:CL,"NaN")="","NaN",(_xlfn.XLOOKUP($A73,TabCAT!$A:$A,TabCAT!CL:CL,"NaN")))</f>
        <v>NaN</v>
      </c>
      <c r="GB73" s="8" t="str">
        <f>IF(_xlfn.XLOOKUP($A73,TabCAT!$A:$A,TabCAT!CM:CM,"NaN")="","NaN",(_xlfn.XLOOKUP($A73,TabCAT!$A:$A,TabCAT!CM:CM,"NaN")))</f>
        <v>NaN</v>
      </c>
      <c r="GC73" s="8" t="str">
        <f>IF(_xlfn.XLOOKUP($A73,TabCAT!$A:$A,TabCAT!CN:CN,"NaN")="","NaN",(_xlfn.XLOOKUP($A73,TabCAT!$A:$A,TabCAT!CN:CN,"NaN")))</f>
        <v>NaN</v>
      </c>
      <c r="GD73" s="8" t="str">
        <f>IF(_xlfn.XLOOKUP($A73,TabCAT!$A:$A,TabCAT!CO:CO,"NaN")="","NaN",(_xlfn.XLOOKUP($A73,TabCAT!$A:$A,TabCAT!CO:CO,"NaN")))</f>
        <v>NaN</v>
      </c>
      <c r="GE73" s="8" t="str">
        <f>IF(_xlfn.XLOOKUP($A73,TabCAT!$A:$A,TabCAT!CP:CP,"NaN")="","NaN",(_xlfn.XLOOKUP($A73,TabCAT!$A:$A,TabCAT!CP:CP,"NaN")))</f>
        <v>NaN</v>
      </c>
      <c r="GF73" s="8" t="str">
        <f>IF(_xlfn.XLOOKUP($A73,TabCAT!$A:$A,TabCAT!CQ:CQ,"NaN")="","NaN",(_xlfn.XLOOKUP($A73,TabCAT!$A:$A,TabCAT!CQ:CQ,"NaN")))</f>
        <v>NaN</v>
      </c>
      <c r="GG73" s="8" t="str">
        <f>IF(_xlfn.XLOOKUP($A73,TabCAT!$A:$A,TabCAT!CR:CR,"NaN")="","NaN",(_xlfn.XLOOKUP($A73,TabCAT!$A:$A,TabCAT!CR:CR,"NaN")))</f>
        <v>NaN</v>
      </c>
      <c r="GH73" s="8" t="str">
        <f>IF(_xlfn.XLOOKUP($A73,TabCAT!$A:$A,TabCAT!CS:CS,"NaN")="","NaN",(_xlfn.XLOOKUP($A73,TabCAT!$A:$A,TabCAT!CS:CS,"NaN")))</f>
        <v>NaN</v>
      </c>
    </row>
    <row r="74" spans="1:190" x14ac:dyDescent="0.2">
      <c r="A74">
        <f>trust!A74</f>
        <v>0</v>
      </c>
      <c r="B74" t="e">
        <f>_xlfn.XLOOKUP(bippity_poppity_boo!A74,rf1_data!A:A,rf1_data!B:B)</f>
        <v>#N/A</v>
      </c>
      <c r="C74" s="2" t="str">
        <f>(_xlfn.XLOOKUP($A74,trust!$A:$A,trust!B:B,"NaN"))</f>
        <v>NaN</v>
      </c>
      <c r="D74" s="2" t="str">
        <f>(_xlfn.XLOOKUP($A74,trust!$A:$A,trust!C:C,"NaN"))</f>
        <v>NaN</v>
      </c>
      <c r="E74" s="2" t="str">
        <f>(_xlfn.XLOOKUP($A74,trust!$A:$A,trust!D:D,"NaN"))</f>
        <v>NaN</v>
      </c>
      <c r="F74" s="2" t="str">
        <f>(_xlfn.XLOOKUP($A74,trust!$A:$A,trust!E:E,"NaN"))</f>
        <v>NaN</v>
      </c>
      <c r="G74" s="2" t="str">
        <f>(_xlfn.XLOOKUP($A74,trust!$A:$A,trust!F:F,"NaN"))</f>
        <v>NaN</v>
      </c>
      <c r="H74" s="2" t="str">
        <f>(_xlfn.XLOOKUP($A74,trust!$A:$A,trust!G:G,"NaN"))</f>
        <v>NaN</v>
      </c>
      <c r="I74" s="3" t="e">
        <f>IF(_xlfn.XLOOKUP($B74,island_data!$B:$B,island_data!C:C,"NaN")="","NaN",_xlfn.XLOOKUP($B74,island_data!$B:$B,island_data!C:C,"NaN"))</f>
        <v>#N/A</v>
      </c>
      <c r="J74" s="3" t="e">
        <f>IF(_xlfn.XLOOKUP($B74,island_data!$B:$B,island_data!D:D,"NaN")="","NaN",_xlfn.XLOOKUP($B74,island_data!$B:$B,island_data!D:D,"NaN"))</f>
        <v>#N/A</v>
      </c>
      <c r="K74" s="4" t="e">
        <f>IF(_xlfn.XLOOKUP($B74,island_data!$B:$B,island_data!E:E,"NaN")="","NaN",_xlfn.XLOOKUP($B74,island_data!$B:$B,island_data!E:E,"NaN"))</f>
        <v>#N/A</v>
      </c>
      <c r="L74" s="5" t="e">
        <f>IF(_xlfn.XLOOKUP($B74,rf1_data!$B:$B,rf1_data!D:D,"NaN")="","NaN",(_xlfn.XLOOKUP($B74,rf1_data!$B:$B,rf1_data!D:D,"NaN")))</f>
        <v>#N/A</v>
      </c>
      <c r="M74" s="5" t="e">
        <f>IF(_xlfn.XLOOKUP($B74,rf1_data!$B:$B,rf1_data!E:E,"NaN")="","NaN",(_xlfn.XLOOKUP($B74,rf1_data!$B:$B,rf1_data!E:E,"NaN")))</f>
        <v>#N/A</v>
      </c>
      <c r="N74" s="5" t="e">
        <f>IF(_xlfn.XLOOKUP($B74,rf1_data!$B:$B,rf1_data!F:F,"NaN")="","NaN",(_xlfn.XLOOKUP($B74,rf1_data!$B:$B,rf1_data!F:F,"NaN")))</f>
        <v>#N/A</v>
      </c>
      <c r="O74" s="5" t="e">
        <f>IF(_xlfn.XLOOKUP($B74,rf1_data!$B:$B,rf1_data!G:G,"NaN")="","NaN",(_xlfn.XLOOKUP($B74,rf1_data!$B:$B,rf1_data!G:G,"NaN")))</f>
        <v>#N/A</v>
      </c>
      <c r="P74" s="5" t="e">
        <f>IF(_xlfn.XLOOKUP($B74,rf1_data!$B:$B,rf1_data!H:H,"NaN")="","NaN",(_xlfn.XLOOKUP($B74,rf1_data!$B:$B,rf1_data!H:H,"NaN")))</f>
        <v>#N/A</v>
      </c>
      <c r="Q74" s="5" t="e">
        <f>IF(_xlfn.XLOOKUP($B74,rf1_data!$B:$B,rf1_data!I:I,"NaN")="","NaN",(_xlfn.XLOOKUP($B74,rf1_data!$B:$B,rf1_data!I:I,"NaN")))</f>
        <v>#N/A</v>
      </c>
      <c r="R74" s="5" t="e">
        <f>IF(_xlfn.XLOOKUP($B74,rf1_data!$B:$B,rf1_data!J:J,"NaN")="","NaN",(_xlfn.XLOOKUP($B74,rf1_data!$B:$B,rf1_data!J:J,"NaN")))</f>
        <v>#N/A</v>
      </c>
      <c r="S74" s="5" t="e">
        <f>IF(_xlfn.XLOOKUP($B74,rf1_data!$B:$B,rf1_data!K:K,"NaN")="","NaN",(_xlfn.XLOOKUP($B74,rf1_data!$B:$B,rf1_data!K:K,"NaN")))</f>
        <v>#N/A</v>
      </c>
      <c r="T74" s="5" t="e">
        <f>IF(_xlfn.XLOOKUP($B74,rf1_data!$B:$B,rf1_data!L:L,"NaN")="","NaN",(_xlfn.XLOOKUP($B74,rf1_data!$B:$B,rf1_data!L:L,"NaN")))</f>
        <v>#N/A</v>
      </c>
      <c r="U74" s="5" t="e">
        <f>IF(_xlfn.XLOOKUP($B74,rf1_data!$B:$B,rf1_data!M:M,"NaN")="","NaN",(_xlfn.XLOOKUP($B74,rf1_data!$B:$B,rf1_data!M:M,"NaN")))</f>
        <v>#N/A</v>
      </c>
      <c r="V74" s="5" t="e">
        <f>IF(_xlfn.XLOOKUP($B74,rf1_data!$B:$B,rf1_data!N:N,"NaN")="","NaN",(_xlfn.XLOOKUP($B74,rf1_data!$B:$B,rf1_data!N:N,"NaN")))</f>
        <v>#N/A</v>
      </c>
      <c r="W74" s="5" t="e">
        <f>IF(_xlfn.XLOOKUP($B74,rf1_data!$B:$B,rf1_data!O:O,"NaN")="","NaN",(_xlfn.XLOOKUP($B74,rf1_data!$B:$B,rf1_data!O:O,"NaN")))</f>
        <v>#N/A</v>
      </c>
      <c r="X74" s="5" t="e">
        <f>IF(_xlfn.XLOOKUP($B74,rf1_data!$B:$B,rf1_data!P:P,"NaN")="","NaN",(_xlfn.XLOOKUP($B74,rf1_data!$B:$B,rf1_data!P:P,"NaN")))</f>
        <v>#N/A</v>
      </c>
      <c r="Y74" s="5" t="e">
        <f>IF(_xlfn.XLOOKUP($B74,rf1_data!$B:$B,rf1_data!Q:Q,"NaN")="","NaN",(_xlfn.XLOOKUP($B74,rf1_data!$B:$B,rf1_data!Q:Q,"NaN")))</f>
        <v>#N/A</v>
      </c>
      <c r="Z74" s="5" t="e">
        <f>IF(_xlfn.XLOOKUP($B74,rf1_data!$B:$B,rf1_data!R:R,"NaN")="","NaN",(_xlfn.XLOOKUP($B74,rf1_data!$B:$B,rf1_data!R:R,"NaN")))</f>
        <v>#N/A</v>
      </c>
      <c r="AA74" s="5" t="e">
        <f>IF(_xlfn.XLOOKUP($B74,rf1_data!$B:$B,rf1_data!S:S,"NaN")="","NaN",(_xlfn.XLOOKUP($B74,rf1_data!$B:$B,rf1_data!S:S,"NaN")))</f>
        <v>#N/A</v>
      </c>
      <c r="AB74" s="5" t="e">
        <f>IF(_xlfn.XLOOKUP($B74,rf1_data!$B:$B,rf1_data!T:T,"NaN")="","NaN",(_xlfn.XLOOKUP($B74,rf1_data!$B:$B,rf1_data!T:T,"NaN")))</f>
        <v>#N/A</v>
      </c>
      <c r="AC74" s="5" t="e">
        <f>IF(_xlfn.XLOOKUP($B74,rf1_data!$B:$B,rf1_data!U:U,"NaN")="","NaN",(_xlfn.XLOOKUP($B74,rf1_data!$B:$B,rf1_data!U:U,"NaN")))</f>
        <v>#N/A</v>
      </c>
      <c r="AD74" s="5" t="e">
        <f>IF(_xlfn.XLOOKUP($B74,rf1_data!$B:$B,rf1_data!V:V,"NaN")="","NaN",(_xlfn.XLOOKUP($B74,rf1_data!$B:$B,rf1_data!V:V,"NaN")))</f>
        <v>#N/A</v>
      </c>
      <c r="AE74" s="5" t="e">
        <f>IF(_xlfn.XLOOKUP($B74,rf1_data!$B:$B,rf1_data!W:W,"NaN")="","NaN",(_xlfn.XLOOKUP($B74,rf1_data!$B:$B,rf1_data!W:W,"NaN")))</f>
        <v>#N/A</v>
      </c>
      <c r="AF74" s="5" t="e">
        <f>IF(_xlfn.XLOOKUP($B74,rf1_data!$B:$B,rf1_data!X:X,"NaN")="","NaN",(_xlfn.XLOOKUP($B74,rf1_data!$B:$B,rf1_data!X:X,"NaN")))</f>
        <v>#N/A</v>
      </c>
      <c r="AG74" s="5" t="e">
        <f>IF(_xlfn.XLOOKUP($B74,rf1_data!$B:$B,rf1_data!Y:Y,"NaN")="","NaN",(_xlfn.XLOOKUP($B74,rf1_data!$B:$B,rf1_data!Y:Y,"NaN")))</f>
        <v>#N/A</v>
      </c>
      <c r="AH74" s="5" t="e">
        <f>IF(_xlfn.XLOOKUP($B74,rf1_data!$B:$B,rf1_data!Z:Z,"NaN")="","NaN",(_xlfn.XLOOKUP($B74,rf1_data!$B:$B,rf1_data!Z:Z,"NaN")))</f>
        <v>#N/A</v>
      </c>
      <c r="AI74" s="5" t="e">
        <f>IF(_xlfn.XLOOKUP($B74,rf1_data!$B:$B,rf1_data!AA:AA,"NaN")="","NaN",(_xlfn.XLOOKUP($B74,rf1_data!$B:$B,rf1_data!AA:AA,"NaN")))</f>
        <v>#N/A</v>
      </c>
      <c r="AJ74" s="5" t="e">
        <f>IF(_xlfn.XLOOKUP($B74,rf1_data!$B:$B,rf1_data!AB:AB,"NaN")="","NaN",(_xlfn.XLOOKUP($B74,rf1_data!$B:$B,rf1_data!AB:AB,"NaN")))</f>
        <v>#N/A</v>
      </c>
      <c r="AK74" s="5" t="e">
        <f>IF(_xlfn.XLOOKUP($B74,rf1_data!$B:$B,rf1_data!AC:AC,"NaN")="","NaN",(_xlfn.XLOOKUP($B74,rf1_data!$B:$B,rf1_data!AC:AC,"NaN")))</f>
        <v>#N/A</v>
      </c>
      <c r="AL74" s="5" t="e">
        <f>IF(_xlfn.XLOOKUP($B74,rf1_data!$B:$B,rf1_data!AD:AD,"NaN")="","NaN",(_xlfn.XLOOKUP($B74,rf1_data!$B:$B,rf1_data!AD:AD,"NaN")))</f>
        <v>#N/A</v>
      </c>
      <c r="AM74" s="5" t="e">
        <f>IF(_xlfn.XLOOKUP($B74,rf1_data!$B:$B,rf1_data!AE:AE,"NaN")="","NaN",(_xlfn.XLOOKUP($B74,rf1_data!$B:$B,rf1_data!AE:AE,"NaN")))</f>
        <v>#N/A</v>
      </c>
      <c r="AN74" s="5" t="e">
        <f>IF(_xlfn.XLOOKUP($B74,rf1_data!$B:$B,rf1_data!AF:AF,"NaN")="","NaN",(_xlfn.XLOOKUP($B74,rf1_data!$B:$B,rf1_data!AF:AF,"NaN")))</f>
        <v>#N/A</v>
      </c>
      <c r="AO74" s="5" t="e">
        <f>IF(_xlfn.XLOOKUP($B74,rf1_data!$B:$B,rf1_data!AG:AG,"NaN")="","NaN",(_xlfn.XLOOKUP($B74,rf1_data!$B:$B,rf1_data!AG:AG,"NaN")))</f>
        <v>#N/A</v>
      </c>
      <c r="AP74" s="5" t="e">
        <f>IF(_xlfn.XLOOKUP($B74,rf1_data!$B:$B,rf1_data!AH:AH,"NaN")="","NaN",(_xlfn.XLOOKUP($B74,rf1_data!$B:$B,rf1_data!AH:AH,"NaN")))</f>
        <v>#N/A</v>
      </c>
      <c r="AQ74" s="5" t="e">
        <f>IF(_xlfn.XLOOKUP($B74,rf1_data!$B:$B,rf1_data!AI:AI,"NaN")="","NaN",(_xlfn.XLOOKUP($B74,rf1_data!$B:$B,rf1_data!AI:AI,"NaN")))</f>
        <v>#N/A</v>
      </c>
      <c r="AR74" s="5" t="e">
        <f>IF(_xlfn.XLOOKUP($B74,rf1_data!$B:$B,rf1_data!AJ:AJ,"NaN")="","NaN",(_xlfn.XLOOKUP($B74,rf1_data!$B:$B,rf1_data!AJ:AJ,"NaN")))</f>
        <v>#N/A</v>
      </c>
      <c r="AS74" s="5" t="e">
        <f>IF(_xlfn.XLOOKUP($B74,rf1_data!$B:$B,rf1_data!AK:AK,"NaN")="","NaN",(_xlfn.XLOOKUP($B74,rf1_data!$B:$B,rf1_data!AK:AK,"NaN")))</f>
        <v>#N/A</v>
      </c>
      <c r="AT74" s="5" t="e">
        <f>IF(_xlfn.XLOOKUP($B74,rf1_data!$B:$B,rf1_data!AL:AL,"NaN")="","NaN",(_xlfn.XLOOKUP($B74,rf1_data!$B:$B,rf1_data!AL:AL,"NaN")))</f>
        <v>#N/A</v>
      </c>
      <c r="AU74" s="5" t="e">
        <f>IF(_xlfn.XLOOKUP($B74,rf1_data!$B:$B,rf1_data!AM:AM,"NaN")="","NaN",(_xlfn.XLOOKUP($B74,rf1_data!$B:$B,rf1_data!AM:AM,"NaN")))</f>
        <v>#N/A</v>
      </c>
      <c r="AV74" s="5" t="e">
        <f>IF(_xlfn.XLOOKUP($B74,rf1_data!$B:$B,rf1_data!AN:AN,"NaN")="","NaN",(_xlfn.XLOOKUP($B74,rf1_data!$B:$B,rf1_data!AN:AN,"NaN")))</f>
        <v>#N/A</v>
      </c>
      <c r="AW74" s="5" t="e">
        <f>IF(_xlfn.XLOOKUP($B74,rf1_data!$B:$B,rf1_data!AO:AO,"NaN")="","NaN",(_xlfn.XLOOKUP($B74,rf1_data!$B:$B,rf1_data!AO:AO,"NaN")))</f>
        <v>#N/A</v>
      </c>
      <c r="AX74" s="5" t="e">
        <f>IF(_xlfn.XLOOKUP($B74,rf1_data!$B:$B,rf1_data!AP:AP,"NaN")="","NaN",(_xlfn.XLOOKUP($B74,rf1_data!$B:$B,rf1_data!AP:AP,"NaN")))</f>
        <v>#N/A</v>
      </c>
      <c r="AY74" s="5" t="e">
        <f>IF(_xlfn.XLOOKUP($B74,rf1_data!$B:$B,rf1_data!AQ:AQ,"NaN")="","NaN",(_xlfn.XLOOKUP($B74,rf1_data!$B:$B,rf1_data!AQ:AQ,"NaN")))</f>
        <v>#N/A</v>
      </c>
      <c r="AZ74" s="5" t="e">
        <f>IF(_xlfn.XLOOKUP($B74,rf1_data!$B:$B,rf1_data!AR:AR,"NaN")="","NaN",(_xlfn.XLOOKUP($B74,rf1_data!$B:$B,rf1_data!AR:AR,"NaN")))</f>
        <v>#N/A</v>
      </c>
      <c r="BA74" s="5" t="e">
        <f>IF(_xlfn.XLOOKUP($B74,rf1_data!$B:$B,rf1_data!AS:AS,"NaN")="","NaN",(_xlfn.XLOOKUP($B74,rf1_data!$B:$B,rf1_data!AS:AS,"NaN")))</f>
        <v>#N/A</v>
      </c>
      <c r="BB74" s="5" t="e">
        <f>IF(_xlfn.XLOOKUP($B74,rf1_data!$B:$B,rf1_data!AT:AT,"NaN")="","NaN",(_xlfn.XLOOKUP($B74,rf1_data!$B:$B,rf1_data!AT:AT,"NaN")))</f>
        <v>#N/A</v>
      </c>
      <c r="BC74" s="5" t="e">
        <f>IF(_xlfn.XLOOKUP($B74,rf1_data!$B:$B,rf1_data!AU:AU,"NaN")="","NaN",(_xlfn.XLOOKUP($B74,rf1_data!$B:$B,rf1_data!AU:AU,"NaN")))</f>
        <v>#N/A</v>
      </c>
      <c r="BD74" s="5" t="e">
        <f>IF(_xlfn.XLOOKUP($B74,rf1_data!$B:$B,rf1_data!AV:AV,"NaN")="","NaN",(_xlfn.XLOOKUP($B74,rf1_data!$B:$B,rf1_data!AV:AV,"NaN")))</f>
        <v>#N/A</v>
      </c>
      <c r="BE74" s="5" t="e">
        <f>IF(_xlfn.XLOOKUP($B74,rf1_data!$B:$B,rf1_data!AW:AW,"NaN")="","NaN",(_xlfn.XLOOKUP($B74,rf1_data!$B:$B,rf1_data!AW:AW,"NaN")))</f>
        <v>#N/A</v>
      </c>
      <c r="BF74" s="5" t="e">
        <f>IF(_xlfn.XLOOKUP($B74,rf1_data!$B:$B,rf1_data!AX:AX,"NaN")="","NaN",(_xlfn.XLOOKUP($B74,rf1_data!$B:$B,rf1_data!AX:AX,"NaN")))</f>
        <v>#N/A</v>
      </c>
      <c r="BG74" s="5" t="e">
        <f>IF(_xlfn.XLOOKUP($B74,rf1_data!$B:$B,rf1_data!AY:AY,"NaN")="","NaN",(_xlfn.XLOOKUP($B74,rf1_data!$B:$B,rf1_data!AY:AY,"NaN")))</f>
        <v>#N/A</v>
      </c>
      <c r="BH74" s="5" t="e">
        <f>IF(_xlfn.XLOOKUP($B74,rf1_data!$B:$B,rf1_data!AZ:AZ,"NaN")="","NaN",(_xlfn.XLOOKUP($B74,rf1_data!$B:$B,rf1_data!AZ:AZ,"NaN")))</f>
        <v>#N/A</v>
      </c>
      <c r="BI74" s="5" t="e">
        <f>IF(_xlfn.XLOOKUP($B74,rf1_data!$B:$B,rf1_data!BA:BA,"NaN")="","NaN",(_xlfn.XLOOKUP($B74,rf1_data!$B:$B,rf1_data!BA:BA,"NaN")))</f>
        <v>#N/A</v>
      </c>
      <c r="BJ74" s="5" t="e">
        <f>IF(_xlfn.XLOOKUP($B74,rf1_data!$B:$B,rf1_data!BB:BB,"NaN")="","NaN",(_xlfn.XLOOKUP($B74,rf1_data!$B:$B,rf1_data!BB:BB,"NaN")))</f>
        <v>#N/A</v>
      </c>
      <c r="BK74" s="5" t="e">
        <f>IF(_xlfn.XLOOKUP($B74,rf1_data!$B:$B,rf1_data!BC:BC,"NaN")="","NaN",(_xlfn.XLOOKUP($B74,rf1_data!$B:$B,rf1_data!BC:BC,"NaN")))</f>
        <v>#N/A</v>
      </c>
      <c r="BL74" s="5" t="e">
        <f>IF(_xlfn.XLOOKUP($B74,rf1_data!$B:$B,rf1_data!BD:BD,"NaN")="","NaN",(_xlfn.XLOOKUP($B74,rf1_data!$B:$B,rf1_data!BD:BD,"NaN")))</f>
        <v>#N/A</v>
      </c>
      <c r="BM74" s="5" t="e">
        <f>IF(_xlfn.XLOOKUP($B74,rf1_data!$B:$B,rf1_data!BE:BE,"NaN")="","NaN",(_xlfn.XLOOKUP($B74,rf1_data!$B:$B,rf1_data!BE:BE,"NaN")))</f>
        <v>#N/A</v>
      </c>
      <c r="BN74" s="5" t="e">
        <f>IF(_xlfn.XLOOKUP($B74,rf1_data!$B:$B,rf1_data!BF:BF,"NaN")="","NaN",(_xlfn.XLOOKUP($B74,rf1_data!$B:$B,rf1_data!BF:BF,"NaN")))</f>
        <v>#N/A</v>
      </c>
      <c r="BO74" s="5" t="e">
        <f>IF(_xlfn.XLOOKUP($B74,rf1_data!$B:$B,rf1_data!BG:BG,"NaN")="","NaN",(_xlfn.XLOOKUP($B74,rf1_data!$B:$B,rf1_data!BG:BG,"NaN")))</f>
        <v>#N/A</v>
      </c>
      <c r="BP74" s="5" t="e">
        <f>IF(_xlfn.XLOOKUP($B74,rf1_data!$B:$B,rf1_data!BH:BH,"NaN")="","NaN",(_xlfn.XLOOKUP($B74,rf1_data!$B:$B,rf1_data!BH:BH,"NaN")))</f>
        <v>#N/A</v>
      </c>
      <c r="BQ74" s="5" t="e">
        <f>IF(_xlfn.XLOOKUP($B74,rf1_data!$B:$B,rf1_data!BI:BI,"NaN")="","NaN",(_xlfn.XLOOKUP($B74,rf1_data!$B:$B,rf1_data!BI:BI,"NaN")))</f>
        <v>#N/A</v>
      </c>
      <c r="BR74" s="5" t="e">
        <f>IF(_xlfn.XLOOKUP($B74,rf1_data!$B:$B,rf1_data!BJ:BJ,"NaN")="","NaN",(_xlfn.XLOOKUP($B74,rf1_data!$B:$B,rf1_data!BJ:BJ,"NaN")))</f>
        <v>#N/A</v>
      </c>
      <c r="BS74" s="5" t="e">
        <f>IF(_xlfn.XLOOKUP($B74,rf1_data!$B:$B,rf1_data!BK:BK,"NaN")="","NaN",(_xlfn.XLOOKUP($B74,rf1_data!$B:$B,rf1_data!BK:BK,"NaN")))</f>
        <v>#N/A</v>
      </c>
      <c r="BT74" s="5" t="e">
        <f>IF(_xlfn.XLOOKUP($B74,rf1_data!$B:$B,rf1_data!BL:BL,"NaN")="","NaN",(_xlfn.XLOOKUP($B74,rf1_data!$B:$B,rf1_data!BL:BL,"NaN")))</f>
        <v>#N/A</v>
      </c>
      <c r="BU74" s="5" t="e">
        <f>IF(_xlfn.XLOOKUP($B74,rf1_data!$B:$B,rf1_data!BM:BM,"NaN")="","NaN",(_xlfn.XLOOKUP($B74,rf1_data!$B:$B,rf1_data!BM:BM,"NaN")))</f>
        <v>#N/A</v>
      </c>
      <c r="BV74" s="5" t="e">
        <f>IF(_xlfn.XLOOKUP($B74,rf1_data!$B:$B,rf1_data!BN:BN,"NaN")="","NaN",(_xlfn.XLOOKUP($B74,rf1_data!$B:$B,rf1_data!BN:BN,"NaN")))</f>
        <v>#N/A</v>
      </c>
      <c r="BW74" s="5" t="e">
        <f>IF(_xlfn.XLOOKUP($B74,rf1_data!$B:$B,rf1_data!BO:BO,"NaN")="","NaN",(_xlfn.XLOOKUP($B74,rf1_data!$B:$B,rf1_data!BO:BO,"NaN")))</f>
        <v>#N/A</v>
      </c>
      <c r="BX74" s="5" t="e">
        <f>IF(_xlfn.XLOOKUP($B74,rf1_data!$B:$B,rf1_data!BP:BP,"NaN")="","NaN",(_xlfn.XLOOKUP($B74,rf1_data!$B:$B,rf1_data!BP:BP,"NaN")))</f>
        <v>#N/A</v>
      </c>
      <c r="BY74" s="5" t="e">
        <f>IF(_xlfn.XLOOKUP($B74,rf1_data!$B:$B,rf1_data!BQ:BQ,"NaN")="","NaN",(_xlfn.XLOOKUP($B74,rf1_data!$B:$B,rf1_data!BQ:BQ,"NaN")))</f>
        <v>#N/A</v>
      </c>
      <c r="BZ74" s="5" t="e">
        <f>IF(_xlfn.XLOOKUP($B74,rf1_data!$B:$B,rf1_data!BR:BR,"NaN")="","NaN",(_xlfn.XLOOKUP($B74,rf1_data!$B:$B,rf1_data!BR:BR,"NaN")))</f>
        <v>#N/A</v>
      </c>
      <c r="CA74" s="5" t="e">
        <f>IF(_xlfn.XLOOKUP($B74,rf1_data!$B:$B,rf1_data!BS:BS,"NaN")="","NaN",(_xlfn.XLOOKUP($B74,rf1_data!$B:$B,rf1_data!BS:BS,"NaN")))</f>
        <v>#N/A</v>
      </c>
      <c r="CB74" s="5" t="e">
        <f>IF(_xlfn.XLOOKUP($B74,rf1_data!$B:$B,rf1_data!BT:BT,"NaN")="","NaN",(_xlfn.XLOOKUP($B74,rf1_data!$B:$B,rf1_data!BT:BT,"NaN")))</f>
        <v>#N/A</v>
      </c>
      <c r="CC74" s="5" t="e">
        <f>IF(_xlfn.XLOOKUP($B74,rf1_data!$B:$B,rf1_data!BU:BU,"NaN")="","NaN",(_xlfn.XLOOKUP($B74,rf1_data!$B:$B,rf1_data!BU:BU,"NaN")))</f>
        <v>#N/A</v>
      </c>
      <c r="CD74" s="5" t="e">
        <f>IF(_xlfn.XLOOKUP($B74,rf1_data!$B:$B,rf1_data!BV:BV,"NaN")="","NaN",(_xlfn.XLOOKUP($B74,rf1_data!$B:$B,rf1_data!BV:BV,"NaN")))</f>
        <v>#N/A</v>
      </c>
      <c r="CE74" s="5" t="e">
        <f>IF(_xlfn.XLOOKUP($B74,rf1_data!$B:$B,rf1_data!BW:BW,"NaN")="","NaN",(_xlfn.XLOOKUP($B74,rf1_data!$B:$B,rf1_data!BW:BW,"NaN")))</f>
        <v>#N/A</v>
      </c>
      <c r="CF74" s="5" t="e">
        <f>IF(_xlfn.XLOOKUP($B74,rf1_data!$B:$B,rf1_data!BX:BX,"NaN")="","NaN",(_xlfn.XLOOKUP($B74,rf1_data!$B:$B,rf1_data!BX:BX,"NaN")))</f>
        <v>#N/A</v>
      </c>
      <c r="CG74" s="5" t="e">
        <f>IF(_xlfn.XLOOKUP($B74,rf1_data!$B:$B,rf1_data!BY:BY,"NaN")="","NaN",(_xlfn.XLOOKUP($B74,rf1_data!$B:$B,rf1_data!BY:BY,"NaN")))</f>
        <v>#N/A</v>
      </c>
      <c r="CH74" s="5" t="e">
        <f>IF(_xlfn.XLOOKUP($B74,rf1_data!$B:$B,rf1_data!BZ:BZ,"NaN")="","NaN",(_xlfn.XLOOKUP($B74,rf1_data!$B:$B,rf1_data!BZ:BZ,"NaN")))</f>
        <v>#N/A</v>
      </c>
      <c r="CI74" s="5" t="e">
        <f>IF(_xlfn.XLOOKUP($B74,rf1_data!$B:$B,rf1_data!CA:CA,"NaN")="","NaN",(_xlfn.XLOOKUP($B74,rf1_data!$B:$B,rf1_data!CA:CA,"NaN")))</f>
        <v>#N/A</v>
      </c>
      <c r="CJ74" s="5" t="e">
        <f>IF(_xlfn.XLOOKUP($B74,rf1_data!$B:$B,rf1_data!CB:CB,"NaN")="","NaN",(_xlfn.XLOOKUP($B74,rf1_data!$B:$B,rf1_data!CB:CB,"NaN")))</f>
        <v>#N/A</v>
      </c>
      <c r="CK74" s="5" t="e">
        <f>IF(_xlfn.XLOOKUP($B74,rf1_data!$B:$B,rf1_data!CC:CC,"NaN")="","NaN",(_xlfn.XLOOKUP($B74,rf1_data!$B:$B,rf1_data!CC:CC,"NaN")))</f>
        <v>#N/A</v>
      </c>
      <c r="CL74" s="5" t="e">
        <f>IF(_xlfn.XLOOKUP($B74,rf1_data!$B:$B,rf1_data!CD:CD,"NaN")=0,"NaN",(_xlfn.XLOOKUP($B74,rf1_data!$B:$B,rf1_data!CD:CD,"NaN")))</f>
        <v>#N/A</v>
      </c>
      <c r="CM74" s="5" t="e">
        <f>IF(_xlfn.XLOOKUP($B74,rf1_data!$B:$B,rf1_data!CE:CE,"NaN")="","NaN",(_xlfn.XLOOKUP($B74,rf1_data!$B:$B,rf1_data!CE:CE,"NaN")))</f>
        <v>#N/A</v>
      </c>
      <c r="CN74" s="5" t="e">
        <f>IF(_xlfn.XLOOKUP($B74,rf1_data!$B:$B,rf1_data!CF:CF,"NaN")="","NaN",(_xlfn.XLOOKUP($B74,rf1_data!$B:$B,rf1_data!CF:CF,"NaN")))</f>
        <v>#N/A</v>
      </c>
      <c r="CO74" s="5" t="e">
        <f>IF(_xlfn.XLOOKUP($B74,rf1_data!$B:$B,rf1_data!CG:CG,"NaN")="","NaN",(_xlfn.XLOOKUP($B74,rf1_data!$B:$B,rf1_data!CG:CG,"NaN")))</f>
        <v>#N/A</v>
      </c>
      <c r="CP74" s="5" t="e">
        <f>IF(_xlfn.XLOOKUP($B74,rf1_data!$B:$B,rf1_data!CH:CH,"NaN")=0,"NaN",(_xlfn.XLOOKUP($B74,rf1_data!$B:$B,rf1_data!CH:CH,"NaN")))</f>
        <v>#N/A</v>
      </c>
      <c r="CQ74" s="5" t="e">
        <f>IF(_xlfn.XLOOKUP($B74,rf1_data!$B:$B,rf1_data!CI:CI,"NaN")="","NaN",(_xlfn.XLOOKUP($B74,rf1_data!$B:$B,rf1_data!CI:CI,"NaN")))</f>
        <v>#N/A</v>
      </c>
      <c r="CR74" s="5" t="e">
        <f>IF(_xlfn.XLOOKUP($B74,rf1_data!$B:$B,rf1_data!CJ:CJ,"NaN")="","NaN",(_xlfn.XLOOKUP($B74,rf1_data!$B:$B,rf1_data!CJ:CJ,"NaN")))</f>
        <v>#N/A</v>
      </c>
      <c r="CS74" s="5" t="e">
        <f>IF(_xlfn.XLOOKUP($B74,rf1_data!$B:$B,rf1_data!CK:CK,"NaN")="","NaN",(_xlfn.XLOOKUP($B74,rf1_data!$B:$B,rf1_data!CK:CK,"NaN")))</f>
        <v>#N/A</v>
      </c>
      <c r="CT74" s="5" t="e">
        <f>IF(_xlfn.XLOOKUP($B74,rf1_data!$B:$B,rf1_data!CL:CL,"NaN")="","NaN",(_xlfn.XLOOKUP($B74,rf1_data!$B:$B,rf1_data!CL:CL,"NaN")))</f>
        <v>#N/A</v>
      </c>
      <c r="CU74" s="5" t="e">
        <f>IF(_xlfn.XLOOKUP($B74,rf1_data!$B:$B,rf1_data!CM:CM,"NaN")="","NaN",(_xlfn.XLOOKUP($B74,rf1_data!$B:$B,rf1_data!CM:CM,"NaN")))</f>
        <v>#N/A</v>
      </c>
      <c r="CV74" s="5" t="e">
        <f>IF(_xlfn.XLOOKUP($B74,rf1_data!$B:$B,rf1_data!CN:CN,"NaN")="","NaN",(_xlfn.XLOOKUP($B74,rf1_data!$B:$B,rf1_data!CN:CN,"NaN")))</f>
        <v>#N/A</v>
      </c>
      <c r="CW74" s="5" t="e">
        <f>IF(_xlfn.XLOOKUP($B74,rf1_data!$B:$B,rf1_data!CO:CO,"NaN")="","NaN",(_xlfn.XLOOKUP($B74,rf1_data!$B:$B,rf1_data!CO:CO,"NaN")))</f>
        <v>#N/A</v>
      </c>
      <c r="CX74" s="5" t="e">
        <f>IF(_xlfn.XLOOKUP($B74,rf1_data!$B:$B,rf1_data!CP:CP,"NaN")="","NaN",(_xlfn.XLOOKUP($B74,rf1_data!$B:$B,rf1_data!CP:CP,"NaN")))</f>
        <v>#N/A</v>
      </c>
      <c r="CY74" s="5" t="e">
        <f>IF(_xlfn.XLOOKUP($B74,rf1_data!$B:$B,rf1_data!CQ:CQ,"NaN")="","NaN",(_xlfn.XLOOKUP($B74,rf1_data!$B:$B,rf1_data!CQ:CQ,"NaN")))</f>
        <v>#N/A</v>
      </c>
      <c r="CZ74" s="5" t="e">
        <f>IF(_xlfn.XLOOKUP($B74,rf1_data!$B:$B,rf1_data!CR:CR,"NaN")="","NaN",(_xlfn.XLOOKUP($B74,rf1_data!$B:$B,rf1_data!CR:CR,"NaN")))</f>
        <v>#N/A</v>
      </c>
      <c r="DA74" s="5" t="e">
        <f>IF(_xlfn.XLOOKUP($B74,rf1_data!$B:$B,rf1_data!CS:CS,"NaN")="","NaN",(_xlfn.XLOOKUP($B74,rf1_data!$B:$B,rf1_data!CS:CS,"NaN")))</f>
        <v>#N/A</v>
      </c>
      <c r="DB74" s="4" t="e">
        <f>IF(_xlfn.XLOOKUP($B74,island_data!$B:$B,island_data!H:H,"NaN")="","NaN",_xlfn.XLOOKUP($B74,island_data!$B:$B,island_data!H:H,"NaN"))</f>
        <v>#N/A</v>
      </c>
      <c r="DC74" s="4" t="e">
        <f>IF(_xlfn.XLOOKUP($B74,island_data!$B:$B,island_data!I:I,"NaN")="","NaN",_xlfn.XLOOKUP($B74,island_data!$B:$B,island_data!I:I,"NaN"))</f>
        <v>#N/A</v>
      </c>
      <c r="DD74" s="4" t="e">
        <f>IF(_xlfn.XLOOKUP($B74,island_data!$B:$B,island_data!J:J,"NaN")="","NaN",_xlfn.XLOOKUP($B74,island_data!$B:$B,island_data!J:J,"NaN"))</f>
        <v>#N/A</v>
      </c>
      <c r="DE74" s="4" t="e">
        <f>IF(_xlfn.XLOOKUP($B74,island_data!$B:$B,island_data!K:K,"NaN")="","NaN",_xlfn.XLOOKUP($B74,island_data!$B:$B,island_data!K:K,"NaN"))</f>
        <v>#N/A</v>
      </c>
      <c r="DF74" s="4" t="e">
        <f>IF(_xlfn.XLOOKUP($B74,island_data!$B:$B,island_data!L:L,"NaN")="","NaN",_xlfn.XLOOKUP($B74,island_data!$B:$B,island_data!L:L,"NaN"))</f>
        <v>#N/A</v>
      </c>
      <c r="DG74" s="4" t="e">
        <f>IF(_xlfn.XLOOKUP($B74,island_data!$B:$B,island_data!M:M,"NaN")="","NaN",_xlfn.XLOOKUP($B74,island_data!$B:$B,island_data!M:M,"NaN"))</f>
        <v>#N/A</v>
      </c>
      <c r="DH74" s="4" t="e">
        <f>IF(_xlfn.XLOOKUP($B74,island_data!$B:$B,island_data!N:N,"NaN")="","NaN",_xlfn.XLOOKUP($B74,island_data!$B:$B,island_data!N:N,"NaN"))</f>
        <v>#N/A</v>
      </c>
      <c r="DI74" s="4" t="e">
        <f>IF(_xlfn.XLOOKUP($B74,island_data!$B:$B,island_data!O:O,"NaN")=999,"NaN",_xlfn.XLOOKUP($B74,island_data!$B:$B,island_data!O:O,"NaN"))</f>
        <v>#N/A</v>
      </c>
      <c r="DJ74" s="4" t="e">
        <f>IF(_xlfn.XLOOKUP($B74,island_data!$B:$B,island_data!P:P,"NaN")="","NaN",_xlfn.XLOOKUP($B74,island_data!$B:$B,island_data!P:P,"NaN"))</f>
        <v>#N/A</v>
      </c>
      <c r="DK74" s="4" t="e">
        <f>IF(_xlfn.XLOOKUP($B74,island_data!$B:$B,island_data!Q:Q,"NaN")="","NaN",_xlfn.XLOOKUP($B74,island_data!$B:$B,island_data!Q:Q,"NaN"))</f>
        <v>#N/A</v>
      </c>
      <c r="DL74" s="4" t="e">
        <f>IF(_xlfn.XLOOKUP($B74,island_data!$B:$B,island_data!R:R,"NaN")=999,"NaN",_xlfn.XLOOKUP($B74,island_data!$B:$B,island_data!R:R,"NaN"))</f>
        <v>#N/A</v>
      </c>
      <c r="DM74" s="4" t="e">
        <f>IF(_xlfn.XLOOKUP($B74,island_data!$B:$B,island_data!S:S,"NaN")="","NaN",_xlfn.XLOOKUP($B74,island_data!$B:$B,island_data!S:S,"NaN"))</f>
        <v>#N/A</v>
      </c>
      <c r="DN74" s="4" t="e">
        <f>IF(_xlfn.XLOOKUP($B74,island_data!$B:$B,island_data!T:T,"NaN")="","NaN",_xlfn.XLOOKUP($B74,island_data!$B:$B,island_data!T:T,"NaN"))</f>
        <v>#N/A</v>
      </c>
      <c r="DO74" s="4" t="e">
        <f>IF(_xlfn.XLOOKUP($B74,island_data!$B:$B,island_data!U:U,"NaN")="","NaN",_xlfn.XLOOKUP($B74,island_data!$B:$B,island_data!U:U,"NaN"))</f>
        <v>#N/A</v>
      </c>
      <c r="DP74" s="4" t="e">
        <f>IF(_xlfn.XLOOKUP($B74,island_data!$B:$B,island_data!V:V,"NaN")="","NaN",_xlfn.XLOOKUP($B74,island_data!$B:$B,island_data!V:V,"NaN"))</f>
        <v>#N/A</v>
      </c>
      <c r="DQ74" s="4" t="e">
        <f>IF(_xlfn.XLOOKUP($B74,island_data!$B:$B,island_data!W:W,"NaN")="","NaN",_xlfn.XLOOKUP($B74,island_data!$B:$B,island_data!W:W,"NaN"))</f>
        <v>#N/A</v>
      </c>
      <c r="DR74" s="4" t="e">
        <f>IF(_xlfn.XLOOKUP($B74,island_data!$B:$B,island_data!X:X,"NaN")="","NaN",_xlfn.XLOOKUP($B74,island_data!$B:$B,island_data!X:X,"NaN"))</f>
        <v>#N/A</v>
      </c>
      <c r="DS74" s="4" t="e">
        <f>IF(_xlfn.XLOOKUP($B74,island_data!$B:$B,island_data!Y:Y,"NaN")="","NaN",_xlfn.XLOOKUP($B74,island_data!$B:$B,island_data!Y:Y,"NaN"))</f>
        <v>#N/A</v>
      </c>
      <c r="DT74" s="4" t="e">
        <f>IF(_xlfn.XLOOKUP($B74,island_data!$B:$B,island_data!Z:Z,"NaN")="","NaN",_xlfn.XLOOKUP($B74,island_data!$B:$B,island_data!Z:Z,"NaN"))</f>
        <v>#N/A</v>
      </c>
      <c r="DU74" s="4" t="e">
        <f>IF(_xlfn.XLOOKUP($B74,island_data!$B:$B,island_data!AA:AA,"NaN")="","NaN",_xlfn.XLOOKUP($B74,island_data!$B:$B,island_data!AA:AA,"NaN"))</f>
        <v>#N/A</v>
      </c>
      <c r="DV74" s="4" t="e">
        <f>IF(_xlfn.XLOOKUP($B74,island_data!$B:$B,island_data!AB:AB,"NaN")="","NaN",_xlfn.XLOOKUP($B74,island_data!$B:$B,island_data!AB:AB,"NaN"))</f>
        <v>#N/A</v>
      </c>
      <c r="DW74" s="4" t="e">
        <f>IF(_xlfn.XLOOKUP($B74,island_data!$B:$B,island_data!AC:AC,"NaN")="","NaN",_xlfn.XLOOKUP($B74,island_data!$B:$B,island_data!AC:AC,"NaN"))</f>
        <v>#N/A</v>
      </c>
      <c r="DX74" s="4" t="e">
        <f>IF(_xlfn.XLOOKUP($B74,island_data!$B:$B,island_data!AD:AD,"NaN")="","NaN",_xlfn.XLOOKUP($B74,island_data!$B:$B,island_data!AD:AD,"NaN"))</f>
        <v>#N/A</v>
      </c>
      <c r="DY74" s="4" t="e">
        <f>IF(_xlfn.XLOOKUP($B74,island_data!$B:$B,island_data!AE:AE,"NaN")="","NaN",_xlfn.XLOOKUP($B74,island_data!$B:$B,island_data!AE:AE,"NaN"))</f>
        <v>#N/A</v>
      </c>
      <c r="DZ74" s="4" t="e">
        <f>IF(_xlfn.XLOOKUP($B74,island_data!$B:$B,island_data!AF:AF,"NaN")="","NaN",_xlfn.XLOOKUP($B74,island_data!$B:$B,island_data!AF:AF,"NaN"))</f>
        <v>#N/A</v>
      </c>
      <c r="EA74" s="4" t="e">
        <f>IF(_xlfn.XLOOKUP($B74,island_data!$B:$B,island_data!AG:AG,"NaN")="","NaN",_xlfn.XLOOKUP($B74,island_data!$B:$B,island_data!AG:AG,"NaN"))</f>
        <v>#N/A</v>
      </c>
      <c r="EB74" s="4" t="e">
        <f>IF(_xlfn.XLOOKUP($B74,island_data!$B:$B,island_data!AH:AH,"NaN")="","NaN",_xlfn.XLOOKUP($B74,island_data!$B:$B,island_data!AH:AH,"NaN"))</f>
        <v>#N/A</v>
      </c>
      <c r="EC74" s="4" t="e">
        <f>IF(_xlfn.XLOOKUP($B74,island_data!$B:$B,island_data!AI:AI,"NaN")="","NaN",_xlfn.XLOOKUP($B74,island_data!$B:$B,island_data!AI:AI,"NaN"))</f>
        <v>#N/A</v>
      </c>
      <c r="ED74" s="4" t="e">
        <f>IF(_xlfn.XLOOKUP($B74,island_data!$B:$B,island_data!AJ:AJ,"NaN")="","NaN",_xlfn.XLOOKUP($B74,island_data!$B:$B,island_data!AJ:AJ,"NaN"))</f>
        <v>#N/A</v>
      </c>
      <c r="EE74" s="4" t="e">
        <f>IF(_xlfn.XLOOKUP($B74,island_data!$B:$B,island_data!AK:AK,"NaN")="","NaN",_xlfn.XLOOKUP($B74,island_data!$B:$B,island_data!AK:AK,"NaN"))</f>
        <v>#N/A</v>
      </c>
      <c r="EF74" s="4" t="e">
        <f>IF(_xlfn.XLOOKUP($B74,island_data!$B:$B,island_data!AL:AL,"NaN")="","NaN",_xlfn.XLOOKUP($B74,island_data!$B:$B,island_data!AL:AL,"NaN"))</f>
        <v>#N/A</v>
      </c>
      <c r="EG74" s="4" t="e">
        <f>IF(_xlfn.XLOOKUP($B74,island_data!$B:$B,island_data!AM:AM,"NaN")="","NaN",_xlfn.XLOOKUP($B74,island_data!$B:$B,island_data!AM:AM,"NaN"))</f>
        <v>#N/A</v>
      </c>
      <c r="EH74" s="4" t="e">
        <f>IF(_xlfn.XLOOKUP($B74,island_data!$B:$B,island_data!AN:AN,"NaN")="","NaN",_xlfn.XLOOKUP($B74,island_data!$B:$B,island_data!AN:AN,"NaN"))</f>
        <v>#N/A</v>
      </c>
      <c r="EI74" s="4" t="e">
        <f>IF(_xlfn.XLOOKUP($B74,island_data!$B:$B,island_data!AO:AO,"NaN")="","NaN",_xlfn.XLOOKUP($B74,island_data!$B:$B,island_data!AO:AO,"NaN"))</f>
        <v>#N/A</v>
      </c>
      <c r="EJ74" s="8" t="str">
        <f>IF(_xlfn.XLOOKUP($A74,TabCAT!$A:$A,TabCAT!AU:AU,"NaN")="","NaN",(_xlfn.XLOOKUP($A74,TabCAT!$A:$A,TabCAT!AU:AU,"NaN")))</f>
        <v>NaN</v>
      </c>
      <c r="EK74" s="8" t="str">
        <f>IF(_xlfn.XLOOKUP($A74,TabCAT!$A:$A,TabCAT!AV:AV,"NaN")="","NaN",(_xlfn.XLOOKUP($A74,TabCAT!$A:$A,TabCAT!AV:AV,"NaN")))</f>
        <v>NaN</v>
      </c>
      <c r="EL74" s="8" t="str">
        <f>IF(_xlfn.XLOOKUP($A74,TabCAT!$A:$A,TabCAT!AW:AW,"NaN")="","NaN",(_xlfn.XLOOKUP($A74,TabCAT!$A:$A,TabCAT!AW:AW,"NaN")))</f>
        <v>NaN</v>
      </c>
      <c r="EM74" s="8" t="str">
        <f>IF(_xlfn.XLOOKUP($A74,TabCAT!$A:$A,TabCAT!AX:AX,"NaN")="","NaN",(_xlfn.XLOOKUP($A74,TabCAT!$A:$A,TabCAT!AX:AX,"NaN")))</f>
        <v>NaN</v>
      </c>
      <c r="EN74" s="8" t="str">
        <f>IF(_xlfn.XLOOKUP($A74,TabCAT!$A:$A,TabCAT!AY:AY,"NaN")="","NaN",(_xlfn.XLOOKUP($A74,TabCAT!$A:$A,TabCAT!AY:AY,"NaN")))</f>
        <v>NaN</v>
      </c>
      <c r="EO74" s="8" t="str">
        <f>IF(_xlfn.XLOOKUP($A74,TabCAT!$A:$A,TabCAT!AZ:AZ,"NaN")="","NaN",(_xlfn.XLOOKUP($A74,TabCAT!$A:$A,TabCAT!AZ:AZ,"NaN")))</f>
        <v>NaN</v>
      </c>
      <c r="EP74" s="8" t="str">
        <f>IF(_xlfn.XLOOKUP($A74,TabCAT!$A:$A,TabCAT!BA:BA,"NaN")="","NaN",(_xlfn.XLOOKUP($A74,TabCAT!$A:$A,TabCAT!BA:BA,"NaN")))</f>
        <v>NaN</v>
      </c>
      <c r="EQ74" s="8" t="str">
        <f>IF(_xlfn.XLOOKUP($A74,TabCAT!$A:$A,TabCAT!BB:BB,"NaN")="","NaN",(_xlfn.XLOOKUP($A74,TabCAT!$A:$A,TabCAT!BB:BB,"NaN")))</f>
        <v>NaN</v>
      </c>
      <c r="ER74" s="8" t="str">
        <f>IF(_xlfn.XLOOKUP($A74,TabCAT!$A:$A,TabCAT!BC:BC,"NaN")="","NaN",(_xlfn.XLOOKUP($A74,TabCAT!$A:$A,TabCAT!BC:BC,"NaN")))</f>
        <v>NaN</v>
      </c>
      <c r="ES74" s="8" t="str">
        <f>IF(_xlfn.XLOOKUP($A74,TabCAT!$A:$A,TabCAT!BD:BD,"NaN")="","NaN",(_xlfn.XLOOKUP($A74,TabCAT!$A:$A,TabCAT!BD:BD,"NaN")))</f>
        <v>NaN</v>
      </c>
      <c r="ET74" s="8" t="str">
        <f>IF(_xlfn.XLOOKUP($A74,TabCAT!$A:$A,TabCAT!BE:BE,"NaN")="","NaN",(_xlfn.XLOOKUP($A74,TabCAT!$A:$A,TabCAT!BE:BE,"NaN")))</f>
        <v>NaN</v>
      </c>
      <c r="EU74" s="8" t="str">
        <f>IF(_xlfn.XLOOKUP($A74,TabCAT!$A:$A,TabCAT!BF:BF,"NaN")="","NaN",(_xlfn.XLOOKUP($A74,TabCAT!$A:$A,TabCAT!BF:BF,"NaN")))</f>
        <v>NaN</v>
      </c>
      <c r="EV74" s="8" t="str">
        <f>IF(_xlfn.XLOOKUP($A74,TabCAT!$A:$A,TabCAT!BG:BG,"NaN")="","NaN",(_xlfn.XLOOKUP($A74,TabCAT!$A:$A,TabCAT!BG:BG,"NaN")))</f>
        <v>NaN</v>
      </c>
      <c r="EW74" s="8" t="str">
        <f>IF(_xlfn.XLOOKUP($A74,TabCAT!$A:$A,TabCAT!BH:BH,"NaN")="","NaN",(_xlfn.XLOOKUP($A74,TabCAT!$A:$A,TabCAT!BH:BH,"NaN")))</f>
        <v>NaN</v>
      </c>
      <c r="EX74" s="8" t="str">
        <f>IF(_xlfn.XLOOKUP($A74,TabCAT!$A:$A,TabCAT!BI:BI,"NaN")="","NaN",(_xlfn.XLOOKUP($A74,TabCAT!$A:$A,TabCAT!BI:BI,"NaN")))</f>
        <v>NaN</v>
      </c>
      <c r="EY74" s="8" t="str">
        <f>IF(_xlfn.XLOOKUP($A74,TabCAT!$A:$A,TabCAT!BJ:BJ,"NaN")="","NaN",(_xlfn.XLOOKUP($A74,TabCAT!$A:$A,TabCAT!BJ:BJ,"NaN")))</f>
        <v>NaN</v>
      </c>
      <c r="EZ74" s="8" t="str">
        <f>IF(_xlfn.XLOOKUP($A74,TabCAT!$A:$A,TabCAT!BK:BK,"NaN")="","NaN",(_xlfn.XLOOKUP($A74,TabCAT!$A:$A,TabCAT!BK:BK,"NaN")))</f>
        <v>NaN</v>
      </c>
      <c r="FA74" s="8" t="str">
        <f>IF(_xlfn.XLOOKUP($A74,TabCAT!$A:$A,TabCAT!BL:BL,"NaN")="","NaN",(_xlfn.XLOOKUP($A74,TabCAT!$A:$A,TabCAT!BL:BL,"NaN")))</f>
        <v>NaN</v>
      </c>
      <c r="FB74" s="8" t="str">
        <f>IF(_xlfn.XLOOKUP($A74,TabCAT!$A:$A,TabCAT!BM:BM,"NaN")="","NaN",(_xlfn.XLOOKUP($A74,TabCAT!$A:$A,TabCAT!BM:BM,"NaN")))</f>
        <v>NaN</v>
      </c>
      <c r="FC74" s="8" t="str">
        <f>IF(_xlfn.XLOOKUP($A74,TabCAT!$A:$A,TabCAT!BN:BN,"NaN")="","NaN",(_xlfn.XLOOKUP($A74,TabCAT!$A:$A,TabCAT!BN:BN,"NaN")))</f>
        <v>NaN</v>
      </c>
      <c r="FD74" s="8" t="str">
        <f>IF(_xlfn.XLOOKUP($A74,TabCAT!$A:$A,TabCAT!BO:BO,"NaN")="","NaN",(_xlfn.XLOOKUP($A74,TabCAT!$A:$A,TabCAT!BO:BO,"NaN")))</f>
        <v>NaN</v>
      </c>
      <c r="FE74" s="8" t="str">
        <f>IF(_xlfn.XLOOKUP($A74,TabCAT!$A:$A,TabCAT!BP:BP,"NaN")="","NaN",(_xlfn.XLOOKUP($A74,TabCAT!$A:$A,TabCAT!BP:BP,"NaN")))</f>
        <v>NaN</v>
      </c>
      <c r="FF74" s="8" t="str">
        <f>IF(_xlfn.XLOOKUP($A74,TabCAT!$A:$A,TabCAT!BQ:BQ,"NaN")="","NaN",(_xlfn.XLOOKUP($A74,TabCAT!$A:$A,TabCAT!BQ:BQ,"NaN")))</f>
        <v>NaN</v>
      </c>
      <c r="FG74" s="8" t="str">
        <f>IF(_xlfn.XLOOKUP($A74,TabCAT!$A:$A,TabCAT!BR:BR,"NaN")="","NaN",(_xlfn.XLOOKUP($A74,TabCAT!$A:$A,TabCAT!BR:BR,"NaN")))</f>
        <v>NaN</v>
      </c>
      <c r="FH74" s="8" t="str">
        <f>IF(_xlfn.XLOOKUP($A74,TabCAT!$A:$A,TabCAT!BS:BS,"NaN")="","NaN",(_xlfn.XLOOKUP($A74,TabCAT!$A:$A,TabCAT!BS:BS,"NaN")))</f>
        <v>NaN</v>
      </c>
      <c r="FI74" s="8" t="str">
        <f>IF(_xlfn.XLOOKUP($A74,TabCAT!$A:$A,TabCAT!BT:BT,"NaN")="","NaN",(_xlfn.XLOOKUP($A74,TabCAT!$A:$A,TabCAT!BT:BT,"NaN")))</f>
        <v>NaN</v>
      </c>
      <c r="FJ74" s="8" t="str">
        <f>IF(_xlfn.XLOOKUP($A74,TabCAT!$A:$A,TabCAT!BU:BU,"NaN")="","NaN",(_xlfn.XLOOKUP($A74,TabCAT!$A:$A,TabCAT!BU:BU,"NaN")))</f>
        <v>NaN</v>
      </c>
      <c r="FK74" s="8" t="str">
        <f>IF(_xlfn.XLOOKUP($A74,TabCAT!$A:$A,TabCAT!BV:BV,"NaN")="","NaN",(_xlfn.XLOOKUP($A74,TabCAT!$A:$A,TabCAT!BV:BV,"NaN")))</f>
        <v>NaN</v>
      </c>
      <c r="FL74" s="8" t="str">
        <f>IF(_xlfn.XLOOKUP($A74,TabCAT!$A:$A,TabCAT!BW:BW,"NaN")="","NaN",(_xlfn.XLOOKUP($A74,TabCAT!$A:$A,TabCAT!BW:BW,"NaN")))</f>
        <v>NaN</v>
      </c>
      <c r="FM74" s="8" t="str">
        <f>IF(_xlfn.XLOOKUP($A74,TabCAT!$A:$A,TabCAT!BX:BX,"NaN")="","NaN",(_xlfn.XLOOKUP($A74,TabCAT!$A:$A,TabCAT!BX:BX,"NaN")))</f>
        <v>NaN</v>
      </c>
      <c r="FN74" s="8" t="str">
        <f>IF(_xlfn.XLOOKUP($A74,TabCAT!$A:$A,TabCAT!BY:BY,"NaN")="","NaN",(_xlfn.XLOOKUP($A74,TabCAT!$A:$A,TabCAT!BY:BY,"NaN")))</f>
        <v>NaN</v>
      </c>
      <c r="FO74" s="8" t="str">
        <f>IF(_xlfn.XLOOKUP($A74,TabCAT!$A:$A,TabCAT!BZ:BZ,"NaN")="","NaN",(_xlfn.XLOOKUP($A74,TabCAT!$A:$A,TabCAT!BZ:BZ,"NaN")))</f>
        <v>NaN</v>
      </c>
      <c r="FP74" s="8" t="str">
        <f>IF(_xlfn.XLOOKUP($A74,TabCAT!$A:$A,TabCAT!CA:CA,"NaN")="","NaN",(_xlfn.XLOOKUP($A74,TabCAT!$A:$A,TabCAT!CA:CA,"NaN")))</f>
        <v>NaN</v>
      </c>
      <c r="FQ74" s="8" t="str">
        <f>IF(_xlfn.XLOOKUP($A74,TabCAT!$A:$A,TabCAT!CB:CB,"NaN")="","NaN",(_xlfn.XLOOKUP($A74,TabCAT!$A:$A,TabCAT!CB:CB,"NaN")))</f>
        <v>NaN</v>
      </c>
      <c r="FR74" s="8" t="str">
        <f>IF(_xlfn.XLOOKUP($A74,TabCAT!$A:$A,TabCAT!CC:CC,"NaN")="","NaN",(_xlfn.XLOOKUP($A74,TabCAT!$A:$A,TabCAT!CC:CC,"NaN")))</f>
        <v>NaN</v>
      </c>
      <c r="FS74" s="8" t="str">
        <f>IF(_xlfn.XLOOKUP($A74,TabCAT!$A:$A,TabCAT!CD:CD,"NaN")="","NaN",(_xlfn.XLOOKUP($A74,TabCAT!$A:$A,TabCAT!CD:CD,"NaN")))</f>
        <v>NaN</v>
      </c>
      <c r="FT74" s="8" t="str">
        <f>IF(_xlfn.XLOOKUP($A74,TabCAT!$A:$A,TabCAT!CE:CE,"NaN")="","NaN",(_xlfn.XLOOKUP($A74,TabCAT!$A:$A,TabCAT!CE:CE,"NaN")))</f>
        <v>NaN</v>
      </c>
      <c r="FU74" s="8" t="str">
        <f>IF(_xlfn.XLOOKUP($A74,TabCAT!$A:$A,TabCAT!CF:CF,"NaN")="","NaN",(_xlfn.XLOOKUP($A74,TabCAT!$A:$A,TabCAT!CF:CF,"NaN")))</f>
        <v>NaN</v>
      </c>
      <c r="FV74" s="8" t="str">
        <f>IF(_xlfn.XLOOKUP($A74,TabCAT!$A:$A,TabCAT!CG:CG,"NaN")="","NaN",(_xlfn.XLOOKUP($A74,TabCAT!$A:$A,TabCAT!CG:CG,"NaN")))</f>
        <v>NaN</v>
      </c>
      <c r="FW74" s="8" t="str">
        <f>IF(_xlfn.XLOOKUP($A74,TabCAT!$A:$A,TabCAT!CH:CH,"NaN")="","NaN",(_xlfn.XLOOKUP($A74,TabCAT!$A:$A,TabCAT!CH:CH,"NaN")))</f>
        <v>NaN</v>
      </c>
      <c r="FX74" s="8" t="str">
        <f>IF(_xlfn.XLOOKUP($A74,TabCAT!$A:$A,TabCAT!CI:CI,"NaN")="","NaN",(_xlfn.XLOOKUP($A74,TabCAT!$A:$A,TabCAT!CI:CI,"NaN")))</f>
        <v>NaN</v>
      </c>
      <c r="FY74" s="8" t="str">
        <f>IF(_xlfn.XLOOKUP($A74,TabCAT!$A:$A,TabCAT!CJ:CJ,"NaN")="","NaN",(_xlfn.XLOOKUP($A74,TabCAT!$A:$A,TabCAT!CJ:CJ,"NaN")))</f>
        <v>NaN</v>
      </c>
      <c r="FZ74" s="8" t="str">
        <f>IF(_xlfn.XLOOKUP($A74,TabCAT!$A:$A,TabCAT!CK:CK,"NaN")="","NaN",(_xlfn.XLOOKUP($A74,TabCAT!$A:$A,TabCAT!CK:CK,"NaN")))</f>
        <v>NaN</v>
      </c>
      <c r="GA74" s="8" t="str">
        <f>IF(_xlfn.XLOOKUP($A74,TabCAT!$A:$A,TabCAT!CL:CL,"NaN")="","NaN",(_xlfn.XLOOKUP($A74,TabCAT!$A:$A,TabCAT!CL:CL,"NaN")))</f>
        <v>NaN</v>
      </c>
      <c r="GB74" s="8" t="str">
        <f>IF(_xlfn.XLOOKUP($A74,TabCAT!$A:$A,TabCAT!CM:CM,"NaN")="","NaN",(_xlfn.XLOOKUP($A74,TabCAT!$A:$A,TabCAT!CM:CM,"NaN")))</f>
        <v>NaN</v>
      </c>
      <c r="GC74" s="8" t="str">
        <f>IF(_xlfn.XLOOKUP($A74,TabCAT!$A:$A,TabCAT!CN:CN,"NaN")="","NaN",(_xlfn.XLOOKUP($A74,TabCAT!$A:$A,TabCAT!CN:CN,"NaN")))</f>
        <v>NaN</v>
      </c>
      <c r="GD74" s="8" t="str">
        <f>IF(_xlfn.XLOOKUP($A74,TabCAT!$A:$A,TabCAT!CO:CO,"NaN")="","NaN",(_xlfn.XLOOKUP($A74,TabCAT!$A:$A,TabCAT!CO:CO,"NaN")))</f>
        <v>NaN</v>
      </c>
      <c r="GE74" s="8" t="str">
        <f>IF(_xlfn.XLOOKUP($A74,TabCAT!$A:$A,TabCAT!CP:CP,"NaN")="","NaN",(_xlfn.XLOOKUP($A74,TabCAT!$A:$A,TabCAT!CP:CP,"NaN")))</f>
        <v>NaN</v>
      </c>
      <c r="GF74" s="8" t="str">
        <f>IF(_xlfn.XLOOKUP($A74,TabCAT!$A:$A,TabCAT!CQ:CQ,"NaN")="","NaN",(_xlfn.XLOOKUP($A74,TabCAT!$A:$A,TabCAT!CQ:CQ,"NaN")))</f>
        <v>NaN</v>
      </c>
      <c r="GG74" s="8" t="str">
        <f>IF(_xlfn.XLOOKUP($A74,TabCAT!$A:$A,TabCAT!CR:CR,"NaN")="","NaN",(_xlfn.XLOOKUP($A74,TabCAT!$A:$A,TabCAT!CR:CR,"NaN")))</f>
        <v>NaN</v>
      </c>
      <c r="GH74" s="8" t="str">
        <f>IF(_xlfn.XLOOKUP($A74,TabCAT!$A:$A,TabCAT!CS:CS,"NaN")="","NaN",(_xlfn.XLOOKUP($A74,TabCAT!$A:$A,TabCAT!CS:CS,"NaN")))</f>
        <v>NaN</v>
      </c>
    </row>
    <row r="75" spans="1:190" x14ac:dyDescent="0.2">
      <c r="A75">
        <f>trust!A75</f>
        <v>0</v>
      </c>
      <c r="B75" t="e">
        <f>_xlfn.XLOOKUP(bippity_poppity_boo!A75,rf1_data!A:A,rf1_data!B:B)</f>
        <v>#N/A</v>
      </c>
      <c r="C75" s="2" t="str">
        <f>(_xlfn.XLOOKUP($A75,trust!$A:$A,trust!B:B,"NaN"))</f>
        <v>NaN</v>
      </c>
      <c r="D75" s="2" t="str">
        <f>(_xlfn.XLOOKUP($A75,trust!$A:$A,trust!C:C,"NaN"))</f>
        <v>NaN</v>
      </c>
      <c r="E75" s="2" t="str">
        <f>(_xlfn.XLOOKUP($A75,trust!$A:$A,trust!D:D,"NaN"))</f>
        <v>NaN</v>
      </c>
      <c r="F75" s="2" t="str">
        <f>(_xlfn.XLOOKUP($A75,trust!$A:$A,trust!E:E,"NaN"))</f>
        <v>NaN</v>
      </c>
      <c r="G75" s="2" t="str">
        <f>(_xlfn.XLOOKUP($A75,trust!$A:$A,trust!F:F,"NaN"))</f>
        <v>NaN</v>
      </c>
      <c r="H75" s="2" t="str">
        <f>(_xlfn.XLOOKUP($A75,trust!$A:$A,trust!G:G,"NaN"))</f>
        <v>NaN</v>
      </c>
      <c r="I75" s="3" t="e">
        <f>IF(_xlfn.XLOOKUP($B75,island_data!$B:$B,island_data!C:C,"NaN")="","NaN",_xlfn.XLOOKUP($B75,island_data!$B:$B,island_data!C:C,"NaN"))</f>
        <v>#N/A</v>
      </c>
      <c r="J75" s="3" t="e">
        <f>IF(_xlfn.XLOOKUP($B75,island_data!$B:$B,island_data!D:D,"NaN")="","NaN",_xlfn.XLOOKUP($B75,island_data!$B:$B,island_data!D:D,"NaN"))</f>
        <v>#N/A</v>
      </c>
      <c r="K75" s="4" t="e">
        <f>IF(_xlfn.XLOOKUP($B75,island_data!$B:$B,island_data!E:E,"NaN")="","NaN",_xlfn.XLOOKUP($B75,island_data!$B:$B,island_data!E:E,"NaN"))</f>
        <v>#N/A</v>
      </c>
      <c r="L75" s="5" t="e">
        <f>IF(_xlfn.XLOOKUP($B75,rf1_data!$B:$B,rf1_data!D:D,"NaN")="","NaN",(_xlfn.XLOOKUP($B75,rf1_data!$B:$B,rf1_data!D:D,"NaN")))</f>
        <v>#N/A</v>
      </c>
      <c r="M75" s="5" t="e">
        <f>IF(_xlfn.XLOOKUP($B75,rf1_data!$B:$B,rf1_data!E:E,"NaN")="","NaN",(_xlfn.XLOOKUP($B75,rf1_data!$B:$B,rf1_data!E:E,"NaN")))</f>
        <v>#N/A</v>
      </c>
      <c r="N75" s="5" t="e">
        <f>IF(_xlfn.XLOOKUP($B75,rf1_data!$B:$B,rf1_data!F:F,"NaN")="","NaN",(_xlfn.XLOOKUP($B75,rf1_data!$B:$B,rf1_data!F:F,"NaN")))</f>
        <v>#N/A</v>
      </c>
      <c r="O75" s="5" t="e">
        <f>IF(_xlfn.XLOOKUP($B75,rf1_data!$B:$B,rf1_data!G:G,"NaN")="","NaN",(_xlfn.XLOOKUP($B75,rf1_data!$B:$B,rf1_data!G:G,"NaN")))</f>
        <v>#N/A</v>
      </c>
      <c r="P75" s="5" t="e">
        <f>IF(_xlfn.XLOOKUP($B75,rf1_data!$B:$B,rf1_data!H:H,"NaN")="","NaN",(_xlfn.XLOOKUP($B75,rf1_data!$B:$B,rf1_data!H:H,"NaN")))</f>
        <v>#N/A</v>
      </c>
      <c r="Q75" s="5" t="e">
        <f>IF(_xlfn.XLOOKUP($B75,rf1_data!$B:$B,rf1_data!I:I,"NaN")="","NaN",(_xlfn.XLOOKUP($B75,rf1_data!$B:$B,rf1_data!I:I,"NaN")))</f>
        <v>#N/A</v>
      </c>
      <c r="R75" s="5" t="e">
        <f>IF(_xlfn.XLOOKUP($B75,rf1_data!$B:$B,rf1_data!J:J,"NaN")="","NaN",(_xlfn.XLOOKUP($B75,rf1_data!$B:$B,rf1_data!J:J,"NaN")))</f>
        <v>#N/A</v>
      </c>
      <c r="S75" s="5" t="e">
        <f>IF(_xlfn.XLOOKUP($B75,rf1_data!$B:$B,rf1_data!K:K,"NaN")="","NaN",(_xlfn.XLOOKUP($B75,rf1_data!$B:$B,rf1_data!K:K,"NaN")))</f>
        <v>#N/A</v>
      </c>
      <c r="T75" s="5" t="e">
        <f>IF(_xlfn.XLOOKUP($B75,rf1_data!$B:$B,rf1_data!L:L,"NaN")="","NaN",(_xlfn.XLOOKUP($B75,rf1_data!$B:$B,rf1_data!L:L,"NaN")))</f>
        <v>#N/A</v>
      </c>
      <c r="U75" s="5" t="e">
        <f>IF(_xlfn.XLOOKUP($B75,rf1_data!$B:$B,rf1_data!M:M,"NaN")="","NaN",(_xlfn.XLOOKUP($B75,rf1_data!$B:$B,rf1_data!M:M,"NaN")))</f>
        <v>#N/A</v>
      </c>
      <c r="V75" s="5" t="e">
        <f>IF(_xlfn.XLOOKUP($B75,rf1_data!$B:$B,rf1_data!N:N,"NaN")="","NaN",(_xlfn.XLOOKUP($B75,rf1_data!$B:$B,rf1_data!N:N,"NaN")))</f>
        <v>#N/A</v>
      </c>
      <c r="W75" s="5" t="e">
        <f>IF(_xlfn.XLOOKUP($B75,rf1_data!$B:$B,rf1_data!O:O,"NaN")="","NaN",(_xlfn.XLOOKUP($B75,rf1_data!$B:$B,rf1_data!O:O,"NaN")))</f>
        <v>#N/A</v>
      </c>
      <c r="X75" s="5" t="e">
        <f>IF(_xlfn.XLOOKUP($B75,rf1_data!$B:$B,rf1_data!P:P,"NaN")="","NaN",(_xlfn.XLOOKUP($B75,rf1_data!$B:$B,rf1_data!P:P,"NaN")))</f>
        <v>#N/A</v>
      </c>
      <c r="Y75" s="5" t="e">
        <f>IF(_xlfn.XLOOKUP($B75,rf1_data!$B:$B,rf1_data!Q:Q,"NaN")="","NaN",(_xlfn.XLOOKUP($B75,rf1_data!$B:$B,rf1_data!Q:Q,"NaN")))</f>
        <v>#N/A</v>
      </c>
      <c r="Z75" s="5" t="e">
        <f>IF(_xlfn.XLOOKUP($B75,rf1_data!$B:$B,rf1_data!R:R,"NaN")="","NaN",(_xlfn.XLOOKUP($B75,rf1_data!$B:$B,rf1_data!R:R,"NaN")))</f>
        <v>#N/A</v>
      </c>
      <c r="AA75" s="5" t="e">
        <f>IF(_xlfn.XLOOKUP($B75,rf1_data!$B:$B,rf1_data!S:S,"NaN")="","NaN",(_xlfn.XLOOKUP($B75,rf1_data!$B:$B,rf1_data!S:S,"NaN")))</f>
        <v>#N/A</v>
      </c>
      <c r="AB75" s="5" t="e">
        <f>IF(_xlfn.XLOOKUP($B75,rf1_data!$B:$B,rf1_data!T:T,"NaN")="","NaN",(_xlfn.XLOOKUP($B75,rf1_data!$B:$B,rf1_data!T:T,"NaN")))</f>
        <v>#N/A</v>
      </c>
      <c r="AC75" s="5" t="e">
        <f>IF(_xlfn.XLOOKUP($B75,rf1_data!$B:$B,rf1_data!U:U,"NaN")="","NaN",(_xlfn.XLOOKUP($B75,rf1_data!$B:$B,rf1_data!U:U,"NaN")))</f>
        <v>#N/A</v>
      </c>
      <c r="AD75" s="5" t="e">
        <f>IF(_xlfn.XLOOKUP($B75,rf1_data!$B:$B,rf1_data!V:V,"NaN")="","NaN",(_xlfn.XLOOKUP($B75,rf1_data!$B:$B,rf1_data!V:V,"NaN")))</f>
        <v>#N/A</v>
      </c>
      <c r="AE75" s="5" t="e">
        <f>IF(_xlfn.XLOOKUP($B75,rf1_data!$B:$B,rf1_data!W:W,"NaN")="","NaN",(_xlfn.XLOOKUP($B75,rf1_data!$B:$B,rf1_data!W:W,"NaN")))</f>
        <v>#N/A</v>
      </c>
      <c r="AF75" s="5" t="e">
        <f>IF(_xlfn.XLOOKUP($B75,rf1_data!$B:$B,rf1_data!X:X,"NaN")="","NaN",(_xlfn.XLOOKUP($B75,rf1_data!$B:$B,rf1_data!X:X,"NaN")))</f>
        <v>#N/A</v>
      </c>
      <c r="AG75" s="5" t="e">
        <f>IF(_xlfn.XLOOKUP($B75,rf1_data!$B:$B,rf1_data!Y:Y,"NaN")="","NaN",(_xlfn.XLOOKUP($B75,rf1_data!$B:$B,rf1_data!Y:Y,"NaN")))</f>
        <v>#N/A</v>
      </c>
      <c r="AH75" s="5" t="e">
        <f>IF(_xlfn.XLOOKUP($B75,rf1_data!$B:$B,rf1_data!Z:Z,"NaN")="","NaN",(_xlfn.XLOOKUP($B75,rf1_data!$B:$B,rf1_data!Z:Z,"NaN")))</f>
        <v>#N/A</v>
      </c>
      <c r="AI75" s="5" t="e">
        <f>IF(_xlfn.XLOOKUP($B75,rf1_data!$B:$B,rf1_data!AA:AA,"NaN")="","NaN",(_xlfn.XLOOKUP($B75,rf1_data!$B:$B,rf1_data!AA:AA,"NaN")))</f>
        <v>#N/A</v>
      </c>
      <c r="AJ75" s="5" t="e">
        <f>IF(_xlfn.XLOOKUP($B75,rf1_data!$B:$B,rf1_data!AB:AB,"NaN")="","NaN",(_xlfn.XLOOKUP($B75,rf1_data!$B:$B,rf1_data!AB:AB,"NaN")))</f>
        <v>#N/A</v>
      </c>
      <c r="AK75" s="5" t="e">
        <f>IF(_xlfn.XLOOKUP($B75,rf1_data!$B:$B,rf1_data!AC:AC,"NaN")="","NaN",(_xlfn.XLOOKUP($B75,rf1_data!$B:$B,rf1_data!AC:AC,"NaN")))</f>
        <v>#N/A</v>
      </c>
      <c r="AL75" s="5" t="e">
        <f>IF(_xlfn.XLOOKUP($B75,rf1_data!$B:$B,rf1_data!AD:AD,"NaN")="","NaN",(_xlfn.XLOOKUP($B75,rf1_data!$B:$B,rf1_data!AD:AD,"NaN")))</f>
        <v>#N/A</v>
      </c>
      <c r="AM75" s="5" t="e">
        <f>IF(_xlfn.XLOOKUP($B75,rf1_data!$B:$B,rf1_data!AE:AE,"NaN")="","NaN",(_xlfn.XLOOKUP($B75,rf1_data!$B:$B,rf1_data!AE:AE,"NaN")))</f>
        <v>#N/A</v>
      </c>
      <c r="AN75" s="5" t="e">
        <f>IF(_xlfn.XLOOKUP($B75,rf1_data!$B:$B,rf1_data!AF:AF,"NaN")="","NaN",(_xlfn.XLOOKUP($B75,rf1_data!$B:$B,rf1_data!AF:AF,"NaN")))</f>
        <v>#N/A</v>
      </c>
      <c r="AO75" s="5" t="e">
        <f>IF(_xlfn.XLOOKUP($B75,rf1_data!$B:$B,rf1_data!AG:AG,"NaN")="","NaN",(_xlfn.XLOOKUP($B75,rf1_data!$B:$B,rf1_data!AG:AG,"NaN")))</f>
        <v>#N/A</v>
      </c>
      <c r="AP75" s="5" t="e">
        <f>IF(_xlfn.XLOOKUP($B75,rf1_data!$B:$B,rf1_data!AH:AH,"NaN")="","NaN",(_xlfn.XLOOKUP($B75,rf1_data!$B:$B,rf1_data!AH:AH,"NaN")))</f>
        <v>#N/A</v>
      </c>
      <c r="AQ75" s="5" t="e">
        <f>IF(_xlfn.XLOOKUP($B75,rf1_data!$B:$B,rf1_data!AI:AI,"NaN")="","NaN",(_xlfn.XLOOKUP($B75,rf1_data!$B:$B,rf1_data!AI:AI,"NaN")))</f>
        <v>#N/A</v>
      </c>
      <c r="AR75" s="5" t="e">
        <f>IF(_xlfn.XLOOKUP($B75,rf1_data!$B:$B,rf1_data!AJ:AJ,"NaN")="","NaN",(_xlfn.XLOOKUP($B75,rf1_data!$B:$B,rf1_data!AJ:AJ,"NaN")))</f>
        <v>#N/A</v>
      </c>
      <c r="AS75" s="5" t="e">
        <f>IF(_xlfn.XLOOKUP($B75,rf1_data!$B:$B,rf1_data!AK:AK,"NaN")="","NaN",(_xlfn.XLOOKUP($B75,rf1_data!$B:$B,rf1_data!AK:AK,"NaN")))</f>
        <v>#N/A</v>
      </c>
      <c r="AT75" s="5" t="e">
        <f>IF(_xlfn.XLOOKUP($B75,rf1_data!$B:$B,rf1_data!AL:AL,"NaN")="","NaN",(_xlfn.XLOOKUP($B75,rf1_data!$B:$B,rf1_data!AL:AL,"NaN")))</f>
        <v>#N/A</v>
      </c>
      <c r="AU75" s="5" t="e">
        <f>IF(_xlfn.XLOOKUP($B75,rf1_data!$B:$B,rf1_data!AM:AM,"NaN")="","NaN",(_xlfn.XLOOKUP($B75,rf1_data!$B:$B,rf1_data!AM:AM,"NaN")))</f>
        <v>#N/A</v>
      </c>
      <c r="AV75" s="5" t="e">
        <f>IF(_xlfn.XLOOKUP($B75,rf1_data!$B:$B,rf1_data!AN:AN,"NaN")="","NaN",(_xlfn.XLOOKUP($B75,rf1_data!$B:$B,rf1_data!AN:AN,"NaN")))</f>
        <v>#N/A</v>
      </c>
      <c r="AW75" s="5" t="e">
        <f>IF(_xlfn.XLOOKUP($B75,rf1_data!$B:$B,rf1_data!AO:AO,"NaN")="","NaN",(_xlfn.XLOOKUP($B75,rf1_data!$B:$B,rf1_data!AO:AO,"NaN")))</f>
        <v>#N/A</v>
      </c>
      <c r="AX75" s="5" t="e">
        <f>IF(_xlfn.XLOOKUP($B75,rf1_data!$B:$B,rf1_data!AP:AP,"NaN")="","NaN",(_xlfn.XLOOKUP($B75,rf1_data!$B:$B,rf1_data!AP:AP,"NaN")))</f>
        <v>#N/A</v>
      </c>
      <c r="AY75" s="5" t="e">
        <f>IF(_xlfn.XLOOKUP($B75,rf1_data!$B:$B,rf1_data!AQ:AQ,"NaN")="","NaN",(_xlfn.XLOOKUP($B75,rf1_data!$B:$B,rf1_data!AQ:AQ,"NaN")))</f>
        <v>#N/A</v>
      </c>
      <c r="AZ75" s="5" t="e">
        <f>IF(_xlfn.XLOOKUP($B75,rf1_data!$B:$B,rf1_data!AR:AR,"NaN")="","NaN",(_xlfn.XLOOKUP($B75,rf1_data!$B:$B,rf1_data!AR:AR,"NaN")))</f>
        <v>#N/A</v>
      </c>
      <c r="BA75" s="5" t="e">
        <f>IF(_xlfn.XLOOKUP($B75,rf1_data!$B:$B,rf1_data!AS:AS,"NaN")="","NaN",(_xlfn.XLOOKUP($B75,rf1_data!$B:$B,rf1_data!AS:AS,"NaN")))</f>
        <v>#N/A</v>
      </c>
      <c r="BB75" s="5" t="e">
        <f>IF(_xlfn.XLOOKUP($B75,rf1_data!$B:$B,rf1_data!AT:AT,"NaN")="","NaN",(_xlfn.XLOOKUP($B75,rf1_data!$B:$B,rf1_data!AT:AT,"NaN")))</f>
        <v>#N/A</v>
      </c>
      <c r="BC75" s="5" t="e">
        <f>IF(_xlfn.XLOOKUP($B75,rf1_data!$B:$B,rf1_data!AU:AU,"NaN")="","NaN",(_xlfn.XLOOKUP($B75,rf1_data!$B:$B,rf1_data!AU:AU,"NaN")))</f>
        <v>#N/A</v>
      </c>
      <c r="BD75" s="5" t="e">
        <f>IF(_xlfn.XLOOKUP($B75,rf1_data!$B:$B,rf1_data!AV:AV,"NaN")="","NaN",(_xlfn.XLOOKUP($B75,rf1_data!$B:$B,rf1_data!AV:AV,"NaN")))</f>
        <v>#N/A</v>
      </c>
      <c r="BE75" s="5" t="e">
        <f>IF(_xlfn.XLOOKUP($B75,rf1_data!$B:$B,rf1_data!AW:AW,"NaN")="","NaN",(_xlfn.XLOOKUP($B75,rf1_data!$B:$B,rf1_data!AW:AW,"NaN")))</f>
        <v>#N/A</v>
      </c>
      <c r="BF75" s="5" t="e">
        <f>IF(_xlfn.XLOOKUP($B75,rf1_data!$B:$B,rf1_data!AX:AX,"NaN")="","NaN",(_xlfn.XLOOKUP($B75,rf1_data!$B:$B,rf1_data!AX:AX,"NaN")))</f>
        <v>#N/A</v>
      </c>
      <c r="BG75" s="5" t="e">
        <f>IF(_xlfn.XLOOKUP($B75,rf1_data!$B:$B,rf1_data!AY:AY,"NaN")="","NaN",(_xlfn.XLOOKUP($B75,rf1_data!$B:$B,rf1_data!AY:AY,"NaN")))</f>
        <v>#N/A</v>
      </c>
      <c r="BH75" s="5" t="e">
        <f>IF(_xlfn.XLOOKUP($B75,rf1_data!$B:$B,rf1_data!AZ:AZ,"NaN")="","NaN",(_xlfn.XLOOKUP($B75,rf1_data!$B:$B,rf1_data!AZ:AZ,"NaN")))</f>
        <v>#N/A</v>
      </c>
      <c r="BI75" s="5" t="e">
        <f>IF(_xlfn.XLOOKUP($B75,rf1_data!$B:$B,rf1_data!BA:BA,"NaN")="","NaN",(_xlfn.XLOOKUP($B75,rf1_data!$B:$B,rf1_data!BA:BA,"NaN")))</f>
        <v>#N/A</v>
      </c>
      <c r="BJ75" s="5" t="e">
        <f>IF(_xlfn.XLOOKUP($B75,rf1_data!$B:$B,rf1_data!BB:BB,"NaN")="","NaN",(_xlfn.XLOOKUP($B75,rf1_data!$B:$B,rf1_data!BB:BB,"NaN")))</f>
        <v>#N/A</v>
      </c>
      <c r="BK75" s="5" t="e">
        <f>IF(_xlfn.XLOOKUP($B75,rf1_data!$B:$B,rf1_data!BC:BC,"NaN")="","NaN",(_xlfn.XLOOKUP($B75,rf1_data!$B:$B,rf1_data!BC:BC,"NaN")))</f>
        <v>#N/A</v>
      </c>
      <c r="BL75" s="5" t="e">
        <f>IF(_xlfn.XLOOKUP($B75,rf1_data!$B:$B,rf1_data!BD:BD,"NaN")="","NaN",(_xlfn.XLOOKUP($B75,rf1_data!$B:$B,rf1_data!BD:BD,"NaN")))</f>
        <v>#N/A</v>
      </c>
      <c r="BM75" s="5" t="e">
        <f>IF(_xlfn.XLOOKUP($B75,rf1_data!$B:$B,rf1_data!BE:BE,"NaN")="","NaN",(_xlfn.XLOOKUP($B75,rf1_data!$B:$B,rf1_data!BE:BE,"NaN")))</f>
        <v>#N/A</v>
      </c>
      <c r="BN75" s="5" t="e">
        <f>IF(_xlfn.XLOOKUP($B75,rf1_data!$B:$B,rf1_data!BF:BF,"NaN")="","NaN",(_xlfn.XLOOKUP($B75,rf1_data!$B:$B,rf1_data!BF:BF,"NaN")))</f>
        <v>#N/A</v>
      </c>
      <c r="BO75" s="5" t="e">
        <f>IF(_xlfn.XLOOKUP($B75,rf1_data!$B:$B,rf1_data!BG:BG,"NaN")="","NaN",(_xlfn.XLOOKUP($B75,rf1_data!$B:$B,rf1_data!BG:BG,"NaN")))</f>
        <v>#N/A</v>
      </c>
      <c r="BP75" s="5" t="e">
        <f>IF(_xlfn.XLOOKUP($B75,rf1_data!$B:$B,rf1_data!BH:BH,"NaN")="","NaN",(_xlfn.XLOOKUP($B75,rf1_data!$B:$B,rf1_data!BH:BH,"NaN")))</f>
        <v>#N/A</v>
      </c>
      <c r="BQ75" s="5" t="e">
        <f>IF(_xlfn.XLOOKUP($B75,rf1_data!$B:$B,rf1_data!BI:BI,"NaN")="","NaN",(_xlfn.XLOOKUP($B75,rf1_data!$B:$B,rf1_data!BI:BI,"NaN")))</f>
        <v>#N/A</v>
      </c>
      <c r="BR75" s="5" t="e">
        <f>IF(_xlfn.XLOOKUP($B75,rf1_data!$B:$B,rf1_data!BJ:BJ,"NaN")="","NaN",(_xlfn.XLOOKUP($B75,rf1_data!$B:$B,rf1_data!BJ:BJ,"NaN")))</f>
        <v>#N/A</v>
      </c>
      <c r="BS75" s="5" t="e">
        <f>IF(_xlfn.XLOOKUP($B75,rf1_data!$B:$B,rf1_data!BK:BK,"NaN")="","NaN",(_xlfn.XLOOKUP($B75,rf1_data!$B:$B,rf1_data!BK:BK,"NaN")))</f>
        <v>#N/A</v>
      </c>
      <c r="BT75" s="5" t="e">
        <f>IF(_xlfn.XLOOKUP($B75,rf1_data!$B:$B,rf1_data!BL:BL,"NaN")="","NaN",(_xlfn.XLOOKUP($B75,rf1_data!$B:$B,rf1_data!BL:BL,"NaN")))</f>
        <v>#N/A</v>
      </c>
      <c r="BU75" s="5" t="e">
        <f>IF(_xlfn.XLOOKUP($B75,rf1_data!$B:$B,rf1_data!BM:BM,"NaN")="","NaN",(_xlfn.XLOOKUP($B75,rf1_data!$B:$B,rf1_data!BM:BM,"NaN")))</f>
        <v>#N/A</v>
      </c>
      <c r="BV75" s="5" t="e">
        <f>IF(_xlfn.XLOOKUP($B75,rf1_data!$B:$B,rf1_data!BN:BN,"NaN")="","NaN",(_xlfn.XLOOKUP($B75,rf1_data!$B:$B,rf1_data!BN:BN,"NaN")))</f>
        <v>#N/A</v>
      </c>
      <c r="BW75" s="5" t="e">
        <f>IF(_xlfn.XLOOKUP($B75,rf1_data!$B:$B,rf1_data!BO:BO,"NaN")="","NaN",(_xlfn.XLOOKUP($B75,rf1_data!$B:$B,rf1_data!BO:BO,"NaN")))</f>
        <v>#N/A</v>
      </c>
      <c r="BX75" s="5" t="e">
        <f>IF(_xlfn.XLOOKUP($B75,rf1_data!$B:$B,rf1_data!BP:BP,"NaN")="","NaN",(_xlfn.XLOOKUP($B75,rf1_data!$B:$B,rf1_data!BP:BP,"NaN")))</f>
        <v>#N/A</v>
      </c>
      <c r="BY75" s="5" t="e">
        <f>IF(_xlfn.XLOOKUP($B75,rf1_data!$B:$B,rf1_data!BQ:BQ,"NaN")="","NaN",(_xlfn.XLOOKUP($B75,rf1_data!$B:$B,rf1_data!BQ:BQ,"NaN")))</f>
        <v>#N/A</v>
      </c>
      <c r="BZ75" s="5" t="e">
        <f>IF(_xlfn.XLOOKUP($B75,rf1_data!$B:$B,rf1_data!BR:BR,"NaN")="","NaN",(_xlfn.XLOOKUP($B75,rf1_data!$B:$B,rf1_data!BR:BR,"NaN")))</f>
        <v>#N/A</v>
      </c>
      <c r="CA75" s="5" t="e">
        <f>IF(_xlfn.XLOOKUP($B75,rf1_data!$B:$B,rf1_data!BS:BS,"NaN")="","NaN",(_xlfn.XLOOKUP($B75,rf1_data!$B:$B,rf1_data!BS:BS,"NaN")))</f>
        <v>#N/A</v>
      </c>
      <c r="CB75" s="5" t="e">
        <f>IF(_xlfn.XLOOKUP($B75,rf1_data!$B:$B,rf1_data!BT:BT,"NaN")="","NaN",(_xlfn.XLOOKUP($B75,rf1_data!$B:$B,rf1_data!BT:BT,"NaN")))</f>
        <v>#N/A</v>
      </c>
      <c r="CC75" s="5" t="e">
        <f>IF(_xlfn.XLOOKUP($B75,rf1_data!$B:$B,rf1_data!BU:BU,"NaN")="","NaN",(_xlfn.XLOOKUP($B75,rf1_data!$B:$B,rf1_data!BU:BU,"NaN")))</f>
        <v>#N/A</v>
      </c>
      <c r="CD75" s="5" t="e">
        <f>IF(_xlfn.XLOOKUP($B75,rf1_data!$B:$B,rf1_data!BV:BV,"NaN")="","NaN",(_xlfn.XLOOKUP($B75,rf1_data!$B:$B,rf1_data!BV:BV,"NaN")))</f>
        <v>#N/A</v>
      </c>
      <c r="CE75" s="5" t="e">
        <f>IF(_xlfn.XLOOKUP($B75,rf1_data!$B:$B,rf1_data!BW:BW,"NaN")="","NaN",(_xlfn.XLOOKUP($B75,rf1_data!$B:$B,rf1_data!BW:BW,"NaN")))</f>
        <v>#N/A</v>
      </c>
      <c r="CF75" s="5" t="e">
        <f>IF(_xlfn.XLOOKUP($B75,rf1_data!$B:$B,rf1_data!BX:BX,"NaN")="","NaN",(_xlfn.XLOOKUP($B75,rf1_data!$B:$B,rf1_data!BX:BX,"NaN")))</f>
        <v>#N/A</v>
      </c>
      <c r="CG75" s="5" t="e">
        <f>IF(_xlfn.XLOOKUP($B75,rf1_data!$B:$B,rf1_data!BY:BY,"NaN")="","NaN",(_xlfn.XLOOKUP($B75,rf1_data!$B:$B,rf1_data!BY:BY,"NaN")))</f>
        <v>#N/A</v>
      </c>
      <c r="CH75" s="5" t="e">
        <f>IF(_xlfn.XLOOKUP($B75,rf1_data!$B:$B,rf1_data!BZ:BZ,"NaN")="","NaN",(_xlfn.XLOOKUP($B75,rf1_data!$B:$B,rf1_data!BZ:BZ,"NaN")))</f>
        <v>#N/A</v>
      </c>
      <c r="CI75" s="5" t="e">
        <f>IF(_xlfn.XLOOKUP($B75,rf1_data!$B:$B,rf1_data!CA:CA,"NaN")="","NaN",(_xlfn.XLOOKUP($B75,rf1_data!$B:$B,rf1_data!CA:CA,"NaN")))</f>
        <v>#N/A</v>
      </c>
      <c r="CJ75" s="5" t="e">
        <f>IF(_xlfn.XLOOKUP($B75,rf1_data!$B:$B,rf1_data!CB:CB,"NaN")="","NaN",(_xlfn.XLOOKUP($B75,rf1_data!$B:$B,rf1_data!CB:CB,"NaN")))</f>
        <v>#N/A</v>
      </c>
      <c r="CK75" s="5" t="e">
        <f>IF(_xlfn.XLOOKUP($B75,rf1_data!$B:$B,rf1_data!CC:CC,"NaN")="","NaN",(_xlfn.XLOOKUP($B75,rf1_data!$B:$B,rf1_data!CC:CC,"NaN")))</f>
        <v>#N/A</v>
      </c>
      <c r="CL75" s="5" t="e">
        <f>IF(_xlfn.XLOOKUP($B75,rf1_data!$B:$B,rf1_data!CD:CD,"NaN")=0,"NaN",(_xlfn.XLOOKUP($B75,rf1_data!$B:$B,rf1_data!CD:CD,"NaN")))</f>
        <v>#N/A</v>
      </c>
      <c r="CM75" s="5" t="e">
        <f>IF(_xlfn.XLOOKUP($B75,rf1_data!$B:$B,rf1_data!CE:CE,"NaN")="","NaN",(_xlfn.XLOOKUP($B75,rf1_data!$B:$B,rf1_data!CE:CE,"NaN")))</f>
        <v>#N/A</v>
      </c>
      <c r="CN75" s="5" t="e">
        <f>IF(_xlfn.XLOOKUP($B75,rf1_data!$B:$B,rf1_data!CF:CF,"NaN")="","NaN",(_xlfn.XLOOKUP($B75,rf1_data!$B:$B,rf1_data!CF:CF,"NaN")))</f>
        <v>#N/A</v>
      </c>
      <c r="CO75" s="5" t="e">
        <f>IF(_xlfn.XLOOKUP($B75,rf1_data!$B:$B,rf1_data!CG:CG,"NaN")="","NaN",(_xlfn.XLOOKUP($B75,rf1_data!$B:$B,rf1_data!CG:CG,"NaN")))</f>
        <v>#N/A</v>
      </c>
      <c r="CP75" s="5" t="e">
        <f>IF(_xlfn.XLOOKUP($B75,rf1_data!$B:$B,rf1_data!CH:CH,"NaN")=0,"NaN",(_xlfn.XLOOKUP($B75,rf1_data!$B:$B,rf1_data!CH:CH,"NaN")))</f>
        <v>#N/A</v>
      </c>
      <c r="CQ75" s="5" t="e">
        <f>IF(_xlfn.XLOOKUP($B75,rf1_data!$B:$B,rf1_data!CI:CI,"NaN")="","NaN",(_xlfn.XLOOKUP($B75,rf1_data!$B:$B,rf1_data!CI:CI,"NaN")))</f>
        <v>#N/A</v>
      </c>
      <c r="CR75" s="5" t="e">
        <f>IF(_xlfn.XLOOKUP($B75,rf1_data!$B:$B,rf1_data!CJ:CJ,"NaN")="","NaN",(_xlfn.XLOOKUP($B75,rf1_data!$B:$B,rf1_data!CJ:CJ,"NaN")))</f>
        <v>#N/A</v>
      </c>
      <c r="CS75" s="5" t="e">
        <f>IF(_xlfn.XLOOKUP($B75,rf1_data!$B:$B,rf1_data!CK:CK,"NaN")="","NaN",(_xlfn.XLOOKUP($B75,rf1_data!$B:$B,rf1_data!CK:CK,"NaN")))</f>
        <v>#N/A</v>
      </c>
      <c r="CT75" s="5" t="e">
        <f>IF(_xlfn.XLOOKUP($B75,rf1_data!$B:$B,rf1_data!CL:CL,"NaN")="","NaN",(_xlfn.XLOOKUP($B75,rf1_data!$B:$B,rf1_data!CL:CL,"NaN")))</f>
        <v>#N/A</v>
      </c>
      <c r="CU75" s="5" t="e">
        <f>IF(_xlfn.XLOOKUP($B75,rf1_data!$B:$B,rf1_data!CM:CM,"NaN")="","NaN",(_xlfn.XLOOKUP($B75,rf1_data!$B:$B,rf1_data!CM:CM,"NaN")))</f>
        <v>#N/A</v>
      </c>
      <c r="CV75" s="5" t="e">
        <f>IF(_xlfn.XLOOKUP($B75,rf1_data!$B:$B,rf1_data!CN:CN,"NaN")="","NaN",(_xlfn.XLOOKUP($B75,rf1_data!$B:$B,rf1_data!CN:CN,"NaN")))</f>
        <v>#N/A</v>
      </c>
      <c r="CW75" s="5" t="e">
        <f>IF(_xlfn.XLOOKUP($B75,rf1_data!$B:$B,rf1_data!CO:CO,"NaN")="","NaN",(_xlfn.XLOOKUP($B75,rf1_data!$B:$B,rf1_data!CO:CO,"NaN")))</f>
        <v>#N/A</v>
      </c>
      <c r="CX75" s="5" t="e">
        <f>IF(_xlfn.XLOOKUP($B75,rf1_data!$B:$B,rf1_data!CP:CP,"NaN")="","NaN",(_xlfn.XLOOKUP($B75,rf1_data!$B:$B,rf1_data!CP:CP,"NaN")))</f>
        <v>#N/A</v>
      </c>
      <c r="CY75" s="5" t="e">
        <f>IF(_xlfn.XLOOKUP($B75,rf1_data!$B:$B,rf1_data!CQ:CQ,"NaN")="","NaN",(_xlfn.XLOOKUP($B75,rf1_data!$B:$B,rf1_data!CQ:CQ,"NaN")))</f>
        <v>#N/A</v>
      </c>
      <c r="CZ75" s="5" t="e">
        <f>IF(_xlfn.XLOOKUP($B75,rf1_data!$B:$B,rf1_data!CR:CR,"NaN")="","NaN",(_xlfn.XLOOKUP($B75,rf1_data!$B:$B,rf1_data!CR:CR,"NaN")))</f>
        <v>#N/A</v>
      </c>
      <c r="DA75" s="5" t="e">
        <f>IF(_xlfn.XLOOKUP($B75,rf1_data!$B:$B,rf1_data!CS:CS,"NaN")="","NaN",(_xlfn.XLOOKUP($B75,rf1_data!$B:$B,rf1_data!CS:CS,"NaN")))</f>
        <v>#N/A</v>
      </c>
      <c r="DB75" s="4" t="e">
        <f>IF(_xlfn.XLOOKUP($B75,island_data!$B:$B,island_data!H:H,"NaN")="","NaN",_xlfn.XLOOKUP($B75,island_data!$B:$B,island_data!H:H,"NaN"))</f>
        <v>#N/A</v>
      </c>
      <c r="DC75" s="4" t="e">
        <f>IF(_xlfn.XLOOKUP($B75,island_data!$B:$B,island_data!I:I,"NaN")="","NaN",_xlfn.XLOOKUP($B75,island_data!$B:$B,island_data!I:I,"NaN"))</f>
        <v>#N/A</v>
      </c>
      <c r="DD75" s="4" t="e">
        <f>IF(_xlfn.XLOOKUP($B75,island_data!$B:$B,island_data!J:J,"NaN")="","NaN",_xlfn.XLOOKUP($B75,island_data!$B:$B,island_data!J:J,"NaN"))</f>
        <v>#N/A</v>
      </c>
      <c r="DE75" s="4" t="e">
        <f>IF(_xlfn.XLOOKUP($B75,island_data!$B:$B,island_data!K:K,"NaN")="","NaN",_xlfn.XLOOKUP($B75,island_data!$B:$B,island_data!K:K,"NaN"))</f>
        <v>#N/A</v>
      </c>
      <c r="DF75" s="4" t="e">
        <f>IF(_xlfn.XLOOKUP($B75,island_data!$B:$B,island_data!L:L,"NaN")="","NaN",_xlfn.XLOOKUP($B75,island_data!$B:$B,island_data!L:L,"NaN"))</f>
        <v>#N/A</v>
      </c>
      <c r="DG75" s="4" t="e">
        <f>IF(_xlfn.XLOOKUP($B75,island_data!$B:$B,island_data!M:M,"NaN")="","NaN",_xlfn.XLOOKUP($B75,island_data!$B:$B,island_data!M:M,"NaN"))</f>
        <v>#N/A</v>
      </c>
      <c r="DH75" s="4" t="e">
        <f>IF(_xlfn.XLOOKUP($B75,island_data!$B:$B,island_data!N:N,"NaN")="","NaN",_xlfn.XLOOKUP($B75,island_data!$B:$B,island_data!N:N,"NaN"))</f>
        <v>#N/A</v>
      </c>
      <c r="DI75" s="4" t="e">
        <f>IF(_xlfn.XLOOKUP($B75,island_data!$B:$B,island_data!O:O,"NaN")=999,"NaN",_xlfn.XLOOKUP($B75,island_data!$B:$B,island_data!O:O,"NaN"))</f>
        <v>#N/A</v>
      </c>
      <c r="DJ75" s="4" t="e">
        <f>IF(_xlfn.XLOOKUP($B75,island_data!$B:$B,island_data!P:P,"NaN")="","NaN",_xlfn.XLOOKUP($B75,island_data!$B:$B,island_data!P:P,"NaN"))</f>
        <v>#N/A</v>
      </c>
      <c r="DK75" s="4" t="e">
        <f>IF(_xlfn.XLOOKUP($B75,island_data!$B:$B,island_data!Q:Q,"NaN")="","NaN",_xlfn.XLOOKUP($B75,island_data!$B:$B,island_data!Q:Q,"NaN"))</f>
        <v>#N/A</v>
      </c>
      <c r="DL75" s="4" t="e">
        <f>IF(_xlfn.XLOOKUP($B75,island_data!$B:$B,island_data!R:R,"NaN")=999,"NaN",_xlfn.XLOOKUP($B75,island_data!$B:$B,island_data!R:R,"NaN"))</f>
        <v>#N/A</v>
      </c>
      <c r="DM75" s="4" t="e">
        <f>IF(_xlfn.XLOOKUP($B75,island_data!$B:$B,island_data!S:S,"NaN")="","NaN",_xlfn.XLOOKUP($B75,island_data!$B:$B,island_data!S:S,"NaN"))</f>
        <v>#N/A</v>
      </c>
      <c r="DN75" s="4" t="e">
        <f>IF(_xlfn.XLOOKUP($B75,island_data!$B:$B,island_data!T:T,"NaN")="","NaN",_xlfn.XLOOKUP($B75,island_data!$B:$B,island_data!T:T,"NaN"))</f>
        <v>#N/A</v>
      </c>
      <c r="DO75" s="4" t="e">
        <f>IF(_xlfn.XLOOKUP($B75,island_data!$B:$B,island_data!U:U,"NaN")="","NaN",_xlfn.XLOOKUP($B75,island_data!$B:$B,island_data!U:U,"NaN"))</f>
        <v>#N/A</v>
      </c>
      <c r="DP75" s="4" t="e">
        <f>IF(_xlfn.XLOOKUP($B75,island_data!$B:$B,island_data!V:V,"NaN")="","NaN",_xlfn.XLOOKUP($B75,island_data!$B:$B,island_data!V:V,"NaN"))</f>
        <v>#N/A</v>
      </c>
      <c r="DQ75" s="4" t="e">
        <f>IF(_xlfn.XLOOKUP($B75,island_data!$B:$B,island_data!W:W,"NaN")="","NaN",_xlfn.XLOOKUP($B75,island_data!$B:$B,island_data!W:W,"NaN"))</f>
        <v>#N/A</v>
      </c>
      <c r="DR75" s="4" t="e">
        <f>IF(_xlfn.XLOOKUP($B75,island_data!$B:$B,island_data!X:X,"NaN")="","NaN",_xlfn.XLOOKUP($B75,island_data!$B:$B,island_data!X:X,"NaN"))</f>
        <v>#N/A</v>
      </c>
      <c r="DS75" s="4" t="e">
        <f>IF(_xlfn.XLOOKUP($B75,island_data!$B:$B,island_data!Y:Y,"NaN")="","NaN",_xlfn.XLOOKUP($B75,island_data!$B:$B,island_data!Y:Y,"NaN"))</f>
        <v>#N/A</v>
      </c>
      <c r="DT75" s="4" t="e">
        <f>IF(_xlfn.XLOOKUP($B75,island_data!$B:$B,island_data!Z:Z,"NaN")="","NaN",_xlfn.XLOOKUP($B75,island_data!$B:$B,island_data!Z:Z,"NaN"))</f>
        <v>#N/A</v>
      </c>
      <c r="DU75" s="4" t="e">
        <f>IF(_xlfn.XLOOKUP($B75,island_data!$B:$B,island_data!AA:AA,"NaN")="","NaN",_xlfn.XLOOKUP($B75,island_data!$B:$B,island_data!AA:AA,"NaN"))</f>
        <v>#N/A</v>
      </c>
      <c r="DV75" s="4" t="e">
        <f>IF(_xlfn.XLOOKUP($B75,island_data!$B:$B,island_data!AB:AB,"NaN")="","NaN",_xlfn.XLOOKUP($B75,island_data!$B:$B,island_data!AB:AB,"NaN"))</f>
        <v>#N/A</v>
      </c>
      <c r="DW75" s="4" t="e">
        <f>IF(_xlfn.XLOOKUP($B75,island_data!$B:$B,island_data!AC:AC,"NaN")="","NaN",_xlfn.XLOOKUP($B75,island_data!$B:$B,island_data!AC:AC,"NaN"))</f>
        <v>#N/A</v>
      </c>
      <c r="DX75" s="4" t="e">
        <f>IF(_xlfn.XLOOKUP($B75,island_data!$B:$B,island_data!AD:AD,"NaN")="","NaN",_xlfn.XLOOKUP($B75,island_data!$B:$B,island_data!AD:AD,"NaN"))</f>
        <v>#N/A</v>
      </c>
      <c r="DY75" s="4" t="e">
        <f>IF(_xlfn.XLOOKUP($B75,island_data!$B:$B,island_data!AE:AE,"NaN")="","NaN",_xlfn.XLOOKUP($B75,island_data!$B:$B,island_data!AE:AE,"NaN"))</f>
        <v>#N/A</v>
      </c>
      <c r="DZ75" s="4" t="e">
        <f>IF(_xlfn.XLOOKUP($B75,island_data!$B:$B,island_data!AF:AF,"NaN")="","NaN",_xlfn.XLOOKUP($B75,island_data!$B:$B,island_data!AF:AF,"NaN"))</f>
        <v>#N/A</v>
      </c>
      <c r="EA75" s="4" t="e">
        <f>IF(_xlfn.XLOOKUP($B75,island_data!$B:$B,island_data!AG:AG,"NaN")="","NaN",_xlfn.XLOOKUP($B75,island_data!$B:$B,island_data!AG:AG,"NaN"))</f>
        <v>#N/A</v>
      </c>
      <c r="EB75" s="4" t="e">
        <f>IF(_xlfn.XLOOKUP($B75,island_data!$B:$B,island_data!AH:AH,"NaN")="","NaN",_xlfn.XLOOKUP($B75,island_data!$B:$B,island_data!AH:AH,"NaN"))</f>
        <v>#N/A</v>
      </c>
      <c r="EC75" s="4" t="e">
        <f>IF(_xlfn.XLOOKUP($B75,island_data!$B:$B,island_data!AI:AI,"NaN")="","NaN",_xlfn.XLOOKUP($B75,island_data!$B:$B,island_data!AI:AI,"NaN"))</f>
        <v>#N/A</v>
      </c>
      <c r="ED75" s="4" t="e">
        <f>IF(_xlfn.XLOOKUP($B75,island_data!$B:$B,island_data!AJ:AJ,"NaN")="","NaN",_xlfn.XLOOKUP($B75,island_data!$B:$B,island_data!AJ:AJ,"NaN"))</f>
        <v>#N/A</v>
      </c>
      <c r="EE75" s="4" t="e">
        <f>IF(_xlfn.XLOOKUP($B75,island_data!$B:$B,island_data!AK:AK,"NaN")="","NaN",_xlfn.XLOOKUP($B75,island_data!$B:$B,island_data!AK:AK,"NaN"))</f>
        <v>#N/A</v>
      </c>
      <c r="EF75" s="4" t="e">
        <f>IF(_xlfn.XLOOKUP($B75,island_data!$B:$B,island_data!AL:AL,"NaN")="","NaN",_xlfn.XLOOKUP($B75,island_data!$B:$B,island_data!AL:AL,"NaN"))</f>
        <v>#N/A</v>
      </c>
      <c r="EG75" s="4" t="e">
        <f>IF(_xlfn.XLOOKUP($B75,island_data!$B:$B,island_data!AM:AM,"NaN")="","NaN",_xlfn.XLOOKUP($B75,island_data!$B:$B,island_data!AM:AM,"NaN"))</f>
        <v>#N/A</v>
      </c>
      <c r="EH75" s="4" t="e">
        <f>IF(_xlfn.XLOOKUP($B75,island_data!$B:$B,island_data!AN:AN,"NaN")="","NaN",_xlfn.XLOOKUP($B75,island_data!$B:$B,island_data!AN:AN,"NaN"))</f>
        <v>#N/A</v>
      </c>
      <c r="EI75" s="4" t="e">
        <f>IF(_xlfn.XLOOKUP($B75,island_data!$B:$B,island_data!AO:AO,"NaN")="","NaN",_xlfn.XLOOKUP($B75,island_data!$B:$B,island_data!AO:AO,"NaN"))</f>
        <v>#N/A</v>
      </c>
      <c r="EJ75" s="8" t="str">
        <f>IF(_xlfn.XLOOKUP($A75,TabCAT!$A:$A,TabCAT!AU:AU,"NaN")="","NaN",(_xlfn.XLOOKUP($A75,TabCAT!$A:$A,TabCAT!AU:AU,"NaN")))</f>
        <v>NaN</v>
      </c>
      <c r="EK75" s="8" t="str">
        <f>IF(_xlfn.XLOOKUP($A75,TabCAT!$A:$A,TabCAT!AV:AV,"NaN")="","NaN",(_xlfn.XLOOKUP($A75,TabCAT!$A:$A,TabCAT!AV:AV,"NaN")))</f>
        <v>NaN</v>
      </c>
      <c r="EL75" s="8" t="str">
        <f>IF(_xlfn.XLOOKUP($A75,TabCAT!$A:$A,TabCAT!AW:AW,"NaN")="","NaN",(_xlfn.XLOOKUP($A75,TabCAT!$A:$A,TabCAT!AW:AW,"NaN")))</f>
        <v>NaN</v>
      </c>
      <c r="EM75" s="8" t="str">
        <f>IF(_xlfn.XLOOKUP($A75,TabCAT!$A:$A,TabCAT!AX:AX,"NaN")="","NaN",(_xlfn.XLOOKUP($A75,TabCAT!$A:$A,TabCAT!AX:AX,"NaN")))</f>
        <v>NaN</v>
      </c>
      <c r="EN75" s="8" t="str">
        <f>IF(_xlfn.XLOOKUP($A75,TabCAT!$A:$A,TabCAT!AY:AY,"NaN")="","NaN",(_xlfn.XLOOKUP($A75,TabCAT!$A:$A,TabCAT!AY:AY,"NaN")))</f>
        <v>NaN</v>
      </c>
      <c r="EO75" s="8" t="str">
        <f>IF(_xlfn.XLOOKUP($A75,TabCAT!$A:$A,TabCAT!AZ:AZ,"NaN")="","NaN",(_xlfn.XLOOKUP($A75,TabCAT!$A:$A,TabCAT!AZ:AZ,"NaN")))</f>
        <v>NaN</v>
      </c>
      <c r="EP75" s="8" t="str">
        <f>IF(_xlfn.XLOOKUP($A75,TabCAT!$A:$A,TabCAT!BA:BA,"NaN")="","NaN",(_xlfn.XLOOKUP($A75,TabCAT!$A:$A,TabCAT!BA:BA,"NaN")))</f>
        <v>NaN</v>
      </c>
      <c r="EQ75" s="8" t="str">
        <f>IF(_xlfn.XLOOKUP($A75,TabCAT!$A:$A,TabCAT!BB:BB,"NaN")="","NaN",(_xlfn.XLOOKUP($A75,TabCAT!$A:$A,TabCAT!BB:BB,"NaN")))</f>
        <v>NaN</v>
      </c>
      <c r="ER75" s="8" t="str">
        <f>IF(_xlfn.XLOOKUP($A75,TabCAT!$A:$A,TabCAT!BC:BC,"NaN")="","NaN",(_xlfn.XLOOKUP($A75,TabCAT!$A:$A,TabCAT!BC:BC,"NaN")))</f>
        <v>NaN</v>
      </c>
      <c r="ES75" s="8" t="str">
        <f>IF(_xlfn.XLOOKUP($A75,TabCAT!$A:$A,TabCAT!BD:BD,"NaN")="","NaN",(_xlfn.XLOOKUP($A75,TabCAT!$A:$A,TabCAT!BD:BD,"NaN")))</f>
        <v>NaN</v>
      </c>
      <c r="ET75" s="8" t="str">
        <f>IF(_xlfn.XLOOKUP($A75,TabCAT!$A:$A,TabCAT!BE:BE,"NaN")="","NaN",(_xlfn.XLOOKUP($A75,TabCAT!$A:$A,TabCAT!BE:BE,"NaN")))</f>
        <v>NaN</v>
      </c>
      <c r="EU75" s="8" t="str">
        <f>IF(_xlfn.XLOOKUP($A75,TabCAT!$A:$A,TabCAT!BF:BF,"NaN")="","NaN",(_xlfn.XLOOKUP($A75,TabCAT!$A:$A,TabCAT!BF:BF,"NaN")))</f>
        <v>NaN</v>
      </c>
      <c r="EV75" s="8" t="str">
        <f>IF(_xlfn.XLOOKUP($A75,TabCAT!$A:$A,TabCAT!BG:BG,"NaN")="","NaN",(_xlfn.XLOOKUP($A75,TabCAT!$A:$A,TabCAT!BG:BG,"NaN")))</f>
        <v>NaN</v>
      </c>
      <c r="EW75" s="8" t="str">
        <f>IF(_xlfn.XLOOKUP($A75,TabCAT!$A:$A,TabCAT!BH:BH,"NaN")="","NaN",(_xlfn.XLOOKUP($A75,TabCAT!$A:$A,TabCAT!BH:BH,"NaN")))</f>
        <v>NaN</v>
      </c>
      <c r="EX75" s="8" t="str">
        <f>IF(_xlfn.XLOOKUP($A75,TabCAT!$A:$A,TabCAT!BI:BI,"NaN")="","NaN",(_xlfn.XLOOKUP($A75,TabCAT!$A:$A,TabCAT!BI:BI,"NaN")))</f>
        <v>NaN</v>
      </c>
      <c r="EY75" s="8" t="str">
        <f>IF(_xlfn.XLOOKUP($A75,TabCAT!$A:$A,TabCAT!BJ:BJ,"NaN")="","NaN",(_xlfn.XLOOKUP($A75,TabCAT!$A:$A,TabCAT!BJ:BJ,"NaN")))</f>
        <v>NaN</v>
      </c>
      <c r="EZ75" s="8" t="str">
        <f>IF(_xlfn.XLOOKUP($A75,TabCAT!$A:$A,TabCAT!BK:BK,"NaN")="","NaN",(_xlfn.XLOOKUP($A75,TabCAT!$A:$A,TabCAT!BK:BK,"NaN")))</f>
        <v>NaN</v>
      </c>
      <c r="FA75" s="8" t="str">
        <f>IF(_xlfn.XLOOKUP($A75,TabCAT!$A:$A,TabCAT!BL:BL,"NaN")="","NaN",(_xlfn.XLOOKUP($A75,TabCAT!$A:$A,TabCAT!BL:BL,"NaN")))</f>
        <v>NaN</v>
      </c>
      <c r="FB75" s="8" t="str">
        <f>IF(_xlfn.XLOOKUP($A75,TabCAT!$A:$A,TabCAT!BM:BM,"NaN")="","NaN",(_xlfn.XLOOKUP($A75,TabCAT!$A:$A,TabCAT!BM:BM,"NaN")))</f>
        <v>NaN</v>
      </c>
      <c r="FC75" s="8" t="str">
        <f>IF(_xlfn.XLOOKUP($A75,TabCAT!$A:$A,TabCAT!BN:BN,"NaN")="","NaN",(_xlfn.XLOOKUP($A75,TabCAT!$A:$A,TabCAT!BN:BN,"NaN")))</f>
        <v>NaN</v>
      </c>
      <c r="FD75" s="8" t="str">
        <f>IF(_xlfn.XLOOKUP($A75,TabCAT!$A:$A,TabCAT!BO:BO,"NaN")="","NaN",(_xlfn.XLOOKUP($A75,TabCAT!$A:$A,TabCAT!BO:BO,"NaN")))</f>
        <v>NaN</v>
      </c>
      <c r="FE75" s="8" t="str">
        <f>IF(_xlfn.XLOOKUP($A75,TabCAT!$A:$A,TabCAT!BP:BP,"NaN")="","NaN",(_xlfn.XLOOKUP($A75,TabCAT!$A:$A,TabCAT!BP:BP,"NaN")))</f>
        <v>NaN</v>
      </c>
      <c r="FF75" s="8" t="str">
        <f>IF(_xlfn.XLOOKUP($A75,TabCAT!$A:$A,TabCAT!BQ:BQ,"NaN")="","NaN",(_xlfn.XLOOKUP($A75,TabCAT!$A:$A,TabCAT!BQ:BQ,"NaN")))</f>
        <v>NaN</v>
      </c>
      <c r="FG75" s="8" t="str">
        <f>IF(_xlfn.XLOOKUP($A75,TabCAT!$A:$A,TabCAT!BR:BR,"NaN")="","NaN",(_xlfn.XLOOKUP($A75,TabCAT!$A:$A,TabCAT!BR:BR,"NaN")))</f>
        <v>NaN</v>
      </c>
      <c r="FH75" s="8" t="str">
        <f>IF(_xlfn.XLOOKUP($A75,TabCAT!$A:$A,TabCAT!BS:BS,"NaN")="","NaN",(_xlfn.XLOOKUP($A75,TabCAT!$A:$A,TabCAT!BS:BS,"NaN")))</f>
        <v>NaN</v>
      </c>
      <c r="FI75" s="8" t="str">
        <f>IF(_xlfn.XLOOKUP($A75,TabCAT!$A:$A,TabCAT!BT:BT,"NaN")="","NaN",(_xlfn.XLOOKUP($A75,TabCAT!$A:$A,TabCAT!BT:BT,"NaN")))</f>
        <v>NaN</v>
      </c>
      <c r="FJ75" s="8" t="str">
        <f>IF(_xlfn.XLOOKUP($A75,TabCAT!$A:$A,TabCAT!BU:BU,"NaN")="","NaN",(_xlfn.XLOOKUP($A75,TabCAT!$A:$A,TabCAT!BU:BU,"NaN")))</f>
        <v>NaN</v>
      </c>
      <c r="FK75" s="8" t="str">
        <f>IF(_xlfn.XLOOKUP($A75,TabCAT!$A:$A,TabCAT!BV:BV,"NaN")="","NaN",(_xlfn.XLOOKUP($A75,TabCAT!$A:$A,TabCAT!BV:BV,"NaN")))</f>
        <v>NaN</v>
      </c>
      <c r="FL75" s="8" t="str">
        <f>IF(_xlfn.XLOOKUP($A75,TabCAT!$A:$A,TabCAT!BW:BW,"NaN")="","NaN",(_xlfn.XLOOKUP($A75,TabCAT!$A:$A,TabCAT!BW:BW,"NaN")))</f>
        <v>NaN</v>
      </c>
      <c r="FM75" s="8" t="str">
        <f>IF(_xlfn.XLOOKUP($A75,TabCAT!$A:$A,TabCAT!BX:BX,"NaN")="","NaN",(_xlfn.XLOOKUP($A75,TabCAT!$A:$A,TabCAT!BX:BX,"NaN")))</f>
        <v>NaN</v>
      </c>
      <c r="FN75" s="8" t="str">
        <f>IF(_xlfn.XLOOKUP($A75,TabCAT!$A:$A,TabCAT!BY:BY,"NaN")="","NaN",(_xlfn.XLOOKUP($A75,TabCAT!$A:$A,TabCAT!BY:BY,"NaN")))</f>
        <v>NaN</v>
      </c>
      <c r="FO75" s="8" t="str">
        <f>IF(_xlfn.XLOOKUP($A75,TabCAT!$A:$A,TabCAT!BZ:BZ,"NaN")="","NaN",(_xlfn.XLOOKUP($A75,TabCAT!$A:$A,TabCAT!BZ:BZ,"NaN")))</f>
        <v>NaN</v>
      </c>
      <c r="FP75" s="8" t="str">
        <f>IF(_xlfn.XLOOKUP($A75,TabCAT!$A:$A,TabCAT!CA:CA,"NaN")="","NaN",(_xlfn.XLOOKUP($A75,TabCAT!$A:$A,TabCAT!CA:CA,"NaN")))</f>
        <v>NaN</v>
      </c>
      <c r="FQ75" s="8" t="str">
        <f>IF(_xlfn.XLOOKUP($A75,TabCAT!$A:$A,TabCAT!CB:CB,"NaN")="","NaN",(_xlfn.XLOOKUP($A75,TabCAT!$A:$A,TabCAT!CB:CB,"NaN")))</f>
        <v>NaN</v>
      </c>
      <c r="FR75" s="8" t="str">
        <f>IF(_xlfn.XLOOKUP($A75,TabCAT!$A:$A,TabCAT!CC:CC,"NaN")="","NaN",(_xlfn.XLOOKUP($A75,TabCAT!$A:$A,TabCAT!CC:CC,"NaN")))</f>
        <v>NaN</v>
      </c>
      <c r="FS75" s="8" t="str">
        <f>IF(_xlfn.XLOOKUP($A75,TabCAT!$A:$A,TabCAT!CD:CD,"NaN")="","NaN",(_xlfn.XLOOKUP($A75,TabCAT!$A:$A,TabCAT!CD:CD,"NaN")))</f>
        <v>NaN</v>
      </c>
      <c r="FT75" s="8" t="str">
        <f>IF(_xlfn.XLOOKUP($A75,TabCAT!$A:$A,TabCAT!CE:CE,"NaN")="","NaN",(_xlfn.XLOOKUP($A75,TabCAT!$A:$A,TabCAT!CE:CE,"NaN")))</f>
        <v>NaN</v>
      </c>
      <c r="FU75" s="8" t="str">
        <f>IF(_xlfn.XLOOKUP($A75,TabCAT!$A:$A,TabCAT!CF:CF,"NaN")="","NaN",(_xlfn.XLOOKUP($A75,TabCAT!$A:$A,TabCAT!CF:CF,"NaN")))</f>
        <v>NaN</v>
      </c>
      <c r="FV75" s="8" t="str">
        <f>IF(_xlfn.XLOOKUP($A75,TabCAT!$A:$A,TabCAT!CG:CG,"NaN")="","NaN",(_xlfn.XLOOKUP($A75,TabCAT!$A:$A,TabCAT!CG:CG,"NaN")))</f>
        <v>NaN</v>
      </c>
      <c r="FW75" s="8" t="str">
        <f>IF(_xlfn.XLOOKUP($A75,TabCAT!$A:$A,TabCAT!CH:CH,"NaN")="","NaN",(_xlfn.XLOOKUP($A75,TabCAT!$A:$A,TabCAT!CH:CH,"NaN")))</f>
        <v>NaN</v>
      </c>
      <c r="FX75" s="8" t="str">
        <f>IF(_xlfn.XLOOKUP($A75,TabCAT!$A:$A,TabCAT!CI:CI,"NaN")="","NaN",(_xlfn.XLOOKUP($A75,TabCAT!$A:$A,TabCAT!CI:CI,"NaN")))</f>
        <v>NaN</v>
      </c>
      <c r="FY75" s="8" t="str">
        <f>IF(_xlfn.XLOOKUP($A75,TabCAT!$A:$A,TabCAT!CJ:CJ,"NaN")="","NaN",(_xlfn.XLOOKUP($A75,TabCAT!$A:$A,TabCAT!CJ:CJ,"NaN")))</f>
        <v>NaN</v>
      </c>
      <c r="FZ75" s="8" t="str">
        <f>IF(_xlfn.XLOOKUP($A75,TabCAT!$A:$A,TabCAT!CK:CK,"NaN")="","NaN",(_xlfn.XLOOKUP($A75,TabCAT!$A:$A,TabCAT!CK:CK,"NaN")))</f>
        <v>NaN</v>
      </c>
      <c r="GA75" s="8" t="str">
        <f>IF(_xlfn.XLOOKUP($A75,TabCAT!$A:$A,TabCAT!CL:CL,"NaN")="","NaN",(_xlfn.XLOOKUP($A75,TabCAT!$A:$A,TabCAT!CL:CL,"NaN")))</f>
        <v>NaN</v>
      </c>
      <c r="GB75" s="8" t="str">
        <f>IF(_xlfn.XLOOKUP($A75,TabCAT!$A:$A,TabCAT!CM:CM,"NaN")="","NaN",(_xlfn.XLOOKUP($A75,TabCAT!$A:$A,TabCAT!CM:CM,"NaN")))</f>
        <v>NaN</v>
      </c>
      <c r="GC75" s="8" t="str">
        <f>IF(_xlfn.XLOOKUP($A75,TabCAT!$A:$A,TabCAT!CN:CN,"NaN")="","NaN",(_xlfn.XLOOKUP($A75,TabCAT!$A:$A,TabCAT!CN:CN,"NaN")))</f>
        <v>NaN</v>
      </c>
      <c r="GD75" s="8" t="str">
        <f>IF(_xlfn.XLOOKUP($A75,TabCAT!$A:$A,TabCAT!CO:CO,"NaN")="","NaN",(_xlfn.XLOOKUP($A75,TabCAT!$A:$A,TabCAT!CO:CO,"NaN")))</f>
        <v>NaN</v>
      </c>
      <c r="GE75" s="8" t="str">
        <f>IF(_xlfn.XLOOKUP($A75,TabCAT!$A:$A,TabCAT!CP:CP,"NaN")="","NaN",(_xlfn.XLOOKUP($A75,TabCAT!$A:$A,TabCAT!CP:CP,"NaN")))</f>
        <v>NaN</v>
      </c>
      <c r="GF75" s="8" t="str">
        <f>IF(_xlfn.XLOOKUP($A75,TabCAT!$A:$A,TabCAT!CQ:CQ,"NaN")="","NaN",(_xlfn.XLOOKUP($A75,TabCAT!$A:$A,TabCAT!CQ:CQ,"NaN")))</f>
        <v>NaN</v>
      </c>
      <c r="GG75" s="8" t="str">
        <f>IF(_xlfn.XLOOKUP($A75,TabCAT!$A:$A,TabCAT!CR:CR,"NaN")="","NaN",(_xlfn.XLOOKUP($A75,TabCAT!$A:$A,TabCAT!CR:CR,"NaN")))</f>
        <v>NaN</v>
      </c>
      <c r="GH75" s="8" t="str">
        <f>IF(_xlfn.XLOOKUP($A75,TabCAT!$A:$A,TabCAT!CS:CS,"NaN")="","NaN",(_xlfn.XLOOKUP($A75,TabCAT!$A:$A,TabCAT!CS:CS,"NaN")))</f>
        <v>NaN</v>
      </c>
    </row>
    <row r="76" spans="1:190" x14ac:dyDescent="0.2">
      <c r="A76">
        <f>trust!A76</f>
        <v>0</v>
      </c>
      <c r="B76" t="e">
        <f>_xlfn.XLOOKUP(bippity_poppity_boo!A76,rf1_data!A:A,rf1_data!B:B)</f>
        <v>#N/A</v>
      </c>
      <c r="C76" s="2" t="str">
        <f>(_xlfn.XLOOKUP($A76,trust!$A:$A,trust!B:B,"NaN"))</f>
        <v>NaN</v>
      </c>
      <c r="D76" s="2" t="str">
        <f>(_xlfn.XLOOKUP($A76,trust!$A:$A,trust!C:C,"NaN"))</f>
        <v>NaN</v>
      </c>
      <c r="E76" s="2" t="str">
        <f>(_xlfn.XLOOKUP($A76,trust!$A:$A,trust!D:D,"NaN"))</f>
        <v>NaN</v>
      </c>
      <c r="F76" s="2" t="str">
        <f>(_xlfn.XLOOKUP($A76,trust!$A:$A,trust!E:E,"NaN"))</f>
        <v>NaN</v>
      </c>
      <c r="G76" s="2" t="str">
        <f>(_xlfn.XLOOKUP($A76,trust!$A:$A,trust!F:F,"NaN"))</f>
        <v>NaN</v>
      </c>
      <c r="H76" s="2" t="str">
        <f>(_xlfn.XLOOKUP($A76,trust!$A:$A,trust!G:G,"NaN"))</f>
        <v>NaN</v>
      </c>
      <c r="I76" s="3" t="e">
        <f>IF(_xlfn.XLOOKUP($B76,island_data!$B:$B,island_data!C:C,"NaN")="","NaN",_xlfn.XLOOKUP($B76,island_data!$B:$B,island_data!C:C,"NaN"))</f>
        <v>#N/A</v>
      </c>
      <c r="J76" s="3" t="e">
        <f>IF(_xlfn.XLOOKUP($B76,island_data!$B:$B,island_data!D:D,"NaN")="","NaN",_xlfn.XLOOKUP($B76,island_data!$B:$B,island_data!D:D,"NaN"))</f>
        <v>#N/A</v>
      </c>
      <c r="K76" s="4" t="e">
        <f>IF(_xlfn.XLOOKUP($B76,island_data!$B:$B,island_data!E:E,"NaN")="","NaN",_xlfn.XLOOKUP($B76,island_data!$B:$B,island_data!E:E,"NaN"))</f>
        <v>#N/A</v>
      </c>
      <c r="L76" s="5" t="e">
        <f>IF(_xlfn.XLOOKUP($B76,rf1_data!$B:$B,rf1_data!D:D,"NaN")="","NaN",(_xlfn.XLOOKUP($B76,rf1_data!$B:$B,rf1_data!D:D,"NaN")))</f>
        <v>#N/A</v>
      </c>
      <c r="M76" s="5" t="e">
        <f>IF(_xlfn.XLOOKUP($B76,rf1_data!$B:$B,rf1_data!E:E,"NaN")="","NaN",(_xlfn.XLOOKUP($B76,rf1_data!$B:$B,rf1_data!E:E,"NaN")))</f>
        <v>#N/A</v>
      </c>
      <c r="N76" s="5" t="e">
        <f>IF(_xlfn.XLOOKUP($B76,rf1_data!$B:$B,rf1_data!F:F,"NaN")="","NaN",(_xlfn.XLOOKUP($B76,rf1_data!$B:$B,rf1_data!F:F,"NaN")))</f>
        <v>#N/A</v>
      </c>
      <c r="O76" s="5" t="e">
        <f>IF(_xlfn.XLOOKUP($B76,rf1_data!$B:$B,rf1_data!G:G,"NaN")="","NaN",(_xlfn.XLOOKUP($B76,rf1_data!$B:$B,rf1_data!G:G,"NaN")))</f>
        <v>#N/A</v>
      </c>
      <c r="P76" s="5" t="e">
        <f>IF(_xlfn.XLOOKUP($B76,rf1_data!$B:$B,rf1_data!H:H,"NaN")="","NaN",(_xlfn.XLOOKUP($B76,rf1_data!$B:$B,rf1_data!H:H,"NaN")))</f>
        <v>#N/A</v>
      </c>
      <c r="Q76" s="5" t="e">
        <f>IF(_xlfn.XLOOKUP($B76,rf1_data!$B:$B,rf1_data!I:I,"NaN")="","NaN",(_xlfn.XLOOKUP($B76,rf1_data!$B:$B,rf1_data!I:I,"NaN")))</f>
        <v>#N/A</v>
      </c>
      <c r="R76" s="5" t="e">
        <f>IF(_xlfn.XLOOKUP($B76,rf1_data!$B:$B,rf1_data!J:J,"NaN")="","NaN",(_xlfn.XLOOKUP($B76,rf1_data!$B:$B,rf1_data!J:J,"NaN")))</f>
        <v>#N/A</v>
      </c>
      <c r="S76" s="5" t="e">
        <f>IF(_xlfn.XLOOKUP($B76,rf1_data!$B:$B,rf1_data!K:K,"NaN")="","NaN",(_xlfn.XLOOKUP($B76,rf1_data!$B:$B,rf1_data!K:K,"NaN")))</f>
        <v>#N/A</v>
      </c>
      <c r="T76" s="5" t="e">
        <f>IF(_xlfn.XLOOKUP($B76,rf1_data!$B:$B,rf1_data!L:L,"NaN")="","NaN",(_xlfn.XLOOKUP($B76,rf1_data!$B:$B,rf1_data!L:L,"NaN")))</f>
        <v>#N/A</v>
      </c>
      <c r="U76" s="5" t="e">
        <f>IF(_xlfn.XLOOKUP($B76,rf1_data!$B:$B,rf1_data!M:M,"NaN")="","NaN",(_xlfn.XLOOKUP($B76,rf1_data!$B:$B,rf1_data!M:M,"NaN")))</f>
        <v>#N/A</v>
      </c>
      <c r="V76" s="5" t="e">
        <f>IF(_xlfn.XLOOKUP($B76,rf1_data!$B:$B,rf1_data!N:N,"NaN")="","NaN",(_xlfn.XLOOKUP($B76,rf1_data!$B:$B,rf1_data!N:N,"NaN")))</f>
        <v>#N/A</v>
      </c>
      <c r="W76" s="5" t="e">
        <f>IF(_xlfn.XLOOKUP($B76,rf1_data!$B:$B,rf1_data!O:O,"NaN")="","NaN",(_xlfn.XLOOKUP($B76,rf1_data!$B:$B,rf1_data!O:O,"NaN")))</f>
        <v>#N/A</v>
      </c>
      <c r="X76" s="5" t="e">
        <f>IF(_xlfn.XLOOKUP($B76,rf1_data!$B:$B,rf1_data!P:P,"NaN")="","NaN",(_xlfn.XLOOKUP($B76,rf1_data!$B:$B,rf1_data!P:P,"NaN")))</f>
        <v>#N/A</v>
      </c>
      <c r="Y76" s="5" t="e">
        <f>IF(_xlfn.XLOOKUP($B76,rf1_data!$B:$B,rf1_data!Q:Q,"NaN")="","NaN",(_xlfn.XLOOKUP($B76,rf1_data!$B:$B,rf1_data!Q:Q,"NaN")))</f>
        <v>#N/A</v>
      </c>
      <c r="Z76" s="5" t="e">
        <f>IF(_xlfn.XLOOKUP($B76,rf1_data!$B:$B,rf1_data!R:R,"NaN")="","NaN",(_xlfn.XLOOKUP($B76,rf1_data!$B:$B,rf1_data!R:R,"NaN")))</f>
        <v>#N/A</v>
      </c>
      <c r="AA76" s="5" t="e">
        <f>IF(_xlfn.XLOOKUP($B76,rf1_data!$B:$B,rf1_data!S:S,"NaN")="","NaN",(_xlfn.XLOOKUP($B76,rf1_data!$B:$B,rf1_data!S:S,"NaN")))</f>
        <v>#N/A</v>
      </c>
      <c r="AB76" s="5" t="e">
        <f>IF(_xlfn.XLOOKUP($B76,rf1_data!$B:$B,rf1_data!T:T,"NaN")="","NaN",(_xlfn.XLOOKUP($B76,rf1_data!$B:$B,rf1_data!T:T,"NaN")))</f>
        <v>#N/A</v>
      </c>
      <c r="AC76" s="5" t="e">
        <f>IF(_xlfn.XLOOKUP($B76,rf1_data!$B:$B,rf1_data!U:U,"NaN")="","NaN",(_xlfn.XLOOKUP($B76,rf1_data!$B:$B,rf1_data!U:U,"NaN")))</f>
        <v>#N/A</v>
      </c>
      <c r="AD76" s="5" t="e">
        <f>IF(_xlfn.XLOOKUP($B76,rf1_data!$B:$B,rf1_data!V:V,"NaN")="","NaN",(_xlfn.XLOOKUP($B76,rf1_data!$B:$B,rf1_data!V:V,"NaN")))</f>
        <v>#N/A</v>
      </c>
      <c r="AE76" s="5" t="e">
        <f>IF(_xlfn.XLOOKUP($B76,rf1_data!$B:$B,rf1_data!W:W,"NaN")="","NaN",(_xlfn.XLOOKUP($B76,rf1_data!$B:$B,rf1_data!W:W,"NaN")))</f>
        <v>#N/A</v>
      </c>
      <c r="AF76" s="5" t="e">
        <f>IF(_xlfn.XLOOKUP($B76,rf1_data!$B:$B,rf1_data!X:X,"NaN")="","NaN",(_xlfn.XLOOKUP($B76,rf1_data!$B:$B,rf1_data!X:X,"NaN")))</f>
        <v>#N/A</v>
      </c>
      <c r="AG76" s="5" t="e">
        <f>IF(_xlfn.XLOOKUP($B76,rf1_data!$B:$B,rf1_data!Y:Y,"NaN")="","NaN",(_xlfn.XLOOKUP($B76,rf1_data!$B:$B,rf1_data!Y:Y,"NaN")))</f>
        <v>#N/A</v>
      </c>
      <c r="AH76" s="5" t="e">
        <f>IF(_xlfn.XLOOKUP($B76,rf1_data!$B:$B,rf1_data!Z:Z,"NaN")="","NaN",(_xlfn.XLOOKUP($B76,rf1_data!$B:$B,rf1_data!Z:Z,"NaN")))</f>
        <v>#N/A</v>
      </c>
      <c r="AI76" s="5" t="e">
        <f>IF(_xlfn.XLOOKUP($B76,rf1_data!$B:$B,rf1_data!AA:AA,"NaN")="","NaN",(_xlfn.XLOOKUP($B76,rf1_data!$B:$B,rf1_data!AA:AA,"NaN")))</f>
        <v>#N/A</v>
      </c>
      <c r="AJ76" s="5" t="e">
        <f>IF(_xlfn.XLOOKUP($B76,rf1_data!$B:$B,rf1_data!AB:AB,"NaN")="","NaN",(_xlfn.XLOOKUP($B76,rf1_data!$B:$B,rf1_data!AB:AB,"NaN")))</f>
        <v>#N/A</v>
      </c>
      <c r="AK76" s="5" t="e">
        <f>IF(_xlfn.XLOOKUP($B76,rf1_data!$B:$B,rf1_data!AC:AC,"NaN")="","NaN",(_xlfn.XLOOKUP($B76,rf1_data!$B:$B,rf1_data!AC:AC,"NaN")))</f>
        <v>#N/A</v>
      </c>
      <c r="AL76" s="5" t="e">
        <f>IF(_xlfn.XLOOKUP($B76,rf1_data!$B:$B,rf1_data!AD:AD,"NaN")="","NaN",(_xlfn.XLOOKUP($B76,rf1_data!$B:$B,rf1_data!AD:AD,"NaN")))</f>
        <v>#N/A</v>
      </c>
      <c r="AM76" s="5" t="e">
        <f>IF(_xlfn.XLOOKUP($B76,rf1_data!$B:$B,rf1_data!AE:AE,"NaN")="","NaN",(_xlfn.XLOOKUP($B76,rf1_data!$B:$B,rf1_data!AE:AE,"NaN")))</f>
        <v>#N/A</v>
      </c>
      <c r="AN76" s="5" t="e">
        <f>IF(_xlfn.XLOOKUP($B76,rf1_data!$B:$B,rf1_data!AF:AF,"NaN")="","NaN",(_xlfn.XLOOKUP($B76,rf1_data!$B:$B,rf1_data!AF:AF,"NaN")))</f>
        <v>#N/A</v>
      </c>
      <c r="AO76" s="5" t="e">
        <f>IF(_xlfn.XLOOKUP($B76,rf1_data!$B:$B,rf1_data!AG:AG,"NaN")="","NaN",(_xlfn.XLOOKUP($B76,rf1_data!$B:$B,rf1_data!AG:AG,"NaN")))</f>
        <v>#N/A</v>
      </c>
      <c r="AP76" s="5" t="e">
        <f>IF(_xlfn.XLOOKUP($B76,rf1_data!$B:$B,rf1_data!AH:AH,"NaN")="","NaN",(_xlfn.XLOOKUP($B76,rf1_data!$B:$B,rf1_data!AH:AH,"NaN")))</f>
        <v>#N/A</v>
      </c>
      <c r="AQ76" s="5" t="e">
        <f>IF(_xlfn.XLOOKUP($B76,rf1_data!$B:$B,rf1_data!AI:AI,"NaN")="","NaN",(_xlfn.XLOOKUP($B76,rf1_data!$B:$B,rf1_data!AI:AI,"NaN")))</f>
        <v>#N/A</v>
      </c>
      <c r="AR76" s="5" t="e">
        <f>IF(_xlfn.XLOOKUP($B76,rf1_data!$B:$B,rf1_data!AJ:AJ,"NaN")="","NaN",(_xlfn.XLOOKUP($B76,rf1_data!$B:$B,rf1_data!AJ:AJ,"NaN")))</f>
        <v>#N/A</v>
      </c>
      <c r="AS76" s="5" t="e">
        <f>IF(_xlfn.XLOOKUP($B76,rf1_data!$B:$B,rf1_data!AK:AK,"NaN")="","NaN",(_xlfn.XLOOKUP($B76,rf1_data!$B:$B,rf1_data!AK:AK,"NaN")))</f>
        <v>#N/A</v>
      </c>
      <c r="AT76" s="5" t="e">
        <f>IF(_xlfn.XLOOKUP($B76,rf1_data!$B:$B,rf1_data!AL:AL,"NaN")="","NaN",(_xlfn.XLOOKUP($B76,rf1_data!$B:$B,rf1_data!AL:AL,"NaN")))</f>
        <v>#N/A</v>
      </c>
      <c r="AU76" s="5" t="e">
        <f>IF(_xlfn.XLOOKUP($B76,rf1_data!$B:$B,rf1_data!AM:AM,"NaN")="","NaN",(_xlfn.XLOOKUP($B76,rf1_data!$B:$B,rf1_data!AM:AM,"NaN")))</f>
        <v>#N/A</v>
      </c>
      <c r="AV76" s="5" t="e">
        <f>IF(_xlfn.XLOOKUP($B76,rf1_data!$B:$B,rf1_data!AN:AN,"NaN")="","NaN",(_xlfn.XLOOKUP($B76,rf1_data!$B:$B,rf1_data!AN:AN,"NaN")))</f>
        <v>#N/A</v>
      </c>
      <c r="AW76" s="5" t="e">
        <f>IF(_xlfn.XLOOKUP($B76,rf1_data!$B:$B,rf1_data!AO:AO,"NaN")="","NaN",(_xlfn.XLOOKUP($B76,rf1_data!$B:$B,rf1_data!AO:AO,"NaN")))</f>
        <v>#N/A</v>
      </c>
      <c r="AX76" s="5" t="e">
        <f>IF(_xlfn.XLOOKUP($B76,rf1_data!$B:$B,rf1_data!AP:AP,"NaN")="","NaN",(_xlfn.XLOOKUP($B76,rf1_data!$B:$B,rf1_data!AP:AP,"NaN")))</f>
        <v>#N/A</v>
      </c>
      <c r="AY76" s="5" t="e">
        <f>IF(_xlfn.XLOOKUP($B76,rf1_data!$B:$B,rf1_data!AQ:AQ,"NaN")="","NaN",(_xlfn.XLOOKUP($B76,rf1_data!$B:$B,rf1_data!AQ:AQ,"NaN")))</f>
        <v>#N/A</v>
      </c>
      <c r="AZ76" s="5" t="e">
        <f>IF(_xlfn.XLOOKUP($B76,rf1_data!$B:$B,rf1_data!AR:AR,"NaN")="","NaN",(_xlfn.XLOOKUP($B76,rf1_data!$B:$B,rf1_data!AR:AR,"NaN")))</f>
        <v>#N/A</v>
      </c>
      <c r="BA76" s="5" t="e">
        <f>IF(_xlfn.XLOOKUP($B76,rf1_data!$B:$B,rf1_data!AS:AS,"NaN")="","NaN",(_xlfn.XLOOKUP($B76,rf1_data!$B:$B,rf1_data!AS:AS,"NaN")))</f>
        <v>#N/A</v>
      </c>
      <c r="BB76" s="5" t="e">
        <f>IF(_xlfn.XLOOKUP($B76,rf1_data!$B:$B,rf1_data!AT:AT,"NaN")="","NaN",(_xlfn.XLOOKUP($B76,rf1_data!$B:$B,rf1_data!AT:AT,"NaN")))</f>
        <v>#N/A</v>
      </c>
      <c r="BC76" s="5" t="e">
        <f>IF(_xlfn.XLOOKUP($B76,rf1_data!$B:$B,rf1_data!AU:AU,"NaN")="","NaN",(_xlfn.XLOOKUP($B76,rf1_data!$B:$B,rf1_data!AU:AU,"NaN")))</f>
        <v>#N/A</v>
      </c>
      <c r="BD76" s="5" t="e">
        <f>IF(_xlfn.XLOOKUP($B76,rf1_data!$B:$B,rf1_data!AV:AV,"NaN")="","NaN",(_xlfn.XLOOKUP($B76,rf1_data!$B:$B,rf1_data!AV:AV,"NaN")))</f>
        <v>#N/A</v>
      </c>
      <c r="BE76" s="5" t="e">
        <f>IF(_xlfn.XLOOKUP($B76,rf1_data!$B:$B,rf1_data!AW:AW,"NaN")="","NaN",(_xlfn.XLOOKUP($B76,rf1_data!$B:$B,rf1_data!AW:AW,"NaN")))</f>
        <v>#N/A</v>
      </c>
      <c r="BF76" s="5" t="e">
        <f>IF(_xlfn.XLOOKUP($B76,rf1_data!$B:$B,rf1_data!AX:AX,"NaN")="","NaN",(_xlfn.XLOOKUP($B76,rf1_data!$B:$B,rf1_data!AX:AX,"NaN")))</f>
        <v>#N/A</v>
      </c>
      <c r="BG76" s="5" t="e">
        <f>IF(_xlfn.XLOOKUP($B76,rf1_data!$B:$B,rf1_data!AY:AY,"NaN")="","NaN",(_xlfn.XLOOKUP($B76,rf1_data!$B:$B,rf1_data!AY:AY,"NaN")))</f>
        <v>#N/A</v>
      </c>
      <c r="BH76" s="5" t="e">
        <f>IF(_xlfn.XLOOKUP($B76,rf1_data!$B:$B,rf1_data!AZ:AZ,"NaN")="","NaN",(_xlfn.XLOOKUP($B76,rf1_data!$B:$B,rf1_data!AZ:AZ,"NaN")))</f>
        <v>#N/A</v>
      </c>
      <c r="BI76" s="5" t="e">
        <f>IF(_xlfn.XLOOKUP($B76,rf1_data!$B:$B,rf1_data!BA:BA,"NaN")="","NaN",(_xlfn.XLOOKUP($B76,rf1_data!$B:$B,rf1_data!BA:BA,"NaN")))</f>
        <v>#N/A</v>
      </c>
      <c r="BJ76" s="5" t="e">
        <f>IF(_xlfn.XLOOKUP($B76,rf1_data!$B:$B,rf1_data!BB:BB,"NaN")="","NaN",(_xlfn.XLOOKUP($B76,rf1_data!$B:$B,rf1_data!BB:BB,"NaN")))</f>
        <v>#N/A</v>
      </c>
      <c r="BK76" s="5" t="e">
        <f>IF(_xlfn.XLOOKUP($B76,rf1_data!$B:$B,rf1_data!BC:BC,"NaN")="","NaN",(_xlfn.XLOOKUP($B76,rf1_data!$B:$B,rf1_data!BC:BC,"NaN")))</f>
        <v>#N/A</v>
      </c>
      <c r="BL76" s="5" t="e">
        <f>IF(_xlfn.XLOOKUP($B76,rf1_data!$B:$B,rf1_data!BD:BD,"NaN")="","NaN",(_xlfn.XLOOKUP($B76,rf1_data!$B:$B,rf1_data!BD:BD,"NaN")))</f>
        <v>#N/A</v>
      </c>
      <c r="BM76" s="5" t="e">
        <f>IF(_xlfn.XLOOKUP($B76,rf1_data!$B:$B,rf1_data!BE:BE,"NaN")="","NaN",(_xlfn.XLOOKUP($B76,rf1_data!$B:$B,rf1_data!BE:BE,"NaN")))</f>
        <v>#N/A</v>
      </c>
      <c r="BN76" s="5" t="e">
        <f>IF(_xlfn.XLOOKUP($B76,rf1_data!$B:$B,rf1_data!BF:BF,"NaN")="","NaN",(_xlfn.XLOOKUP($B76,rf1_data!$B:$B,rf1_data!BF:BF,"NaN")))</f>
        <v>#N/A</v>
      </c>
      <c r="BO76" s="5" t="e">
        <f>IF(_xlfn.XLOOKUP($B76,rf1_data!$B:$B,rf1_data!BG:BG,"NaN")="","NaN",(_xlfn.XLOOKUP($B76,rf1_data!$B:$B,rf1_data!BG:BG,"NaN")))</f>
        <v>#N/A</v>
      </c>
      <c r="BP76" s="5" t="e">
        <f>IF(_xlfn.XLOOKUP($B76,rf1_data!$B:$B,rf1_data!BH:BH,"NaN")="","NaN",(_xlfn.XLOOKUP($B76,rf1_data!$B:$B,rf1_data!BH:BH,"NaN")))</f>
        <v>#N/A</v>
      </c>
      <c r="BQ76" s="5" t="e">
        <f>IF(_xlfn.XLOOKUP($B76,rf1_data!$B:$B,rf1_data!BI:BI,"NaN")="","NaN",(_xlfn.XLOOKUP($B76,rf1_data!$B:$B,rf1_data!BI:BI,"NaN")))</f>
        <v>#N/A</v>
      </c>
      <c r="BR76" s="5" t="e">
        <f>IF(_xlfn.XLOOKUP($B76,rf1_data!$B:$B,rf1_data!BJ:BJ,"NaN")="","NaN",(_xlfn.XLOOKUP($B76,rf1_data!$B:$B,rf1_data!BJ:BJ,"NaN")))</f>
        <v>#N/A</v>
      </c>
      <c r="BS76" s="5" t="e">
        <f>IF(_xlfn.XLOOKUP($B76,rf1_data!$B:$B,rf1_data!BK:BK,"NaN")="","NaN",(_xlfn.XLOOKUP($B76,rf1_data!$B:$B,rf1_data!BK:BK,"NaN")))</f>
        <v>#N/A</v>
      </c>
      <c r="BT76" s="5" t="e">
        <f>IF(_xlfn.XLOOKUP($B76,rf1_data!$B:$B,rf1_data!BL:BL,"NaN")="","NaN",(_xlfn.XLOOKUP($B76,rf1_data!$B:$B,rf1_data!BL:BL,"NaN")))</f>
        <v>#N/A</v>
      </c>
      <c r="BU76" s="5" t="e">
        <f>IF(_xlfn.XLOOKUP($B76,rf1_data!$B:$B,rf1_data!BM:BM,"NaN")="","NaN",(_xlfn.XLOOKUP($B76,rf1_data!$B:$B,rf1_data!BM:BM,"NaN")))</f>
        <v>#N/A</v>
      </c>
      <c r="BV76" s="5" t="e">
        <f>IF(_xlfn.XLOOKUP($B76,rf1_data!$B:$B,rf1_data!BN:BN,"NaN")="","NaN",(_xlfn.XLOOKUP($B76,rf1_data!$B:$B,rf1_data!BN:BN,"NaN")))</f>
        <v>#N/A</v>
      </c>
      <c r="BW76" s="5" t="e">
        <f>IF(_xlfn.XLOOKUP($B76,rf1_data!$B:$B,rf1_data!BO:BO,"NaN")="","NaN",(_xlfn.XLOOKUP($B76,rf1_data!$B:$B,rf1_data!BO:BO,"NaN")))</f>
        <v>#N/A</v>
      </c>
      <c r="BX76" s="5" t="e">
        <f>IF(_xlfn.XLOOKUP($B76,rf1_data!$B:$B,rf1_data!BP:BP,"NaN")="","NaN",(_xlfn.XLOOKUP($B76,rf1_data!$B:$B,rf1_data!BP:BP,"NaN")))</f>
        <v>#N/A</v>
      </c>
      <c r="BY76" s="5" t="e">
        <f>IF(_xlfn.XLOOKUP($B76,rf1_data!$B:$B,rf1_data!BQ:BQ,"NaN")="","NaN",(_xlfn.XLOOKUP($B76,rf1_data!$B:$B,rf1_data!BQ:BQ,"NaN")))</f>
        <v>#N/A</v>
      </c>
      <c r="BZ76" s="5" t="e">
        <f>IF(_xlfn.XLOOKUP($B76,rf1_data!$B:$B,rf1_data!BR:BR,"NaN")="","NaN",(_xlfn.XLOOKUP($B76,rf1_data!$B:$B,rf1_data!BR:BR,"NaN")))</f>
        <v>#N/A</v>
      </c>
      <c r="CA76" s="5" t="e">
        <f>IF(_xlfn.XLOOKUP($B76,rf1_data!$B:$B,rf1_data!BS:BS,"NaN")="","NaN",(_xlfn.XLOOKUP($B76,rf1_data!$B:$B,rf1_data!BS:BS,"NaN")))</f>
        <v>#N/A</v>
      </c>
      <c r="CB76" s="5" t="e">
        <f>IF(_xlfn.XLOOKUP($B76,rf1_data!$B:$B,rf1_data!BT:BT,"NaN")="","NaN",(_xlfn.XLOOKUP($B76,rf1_data!$B:$B,rf1_data!BT:BT,"NaN")))</f>
        <v>#N/A</v>
      </c>
      <c r="CC76" s="5" t="e">
        <f>IF(_xlfn.XLOOKUP($B76,rf1_data!$B:$B,rf1_data!BU:BU,"NaN")="","NaN",(_xlfn.XLOOKUP($B76,rf1_data!$B:$B,rf1_data!BU:BU,"NaN")))</f>
        <v>#N/A</v>
      </c>
      <c r="CD76" s="5" t="e">
        <f>IF(_xlfn.XLOOKUP($B76,rf1_data!$B:$B,rf1_data!BV:BV,"NaN")="","NaN",(_xlfn.XLOOKUP($B76,rf1_data!$B:$B,rf1_data!BV:BV,"NaN")))</f>
        <v>#N/A</v>
      </c>
      <c r="CE76" s="5" t="e">
        <f>IF(_xlfn.XLOOKUP($B76,rf1_data!$B:$B,rf1_data!BW:BW,"NaN")="","NaN",(_xlfn.XLOOKUP($B76,rf1_data!$B:$B,rf1_data!BW:BW,"NaN")))</f>
        <v>#N/A</v>
      </c>
      <c r="CF76" s="5" t="e">
        <f>IF(_xlfn.XLOOKUP($B76,rf1_data!$B:$B,rf1_data!BX:BX,"NaN")="","NaN",(_xlfn.XLOOKUP($B76,rf1_data!$B:$B,rf1_data!BX:BX,"NaN")))</f>
        <v>#N/A</v>
      </c>
      <c r="CG76" s="5" t="e">
        <f>IF(_xlfn.XLOOKUP($B76,rf1_data!$B:$B,rf1_data!BY:BY,"NaN")="","NaN",(_xlfn.XLOOKUP($B76,rf1_data!$B:$B,rf1_data!BY:BY,"NaN")))</f>
        <v>#N/A</v>
      </c>
      <c r="CH76" s="5" t="e">
        <f>IF(_xlfn.XLOOKUP($B76,rf1_data!$B:$B,rf1_data!BZ:BZ,"NaN")="","NaN",(_xlfn.XLOOKUP($B76,rf1_data!$B:$B,rf1_data!BZ:BZ,"NaN")))</f>
        <v>#N/A</v>
      </c>
      <c r="CI76" s="5" t="e">
        <f>IF(_xlfn.XLOOKUP($B76,rf1_data!$B:$B,rf1_data!CA:CA,"NaN")="","NaN",(_xlfn.XLOOKUP($B76,rf1_data!$B:$B,rf1_data!CA:CA,"NaN")))</f>
        <v>#N/A</v>
      </c>
      <c r="CJ76" s="5" t="e">
        <f>IF(_xlfn.XLOOKUP($B76,rf1_data!$B:$B,rf1_data!CB:CB,"NaN")="","NaN",(_xlfn.XLOOKUP($B76,rf1_data!$B:$B,rf1_data!CB:CB,"NaN")))</f>
        <v>#N/A</v>
      </c>
      <c r="CK76" s="5" t="e">
        <f>IF(_xlfn.XLOOKUP($B76,rf1_data!$B:$B,rf1_data!CC:CC,"NaN")="","NaN",(_xlfn.XLOOKUP($B76,rf1_data!$B:$B,rf1_data!CC:CC,"NaN")))</f>
        <v>#N/A</v>
      </c>
      <c r="CL76" s="5" t="e">
        <f>IF(_xlfn.XLOOKUP($B76,rf1_data!$B:$B,rf1_data!CD:CD,"NaN")=0,"NaN",(_xlfn.XLOOKUP($B76,rf1_data!$B:$B,rf1_data!CD:CD,"NaN")))</f>
        <v>#N/A</v>
      </c>
      <c r="CM76" s="5" t="e">
        <f>IF(_xlfn.XLOOKUP($B76,rf1_data!$B:$B,rf1_data!CE:CE,"NaN")="","NaN",(_xlfn.XLOOKUP($B76,rf1_data!$B:$B,rf1_data!CE:CE,"NaN")))</f>
        <v>#N/A</v>
      </c>
      <c r="CN76" s="5" t="e">
        <f>IF(_xlfn.XLOOKUP($B76,rf1_data!$B:$B,rf1_data!CF:CF,"NaN")="","NaN",(_xlfn.XLOOKUP($B76,rf1_data!$B:$B,rf1_data!CF:CF,"NaN")))</f>
        <v>#N/A</v>
      </c>
      <c r="CO76" s="5" t="e">
        <f>IF(_xlfn.XLOOKUP($B76,rf1_data!$B:$B,rf1_data!CG:CG,"NaN")="","NaN",(_xlfn.XLOOKUP($B76,rf1_data!$B:$B,rf1_data!CG:CG,"NaN")))</f>
        <v>#N/A</v>
      </c>
      <c r="CP76" s="5" t="e">
        <f>IF(_xlfn.XLOOKUP($B76,rf1_data!$B:$B,rf1_data!CH:CH,"NaN")=0,"NaN",(_xlfn.XLOOKUP($B76,rf1_data!$B:$B,rf1_data!CH:CH,"NaN")))</f>
        <v>#N/A</v>
      </c>
      <c r="CQ76" s="5" t="e">
        <f>IF(_xlfn.XLOOKUP($B76,rf1_data!$B:$B,rf1_data!CI:CI,"NaN")="","NaN",(_xlfn.XLOOKUP($B76,rf1_data!$B:$B,rf1_data!CI:CI,"NaN")))</f>
        <v>#N/A</v>
      </c>
      <c r="CR76" s="5" t="e">
        <f>IF(_xlfn.XLOOKUP($B76,rf1_data!$B:$B,rf1_data!CJ:CJ,"NaN")="","NaN",(_xlfn.XLOOKUP($B76,rf1_data!$B:$B,rf1_data!CJ:CJ,"NaN")))</f>
        <v>#N/A</v>
      </c>
      <c r="CS76" s="5" t="e">
        <f>IF(_xlfn.XLOOKUP($B76,rf1_data!$B:$B,rf1_data!CK:CK,"NaN")="","NaN",(_xlfn.XLOOKUP($B76,rf1_data!$B:$B,rf1_data!CK:CK,"NaN")))</f>
        <v>#N/A</v>
      </c>
      <c r="CT76" s="5" t="e">
        <f>IF(_xlfn.XLOOKUP($B76,rf1_data!$B:$B,rf1_data!CL:CL,"NaN")="","NaN",(_xlfn.XLOOKUP($B76,rf1_data!$B:$B,rf1_data!CL:CL,"NaN")))</f>
        <v>#N/A</v>
      </c>
      <c r="CU76" s="5" t="e">
        <f>IF(_xlfn.XLOOKUP($B76,rf1_data!$B:$B,rf1_data!CM:CM,"NaN")="","NaN",(_xlfn.XLOOKUP($B76,rf1_data!$B:$B,rf1_data!CM:CM,"NaN")))</f>
        <v>#N/A</v>
      </c>
      <c r="CV76" s="5" t="e">
        <f>IF(_xlfn.XLOOKUP($B76,rf1_data!$B:$B,rf1_data!CN:CN,"NaN")="","NaN",(_xlfn.XLOOKUP($B76,rf1_data!$B:$B,rf1_data!CN:CN,"NaN")))</f>
        <v>#N/A</v>
      </c>
      <c r="CW76" s="5" t="e">
        <f>IF(_xlfn.XLOOKUP($B76,rf1_data!$B:$B,rf1_data!CO:CO,"NaN")="","NaN",(_xlfn.XLOOKUP($B76,rf1_data!$B:$B,rf1_data!CO:CO,"NaN")))</f>
        <v>#N/A</v>
      </c>
      <c r="CX76" s="5" t="e">
        <f>IF(_xlfn.XLOOKUP($B76,rf1_data!$B:$B,rf1_data!CP:CP,"NaN")="","NaN",(_xlfn.XLOOKUP($B76,rf1_data!$B:$B,rf1_data!CP:CP,"NaN")))</f>
        <v>#N/A</v>
      </c>
      <c r="CY76" s="5" t="e">
        <f>IF(_xlfn.XLOOKUP($B76,rf1_data!$B:$B,rf1_data!CQ:CQ,"NaN")="","NaN",(_xlfn.XLOOKUP($B76,rf1_data!$B:$B,rf1_data!CQ:CQ,"NaN")))</f>
        <v>#N/A</v>
      </c>
      <c r="CZ76" s="5" t="e">
        <f>IF(_xlfn.XLOOKUP($B76,rf1_data!$B:$B,rf1_data!CR:CR,"NaN")="","NaN",(_xlfn.XLOOKUP($B76,rf1_data!$B:$B,rf1_data!CR:CR,"NaN")))</f>
        <v>#N/A</v>
      </c>
      <c r="DA76" s="5" t="e">
        <f>IF(_xlfn.XLOOKUP($B76,rf1_data!$B:$B,rf1_data!CS:CS,"NaN")="","NaN",(_xlfn.XLOOKUP($B76,rf1_data!$B:$B,rf1_data!CS:CS,"NaN")))</f>
        <v>#N/A</v>
      </c>
      <c r="DB76" s="4" t="e">
        <f>IF(_xlfn.XLOOKUP($B76,island_data!$B:$B,island_data!H:H,"NaN")="","NaN",_xlfn.XLOOKUP($B76,island_data!$B:$B,island_data!H:H,"NaN"))</f>
        <v>#N/A</v>
      </c>
      <c r="DC76" s="4" t="e">
        <f>IF(_xlfn.XLOOKUP($B76,island_data!$B:$B,island_data!I:I,"NaN")="","NaN",_xlfn.XLOOKUP($B76,island_data!$B:$B,island_data!I:I,"NaN"))</f>
        <v>#N/A</v>
      </c>
      <c r="DD76" s="4" t="e">
        <f>IF(_xlfn.XLOOKUP($B76,island_data!$B:$B,island_data!J:J,"NaN")="","NaN",_xlfn.XLOOKUP($B76,island_data!$B:$B,island_data!J:J,"NaN"))</f>
        <v>#N/A</v>
      </c>
      <c r="DE76" s="4" t="e">
        <f>IF(_xlfn.XLOOKUP($B76,island_data!$B:$B,island_data!K:K,"NaN")="","NaN",_xlfn.XLOOKUP($B76,island_data!$B:$B,island_data!K:K,"NaN"))</f>
        <v>#N/A</v>
      </c>
      <c r="DF76" s="4" t="e">
        <f>IF(_xlfn.XLOOKUP($B76,island_data!$B:$B,island_data!L:L,"NaN")="","NaN",_xlfn.XLOOKUP($B76,island_data!$B:$B,island_data!L:L,"NaN"))</f>
        <v>#N/A</v>
      </c>
      <c r="DG76" s="4" t="e">
        <f>IF(_xlfn.XLOOKUP($B76,island_data!$B:$B,island_data!M:M,"NaN")="","NaN",_xlfn.XLOOKUP($B76,island_data!$B:$B,island_data!M:M,"NaN"))</f>
        <v>#N/A</v>
      </c>
      <c r="DH76" s="4" t="e">
        <f>IF(_xlfn.XLOOKUP($B76,island_data!$B:$B,island_data!N:N,"NaN")="","NaN",_xlfn.XLOOKUP($B76,island_data!$B:$B,island_data!N:N,"NaN"))</f>
        <v>#N/A</v>
      </c>
      <c r="DI76" s="4" t="e">
        <f>IF(_xlfn.XLOOKUP($B76,island_data!$B:$B,island_data!O:O,"NaN")=999,"NaN",_xlfn.XLOOKUP($B76,island_data!$B:$B,island_data!O:O,"NaN"))</f>
        <v>#N/A</v>
      </c>
      <c r="DJ76" s="4" t="e">
        <f>IF(_xlfn.XLOOKUP($B76,island_data!$B:$B,island_data!P:P,"NaN")="","NaN",_xlfn.XLOOKUP($B76,island_data!$B:$B,island_data!P:P,"NaN"))</f>
        <v>#N/A</v>
      </c>
      <c r="DK76" s="4" t="e">
        <f>IF(_xlfn.XLOOKUP($B76,island_data!$B:$B,island_data!Q:Q,"NaN")="","NaN",_xlfn.XLOOKUP($B76,island_data!$B:$B,island_data!Q:Q,"NaN"))</f>
        <v>#N/A</v>
      </c>
      <c r="DL76" s="4" t="e">
        <f>IF(_xlfn.XLOOKUP($B76,island_data!$B:$B,island_data!R:R,"NaN")=999,"NaN",_xlfn.XLOOKUP($B76,island_data!$B:$B,island_data!R:R,"NaN"))</f>
        <v>#N/A</v>
      </c>
      <c r="DM76" s="4" t="e">
        <f>IF(_xlfn.XLOOKUP($B76,island_data!$B:$B,island_data!S:S,"NaN")="","NaN",_xlfn.XLOOKUP($B76,island_data!$B:$B,island_data!S:S,"NaN"))</f>
        <v>#N/A</v>
      </c>
      <c r="DN76" s="4" t="e">
        <f>IF(_xlfn.XLOOKUP($B76,island_data!$B:$B,island_data!T:T,"NaN")="","NaN",_xlfn.XLOOKUP($B76,island_data!$B:$B,island_data!T:T,"NaN"))</f>
        <v>#N/A</v>
      </c>
      <c r="DO76" s="4" t="e">
        <f>IF(_xlfn.XLOOKUP($B76,island_data!$B:$B,island_data!U:U,"NaN")="","NaN",_xlfn.XLOOKUP($B76,island_data!$B:$B,island_data!U:U,"NaN"))</f>
        <v>#N/A</v>
      </c>
      <c r="DP76" s="4" t="e">
        <f>IF(_xlfn.XLOOKUP($B76,island_data!$B:$B,island_data!V:V,"NaN")="","NaN",_xlfn.XLOOKUP($B76,island_data!$B:$B,island_data!V:V,"NaN"))</f>
        <v>#N/A</v>
      </c>
      <c r="DQ76" s="4" t="e">
        <f>IF(_xlfn.XLOOKUP($B76,island_data!$B:$B,island_data!W:W,"NaN")="","NaN",_xlfn.XLOOKUP($B76,island_data!$B:$B,island_data!W:W,"NaN"))</f>
        <v>#N/A</v>
      </c>
      <c r="DR76" s="4" t="e">
        <f>IF(_xlfn.XLOOKUP($B76,island_data!$B:$B,island_data!X:X,"NaN")="","NaN",_xlfn.XLOOKUP($B76,island_data!$B:$B,island_data!X:X,"NaN"))</f>
        <v>#N/A</v>
      </c>
      <c r="DS76" s="4" t="e">
        <f>IF(_xlfn.XLOOKUP($B76,island_data!$B:$B,island_data!Y:Y,"NaN")="","NaN",_xlfn.XLOOKUP($B76,island_data!$B:$B,island_data!Y:Y,"NaN"))</f>
        <v>#N/A</v>
      </c>
      <c r="DT76" s="4" t="e">
        <f>IF(_xlfn.XLOOKUP($B76,island_data!$B:$B,island_data!Z:Z,"NaN")="","NaN",_xlfn.XLOOKUP($B76,island_data!$B:$B,island_data!Z:Z,"NaN"))</f>
        <v>#N/A</v>
      </c>
      <c r="DU76" s="4" t="e">
        <f>IF(_xlfn.XLOOKUP($B76,island_data!$B:$B,island_data!AA:AA,"NaN")="","NaN",_xlfn.XLOOKUP($B76,island_data!$B:$B,island_data!AA:AA,"NaN"))</f>
        <v>#N/A</v>
      </c>
      <c r="DV76" s="4" t="e">
        <f>IF(_xlfn.XLOOKUP($B76,island_data!$B:$B,island_data!AB:AB,"NaN")="","NaN",_xlfn.XLOOKUP($B76,island_data!$B:$B,island_data!AB:AB,"NaN"))</f>
        <v>#N/A</v>
      </c>
      <c r="DW76" s="4" t="e">
        <f>IF(_xlfn.XLOOKUP($B76,island_data!$B:$B,island_data!AC:AC,"NaN")="","NaN",_xlfn.XLOOKUP($B76,island_data!$B:$B,island_data!AC:AC,"NaN"))</f>
        <v>#N/A</v>
      </c>
      <c r="DX76" s="4" t="e">
        <f>IF(_xlfn.XLOOKUP($B76,island_data!$B:$B,island_data!AD:AD,"NaN")="","NaN",_xlfn.XLOOKUP($B76,island_data!$B:$B,island_data!AD:AD,"NaN"))</f>
        <v>#N/A</v>
      </c>
      <c r="DY76" s="4" t="e">
        <f>IF(_xlfn.XLOOKUP($B76,island_data!$B:$B,island_data!AE:AE,"NaN")="","NaN",_xlfn.XLOOKUP($B76,island_data!$B:$B,island_data!AE:AE,"NaN"))</f>
        <v>#N/A</v>
      </c>
      <c r="DZ76" s="4" t="e">
        <f>IF(_xlfn.XLOOKUP($B76,island_data!$B:$B,island_data!AF:AF,"NaN")="","NaN",_xlfn.XLOOKUP($B76,island_data!$B:$B,island_data!AF:AF,"NaN"))</f>
        <v>#N/A</v>
      </c>
      <c r="EA76" s="4" t="e">
        <f>IF(_xlfn.XLOOKUP($B76,island_data!$B:$B,island_data!AG:AG,"NaN")="","NaN",_xlfn.XLOOKUP($B76,island_data!$B:$B,island_data!AG:AG,"NaN"))</f>
        <v>#N/A</v>
      </c>
      <c r="EB76" s="4" t="e">
        <f>IF(_xlfn.XLOOKUP($B76,island_data!$B:$B,island_data!AH:AH,"NaN")="","NaN",_xlfn.XLOOKUP($B76,island_data!$B:$B,island_data!AH:AH,"NaN"))</f>
        <v>#N/A</v>
      </c>
      <c r="EC76" s="4" t="e">
        <f>IF(_xlfn.XLOOKUP($B76,island_data!$B:$B,island_data!AI:AI,"NaN")="","NaN",_xlfn.XLOOKUP($B76,island_data!$B:$B,island_data!AI:AI,"NaN"))</f>
        <v>#N/A</v>
      </c>
      <c r="ED76" s="4" t="e">
        <f>IF(_xlfn.XLOOKUP($B76,island_data!$B:$B,island_data!AJ:AJ,"NaN")="","NaN",_xlfn.XLOOKUP($B76,island_data!$B:$B,island_data!AJ:AJ,"NaN"))</f>
        <v>#N/A</v>
      </c>
      <c r="EE76" s="4" t="e">
        <f>IF(_xlfn.XLOOKUP($B76,island_data!$B:$B,island_data!AK:AK,"NaN")="","NaN",_xlfn.XLOOKUP($B76,island_data!$B:$B,island_data!AK:AK,"NaN"))</f>
        <v>#N/A</v>
      </c>
      <c r="EF76" s="4" t="e">
        <f>IF(_xlfn.XLOOKUP($B76,island_data!$B:$B,island_data!AL:AL,"NaN")="","NaN",_xlfn.XLOOKUP($B76,island_data!$B:$B,island_data!AL:AL,"NaN"))</f>
        <v>#N/A</v>
      </c>
      <c r="EG76" s="4" t="e">
        <f>IF(_xlfn.XLOOKUP($B76,island_data!$B:$B,island_data!AM:AM,"NaN")="","NaN",_xlfn.XLOOKUP($B76,island_data!$B:$B,island_data!AM:AM,"NaN"))</f>
        <v>#N/A</v>
      </c>
      <c r="EH76" s="4" t="e">
        <f>IF(_xlfn.XLOOKUP($B76,island_data!$B:$B,island_data!AN:AN,"NaN")="","NaN",_xlfn.XLOOKUP($B76,island_data!$B:$B,island_data!AN:AN,"NaN"))</f>
        <v>#N/A</v>
      </c>
      <c r="EI76" s="4" t="e">
        <f>IF(_xlfn.XLOOKUP($B76,island_data!$B:$B,island_data!AO:AO,"NaN")="","NaN",_xlfn.XLOOKUP($B76,island_data!$B:$B,island_data!AO:AO,"NaN"))</f>
        <v>#N/A</v>
      </c>
      <c r="EJ76" s="8" t="str">
        <f>IF(_xlfn.XLOOKUP($A76,TabCAT!$A:$A,TabCAT!AU:AU,"NaN")="","NaN",(_xlfn.XLOOKUP($A76,TabCAT!$A:$A,TabCAT!AU:AU,"NaN")))</f>
        <v>NaN</v>
      </c>
      <c r="EK76" s="8" t="str">
        <f>IF(_xlfn.XLOOKUP($A76,TabCAT!$A:$A,TabCAT!AV:AV,"NaN")="","NaN",(_xlfn.XLOOKUP($A76,TabCAT!$A:$A,TabCAT!AV:AV,"NaN")))</f>
        <v>NaN</v>
      </c>
      <c r="EL76" s="8" t="str">
        <f>IF(_xlfn.XLOOKUP($A76,TabCAT!$A:$A,TabCAT!AW:AW,"NaN")="","NaN",(_xlfn.XLOOKUP($A76,TabCAT!$A:$A,TabCAT!AW:AW,"NaN")))</f>
        <v>NaN</v>
      </c>
      <c r="EM76" s="8" t="str">
        <f>IF(_xlfn.XLOOKUP($A76,TabCAT!$A:$A,TabCAT!AX:AX,"NaN")="","NaN",(_xlfn.XLOOKUP($A76,TabCAT!$A:$A,TabCAT!AX:AX,"NaN")))</f>
        <v>NaN</v>
      </c>
      <c r="EN76" s="8" t="str">
        <f>IF(_xlfn.XLOOKUP($A76,TabCAT!$A:$A,TabCAT!AY:AY,"NaN")="","NaN",(_xlfn.XLOOKUP($A76,TabCAT!$A:$A,TabCAT!AY:AY,"NaN")))</f>
        <v>NaN</v>
      </c>
      <c r="EO76" s="8" t="str">
        <f>IF(_xlfn.XLOOKUP($A76,TabCAT!$A:$A,TabCAT!AZ:AZ,"NaN")="","NaN",(_xlfn.XLOOKUP($A76,TabCAT!$A:$A,TabCAT!AZ:AZ,"NaN")))</f>
        <v>NaN</v>
      </c>
      <c r="EP76" s="8" t="str">
        <f>IF(_xlfn.XLOOKUP($A76,TabCAT!$A:$A,TabCAT!BA:BA,"NaN")="","NaN",(_xlfn.XLOOKUP($A76,TabCAT!$A:$A,TabCAT!BA:BA,"NaN")))</f>
        <v>NaN</v>
      </c>
      <c r="EQ76" s="8" t="str">
        <f>IF(_xlfn.XLOOKUP($A76,TabCAT!$A:$A,TabCAT!BB:BB,"NaN")="","NaN",(_xlfn.XLOOKUP($A76,TabCAT!$A:$A,TabCAT!BB:BB,"NaN")))</f>
        <v>NaN</v>
      </c>
      <c r="ER76" s="8" t="str">
        <f>IF(_xlfn.XLOOKUP($A76,TabCAT!$A:$A,TabCAT!BC:BC,"NaN")="","NaN",(_xlfn.XLOOKUP($A76,TabCAT!$A:$A,TabCAT!BC:BC,"NaN")))</f>
        <v>NaN</v>
      </c>
      <c r="ES76" s="8" t="str">
        <f>IF(_xlfn.XLOOKUP($A76,TabCAT!$A:$A,TabCAT!BD:BD,"NaN")="","NaN",(_xlfn.XLOOKUP($A76,TabCAT!$A:$A,TabCAT!BD:BD,"NaN")))</f>
        <v>NaN</v>
      </c>
      <c r="ET76" s="8" t="str">
        <f>IF(_xlfn.XLOOKUP($A76,TabCAT!$A:$A,TabCAT!BE:BE,"NaN")="","NaN",(_xlfn.XLOOKUP($A76,TabCAT!$A:$A,TabCAT!BE:BE,"NaN")))</f>
        <v>NaN</v>
      </c>
      <c r="EU76" s="8" t="str">
        <f>IF(_xlfn.XLOOKUP($A76,TabCAT!$A:$A,TabCAT!BF:BF,"NaN")="","NaN",(_xlfn.XLOOKUP($A76,TabCAT!$A:$A,TabCAT!BF:BF,"NaN")))</f>
        <v>NaN</v>
      </c>
      <c r="EV76" s="8" t="str">
        <f>IF(_xlfn.XLOOKUP($A76,TabCAT!$A:$A,TabCAT!BG:BG,"NaN")="","NaN",(_xlfn.XLOOKUP($A76,TabCAT!$A:$A,TabCAT!BG:BG,"NaN")))</f>
        <v>NaN</v>
      </c>
      <c r="EW76" s="8" t="str">
        <f>IF(_xlfn.XLOOKUP($A76,TabCAT!$A:$A,TabCAT!BH:BH,"NaN")="","NaN",(_xlfn.XLOOKUP($A76,TabCAT!$A:$A,TabCAT!BH:BH,"NaN")))</f>
        <v>NaN</v>
      </c>
      <c r="EX76" s="8" t="str">
        <f>IF(_xlfn.XLOOKUP($A76,TabCAT!$A:$A,TabCAT!BI:BI,"NaN")="","NaN",(_xlfn.XLOOKUP($A76,TabCAT!$A:$A,TabCAT!BI:BI,"NaN")))</f>
        <v>NaN</v>
      </c>
      <c r="EY76" s="8" t="str">
        <f>IF(_xlfn.XLOOKUP($A76,TabCAT!$A:$A,TabCAT!BJ:BJ,"NaN")="","NaN",(_xlfn.XLOOKUP($A76,TabCAT!$A:$A,TabCAT!BJ:BJ,"NaN")))</f>
        <v>NaN</v>
      </c>
      <c r="EZ76" s="8" t="str">
        <f>IF(_xlfn.XLOOKUP($A76,TabCAT!$A:$A,TabCAT!BK:BK,"NaN")="","NaN",(_xlfn.XLOOKUP($A76,TabCAT!$A:$A,TabCAT!BK:BK,"NaN")))</f>
        <v>NaN</v>
      </c>
      <c r="FA76" s="8" t="str">
        <f>IF(_xlfn.XLOOKUP($A76,TabCAT!$A:$A,TabCAT!BL:BL,"NaN")="","NaN",(_xlfn.XLOOKUP($A76,TabCAT!$A:$A,TabCAT!BL:BL,"NaN")))</f>
        <v>NaN</v>
      </c>
      <c r="FB76" s="8" t="str">
        <f>IF(_xlfn.XLOOKUP($A76,TabCAT!$A:$A,TabCAT!BM:BM,"NaN")="","NaN",(_xlfn.XLOOKUP($A76,TabCAT!$A:$A,TabCAT!BM:BM,"NaN")))</f>
        <v>NaN</v>
      </c>
      <c r="FC76" s="8" t="str">
        <f>IF(_xlfn.XLOOKUP($A76,TabCAT!$A:$A,TabCAT!BN:BN,"NaN")="","NaN",(_xlfn.XLOOKUP($A76,TabCAT!$A:$A,TabCAT!BN:BN,"NaN")))</f>
        <v>NaN</v>
      </c>
      <c r="FD76" s="8" t="str">
        <f>IF(_xlfn.XLOOKUP($A76,TabCAT!$A:$A,TabCAT!BO:BO,"NaN")="","NaN",(_xlfn.XLOOKUP($A76,TabCAT!$A:$A,TabCAT!BO:BO,"NaN")))</f>
        <v>NaN</v>
      </c>
      <c r="FE76" s="8" t="str">
        <f>IF(_xlfn.XLOOKUP($A76,TabCAT!$A:$A,TabCAT!BP:BP,"NaN")="","NaN",(_xlfn.XLOOKUP($A76,TabCAT!$A:$A,TabCAT!BP:BP,"NaN")))</f>
        <v>NaN</v>
      </c>
      <c r="FF76" s="8" t="str">
        <f>IF(_xlfn.XLOOKUP($A76,TabCAT!$A:$A,TabCAT!BQ:BQ,"NaN")="","NaN",(_xlfn.XLOOKUP($A76,TabCAT!$A:$A,TabCAT!BQ:BQ,"NaN")))</f>
        <v>NaN</v>
      </c>
      <c r="FG76" s="8" t="str">
        <f>IF(_xlfn.XLOOKUP($A76,TabCAT!$A:$A,TabCAT!BR:BR,"NaN")="","NaN",(_xlfn.XLOOKUP($A76,TabCAT!$A:$A,TabCAT!BR:BR,"NaN")))</f>
        <v>NaN</v>
      </c>
      <c r="FH76" s="8" t="str">
        <f>IF(_xlfn.XLOOKUP($A76,TabCAT!$A:$A,TabCAT!BS:BS,"NaN")="","NaN",(_xlfn.XLOOKUP($A76,TabCAT!$A:$A,TabCAT!BS:BS,"NaN")))</f>
        <v>NaN</v>
      </c>
      <c r="FI76" s="8" t="str">
        <f>IF(_xlfn.XLOOKUP($A76,TabCAT!$A:$A,TabCAT!BT:BT,"NaN")="","NaN",(_xlfn.XLOOKUP($A76,TabCAT!$A:$A,TabCAT!BT:BT,"NaN")))</f>
        <v>NaN</v>
      </c>
      <c r="FJ76" s="8" t="str">
        <f>IF(_xlfn.XLOOKUP($A76,TabCAT!$A:$A,TabCAT!BU:BU,"NaN")="","NaN",(_xlfn.XLOOKUP($A76,TabCAT!$A:$A,TabCAT!BU:BU,"NaN")))</f>
        <v>NaN</v>
      </c>
      <c r="FK76" s="8" t="str">
        <f>IF(_xlfn.XLOOKUP($A76,TabCAT!$A:$A,TabCAT!BV:BV,"NaN")="","NaN",(_xlfn.XLOOKUP($A76,TabCAT!$A:$A,TabCAT!BV:BV,"NaN")))</f>
        <v>NaN</v>
      </c>
      <c r="FL76" s="8" t="str">
        <f>IF(_xlfn.XLOOKUP($A76,TabCAT!$A:$A,TabCAT!BW:BW,"NaN")="","NaN",(_xlfn.XLOOKUP($A76,TabCAT!$A:$A,TabCAT!BW:BW,"NaN")))</f>
        <v>NaN</v>
      </c>
      <c r="FM76" s="8" t="str">
        <f>IF(_xlfn.XLOOKUP($A76,TabCAT!$A:$A,TabCAT!BX:BX,"NaN")="","NaN",(_xlfn.XLOOKUP($A76,TabCAT!$A:$A,TabCAT!BX:BX,"NaN")))</f>
        <v>NaN</v>
      </c>
      <c r="FN76" s="8" t="str">
        <f>IF(_xlfn.XLOOKUP($A76,TabCAT!$A:$A,TabCAT!BY:BY,"NaN")="","NaN",(_xlfn.XLOOKUP($A76,TabCAT!$A:$A,TabCAT!BY:BY,"NaN")))</f>
        <v>NaN</v>
      </c>
      <c r="FO76" s="8" t="str">
        <f>IF(_xlfn.XLOOKUP($A76,TabCAT!$A:$A,TabCAT!BZ:BZ,"NaN")="","NaN",(_xlfn.XLOOKUP($A76,TabCAT!$A:$A,TabCAT!BZ:BZ,"NaN")))</f>
        <v>NaN</v>
      </c>
      <c r="FP76" s="8" t="str">
        <f>IF(_xlfn.XLOOKUP($A76,TabCAT!$A:$A,TabCAT!CA:CA,"NaN")="","NaN",(_xlfn.XLOOKUP($A76,TabCAT!$A:$A,TabCAT!CA:CA,"NaN")))</f>
        <v>NaN</v>
      </c>
      <c r="FQ76" s="8" t="str">
        <f>IF(_xlfn.XLOOKUP($A76,TabCAT!$A:$A,TabCAT!CB:CB,"NaN")="","NaN",(_xlfn.XLOOKUP($A76,TabCAT!$A:$A,TabCAT!CB:CB,"NaN")))</f>
        <v>NaN</v>
      </c>
      <c r="FR76" s="8" t="str">
        <f>IF(_xlfn.XLOOKUP($A76,TabCAT!$A:$A,TabCAT!CC:CC,"NaN")="","NaN",(_xlfn.XLOOKUP($A76,TabCAT!$A:$A,TabCAT!CC:CC,"NaN")))</f>
        <v>NaN</v>
      </c>
      <c r="FS76" s="8" t="str">
        <f>IF(_xlfn.XLOOKUP($A76,TabCAT!$A:$A,TabCAT!CD:CD,"NaN")="","NaN",(_xlfn.XLOOKUP($A76,TabCAT!$A:$A,TabCAT!CD:CD,"NaN")))</f>
        <v>NaN</v>
      </c>
      <c r="FT76" s="8" t="str">
        <f>IF(_xlfn.XLOOKUP($A76,TabCAT!$A:$A,TabCAT!CE:CE,"NaN")="","NaN",(_xlfn.XLOOKUP($A76,TabCAT!$A:$A,TabCAT!CE:CE,"NaN")))</f>
        <v>NaN</v>
      </c>
      <c r="FU76" s="8" t="str">
        <f>IF(_xlfn.XLOOKUP($A76,TabCAT!$A:$A,TabCAT!CF:CF,"NaN")="","NaN",(_xlfn.XLOOKUP($A76,TabCAT!$A:$A,TabCAT!CF:CF,"NaN")))</f>
        <v>NaN</v>
      </c>
      <c r="FV76" s="8" t="str">
        <f>IF(_xlfn.XLOOKUP($A76,TabCAT!$A:$A,TabCAT!CG:CG,"NaN")="","NaN",(_xlfn.XLOOKUP($A76,TabCAT!$A:$A,TabCAT!CG:CG,"NaN")))</f>
        <v>NaN</v>
      </c>
      <c r="FW76" s="8" t="str">
        <f>IF(_xlfn.XLOOKUP($A76,TabCAT!$A:$A,TabCAT!CH:CH,"NaN")="","NaN",(_xlfn.XLOOKUP($A76,TabCAT!$A:$A,TabCAT!CH:CH,"NaN")))</f>
        <v>NaN</v>
      </c>
      <c r="FX76" s="8" t="str">
        <f>IF(_xlfn.XLOOKUP($A76,TabCAT!$A:$A,TabCAT!CI:CI,"NaN")="","NaN",(_xlfn.XLOOKUP($A76,TabCAT!$A:$A,TabCAT!CI:CI,"NaN")))</f>
        <v>NaN</v>
      </c>
      <c r="FY76" s="8" t="str">
        <f>IF(_xlfn.XLOOKUP($A76,TabCAT!$A:$A,TabCAT!CJ:CJ,"NaN")="","NaN",(_xlfn.XLOOKUP($A76,TabCAT!$A:$A,TabCAT!CJ:CJ,"NaN")))</f>
        <v>NaN</v>
      </c>
      <c r="FZ76" s="8" t="str">
        <f>IF(_xlfn.XLOOKUP($A76,TabCAT!$A:$A,TabCAT!CK:CK,"NaN")="","NaN",(_xlfn.XLOOKUP($A76,TabCAT!$A:$A,TabCAT!CK:CK,"NaN")))</f>
        <v>NaN</v>
      </c>
      <c r="GA76" s="8" t="str">
        <f>IF(_xlfn.XLOOKUP($A76,TabCAT!$A:$A,TabCAT!CL:CL,"NaN")="","NaN",(_xlfn.XLOOKUP($A76,TabCAT!$A:$A,TabCAT!CL:CL,"NaN")))</f>
        <v>NaN</v>
      </c>
      <c r="GB76" s="8" t="str">
        <f>IF(_xlfn.XLOOKUP($A76,TabCAT!$A:$A,TabCAT!CM:CM,"NaN")="","NaN",(_xlfn.XLOOKUP($A76,TabCAT!$A:$A,TabCAT!CM:CM,"NaN")))</f>
        <v>NaN</v>
      </c>
      <c r="GC76" s="8" t="str">
        <f>IF(_xlfn.XLOOKUP($A76,TabCAT!$A:$A,TabCAT!CN:CN,"NaN")="","NaN",(_xlfn.XLOOKUP($A76,TabCAT!$A:$A,TabCAT!CN:CN,"NaN")))</f>
        <v>NaN</v>
      </c>
      <c r="GD76" s="8" t="str">
        <f>IF(_xlfn.XLOOKUP($A76,TabCAT!$A:$A,TabCAT!CO:CO,"NaN")="","NaN",(_xlfn.XLOOKUP($A76,TabCAT!$A:$A,TabCAT!CO:CO,"NaN")))</f>
        <v>NaN</v>
      </c>
      <c r="GE76" s="8" t="str">
        <f>IF(_xlfn.XLOOKUP($A76,TabCAT!$A:$A,TabCAT!CP:CP,"NaN")="","NaN",(_xlfn.XLOOKUP($A76,TabCAT!$A:$A,TabCAT!CP:CP,"NaN")))</f>
        <v>NaN</v>
      </c>
      <c r="GF76" s="8" t="str">
        <f>IF(_xlfn.XLOOKUP($A76,TabCAT!$A:$A,TabCAT!CQ:CQ,"NaN")="","NaN",(_xlfn.XLOOKUP($A76,TabCAT!$A:$A,TabCAT!CQ:CQ,"NaN")))</f>
        <v>NaN</v>
      </c>
      <c r="GG76" s="8" t="str">
        <f>IF(_xlfn.XLOOKUP($A76,TabCAT!$A:$A,TabCAT!CR:CR,"NaN")="","NaN",(_xlfn.XLOOKUP($A76,TabCAT!$A:$A,TabCAT!CR:CR,"NaN")))</f>
        <v>NaN</v>
      </c>
      <c r="GH76" s="8" t="str">
        <f>IF(_xlfn.XLOOKUP($A76,TabCAT!$A:$A,TabCAT!CS:CS,"NaN")="","NaN",(_xlfn.XLOOKUP($A76,TabCAT!$A:$A,TabCAT!CS:CS,"NaN")))</f>
        <v>NaN</v>
      </c>
    </row>
    <row r="77" spans="1:190" x14ac:dyDescent="0.2">
      <c r="A77">
        <f>trust!A77</f>
        <v>0</v>
      </c>
      <c r="B77" t="e">
        <f>_xlfn.XLOOKUP(bippity_poppity_boo!A77,rf1_data!A:A,rf1_data!B:B)</f>
        <v>#N/A</v>
      </c>
      <c r="C77" s="2" t="str">
        <f>(_xlfn.XLOOKUP($A77,trust!$A:$A,trust!B:B,"NaN"))</f>
        <v>NaN</v>
      </c>
      <c r="D77" s="2" t="str">
        <f>(_xlfn.XLOOKUP($A77,trust!$A:$A,trust!C:C,"NaN"))</f>
        <v>NaN</v>
      </c>
      <c r="E77" s="2" t="str">
        <f>(_xlfn.XLOOKUP($A77,trust!$A:$A,trust!D:D,"NaN"))</f>
        <v>NaN</v>
      </c>
      <c r="F77" s="2" t="str">
        <f>(_xlfn.XLOOKUP($A77,trust!$A:$A,trust!E:E,"NaN"))</f>
        <v>NaN</v>
      </c>
      <c r="G77" s="2" t="str">
        <f>(_xlfn.XLOOKUP($A77,trust!$A:$A,trust!F:F,"NaN"))</f>
        <v>NaN</v>
      </c>
      <c r="H77" s="2" t="str">
        <f>(_xlfn.XLOOKUP($A77,trust!$A:$A,trust!G:G,"NaN"))</f>
        <v>NaN</v>
      </c>
      <c r="I77" s="3" t="e">
        <f>IF(_xlfn.XLOOKUP($B77,island_data!$B:$B,island_data!C:C,"NaN")="","NaN",_xlfn.XLOOKUP($B77,island_data!$B:$B,island_data!C:C,"NaN"))</f>
        <v>#N/A</v>
      </c>
      <c r="J77" s="3" t="e">
        <f>IF(_xlfn.XLOOKUP($B77,island_data!$B:$B,island_data!D:D,"NaN")="","NaN",_xlfn.XLOOKUP($B77,island_data!$B:$B,island_data!D:D,"NaN"))</f>
        <v>#N/A</v>
      </c>
      <c r="K77" s="4" t="e">
        <f>IF(_xlfn.XLOOKUP($B77,island_data!$B:$B,island_data!E:E,"NaN")="","NaN",_xlfn.XLOOKUP($B77,island_data!$B:$B,island_data!E:E,"NaN"))</f>
        <v>#N/A</v>
      </c>
      <c r="L77" s="5" t="e">
        <f>IF(_xlfn.XLOOKUP($B77,rf1_data!$B:$B,rf1_data!D:D,"NaN")="","NaN",(_xlfn.XLOOKUP($B77,rf1_data!$B:$B,rf1_data!D:D,"NaN")))</f>
        <v>#N/A</v>
      </c>
      <c r="M77" s="5" t="e">
        <f>IF(_xlfn.XLOOKUP($B77,rf1_data!$B:$B,rf1_data!E:E,"NaN")="","NaN",(_xlfn.XLOOKUP($B77,rf1_data!$B:$B,rf1_data!E:E,"NaN")))</f>
        <v>#N/A</v>
      </c>
      <c r="N77" s="5" t="e">
        <f>IF(_xlfn.XLOOKUP($B77,rf1_data!$B:$B,rf1_data!F:F,"NaN")="","NaN",(_xlfn.XLOOKUP($B77,rf1_data!$B:$B,rf1_data!F:F,"NaN")))</f>
        <v>#N/A</v>
      </c>
      <c r="O77" s="5" t="e">
        <f>IF(_xlfn.XLOOKUP($B77,rf1_data!$B:$B,rf1_data!G:G,"NaN")="","NaN",(_xlfn.XLOOKUP($B77,rf1_data!$B:$B,rf1_data!G:G,"NaN")))</f>
        <v>#N/A</v>
      </c>
      <c r="P77" s="5" t="e">
        <f>IF(_xlfn.XLOOKUP($B77,rf1_data!$B:$B,rf1_data!H:H,"NaN")="","NaN",(_xlfn.XLOOKUP($B77,rf1_data!$B:$B,rf1_data!H:H,"NaN")))</f>
        <v>#N/A</v>
      </c>
      <c r="Q77" s="5" t="e">
        <f>IF(_xlfn.XLOOKUP($B77,rf1_data!$B:$B,rf1_data!I:I,"NaN")="","NaN",(_xlfn.XLOOKUP($B77,rf1_data!$B:$B,rf1_data!I:I,"NaN")))</f>
        <v>#N/A</v>
      </c>
      <c r="R77" s="5" t="e">
        <f>IF(_xlfn.XLOOKUP($B77,rf1_data!$B:$B,rf1_data!J:J,"NaN")="","NaN",(_xlfn.XLOOKUP($B77,rf1_data!$B:$B,rf1_data!J:J,"NaN")))</f>
        <v>#N/A</v>
      </c>
      <c r="S77" s="5" t="e">
        <f>IF(_xlfn.XLOOKUP($B77,rf1_data!$B:$B,rf1_data!K:K,"NaN")="","NaN",(_xlfn.XLOOKUP($B77,rf1_data!$B:$B,rf1_data!K:K,"NaN")))</f>
        <v>#N/A</v>
      </c>
      <c r="T77" s="5" t="e">
        <f>IF(_xlfn.XLOOKUP($B77,rf1_data!$B:$B,rf1_data!L:L,"NaN")="","NaN",(_xlfn.XLOOKUP($B77,rf1_data!$B:$B,rf1_data!L:L,"NaN")))</f>
        <v>#N/A</v>
      </c>
      <c r="U77" s="5" t="e">
        <f>IF(_xlfn.XLOOKUP($B77,rf1_data!$B:$B,rf1_data!M:M,"NaN")="","NaN",(_xlfn.XLOOKUP($B77,rf1_data!$B:$B,rf1_data!M:M,"NaN")))</f>
        <v>#N/A</v>
      </c>
      <c r="V77" s="5" t="e">
        <f>IF(_xlfn.XLOOKUP($B77,rf1_data!$B:$B,rf1_data!N:N,"NaN")="","NaN",(_xlfn.XLOOKUP($B77,rf1_data!$B:$B,rf1_data!N:N,"NaN")))</f>
        <v>#N/A</v>
      </c>
      <c r="W77" s="5" t="e">
        <f>IF(_xlfn.XLOOKUP($B77,rf1_data!$B:$B,rf1_data!O:O,"NaN")="","NaN",(_xlfn.XLOOKUP($B77,rf1_data!$B:$B,rf1_data!O:O,"NaN")))</f>
        <v>#N/A</v>
      </c>
      <c r="X77" s="5" t="e">
        <f>IF(_xlfn.XLOOKUP($B77,rf1_data!$B:$B,rf1_data!P:P,"NaN")="","NaN",(_xlfn.XLOOKUP($B77,rf1_data!$B:$B,rf1_data!P:P,"NaN")))</f>
        <v>#N/A</v>
      </c>
      <c r="Y77" s="5" t="e">
        <f>IF(_xlfn.XLOOKUP($B77,rf1_data!$B:$B,rf1_data!Q:Q,"NaN")="","NaN",(_xlfn.XLOOKUP($B77,rf1_data!$B:$B,rf1_data!Q:Q,"NaN")))</f>
        <v>#N/A</v>
      </c>
      <c r="Z77" s="5" t="e">
        <f>IF(_xlfn.XLOOKUP($B77,rf1_data!$B:$B,rf1_data!R:R,"NaN")="","NaN",(_xlfn.XLOOKUP($B77,rf1_data!$B:$B,rf1_data!R:R,"NaN")))</f>
        <v>#N/A</v>
      </c>
      <c r="AA77" s="5" t="e">
        <f>IF(_xlfn.XLOOKUP($B77,rf1_data!$B:$B,rf1_data!S:S,"NaN")="","NaN",(_xlfn.XLOOKUP($B77,rf1_data!$B:$B,rf1_data!S:S,"NaN")))</f>
        <v>#N/A</v>
      </c>
      <c r="AB77" s="5" t="e">
        <f>IF(_xlfn.XLOOKUP($B77,rf1_data!$B:$B,rf1_data!T:T,"NaN")="","NaN",(_xlfn.XLOOKUP($B77,rf1_data!$B:$B,rf1_data!T:T,"NaN")))</f>
        <v>#N/A</v>
      </c>
      <c r="AC77" s="5" t="e">
        <f>IF(_xlfn.XLOOKUP($B77,rf1_data!$B:$B,rf1_data!U:U,"NaN")="","NaN",(_xlfn.XLOOKUP($B77,rf1_data!$B:$B,rf1_data!U:U,"NaN")))</f>
        <v>#N/A</v>
      </c>
      <c r="AD77" s="5" t="e">
        <f>IF(_xlfn.XLOOKUP($B77,rf1_data!$B:$B,rf1_data!V:V,"NaN")="","NaN",(_xlfn.XLOOKUP($B77,rf1_data!$B:$B,rf1_data!V:V,"NaN")))</f>
        <v>#N/A</v>
      </c>
      <c r="AE77" s="5" t="e">
        <f>IF(_xlfn.XLOOKUP($B77,rf1_data!$B:$B,rf1_data!W:W,"NaN")="","NaN",(_xlfn.XLOOKUP($B77,rf1_data!$B:$B,rf1_data!W:W,"NaN")))</f>
        <v>#N/A</v>
      </c>
      <c r="AF77" s="5" t="e">
        <f>IF(_xlfn.XLOOKUP($B77,rf1_data!$B:$B,rf1_data!X:X,"NaN")="","NaN",(_xlfn.XLOOKUP($B77,rf1_data!$B:$B,rf1_data!X:X,"NaN")))</f>
        <v>#N/A</v>
      </c>
      <c r="AG77" s="5" t="e">
        <f>IF(_xlfn.XLOOKUP($B77,rf1_data!$B:$B,rf1_data!Y:Y,"NaN")="","NaN",(_xlfn.XLOOKUP($B77,rf1_data!$B:$B,rf1_data!Y:Y,"NaN")))</f>
        <v>#N/A</v>
      </c>
      <c r="AH77" s="5" t="e">
        <f>IF(_xlfn.XLOOKUP($B77,rf1_data!$B:$B,rf1_data!Z:Z,"NaN")="","NaN",(_xlfn.XLOOKUP($B77,rf1_data!$B:$B,rf1_data!Z:Z,"NaN")))</f>
        <v>#N/A</v>
      </c>
      <c r="AI77" s="5" t="e">
        <f>IF(_xlfn.XLOOKUP($B77,rf1_data!$B:$B,rf1_data!AA:AA,"NaN")="","NaN",(_xlfn.XLOOKUP($B77,rf1_data!$B:$B,rf1_data!AA:AA,"NaN")))</f>
        <v>#N/A</v>
      </c>
      <c r="AJ77" s="5" t="e">
        <f>IF(_xlfn.XLOOKUP($B77,rf1_data!$B:$B,rf1_data!AB:AB,"NaN")="","NaN",(_xlfn.XLOOKUP($B77,rf1_data!$B:$B,rf1_data!AB:AB,"NaN")))</f>
        <v>#N/A</v>
      </c>
      <c r="AK77" s="5" t="e">
        <f>IF(_xlfn.XLOOKUP($B77,rf1_data!$B:$B,rf1_data!AC:AC,"NaN")="","NaN",(_xlfn.XLOOKUP($B77,rf1_data!$B:$B,rf1_data!AC:AC,"NaN")))</f>
        <v>#N/A</v>
      </c>
      <c r="AL77" s="5" t="e">
        <f>IF(_xlfn.XLOOKUP($B77,rf1_data!$B:$B,rf1_data!AD:AD,"NaN")="","NaN",(_xlfn.XLOOKUP($B77,rf1_data!$B:$B,rf1_data!AD:AD,"NaN")))</f>
        <v>#N/A</v>
      </c>
      <c r="AM77" s="5" t="e">
        <f>IF(_xlfn.XLOOKUP($B77,rf1_data!$B:$B,rf1_data!AE:AE,"NaN")="","NaN",(_xlfn.XLOOKUP($B77,rf1_data!$B:$B,rf1_data!AE:AE,"NaN")))</f>
        <v>#N/A</v>
      </c>
      <c r="AN77" s="5" t="e">
        <f>IF(_xlfn.XLOOKUP($B77,rf1_data!$B:$B,rf1_data!AF:AF,"NaN")="","NaN",(_xlfn.XLOOKUP($B77,rf1_data!$B:$B,rf1_data!AF:AF,"NaN")))</f>
        <v>#N/A</v>
      </c>
      <c r="AO77" s="5" t="e">
        <f>IF(_xlfn.XLOOKUP($B77,rf1_data!$B:$B,rf1_data!AG:AG,"NaN")="","NaN",(_xlfn.XLOOKUP($B77,rf1_data!$B:$B,rf1_data!AG:AG,"NaN")))</f>
        <v>#N/A</v>
      </c>
      <c r="AP77" s="5" t="e">
        <f>IF(_xlfn.XLOOKUP($B77,rf1_data!$B:$B,rf1_data!AH:AH,"NaN")="","NaN",(_xlfn.XLOOKUP($B77,rf1_data!$B:$B,rf1_data!AH:AH,"NaN")))</f>
        <v>#N/A</v>
      </c>
      <c r="AQ77" s="5" t="e">
        <f>IF(_xlfn.XLOOKUP($B77,rf1_data!$B:$B,rf1_data!AI:AI,"NaN")="","NaN",(_xlfn.XLOOKUP($B77,rf1_data!$B:$B,rf1_data!AI:AI,"NaN")))</f>
        <v>#N/A</v>
      </c>
      <c r="AR77" s="5" t="e">
        <f>IF(_xlfn.XLOOKUP($B77,rf1_data!$B:$B,rf1_data!AJ:AJ,"NaN")="","NaN",(_xlfn.XLOOKUP($B77,rf1_data!$B:$B,rf1_data!AJ:AJ,"NaN")))</f>
        <v>#N/A</v>
      </c>
      <c r="AS77" s="5" t="e">
        <f>IF(_xlfn.XLOOKUP($B77,rf1_data!$B:$B,rf1_data!AK:AK,"NaN")="","NaN",(_xlfn.XLOOKUP($B77,rf1_data!$B:$B,rf1_data!AK:AK,"NaN")))</f>
        <v>#N/A</v>
      </c>
      <c r="AT77" s="5" t="e">
        <f>IF(_xlfn.XLOOKUP($B77,rf1_data!$B:$B,rf1_data!AL:AL,"NaN")="","NaN",(_xlfn.XLOOKUP($B77,rf1_data!$B:$B,rf1_data!AL:AL,"NaN")))</f>
        <v>#N/A</v>
      </c>
      <c r="AU77" s="5" t="e">
        <f>IF(_xlfn.XLOOKUP($B77,rf1_data!$B:$B,rf1_data!AM:AM,"NaN")="","NaN",(_xlfn.XLOOKUP($B77,rf1_data!$B:$B,rf1_data!AM:AM,"NaN")))</f>
        <v>#N/A</v>
      </c>
      <c r="AV77" s="5" t="e">
        <f>IF(_xlfn.XLOOKUP($B77,rf1_data!$B:$B,rf1_data!AN:AN,"NaN")="","NaN",(_xlfn.XLOOKUP($B77,rf1_data!$B:$B,rf1_data!AN:AN,"NaN")))</f>
        <v>#N/A</v>
      </c>
      <c r="AW77" s="5" t="e">
        <f>IF(_xlfn.XLOOKUP($B77,rf1_data!$B:$B,rf1_data!AO:AO,"NaN")="","NaN",(_xlfn.XLOOKUP($B77,rf1_data!$B:$B,rf1_data!AO:AO,"NaN")))</f>
        <v>#N/A</v>
      </c>
      <c r="AX77" s="5" t="e">
        <f>IF(_xlfn.XLOOKUP($B77,rf1_data!$B:$B,rf1_data!AP:AP,"NaN")="","NaN",(_xlfn.XLOOKUP($B77,rf1_data!$B:$B,rf1_data!AP:AP,"NaN")))</f>
        <v>#N/A</v>
      </c>
      <c r="AY77" s="5" t="e">
        <f>IF(_xlfn.XLOOKUP($B77,rf1_data!$B:$B,rf1_data!AQ:AQ,"NaN")="","NaN",(_xlfn.XLOOKUP($B77,rf1_data!$B:$B,rf1_data!AQ:AQ,"NaN")))</f>
        <v>#N/A</v>
      </c>
      <c r="AZ77" s="5" t="e">
        <f>IF(_xlfn.XLOOKUP($B77,rf1_data!$B:$B,rf1_data!AR:AR,"NaN")="","NaN",(_xlfn.XLOOKUP($B77,rf1_data!$B:$B,rf1_data!AR:AR,"NaN")))</f>
        <v>#N/A</v>
      </c>
      <c r="BA77" s="5" t="e">
        <f>IF(_xlfn.XLOOKUP($B77,rf1_data!$B:$B,rf1_data!AS:AS,"NaN")="","NaN",(_xlfn.XLOOKUP($B77,rf1_data!$B:$B,rf1_data!AS:AS,"NaN")))</f>
        <v>#N/A</v>
      </c>
      <c r="BB77" s="5" t="e">
        <f>IF(_xlfn.XLOOKUP($B77,rf1_data!$B:$B,rf1_data!AT:AT,"NaN")="","NaN",(_xlfn.XLOOKUP($B77,rf1_data!$B:$B,rf1_data!AT:AT,"NaN")))</f>
        <v>#N/A</v>
      </c>
      <c r="BC77" s="5" t="e">
        <f>IF(_xlfn.XLOOKUP($B77,rf1_data!$B:$B,rf1_data!AU:AU,"NaN")="","NaN",(_xlfn.XLOOKUP($B77,rf1_data!$B:$B,rf1_data!AU:AU,"NaN")))</f>
        <v>#N/A</v>
      </c>
      <c r="BD77" s="5" t="e">
        <f>IF(_xlfn.XLOOKUP($B77,rf1_data!$B:$B,rf1_data!AV:AV,"NaN")="","NaN",(_xlfn.XLOOKUP($B77,rf1_data!$B:$B,rf1_data!AV:AV,"NaN")))</f>
        <v>#N/A</v>
      </c>
      <c r="BE77" s="5" t="e">
        <f>IF(_xlfn.XLOOKUP($B77,rf1_data!$B:$B,rf1_data!AW:AW,"NaN")="","NaN",(_xlfn.XLOOKUP($B77,rf1_data!$B:$B,rf1_data!AW:AW,"NaN")))</f>
        <v>#N/A</v>
      </c>
      <c r="BF77" s="5" t="e">
        <f>IF(_xlfn.XLOOKUP($B77,rf1_data!$B:$B,rf1_data!AX:AX,"NaN")="","NaN",(_xlfn.XLOOKUP($B77,rf1_data!$B:$B,rf1_data!AX:AX,"NaN")))</f>
        <v>#N/A</v>
      </c>
      <c r="BG77" s="5" t="e">
        <f>IF(_xlfn.XLOOKUP($B77,rf1_data!$B:$B,rf1_data!AY:AY,"NaN")="","NaN",(_xlfn.XLOOKUP($B77,rf1_data!$B:$B,rf1_data!AY:AY,"NaN")))</f>
        <v>#N/A</v>
      </c>
      <c r="BH77" s="5" t="e">
        <f>IF(_xlfn.XLOOKUP($B77,rf1_data!$B:$B,rf1_data!AZ:AZ,"NaN")="","NaN",(_xlfn.XLOOKUP($B77,rf1_data!$B:$B,rf1_data!AZ:AZ,"NaN")))</f>
        <v>#N/A</v>
      </c>
      <c r="BI77" s="5" t="e">
        <f>IF(_xlfn.XLOOKUP($B77,rf1_data!$B:$B,rf1_data!BA:BA,"NaN")="","NaN",(_xlfn.XLOOKUP($B77,rf1_data!$B:$B,rf1_data!BA:BA,"NaN")))</f>
        <v>#N/A</v>
      </c>
      <c r="BJ77" s="5" t="e">
        <f>IF(_xlfn.XLOOKUP($B77,rf1_data!$B:$B,rf1_data!BB:BB,"NaN")="","NaN",(_xlfn.XLOOKUP($B77,rf1_data!$B:$B,rf1_data!BB:BB,"NaN")))</f>
        <v>#N/A</v>
      </c>
      <c r="BK77" s="5" t="e">
        <f>IF(_xlfn.XLOOKUP($B77,rf1_data!$B:$B,rf1_data!BC:BC,"NaN")="","NaN",(_xlfn.XLOOKUP($B77,rf1_data!$B:$B,rf1_data!BC:BC,"NaN")))</f>
        <v>#N/A</v>
      </c>
      <c r="BL77" s="5" t="e">
        <f>IF(_xlfn.XLOOKUP($B77,rf1_data!$B:$B,rf1_data!BD:BD,"NaN")="","NaN",(_xlfn.XLOOKUP($B77,rf1_data!$B:$B,rf1_data!BD:BD,"NaN")))</f>
        <v>#N/A</v>
      </c>
      <c r="BM77" s="5" t="e">
        <f>IF(_xlfn.XLOOKUP($B77,rf1_data!$B:$B,rf1_data!BE:BE,"NaN")="","NaN",(_xlfn.XLOOKUP($B77,rf1_data!$B:$B,rf1_data!BE:BE,"NaN")))</f>
        <v>#N/A</v>
      </c>
      <c r="BN77" s="5" t="e">
        <f>IF(_xlfn.XLOOKUP($B77,rf1_data!$B:$B,rf1_data!BF:BF,"NaN")="","NaN",(_xlfn.XLOOKUP($B77,rf1_data!$B:$B,rf1_data!BF:BF,"NaN")))</f>
        <v>#N/A</v>
      </c>
      <c r="BO77" s="5" t="e">
        <f>IF(_xlfn.XLOOKUP($B77,rf1_data!$B:$B,rf1_data!BG:BG,"NaN")="","NaN",(_xlfn.XLOOKUP($B77,rf1_data!$B:$B,rf1_data!BG:BG,"NaN")))</f>
        <v>#N/A</v>
      </c>
      <c r="BP77" s="5" t="e">
        <f>IF(_xlfn.XLOOKUP($B77,rf1_data!$B:$B,rf1_data!BH:BH,"NaN")="","NaN",(_xlfn.XLOOKUP($B77,rf1_data!$B:$B,rf1_data!BH:BH,"NaN")))</f>
        <v>#N/A</v>
      </c>
      <c r="BQ77" s="5" t="e">
        <f>IF(_xlfn.XLOOKUP($B77,rf1_data!$B:$B,rf1_data!BI:BI,"NaN")="","NaN",(_xlfn.XLOOKUP($B77,rf1_data!$B:$B,rf1_data!BI:BI,"NaN")))</f>
        <v>#N/A</v>
      </c>
      <c r="BR77" s="5" t="e">
        <f>IF(_xlfn.XLOOKUP($B77,rf1_data!$B:$B,rf1_data!BJ:BJ,"NaN")="","NaN",(_xlfn.XLOOKUP($B77,rf1_data!$B:$B,rf1_data!BJ:BJ,"NaN")))</f>
        <v>#N/A</v>
      </c>
      <c r="BS77" s="5" t="e">
        <f>IF(_xlfn.XLOOKUP($B77,rf1_data!$B:$B,rf1_data!BK:BK,"NaN")="","NaN",(_xlfn.XLOOKUP($B77,rf1_data!$B:$B,rf1_data!BK:BK,"NaN")))</f>
        <v>#N/A</v>
      </c>
      <c r="BT77" s="5" t="e">
        <f>IF(_xlfn.XLOOKUP($B77,rf1_data!$B:$B,rf1_data!BL:BL,"NaN")="","NaN",(_xlfn.XLOOKUP($B77,rf1_data!$B:$B,rf1_data!BL:BL,"NaN")))</f>
        <v>#N/A</v>
      </c>
      <c r="BU77" s="5" t="e">
        <f>IF(_xlfn.XLOOKUP($B77,rf1_data!$B:$B,rf1_data!BM:BM,"NaN")="","NaN",(_xlfn.XLOOKUP($B77,rf1_data!$B:$B,rf1_data!BM:BM,"NaN")))</f>
        <v>#N/A</v>
      </c>
      <c r="BV77" s="5" t="e">
        <f>IF(_xlfn.XLOOKUP($B77,rf1_data!$B:$B,rf1_data!BN:BN,"NaN")="","NaN",(_xlfn.XLOOKUP($B77,rf1_data!$B:$B,rf1_data!BN:BN,"NaN")))</f>
        <v>#N/A</v>
      </c>
      <c r="BW77" s="5" t="e">
        <f>IF(_xlfn.XLOOKUP($B77,rf1_data!$B:$B,rf1_data!BO:BO,"NaN")="","NaN",(_xlfn.XLOOKUP($B77,rf1_data!$B:$B,rf1_data!BO:BO,"NaN")))</f>
        <v>#N/A</v>
      </c>
      <c r="BX77" s="5" t="e">
        <f>IF(_xlfn.XLOOKUP($B77,rf1_data!$B:$B,rf1_data!BP:BP,"NaN")="","NaN",(_xlfn.XLOOKUP($B77,rf1_data!$B:$B,rf1_data!BP:BP,"NaN")))</f>
        <v>#N/A</v>
      </c>
      <c r="BY77" s="5" t="e">
        <f>IF(_xlfn.XLOOKUP($B77,rf1_data!$B:$B,rf1_data!BQ:BQ,"NaN")="","NaN",(_xlfn.XLOOKUP($B77,rf1_data!$B:$B,rf1_data!BQ:BQ,"NaN")))</f>
        <v>#N/A</v>
      </c>
      <c r="BZ77" s="5" t="e">
        <f>IF(_xlfn.XLOOKUP($B77,rf1_data!$B:$B,rf1_data!BR:BR,"NaN")="","NaN",(_xlfn.XLOOKUP($B77,rf1_data!$B:$B,rf1_data!BR:BR,"NaN")))</f>
        <v>#N/A</v>
      </c>
      <c r="CA77" s="5" t="e">
        <f>IF(_xlfn.XLOOKUP($B77,rf1_data!$B:$B,rf1_data!BS:BS,"NaN")="","NaN",(_xlfn.XLOOKUP($B77,rf1_data!$B:$B,rf1_data!BS:BS,"NaN")))</f>
        <v>#N/A</v>
      </c>
      <c r="CB77" s="5" t="e">
        <f>IF(_xlfn.XLOOKUP($B77,rf1_data!$B:$B,rf1_data!BT:BT,"NaN")="","NaN",(_xlfn.XLOOKUP($B77,rf1_data!$B:$B,rf1_data!BT:BT,"NaN")))</f>
        <v>#N/A</v>
      </c>
      <c r="CC77" s="5" t="e">
        <f>IF(_xlfn.XLOOKUP($B77,rf1_data!$B:$B,rf1_data!BU:BU,"NaN")="","NaN",(_xlfn.XLOOKUP($B77,rf1_data!$B:$B,rf1_data!BU:BU,"NaN")))</f>
        <v>#N/A</v>
      </c>
      <c r="CD77" s="5" t="e">
        <f>IF(_xlfn.XLOOKUP($B77,rf1_data!$B:$B,rf1_data!BV:BV,"NaN")="","NaN",(_xlfn.XLOOKUP($B77,rf1_data!$B:$B,rf1_data!BV:BV,"NaN")))</f>
        <v>#N/A</v>
      </c>
      <c r="CE77" s="5" t="e">
        <f>IF(_xlfn.XLOOKUP($B77,rf1_data!$B:$B,rf1_data!BW:BW,"NaN")="","NaN",(_xlfn.XLOOKUP($B77,rf1_data!$B:$B,rf1_data!BW:BW,"NaN")))</f>
        <v>#N/A</v>
      </c>
      <c r="CF77" s="5" t="e">
        <f>IF(_xlfn.XLOOKUP($B77,rf1_data!$B:$B,rf1_data!BX:BX,"NaN")="","NaN",(_xlfn.XLOOKUP($B77,rf1_data!$B:$B,rf1_data!BX:BX,"NaN")))</f>
        <v>#N/A</v>
      </c>
      <c r="CG77" s="5" t="e">
        <f>IF(_xlfn.XLOOKUP($B77,rf1_data!$B:$B,rf1_data!BY:BY,"NaN")="","NaN",(_xlfn.XLOOKUP($B77,rf1_data!$B:$B,rf1_data!BY:BY,"NaN")))</f>
        <v>#N/A</v>
      </c>
      <c r="CH77" s="5" t="e">
        <f>IF(_xlfn.XLOOKUP($B77,rf1_data!$B:$B,rf1_data!BZ:BZ,"NaN")="","NaN",(_xlfn.XLOOKUP($B77,rf1_data!$B:$B,rf1_data!BZ:BZ,"NaN")))</f>
        <v>#N/A</v>
      </c>
      <c r="CI77" s="5" t="e">
        <f>IF(_xlfn.XLOOKUP($B77,rf1_data!$B:$B,rf1_data!CA:CA,"NaN")="","NaN",(_xlfn.XLOOKUP($B77,rf1_data!$B:$B,rf1_data!CA:CA,"NaN")))</f>
        <v>#N/A</v>
      </c>
      <c r="CJ77" s="5" t="e">
        <f>IF(_xlfn.XLOOKUP($B77,rf1_data!$B:$B,rf1_data!CB:CB,"NaN")="","NaN",(_xlfn.XLOOKUP($B77,rf1_data!$B:$B,rf1_data!CB:CB,"NaN")))</f>
        <v>#N/A</v>
      </c>
      <c r="CK77" s="5" t="e">
        <f>IF(_xlfn.XLOOKUP($B77,rf1_data!$B:$B,rf1_data!CC:CC,"NaN")="","NaN",(_xlfn.XLOOKUP($B77,rf1_data!$B:$B,rf1_data!CC:CC,"NaN")))</f>
        <v>#N/A</v>
      </c>
      <c r="CL77" s="5" t="e">
        <f>IF(_xlfn.XLOOKUP($B77,rf1_data!$B:$B,rf1_data!CD:CD,"NaN")=0,"NaN",(_xlfn.XLOOKUP($B77,rf1_data!$B:$B,rf1_data!CD:CD,"NaN")))</f>
        <v>#N/A</v>
      </c>
      <c r="CM77" s="5" t="e">
        <f>IF(_xlfn.XLOOKUP($B77,rf1_data!$B:$B,rf1_data!CE:CE,"NaN")="","NaN",(_xlfn.XLOOKUP($B77,rf1_data!$B:$B,rf1_data!CE:CE,"NaN")))</f>
        <v>#N/A</v>
      </c>
      <c r="CN77" s="5" t="e">
        <f>IF(_xlfn.XLOOKUP($B77,rf1_data!$B:$B,rf1_data!CF:CF,"NaN")="","NaN",(_xlfn.XLOOKUP($B77,rf1_data!$B:$B,rf1_data!CF:CF,"NaN")))</f>
        <v>#N/A</v>
      </c>
      <c r="CO77" s="5" t="e">
        <f>IF(_xlfn.XLOOKUP($B77,rf1_data!$B:$B,rf1_data!CG:CG,"NaN")="","NaN",(_xlfn.XLOOKUP($B77,rf1_data!$B:$B,rf1_data!CG:CG,"NaN")))</f>
        <v>#N/A</v>
      </c>
      <c r="CP77" s="5" t="e">
        <f>IF(_xlfn.XLOOKUP($B77,rf1_data!$B:$B,rf1_data!CH:CH,"NaN")=0,"NaN",(_xlfn.XLOOKUP($B77,rf1_data!$B:$B,rf1_data!CH:CH,"NaN")))</f>
        <v>#N/A</v>
      </c>
      <c r="CQ77" s="5" t="e">
        <f>IF(_xlfn.XLOOKUP($B77,rf1_data!$B:$B,rf1_data!CI:CI,"NaN")="","NaN",(_xlfn.XLOOKUP($B77,rf1_data!$B:$B,rf1_data!CI:CI,"NaN")))</f>
        <v>#N/A</v>
      </c>
      <c r="CR77" s="5" t="e">
        <f>IF(_xlfn.XLOOKUP($B77,rf1_data!$B:$B,rf1_data!CJ:CJ,"NaN")="","NaN",(_xlfn.XLOOKUP($B77,rf1_data!$B:$B,rf1_data!CJ:CJ,"NaN")))</f>
        <v>#N/A</v>
      </c>
      <c r="CS77" s="5" t="e">
        <f>IF(_xlfn.XLOOKUP($B77,rf1_data!$B:$B,rf1_data!CK:CK,"NaN")="","NaN",(_xlfn.XLOOKUP($B77,rf1_data!$B:$B,rf1_data!CK:CK,"NaN")))</f>
        <v>#N/A</v>
      </c>
      <c r="CT77" s="5" t="e">
        <f>IF(_xlfn.XLOOKUP($B77,rf1_data!$B:$B,rf1_data!CL:CL,"NaN")="","NaN",(_xlfn.XLOOKUP($B77,rf1_data!$B:$B,rf1_data!CL:CL,"NaN")))</f>
        <v>#N/A</v>
      </c>
      <c r="CU77" s="5" t="e">
        <f>IF(_xlfn.XLOOKUP($B77,rf1_data!$B:$B,rf1_data!CM:CM,"NaN")="","NaN",(_xlfn.XLOOKUP($B77,rf1_data!$B:$B,rf1_data!CM:CM,"NaN")))</f>
        <v>#N/A</v>
      </c>
      <c r="CV77" s="5" t="e">
        <f>IF(_xlfn.XLOOKUP($B77,rf1_data!$B:$B,rf1_data!CN:CN,"NaN")="","NaN",(_xlfn.XLOOKUP($B77,rf1_data!$B:$B,rf1_data!CN:CN,"NaN")))</f>
        <v>#N/A</v>
      </c>
      <c r="CW77" s="5" t="e">
        <f>IF(_xlfn.XLOOKUP($B77,rf1_data!$B:$B,rf1_data!CO:CO,"NaN")="","NaN",(_xlfn.XLOOKUP($B77,rf1_data!$B:$B,rf1_data!CO:CO,"NaN")))</f>
        <v>#N/A</v>
      </c>
      <c r="CX77" s="5" t="e">
        <f>IF(_xlfn.XLOOKUP($B77,rf1_data!$B:$B,rf1_data!CP:CP,"NaN")="","NaN",(_xlfn.XLOOKUP($B77,rf1_data!$B:$B,rf1_data!CP:CP,"NaN")))</f>
        <v>#N/A</v>
      </c>
      <c r="CY77" s="5" t="e">
        <f>IF(_xlfn.XLOOKUP($B77,rf1_data!$B:$B,rf1_data!CQ:CQ,"NaN")="","NaN",(_xlfn.XLOOKUP($B77,rf1_data!$B:$B,rf1_data!CQ:CQ,"NaN")))</f>
        <v>#N/A</v>
      </c>
      <c r="CZ77" s="5" t="e">
        <f>IF(_xlfn.XLOOKUP($B77,rf1_data!$B:$B,rf1_data!CR:CR,"NaN")="","NaN",(_xlfn.XLOOKUP($B77,rf1_data!$B:$B,rf1_data!CR:CR,"NaN")))</f>
        <v>#N/A</v>
      </c>
      <c r="DA77" s="5" t="e">
        <f>IF(_xlfn.XLOOKUP($B77,rf1_data!$B:$B,rf1_data!CS:CS,"NaN")="","NaN",(_xlfn.XLOOKUP($B77,rf1_data!$B:$B,rf1_data!CS:CS,"NaN")))</f>
        <v>#N/A</v>
      </c>
      <c r="DB77" s="4" t="e">
        <f>IF(_xlfn.XLOOKUP($B77,island_data!$B:$B,island_data!H:H,"NaN")="","NaN",_xlfn.XLOOKUP($B77,island_data!$B:$B,island_data!H:H,"NaN"))</f>
        <v>#N/A</v>
      </c>
      <c r="DC77" s="4" t="e">
        <f>IF(_xlfn.XLOOKUP($B77,island_data!$B:$B,island_data!I:I,"NaN")="","NaN",_xlfn.XLOOKUP($B77,island_data!$B:$B,island_data!I:I,"NaN"))</f>
        <v>#N/A</v>
      </c>
      <c r="DD77" s="4" t="e">
        <f>IF(_xlfn.XLOOKUP($B77,island_data!$B:$B,island_data!J:J,"NaN")="","NaN",_xlfn.XLOOKUP($B77,island_data!$B:$B,island_data!J:J,"NaN"))</f>
        <v>#N/A</v>
      </c>
      <c r="DE77" s="4" t="e">
        <f>IF(_xlfn.XLOOKUP($B77,island_data!$B:$B,island_data!K:K,"NaN")="","NaN",_xlfn.XLOOKUP($B77,island_data!$B:$B,island_data!K:K,"NaN"))</f>
        <v>#N/A</v>
      </c>
      <c r="DF77" s="4" t="e">
        <f>IF(_xlfn.XLOOKUP($B77,island_data!$B:$B,island_data!L:L,"NaN")="","NaN",_xlfn.XLOOKUP($B77,island_data!$B:$B,island_data!L:L,"NaN"))</f>
        <v>#N/A</v>
      </c>
      <c r="DG77" s="4" t="e">
        <f>IF(_xlfn.XLOOKUP($B77,island_data!$B:$B,island_data!M:M,"NaN")="","NaN",_xlfn.XLOOKUP($B77,island_data!$B:$B,island_data!M:M,"NaN"))</f>
        <v>#N/A</v>
      </c>
      <c r="DH77" s="4" t="e">
        <f>IF(_xlfn.XLOOKUP($B77,island_data!$B:$B,island_data!N:N,"NaN")="","NaN",_xlfn.XLOOKUP($B77,island_data!$B:$B,island_data!N:N,"NaN"))</f>
        <v>#N/A</v>
      </c>
      <c r="DI77" s="4" t="e">
        <f>IF(_xlfn.XLOOKUP($B77,island_data!$B:$B,island_data!O:O,"NaN")=999,"NaN",_xlfn.XLOOKUP($B77,island_data!$B:$B,island_data!O:O,"NaN"))</f>
        <v>#N/A</v>
      </c>
      <c r="DJ77" s="4" t="e">
        <f>IF(_xlfn.XLOOKUP($B77,island_data!$B:$B,island_data!P:P,"NaN")="","NaN",_xlfn.XLOOKUP($B77,island_data!$B:$B,island_data!P:P,"NaN"))</f>
        <v>#N/A</v>
      </c>
      <c r="DK77" s="4" t="e">
        <f>IF(_xlfn.XLOOKUP($B77,island_data!$B:$B,island_data!Q:Q,"NaN")="","NaN",_xlfn.XLOOKUP($B77,island_data!$B:$B,island_data!Q:Q,"NaN"))</f>
        <v>#N/A</v>
      </c>
      <c r="DL77" s="4" t="e">
        <f>IF(_xlfn.XLOOKUP($B77,island_data!$B:$B,island_data!R:R,"NaN")=999,"NaN",_xlfn.XLOOKUP($B77,island_data!$B:$B,island_data!R:R,"NaN"))</f>
        <v>#N/A</v>
      </c>
      <c r="DM77" s="4" t="e">
        <f>IF(_xlfn.XLOOKUP($B77,island_data!$B:$B,island_data!S:S,"NaN")="","NaN",_xlfn.XLOOKUP($B77,island_data!$B:$B,island_data!S:S,"NaN"))</f>
        <v>#N/A</v>
      </c>
      <c r="DN77" s="4" t="e">
        <f>IF(_xlfn.XLOOKUP($B77,island_data!$B:$B,island_data!T:T,"NaN")="","NaN",_xlfn.XLOOKUP($B77,island_data!$B:$B,island_data!T:T,"NaN"))</f>
        <v>#N/A</v>
      </c>
      <c r="DO77" s="4" t="e">
        <f>IF(_xlfn.XLOOKUP($B77,island_data!$B:$B,island_data!U:U,"NaN")="","NaN",_xlfn.XLOOKUP($B77,island_data!$B:$B,island_data!U:U,"NaN"))</f>
        <v>#N/A</v>
      </c>
      <c r="DP77" s="4" t="e">
        <f>IF(_xlfn.XLOOKUP($B77,island_data!$B:$B,island_data!V:V,"NaN")="","NaN",_xlfn.XLOOKUP($B77,island_data!$B:$B,island_data!V:V,"NaN"))</f>
        <v>#N/A</v>
      </c>
      <c r="DQ77" s="4" t="e">
        <f>IF(_xlfn.XLOOKUP($B77,island_data!$B:$B,island_data!W:W,"NaN")="","NaN",_xlfn.XLOOKUP($B77,island_data!$B:$B,island_data!W:W,"NaN"))</f>
        <v>#N/A</v>
      </c>
      <c r="DR77" s="4" t="e">
        <f>IF(_xlfn.XLOOKUP($B77,island_data!$B:$B,island_data!X:X,"NaN")="","NaN",_xlfn.XLOOKUP($B77,island_data!$B:$B,island_data!X:X,"NaN"))</f>
        <v>#N/A</v>
      </c>
      <c r="DS77" s="4" t="e">
        <f>IF(_xlfn.XLOOKUP($B77,island_data!$B:$B,island_data!Y:Y,"NaN")="","NaN",_xlfn.XLOOKUP($B77,island_data!$B:$B,island_data!Y:Y,"NaN"))</f>
        <v>#N/A</v>
      </c>
      <c r="DT77" s="4" t="e">
        <f>IF(_xlfn.XLOOKUP($B77,island_data!$B:$B,island_data!Z:Z,"NaN")="","NaN",_xlfn.XLOOKUP($B77,island_data!$B:$B,island_data!Z:Z,"NaN"))</f>
        <v>#N/A</v>
      </c>
      <c r="DU77" s="4" t="e">
        <f>IF(_xlfn.XLOOKUP($B77,island_data!$B:$B,island_data!AA:AA,"NaN")="","NaN",_xlfn.XLOOKUP($B77,island_data!$B:$B,island_data!AA:AA,"NaN"))</f>
        <v>#N/A</v>
      </c>
      <c r="DV77" s="4" t="e">
        <f>IF(_xlfn.XLOOKUP($B77,island_data!$B:$B,island_data!AB:AB,"NaN")="","NaN",_xlfn.XLOOKUP($B77,island_data!$B:$B,island_data!AB:AB,"NaN"))</f>
        <v>#N/A</v>
      </c>
      <c r="DW77" s="4" t="e">
        <f>IF(_xlfn.XLOOKUP($B77,island_data!$B:$B,island_data!AC:AC,"NaN")="","NaN",_xlfn.XLOOKUP($B77,island_data!$B:$B,island_data!AC:AC,"NaN"))</f>
        <v>#N/A</v>
      </c>
      <c r="DX77" s="4" t="e">
        <f>IF(_xlfn.XLOOKUP($B77,island_data!$B:$B,island_data!AD:AD,"NaN")="","NaN",_xlfn.XLOOKUP($B77,island_data!$B:$B,island_data!AD:AD,"NaN"))</f>
        <v>#N/A</v>
      </c>
      <c r="DY77" s="4" t="e">
        <f>IF(_xlfn.XLOOKUP($B77,island_data!$B:$B,island_data!AE:AE,"NaN")="","NaN",_xlfn.XLOOKUP($B77,island_data!$B:$B,island_data!AE:AE,"NaN"))</f>
        <v>#N/A</v>
      </c>
      <c r="DZ77" s="4" t="e">
        <f>IF(_xlfn.XLOOKUP($B77,island_data!$B:$B,island_data!AF:AF,"NaN")="","NaN",_xlfn.XLOOKUP($B77,island_data!$B:$B,island_data!AF:AF,"NaN"))</f>
        <v>#N/A</v>
      </c>
      <c r="EA77" s="4" t="e">
        <f>IF(_xlfn.XLOOKUP($B77,island_data!$B:$B,island_data!AG:AG,"NaN")="","NaN",_xlfn.XLOOKUP($B77,island_data!$B:$B,island_data!AG:AG,"NaN"))</f>
        <v>#N/A</v>
      </c>
      <c r="EB77" s="4" t="e">
        <f>IF(_xlfn.XLOOKUP($B77,island_data!$B:$B,island_data!AH:AH,"NaN")="","NaN",_xlfn.XLOOKUP($B77,island_data!$B:$B,island_data!AH:AH,"NaN"))</f>
        <v>#N/A</v>
      </c>
      <c r="EC77" s="4" t="e">
        <f>IF(_xlfn.XLOOKUP($B77,island_data!$B:$B,island_data!AI:AI,"NaN")="","NaN",_xlfn.XLOOKUP($B77,island_data!$B:$B,island_data!AI:AI,"NaN"))</f>
        <v>#N/A</v>
      </c>
      <c r="ED77" s="4" t="e">
        <f>IF(_xlfn.XLOOKUP($B77,island_data!$B:$B,island_data!AJ:AJ,"NaN")="","NaN",_xlfn.XLOOKUP($B77,island_data!$B:$B,island_data!AJ:AJ,"NaN"))</f>
        <v>#N/A</v>
      </c>
      <c r="EE77" s="4" t="e">
        <f>IF(_xlfn.XLOOKUP($B77,island_data!$B:$B,island_data!AK:AK,"NaN")="","NaN",_xlfn.XLOOKUP($B77,island_data!$B:$B,island_data!AK:AK,"NaN"))</f>
        <v>#N/A</v>
      </c>
      <c r="EF77" s="4" t="e">
        <f>IF(_xlfn.XLOOKUP($B77,island_data!$B:$B,island_data!AL:AL,"NaN")="","NaN",_xlfn.XLOOKUP($B77,island_data!$B:$B,island_data!AL:AL,"NaN"))</f>
        <v>#N/A</v>
      </c>
      <c r="EG77" s="4" t="e">
        <f>IF(_xlfn.XLOOKUP($B77,island_data!$B:$B,island_data!AM:AM,"NaN")="","NaN",_xlfn.XLOOKUP($B77,island_data!$B:$B,island_data!AM:AM,"NaN"))</f>
        <v>#N/A</v>
      </c>
      <c r="EH77" s="4" t="e">
        <f>IF(_xlfn.XLOOKUP($B77,island_data!$B:$B,island_data!AN:AN,"NaN")="","NaN",_xlfn.XLOOKUP($B77,island_data!$B:$B,island_data!AN:AN,"NaN"))</f>
        <v>#N/A</v>
      </c>
      <c r="EI77" s="4" t="e">
        <f>IF(_xlfn.XLOOKUP($B77,island_data!$B:$B,island_data!AO:AO,"NaN")="","NaN",_xlfn.XLOOKUP($B77,island_data!$B:$B,island_data!AO:AO,"NaN"))</f>
        <v>#N/A</v>
      </c>
      <c r="EJ77" s="8" t="str">
        <f>IF(_xlfn.XLOOKUP($A77,TabCAT!$A:$A,TabCAT!AU:AU,"NaN")="","NaN",(_xlfn.XLOOKUP($A77,TabCAT!$A:$A,TabCAT!AU:AU,"NaN")))</f>
        <v>NaN</v>
      </c>
      <c r="EK77" s="8" t="str">
        <f>IF(_xlfn.XLOOKUP($A77,TabCAT!$A:$A,TabCAT!AV:AV,"NaN")="","NaN",(_xlfn.XLOOKUP($A77,TabCAT!$A:$A,TabCAT!AV:AV,"NaN")))</f>
        <v>NaN</v>
      </c>
      <c r="EL77" s="8" t="str">
        <f>IF(_xlfn.XLOOKUP($A77,TabCAT!$A:$A,TabCAT!AW:AW,"NaN")="","NaN",(_xlfn.XLOOKUP($A77,TabCAT!$A:$A,TabCAT!AW:AW,"NaN")))</f>
        <v>NaN</v>
      </c>
      <c r="EM77" s="8" t="str">
        <f>IF(_xlfn.XLOOKUP($A77,TabCAT!$A:$A,TabCAT!AX:AX,"NaN")="","NaN",(_xlfn.XLOOKUP($A77,TabCAT!$A:$A,TabCAT!AX:AX,"NaN")))</f>
        <v>NaN</v>
      </c>
      <c r="EN77" s="8" t="str">
        <f>IF(_xlfn.XLOOKUP($A77,TabCAT!$A:$A,TabCAT!AY:AY,"NaN")="","NaN",(_xlfn.XLOOKUP($A77,TabCAT!$A:$A,TabCAT!AY:AY,"NaN")))</f>
        <v>NaN</v>
      </c>
      <c r="EO77" s="8" t="str">
        <f>IF(_xlfn.XLOOKUP($A77,TabCAT!$A:$A,TabCAT!AZ:AZ,"NaN")="","NaN",(_xlfn.XLOOKUP($A77,TabCAT!$A:$A,TabCAT!AZ:AZ,"NaN")))</f>
        <v>NaN</v>
      </c>
      <c r="EP77" s="8" t="str">
        <f>IF(_xlfn.XLOOKUP($A77,TabCAT!$A:$A,TabCAT!BA:BA,"NaN")="","NaN",(_xlfn.XLOOKUP($A77,TabCAT!$A:$A,TabCAT!BA:BA,"NaN")))</f>
        <v>NaN</v>
      </c>
      <c r="EQ77" s="8" t="str">
        <f>IF(_xlfn.XLOOKUP($A77,TabCAT!$A:$A,TabCAT!BB:BB,"NaN")="","NaN",(_xlfn.XLOOKUP($A77,TabCAT!$A:$A,TabCAT!BB:BB,"NaN")))</f>
        <v>NaN</v>
      </c>
      <c r="ER77" s="8" t="str">
        <f>IF(_xlfn.XLOOKUP($A77,TabCAT!$A:$A,TabCAT!BC:BC,"NaN")="","NaN",(_xlfn.XLOOKUP($A77,TabCAT!$A:$A,TabCAT!BC:BC,"NaN")))</f>
        <v>NaN</v>
      </c>
      <c r="ES77" s="8" t="str">
        <f>IF(_xlfn.XLOOKUP($A77,TabCAT!$A:$A,TabCAT!BD:BD,"NaN")="","NaN",(_xlfn.XLOOKUP($A77,TabCAT!$A:$A,TabCAT!BD:BD,"NaN")))</f>
        <v>NaN</v>
      </c>
      <c r="ET77" s="8" t="str">
        <f>IF(_xlfn.XLOOKUP($A77,TabCAT!$A:$A,TabCAT!BE:BE,"NaN")="","NaN",(_xlfn.XLOOKUP($A77,TabCAT!$A:$A,TabCAT!BE:BE,"NaN")))</f>
        <v>NaN</v>
      </c>
      <c r="EU77" s="8" t="str">
        <f>IF(_xlfn.XLOOKUP($A77,TabCAT!$A:$A,TabCAT!BF:BF,"NaN")="","NaN",(_xlfn.XLOOKUP($A77,TabCAT!$A:$A,TabCAT!BF:BF,"NaN")))</f>
        <v>NaN</v>
      </c>
      <c r="EV77" s="8" t="str">
        <f>IF(_xlfn.XLOOKUP($A77,TabCAT!$A:$A,TabCAT!BG:BG,"NaN")="","NaN",(_xlfn.XLOOKUP($A77,TabCAT!$A:$A,TabCAT!BG:BG,"NaN")))</f>
        <v>NaN</v>
      </c>
      <c r="EW77" s="8" t="str">
        <f>IF(_xlfn.XLOOKUP($A77,TabCAT!$A:$A,TabCAT!BH:BH,"NaN")="","NaN",(_xlfn.XLOOKUP($A77,TabCAT!$A:$A,TabCAT!BH:BH,"NaN")))</f>
        <v>NaN</v>
      </c>
      <c r="EX77" s="8" t="str">
        <f>IF(_xlfn.XLOOKUP($A77,TabCAT!$A:$A,TabCAT!BI:BI,"NaN")="","NaN",(_xlfn.XLOOKUP($A77,TabCAT!$A:$A,TabCAT!BI:BI,"NaN")))</f>
        <v>NaN</v>
      </c>
      <c r="EY77" s="8" t="str">
        <f>IF(_xlfn.XLOOKUP($A77,TabCAT!$A:$A,TabCAT!BJ:BJ,"NaN")="","NaN",(_xlfn.XLOOKUP($A77,TabCAT!$A:$A,TabCAT!BJ:BJ,"NaN")))</f>
        <v>NaN</v>
      </c>
      <c r="EZ77" s="8" t="str">
        <f>IF(_xlfn.XLOOKUP($A77,TabCAT!$A:$A,TabCAT!BK:BK,"NaN")="","NaN",(_xlfn.XLOOKUP($A77,TabCAT!$A:$A,TabCAT!BK:BK,"NaN")))</f>
        <v>NaN</v>
      </c>
      <c r="FA77" s="8" t="str">
        <f>IF(_xlfn.XLOOKUP($A77,TabCAT!$A:$A,TabCAT!BL:BL,"NaN")="","NaN",(_xlfn.XLOOKUP($A77,TabCAT!$A:$A,TabCAT!BL:BL,"NaN")))</f>
        <v>NaN</v>
      </c>
      <c r="FB77" s="8" t="str">
        <f>IF(_xlfn.XLOOKUP($A77,TabCAT!$A:$A,TabCAT!BM:BM,"NaN")="","NaN",(_xlfn.XLOOKUP($A77,TabCAT!$A:$A,TabCAT!BM:BM,"NaN")))</f>
        <v>NaN</v>
      </c>
      <c r="FC77" s="8" t="str">
        <f>IF(_xlfn.XLOOKUP($A77,TabCAT!$A:$A,TabCAT!BN:BN,"NaN")="","NaN",(_xlfn.XLOOKUP($A77,TabCAT!$A:$A,TabCAT!BN:BN,"NaN")))</f>
        <v>NaN</v>
      </c>
      <c r="FD77" s="8" t="str">
        <f>IF(_xlfn.XLOOKUP($A77,TabCAT!$A:$A,TabCAT!BO:BO,"NaN")="","NaN",(_xlfn.XLOOKUP($A77,TabCAT!$A:$A,TabCAT!BO:BO,"NaN")))</f>
        <v>NaN</v>
      </c>
      <c r="FE77" s="8" t="str">
        <f>IF(_xlfn.XLOOKUP($A77,TabCAT!$A:$A,TabCAT!BP:BP,"NaN")="","NaN",(_xlfn.XLOOKUP($A77,TabCAT!$A:$A,TabCAT!BP:BP,"NaN")))</f>
        <v>NaN</v>
      </c>
      <c r="FF77" s="8" t="str">
        <f>IF(_xlfn.XLOOKUP($A77,TabCAT!$A:$A,TabCAT!BQ:BQ,"NaN")="","NaN",(_xlfn.XLOOKUP($A77,TabCAT!$A:$A,TabCAT!BQ:BQ,"NaN")))</f>
        <v>NaN</v>
      </c>
      <c r="FG77" s="8" t="str">
        <f>IF(_xlfn.XLOOKUP($A77,TabCAT!$A:$A,TabCAT!BR:BR,"NaN")="","NaN",(_xlfn.XLOOKUP($A77,TabCAT!$A:$A,TabCAT!BR:BR,"NaN")))</f>
        <v>NaN</v>
      </c>
      <c r="FH77" s="8" t="str">
        <f>IF(_xlfn.XLOOKUP($A77,TabCAT!$A:$A,TabCAT!BS:BS,"NaN")="","NaN",(_xlfn.XLOOKUP($A77,TabCAT!$A:$A,TabCAT!BS:BS,"NaN")))</f>
        <v>NaN</v>
      </c>
      <c r="FI77" s="8" t="str">
        <f>IF(_xlfn.XLOOKUP($A77,TabCAT!$A:$A,TabCAT!BT:BT,"NaN")="","NaN",(_xlfn.XLOOKUP($A77,TabCAT!$A:$A,TabCAT!BT:BT,"NaN")))</f>
        <v>NaN</v>
      </c>
      <c r="FJ77" s="8" t="str">
        <f>IF(_xlfn.XLOOKUP($A77,TabCAT!$A:$A,TabCAT!BU:BU,"NaN")="","NaN",(_xlfn.XLOOKUP($A77,TabCAT!$A:$A,TabCAT!BU:BU,"NaN")))</f>
        <v>NaN</v>
      </c>
      <c r="FK77" s="8" t="str">
        <f>IF(_xlfn.XLOOKUP($A77,TabCAT!$A:$A,TabCAT!BV:BV,"NaN")="","NaN",(_xlfn.XLOOKUP($A77,TabCAT!$A:$A,TabCAT!BV:BV,"NaN")))</f>
        <v>NaN</v>
      </c>
      <c r="FL77" s="8" t="str">
        <f>IF(_xlfn.XLOOKUP($A77,TabCAT!$A:$A,TabCAT!BW:BW,"NaN")="","NaN",(_xlfn.XLOOKUP($A77,TabCAT!$A:$A,TabCAT!BW:BW,"NaN")))</f>
        <v>NaN</v>
      </c>
      <c r="FM77" s="8" t="str">
        <f>IF(_xlfn.XLOOKUP($A77,TabCAT!$A:$A,TabCAT!BX:BX,"NaN")="","NaN",(_xlfn.XLOOKUP($A77,TabCAT!$A:$A,TabCAT!BX:BX,"NaN")))</f>
        <v>NaN</v>
      </c>
      <c r="FN77" s="8" t="str">
        <f>IF(_xlfn.XLOOKUP($A77,TabCAT!$A:$A,TabCAT!BY:BY,"NaN")="","NaN",(_xlfn.XLOOKUP($A77,TabCAT!$A:$A,TabCAT!BY:BY,"NaN")))</f>
        <v>NaN</v>
      </c>
      <c r="FO77" s="8" t="str">
        <f>IF(_xlfn.XLOOKUP($A77,TabCAT!$A:$A,TabCAT!BZ:BZ,"NaN")="","NaN",(_xlfn.XLOOKUP($A77,TabCAT!$A:$A,TabCAT!BZ:BZ,"NaN")))</f>
        <v>NaN</v>
      </c>
      <c r="FP77" s="8" t="str">
        <f>IF(_xlfn.XLOOKUP($A77,TabCAT!$A:$A,TabCAT!CA:CA,"NaN")="","NaN",(_xlfn.XLOOKUP($A77,TabCAT!$A:$A,TabCAT!CA:CA,"NaN")))</f>
        <v>NaN</v>
      </c>
      <c r="FQ77" s="8" t="str">
        <f>IF(_xlfn.XLOOKUP($A77,TabCAT!$A:$A,TabCAT!CB:CB,"NaN")="","NaN",(_xlfn.XLOOKUP($A77,TabCAT!$A:$A,TabCAT!CB:CB,"NaN")))</f>
        <v>NaN</v>
      </c>
      <c r="FR77" s="8" t="str">
        <f>IF(_xlfn.XLOOKUP($A77,TabCAT!$A:$A,TabCAT!CC:CC,"NaN")="","NaN",(_xlfn.XLOOKUP($A77,TabCAT!$A:$A,TabCAT!CC:CC,"NaN")))</f>
        <v>NaN</v>
      </c>
      <c r="FS77" s="8" t="str">
        <f>IF(_xlfn.XLOOKUP($A77,TabCAT!$A:$A,TabCAT!CD:CD,"NaN")="","NaN",(_xlfn.XLOOKUP($A77,TabCAT!$A:$A,TabCAT!CD:CD,"NaN")))</f>
        <v>NaN</v>
      </c>
      <c r="FT77" s="8" t="str">
        <f>IF(_xlfn.XLOOKUP($A77,TabCAT!$A:$A,TabCAT!CE:CE,"NaN")="","NaN",(_xlfn.XLOOKUP($A77,TabCAT!$A:$A,TabCAT!CE:CE,"NaN")))</f>
        <v>NaN</v>
      </c>
      <c r="FU77" s="8" t="str">
        <f>IF(_xlfn.XLOOKUP($A77,TabCAT!$A:$A,TabCAT!CF:CF,"NaN")="","NaN",(_xlfn.XLOOKUP($A77,TabCAT!$A:$A,TabCAT!CF:CF,"NaN")))</f>
        <v>NaN</v>
      </c>
      <c r="FV77" s="8" t="str">
        <f>IF(_xlfn.XLOOKUP($A77,TabCAT!$A:$A,TabCAT!CG:CG,"NaN")="","NaN",(_xlfn.XLOOKUP($A77,TabCAT!$A:$A,TabCAT!CG:CG,"NaN")))</f>
        <v>NaN</v>
      </c>
      <c r="FW77" s="8" t="str">
        <f>IF(_xlfn.XLOOKUP($A77,TabCAT!$A:$A,TabCAT!CH:CH,"NaN")="","NaN",(_xlfn.XLOOKUP($A77,TabCAT!$A:$A,TabCAT!CH:CH,"NaN")))</f>
        <v>NaN</v>
      </c>
      <c r="FX77" s="8" t="str">
        <f>IF(_xlfn.XLOOKUP($A77,TabCAT!$A:$A,TabCAT!CI:CI,"NaN")="","NaN",(_xlfn.XLOOKUP($A77,TabCAT!$A:$A,TabCAT!CI:CI,"NaN")))</f>
        <v>NaN</v>
      </c>
      <c r="FY77" s="8" t="str">
        <f>IF(_xlfn.XLOOKUP($A77,TabCAT!$A:$A,TabCAT!CJ:CJ,"NaN")="","NaN",(_xlfn.XLOOKUP($A77,TabCAT!$A:$A,TabCAT!CJ:CJ,"NaN")))</f>
        <v>NaN</v>
      </c>
      <c r="FZ77" s="8" t="str">
        <f>IF(_xlfn.XLOOKUP($A77,TabCAT!$A:$A,TabCAT!CK:CK,"NaN")="","NaN",(_xlfn.XLOOKUP($A77,TabCAT!$A:$A,TabCAT!CK:CK,"NaN")))</f>
        <v>NaN</v>
      </c>
      <c r="GA77" s="8" t="str">
        <f>IF(_xlfn.XLOOKUP($A77,TabCAT!$A:$A,TabCAT!CL:CL,"NaN")="","NaN",(_xlfn.XLOOKUP($A77,TabCAT!$A:$A,TabCAT!CL:CL,"NaN")))</f>
        <v>NaN</v>
      </c>
      <c r="GB77" s="8" t="str">
        <f>IF(_xlfn.XLOOKUP($A77,TabCAT!$A:$A,TabCAT!CM:CM,"NaN")="","NaN",(_xlfn.XLOOKUP($A77,TabCAT!$A:$A,TabCAT!CM:CM,"NaN")))</f>
        <v>NaN</v>
      </c>
      <c r="GC77" s="8" t="str">
        <f>IF(_xlfn.XLOOKUP($A77,TabCAT!$A:$A,TabCAT!CN:CN,"NaN")="","NaN",(_xlfn.XLOOKUP($A77,TabCAT!$A:$A,TabCAT!CN:CN,"NaN")))</f>
        <v>NaN</v>
      </c>
      <c r="GD77" s="8" t="str">
        <f>IF(_xlfn.XLOOKUP($A77,TabCAT!$A:$A,TabCAT!CO:CO,"NaN")="","NaN",(_xlfn.XLOOKUP($A77,TabCAT!$A:$A,TabCAT!CO:CO,"NaN")))</f>
        <v>NaN</v>
      </c>
      <c r="GE77" s="8" t="str">
        <f>IF(_xlfn.XLOOKUP($A77,TabCAT!$A:$A,TabCAT!CP:CP,"NaN")="","NaN",(_xlfn.XLOOKUP($A77,TabCAT!$A:$A,TabCAT!CP:CP,"NaN")))</f>
        <v>NaN</v>
      </c>
      <c r="GF77" s="8" t="str">
        <f>IF(_xlfn.XLOOKUP($A77,TabCAT!$A:$A,TabCAT!CQ:CQ,"NaN")="","NaN",(_xlfn.XLOOKUP($A77,TabCAT!$A:$A,TabCAT!CQ:CQ,"NaN")))</f>
        <v>NaN</v>
      </c>
      <c r="GG77" s="8" t="str">
        <f>IF(_xlfn.XLOOKUP($A77,TabCAT!$A:$A,TabCAT!CR:CR,"NaN")="","NaN",(_xlfn.XLOOKUP($A77,TabCAT!$A:$A,TabCAT!CR:CR,"NaN")))</f>
        <v>NaN</v>
      </c>
      <c r="GH77" s="8" t="str">
        <f>IF(_xlfn.XLOOKUP($A77,TabCAT!$A:$A,TabCAT!CS:CS,"NaN")="","NaN",(_xlfn.XLOOKUP($A77,TabCAT!$A:$A,TabCAT!CS:CS,"NaN")))</f>
        <v>NaN</v>
      </c>
    </row>
    <row r="78" spans="1:190" x14ac:dyDescent="0.2">
      <c r="A78">
        <f>trust!A78</f>
        <v>0</v>
      </c>
      <c r="B78" t="e">
        <f>_xlfn.XLOOKUP(bippity_poppity_boo!A78,rf1_data!A:A,rf1_data!B:B)</f>
        <v>#N/A</v>
      </c>
      <c r="C78" s="2" t="str">
        <f>(_xlfn.XLOOKUP($A78,trust!$A:$A,trust!B:B,"NaN"))</f>
        <v>NaN</v>
      </c>
      <c r="D78" s="2" t="str">
        <f>(_xlfn.XLOOKUP($A78,trust!$A:$A,trust!C:C,"NaN"))</f>
        <v>NaN</v>
      </c>
      <c r="E78" s="2" t="str">
        <f>(_xlfn.XLOOKUP($A78,trust!$A:$A,trust!D:D,"NaN"))</f>
        <v>NaN</v>
      </c>
      <c r="F78" s="2" t="str">
        <f>(_xlfn.XLOOKUP($A78,trust!$A:$A,trust!E:E,"NaN"))</f>
        <v>NaN</v>
      </c>
      <c r="G78" s="2" t="str">
        <f>(_xlfn.XLOOKUP($A78,trust!$A:$A,trust!F:F,"NaN"))</f>
        <v>NaN</v>
      </c>
      <c r="H78" s="2" t="str">
        <f>(_xlfn.XLOOKUP($A78,trust!$A:$A,trust!G:G,"NaN"))</f>
        <v>NaN</v>
      </c>
      <c r="I78" s="3" t="e">
        <f>IF(_xlfn.XLOOKUP($B78,island_data!$B:$B,island_data!C:C,"NaN")="","NaN",_xlfn.XLOOKUP($B78,island_data!$B:$B,island_data!C:C,"NaN"))</f>
        <v>#N/A</v>
      </c>
      <c r="J78" s="3" t="e">
        <f>IF(_xlfn.XLOOKUP($B78,island_data!$B:$B,island_data!D:D,"NaN")="","NaN",_xlfn.XLOOKUP($B78,island_data!$B:$B,island_data!D:D,"NaN"))</f>
        <v>#N/A</v>
      </c>
      <c r="K78" s="4" t="e">
        <f>IF(_xlfn.XLOOKUP($B78,island_data!$B:$B,island_data!E:E,"NaN")="","NaN",_xlfn.XLOOKUP($B78,island_data!$B:$B,island_data!E:E,"NaN"))</f>
        <v>#N/A</v>
      </c>
      <c r="L78" s="5" t="e">
        <f>IF(_xlfn.XLOOKUP($B78,rf1_data!$B:$B,rf1_data!D:D,"NaN")="","NaN",(_xlfn.XLOOKUP($B78,rf1_data!$B:$B,rf1_data!D:D,"NaN")))</f>
        <v>#N/A</v>
      </c>
      <c r="M78" s="5" t="e">
        <f>IF(_xlfn.XLOOKUP($B78,rf1_data!$B:$B,rf1_data!E:E,"NaN")="","NaN",(_xlfn.XLOOKUP($B78,rf1_data!$B:$B,rf1_data!E:E,"NaN")))</f>
        <v>#N/A</v>
      </c>
      <c r="N78" s="5" t="e">
        <f>IF(_xlfn.XLOOKUP($B78,rf1_data!$B:$B,rf1_data!F:F,"NaN")="","NaN",(_xlfn.XLOOKUP($B78,rf1_data!$B:$B,rf1_data!F:F,"NaN")))</f>
        <v>#N/A</v>
      </c>
      <c r="O78" s="5" t="e">
        <f>IF(_xlfn.XLOOKUP($B78,rf1_data!$B:$B,rf1_data!G:G,"NaN")="","NaN",(_xlfn.XLOOKUP($B78,rf1_data!$B:$B,rf1_data!G:G,"NaN")))</f>
        <v>#N/A</v>
      </c>
      <c r="P78" s="5" t="e">
        <f>IF(_xlfn.XLOOKUP($B78,rf1_data!$B:$B,rf1_data!H:H,"NaN")="","NaN",(_xlfn.XLOOKUP($B78,rf1_data!$B:$B,rf1_data!H:H,"NaN")))</f>
        <v>#N/A</v>
      </c>
      <c r="Q78" s="5" t="e">
        <f>IF(_xlfn.XLOOKUP($B78,rf1_data!$B:$B,rf1_data!I:I,"NaN")="","NaN",(_xlfn.XLOOKUP($B78,rf1_data!$B:$B,rf1_data!I:I,"NaN")))</f>
        <v>#N/A</v>
      </c>
      <c r="R78" s="5" t="e">
        <f>IF(_xlfn.XLOOKUP($B78,rf1_data!$B:$B,rf1_data!J:J,"NaN")="","NaN",(_xlfn.XLOOKUP($B78,rf1_data!$B:$B,rf1_data!J:J,"NaN")))</f>
        <v>#N/A</v>
      </c>
      <c r="S78" s="5" t="e">
        <f>IF(_xlfn.XLOOKUP($B78,rf1_data!$B:$B,rf1_data!K:K,"NaN")="","NaN",(_xlfn.XLOOKUP($B78,rf1_data!$B:$B,rf1_data!K:K,"NaN")))</f>
        <v>#N/A</v>
      </c>
      <c r="T78" s="5" t="e">
        <f>IF(_xlfn.XLOOKUP($B78,rf1_data!$B:$B,rf1_data!L:L,"NaN")="","NaN",(_xlfn.XLOOKUP($B78,rf1_data!$B:$B,rf1_data!L:L,"NaN")))</f>
        <v>#N/A</v>
      </c>
      <c r="U78" s="5" t="e">
        <f>IF(_xlfn.XLOOKUP($B78,rf1_data!$B:$B,rf1_data!M:M,"NaN")="","NaN",(_xlfn.XLOOKUP($B78,rf1_data!$B:$B,rf1_data!M:M,"NaN")))</f>
        <v>#N/A</v>
      </c>
      <c r="V78" s="5" t="e">
        <f>IF(_xlfn.XLOOKUP($B78,rf1_data!$B:$B,rf1_data!N:N,"NaN")="","NaN",(_xlfn.XLOOKUP($B78,rf1_data!$B:$B,rf1_data!N:N,"NaN")))</f>
        <v>#N/A</v>
      </c>
      <c r="W78" s="5" t="e">
        <f>IF(_xlfn.XLOOKUP($B78,rf1_data!$B:$B,rf1_data!O:O,"NaN")="","NaN",(_xlfn.XLOOKUP($B78,rf1_data!$B:$B,rf1_data!O:O,"NaN")))</f>
        <v>#N/A</v>
      </c>
      <c r="X78" s="5" t="e">
        <f>IF(_xlfn.XLOOKUP($B78,rf1_data!$B:$B,rf1_data!P:P,"NaN")="","NaN",(_xlfn.XLOOKUP($B78,rf1_data!$B:$B,rf1_data!P:P,"NaN")))</f>
        <v>#N/A</v>
      </c>
      <c r="Y78" s="5" t="e">
        <f>IF(_xlfn.XLOOKUP($B78,rf1_data!$B:$B,rf1_data!Q:Q,"NaN")="","NaN",(_xlfn.XLOOKUP($B78,rf1_data!$B:$B,rf1_data!Q:Q,"NaN")))</f>
        <v>#N/A</v>
      </c>
      <c r="Z78" s="5" t="e">
        <f>IF(_xlfn.XLOOKUP($B78,rf1_data!$B:$B,rf1_data!R:R,"NaN")="","NaN",(_xlfn.XLOOKUP($B78,rf1_data!$B:$B,rf1_data!R:R,"NaN")))</f>
        <v>#N/A</v>
      </c>
      <c r="AA78" s="5" t="e">
        <f>IF(_xlfn.XLOOKUP($B78,rf1_data!$B:$B,rf1_data!S:S,"NaN")="","NaN",(_xlfn.XLOOKUP($B78,rf1_data!$B:$B,rf1_data!S:S,"NaN")))</f>
        <v>#N/A</v>
      </c>
      <c r="AB78" s="5" t="e">
        <f>IF(_xlfn.XLOOKUP($B78,rf1_data!$B:$B,rf1_data!T:T,"NaN")="","NaN",(_xlfn.XLOOKUP($B78,rf1_data!$B:$B,rf1_data!T:T,"NaN")))</f>
        <v>#N/A</v>
      </c>
      <c r="AC78" s="5" t="e">
        <f>IF(_xlfn.XLOOKUP($B78,rf1_data!$B:$B,rf1_data!U:U,"NaN")="","NaN",(_xlfn.XLOOKUP($B78,rf1_data!$B:$B,rf1_data!U:U,"NaN")))</f>
        <v>#N/A</v>
      </c>
      <c r="AD78" s="5" t="e">
        <f>IF(_xlfn.XLOOKUP($B78,rf1_data!$B:$B,rf1_data!V:V,"NaN")="","NaN",(_xlfn.XLOOKUP($B78,rf1_data!$B:$B,rf1_data!V:V,"NaN")))</f>
        <v>#N/A</v>
      </c>
      <c r="AE78" s="5" t="e">
        <f>IF(_xlfn.XLOOKUP($B78,rf1_data!$B:$B,rf1_data!W:W,"NaN")="","NaN",(_xlfn.XLOOKUP($B78,rf1_data!$B:$B,rf1_data!W:W,"NaN")))</f>
        <v>#N/A</v>
      </c>
      <c r="AF78" s="5" t="e">
        <f>IF(_xlfn.XLOOKUP($B78,rf1_data!$B:$B,rf1_data!X:X,"NaN")="","NaN",(_xlfn.XLOOKUP($B78,rf1_data!$B:$B,rf1_data!X:X,"NaN")))</f>
        <v>#N/A</v>
      </c>
      <c r="AG78" s="5" t="e">
        <f>IF(_xlfn.XLOOKUP($B78,rf1_data!$B:$B,rf1_data!Y:Y,"NaN")="","NaN",(_xlfn.XLOOKUP($B78,rf1_data!$B:$B,rf1_data!Y:Y,"NaN")))</f>
        <v>#N/A</v>
      </c>
      <c r="AH78" s="5" t="e">
        <f>IF(_xlfn.XLOOKUP($B78,rf1_data!$B:$B,rf1_data!Z:Z,"NaN")="","NaN",(_xlfn.XLOOKUP($B78,rf1_data!$B:$B,rf1_data!Z:Z,"NaN")))</f>
        <v>#N/A</v>
      </c>
      <c r="AI78" s="5" t="e">
        <f>IF(_xlfn.XLOOKUP($B78,rf1_data!$B:$B,rf1_data!AA:AA,"NaN")="","NaN",(_xlfn.XLOOKUP($B78,rf1_data!$B:$B,rf1_data!AA:AA,"NaN")))</f>
        <v>#N/A</v>
      </c>
      <c r="AJ78" s="5" t="e">
        <f>IF(_xlfn.XLOOKUP($B78,rf1_data!$B:$B,rf1_data!AB:AB,"NaN")="","NaN",(_xlfn.XLOOKUP($B78,rf1_data!$B:$B,rf1_data!AB:AB,"NaN")))</f>
        <v>#N/A</v>
      </c>
      <c r="AK78" s="5" t="e">
        <f>IF(_xlfn.XLOOKUP($B78,rf1_data!$B:$B,rf1_data!AC:AC,"NaN")="","NaN",(_xlfn.XLOOKUP($B78,rf1_data!$B:$B,rf1_data!AC:AC,"NaN")))</f>
        <v>#N/A</v>
      </c>
      <c r="AL78" s="5" t="e">
        <f>IF(_xlfn.XLOOKUP($B78,rf1_data!$B:$B,rf1_data!AD:AD,"NaN")="","NaN",(_xlfn.XLOOKUP($B78,rf1_data!$B:$B,rf1_data!AD:AD,"NaN")))</f>
        <v>#N/A</v>
      </c>
      <c r="AM78" s="5" t="e">
        <f>IF(_xlfn.XLOOKUP($B78,rf1_data!$B:$B,rf1_data!AE:AE,"NaN")="","NaN",(_xlfn.XLOOKUP($B78,rf1_data!$B:$B,rf1_data!AE:AE,"NaN")))</f>
        <v>#N/A</v>
      </c>
      <c r="AN78" s="5" t="e">
        <f>IF(_xlfn.XLOOKUP($B78,rf1_data!$B:$B,rf1_data!AF:AF,"NaN")="","NaN",(_xlfn.XLOOKUP($B78,rf1_data!$B:$B,rf1_data!AF:AF,"NaN")))</f>
        <v>#N/A</v>
      </c>
      <c r="AO78" s="5" t="e">
        <f>IF(_xlfn.XLOOKUP($B78,rf1_data!$B:$B,rf1_data!AG:AG,"NaN")="","NaN",(_xlfn.XLOOKUP($B78,rf1_data!$B:$B,rf1_data!AG:AG,"NaN")))</f>
        <v>#N/A</v>
      </c>
      <c r="AP78" s="5" t="e">
        <f>IF(_xlfn.XLOOKUP($B78,rf1_data!$B:$B,rf1_data!AH:AH,"NaN")="","NaN",(_xlfn.XLOOKUP($B78,rf1_data!$B:$B,rf1_data!AH:AH,"NaN")))</f>
        <v>#N/A</v>
      </c>
      <c r="AQ78" s="5" t="e">
        <f>IF(_xlfn.XLOOKUP($B78,rf1_data!$B:$B,rf1_data!AI:AI,"NaN")="","NaN",(_xlfn.XLOOKUP($B78,rf1_data!$B:$B,rf1_data!AI:AI,"NaN")))</f>
        <v>#N/A</v>
      </c>
      <c r="AR78" s="5" t="e">
        <f>IF(_xlfn.XLOOKUP($B78,rf1_data!$B:$B,rf1_data!AJ:AJ,"NaN")="","NaN",(_xlfn.XLOOKUP($B78,rf1_data!$B:$B,rf1_data!AJ:AJ,"NaN")))</f>
        <v>#N/A</v>
      </c>
      <c r="AS78" s="5" t="e">
        <f>IF(_xlfn.XLOOKUP($B78,rf1_data!$B:$B,rf1_data!AK:AK,"NaN")="","NaN",(_xlfn.XLOOKUP($B78,rf1_data!$B:$B,rf1_data!AK:AK,"NaN")))</f>
        <v>#N/A</v>
      </c>
      <c r="AT78" s="5" t="e">
        <f>IF(_xlfn.XLOOKUP($B78,rf1_data!$B:$B,rf1_data!AL:AL,"NaN")="","NaN",(_xlfn.XLOOKUP($B78,rf1_data!$B:$B,rf1_data!AL:AL,"NaN")))</f>
        <v>#N/A</v>
      </c>
      <c r="AU78" s="5" t="e">
        <f>IF(_xlfn.XLOOKUP($B78,rf1_data!$B:$B,rf1_data!AM:AM,"NaN")="","NaN",(_xlfn.XLOOKUP($B78,rf1_data!$B:$B,rf1_data!AM:AM,"NaN")))</f>
        <v>#N/A</v>
      </c>
      <c r="AV78" s="5" t="e">
        <f>IF(_xlfn.XLOOKUP($B78,rf1_data!$B:$B,rf1_data!AN:AN,"NaN")="","NaN",(_xlfn.XLOOKUP($B78,rf1_data!$B:$B,rf1_data!AN:AN,"NaN")))</f>
        <v>#N/A</v>
      </c>
      <c r="AW78" s="5" t="e">
        <f>IF(_xlfn.XLOOKUP($B78,rf1_data!$B:$B,rf1_data!AO:AO,"NaN")="","NaN",(_xlfn.XLOOKUP($B78,rf1_data!$B:$B,rf1_data!AO:AO,"NaN")))</f>
        <v>#N/A</v>
      </c>
      <c r="AX78" s="5" t="e">
        <f>IF(_xlfn.XLOOKUP($B78,rf1_data!$B:$B,rf1_data!AP:AP,"NaN")="","NaN",(_xlfn.XLOOKUP($B78,rf1_data!$B:$B,rf1_data!AP:AP,"NaN")))</f>
        <v>#N/A</v>
      </c>
      <c r="AY78" s="5" t="e">
        <f>IF(_xlfn.XLOOKUP($B78,rf1_data!$B:$B,rf1_data!AQ:AQ,"NaN")="","NaN",(_xlfn.XLOOKUP($B78,rf1_data!$B:$B,rf1_data!AQ:AQ,"NaN")))</f>
        <v>#N/A</v>
      </c>
      <c r="AZ78" s="5" t="e">
        <f>IF(_xlfn.XLOOKUP($B78,rf1_data!$B:$B,rf1_data!AR:AR,"NaN")="","NaN",(_xlfn.XLOOKUP($B78,rf1_data!$B:$B,rf1_data!AR:AR,"NaN")))</f>
        <v>#N/A</v>
      </c>
      <c r="BA78" s="5" t="e">
        <f>IF(_xlfn.XLOOKUP($B78,rf1_data!$B:$B,rf1_data!AS:AS,"NaN")="","NaN",(_xlfn.XLOOKUP($B78,rf1_data!$B:$B,rf1_data!AS:AS,"NaN")))</f>
        <v>#N/A</v>
      </c>
      <c r="BB78" s="5" t="e">
        <f>IF(_xlfn.XLOOKUP($B78,rf1_data!$B:$B,rf1_data!AT:AT,"NaN")="","NaN",(_xlfn.XLOOKUP($B78,rf1_data!$B:$B,rf1_data!AT:AT,"NaN")))</f>
        <v>#N/A</v>
      </c>
      <c r="BC78" s="5" t="e">
        <f>IF(_xlfn.XLOOKUP($B78,rf1_data!$B:$B,rf1_data!AU:AU,"NaN")="","NaN",(_xlfn.XLOOKUP($B78,rf1_data!$B:$B,rf1_data!AU:AU,"NaN")))</f>
        <v>#N/A</v>
      </c>
      <c r="BD78" s="5" t="e">
        <f>IF(_xlfn.XLOOKUP($B78,rf1_data!$B:$B,rf1_data!AV:AV,"NaN")="","NaN",(_xlfn.XLOOKUP($B78,rf1_data!$B:$B,rf1_data!AV:AV,"NaN")))</f>
        <v>#N/A</v>
      </c>
      <c r="BE78" s="5" t="e">
        <f>IF(_xlfn.XLOOKUP($B78,rf1_data!$B:$B,rf1_data!AW:AW,"NaN")="","NaN",(_xlfn.XLOOKUP($B78,rf1_data!$B:$B,rf1_data!AW:AW,"NaN")))</f>
        <v>#N/A</v>
      </c>
      <c r="BF78" s="5" t="e">
        <f>IF(_xlfn.XLOOKUP($B78,rf1_data!$B:$B,rf1_data!AX:AX,"NaN")="","NaN",(_xlfn.XLOOKUP($B78,rf1_data!$B:$B,rf1_data!AX:AX,"NaN")))</f>
        <v>#N/A</v>
      </c>
      <c r="BG78" s="5" t="e">
        <f>IF(_xlfn.XLOOKUP($B78,rf1_data!$B:$B,rf1_data!AY:AY,"NaN")="","NaN",(_xlfn.XLOOKUP($B78,rf1_data!$B:$B,rf1_data!AY:AY,"NaN")))</f>
        <v>#N/A</v>
      </c>
      <c r="BH78" s="5" t="e">
        <f>IF(_xlfn.XLOOKUP($B78,rf1_data!$B:$B,rf1_data!AZ:AZ,"NaN")="","NaN",(_xlfn.XLOOKUP($B78,rf1_data!$B:$B,rf1_data!AZ:AZ,"NaN")))</f>
        <v>#N/A</v>
      </c>
      <c r="BI78" s="5" t="e">
        <f>IF(_xlfn.XLOOKUP($B78,rf1_data!$B:$B,rf1_data!BA:BA,"NaN")="","NaN",(_xlfn.XLOOKUP($B78,rf1_data!$B:$B,rf1_data!BA:BA,"NaN")))</f>
        <v>#N/A</v>
      </c>
      <c r="BJ78" s="5" t="e">
        <f>IF(_xlfn.XLOOKUP($B78,rf1_data!$B:$B,rf1_data!BB:BB,"NaN")="","NaN",(_xlfn.XLOOKUP($B78,rf1_data!$B:$B,rf1_data!BB:BB,"NaN")))</f>
        <v>#N/A</v>
      </c>
      <c r="BK78" s="5" t="e">
        <f>IF(_xlfn.XLOOKUP($B78,rf1_data!$B:$B,rf1_data!BC:BC,"NaN")="","NaN",(_xlfn.XLOOKUP($B78,rf1_data!$B:$B,rf1_data!BC:BC,"NaN")))</f>
        <v>#N/A</v>
      </c>
      <c r="BL78" s="5" t="e">
        <f>IF(_xlfn.XLOOKUP($B78,rf1_data!$B:$B,rf1_data!BD:BD,"NaN")="","NaN",(_xlfn.XLOOKUP($B78,rf1_data!$B:$B,rf1_data!BD:BD,"NaN")))</f>
        <v>#N/A</v>
      </c>
      <c r="BM78" s="5" t="e">
        <f>IF(_xlfn.XLOOKUP($B78,rf1_data!$B:$B,rf1_data!BE:BE,"NaN")="","NaN",(_xlfn.XLOOKUP($B78,rf1_data!$B:$B,rf1_data!BE:BE,"NaN")))</f>
        <v>#N/A</v>
      </c>
      <c r="BN78" s="5" t="e">
        <f>IF(_xlfn.XLOOKUP($B78,rf1_data!$B:$B,rf1_data!BF:BF,"NaN")="","NaN",(_xlfn.XLOOKUP($B78,rf1_data!$B:$B,rf1_data!BF:BF,"NaN")))</f>
        <v>#N/A</v>
      </c>
      <c r="BO78" s="5" t="e">
        <f>IF(_xlfn.XLOOKUP($B78,rf1_data!$B:$B,rf1_data!BG:BG,"NaN")="","NaN",(_xlfn.XLOOKUP($B78,rf1_data!$B:$B,rf1_data!BG:BG,"NaN")))</f>
        <v>#N/A</v>
      </c>
      <c r="BP78" s="5" t="e">
        <f>IF(_xlfn.XLOOKUP($B78,rf1_data!$B:$B,rf1_data!BH:BH,"NaN")="","NaN",(_xlfn.XLOOKUP($B78,rf1_data!$B:$B,rf1_data!BH:BH,"NaN")))</f>
        <v>#N/A</v>
      </c>
      <c r="BQ78" s="5" t="e">
        <f>IF(_xlfn.XLOOKUP($B78,rf1_data!$B:$B,rf1_data!BI:BI,"NaN")="","NaN",(_xlfn.XLOOKUP($B78,rf1_data!$B:$B,rf1_data!BI:BI,"NaN")))</f>
        <v>#N/A</v>
      </c>
      <c r="BR78" s="5" t="e">
        <f>IF(_xlfn.XLOOKUP($B78,rf1_data!$B:$B,rf1_data!BJ:BJ,"NaN")="","NaN",(_xlfn.XLOOKUP($B78,rf1_data!$B:$B,rf1_data!BJ:BJ,"NaN")))</f>
        <v>#N/A</v>
      </c>
      <c r="BS78" s="5" t="e">
        <f>IF(_xlfn.XLOOKUP($B78,rf1_data!$B:$B,rf1_data!BK:BK,"NaN")="","NaN",(_xlfn.XLOOKUP($B78,rf1_data!$B:$B,rf1_data!BK:BK,"NaN")))</f>
        <v>#N/A</v>
      </c>
      <c r="BT78" s="5" t="e">
        <f>IF(_xlfn.XLOOKUP($B78,rf1_data!$B:$B,rf1_data!BL:BL,"NaN")="","NaN",(_xlfn.XLOOKUP($B78,rf1_data!$B:$B,rf1_data!BL:BL,"NaN")))</f>
        <v>#N/A</v>
      </c>
      <c r="BU78" s="5" t="e">
        <f>IF(_xlfn.XLOOKUP($B78,rf1_data!$B:$B,rf1_data!BM:BM,"NaN")="","NaN",(_xlfn.XLOOKUP($B78,rf1_data!$B:$B,rf1_data!BM:BM,"NaN")))</f>
        <v>#N/A</v>
      </c>
      <c r="BV78" s="5" t="e">
        <f>IF(_xlfn.XLOOKUP($B78,rf1_data!$B:$B,rf1_data!BN:BN,"NaN")="","NaN",(_xlfn.XLOOKUP($B78,rf1_data!$B:$B,rf1_data!BN:BN,"NaN")))</f>
        <v>#N/A</v>
      </c>
      <c r="BW78" s="5" t="e">
        <f>IF(_xlfn.XLOOKUP($B78,rf1_data!$B:$B,rf1_data!BO:BO,"NaN")="","NaN",(_xlfn.XLOOKUP($B78,rf1_data!$B:$B,rf1_data!BO:BO,"NaN")))</f>
        <v>#N/A</v>
      </c>
      <c r="BX78" s="5" t="e">
        <f>IF(_xlfn.XLOOKUP($B78,rf1_data!$B:$B,rf1_data!BP:BP,"NaN")="","NaN",(_xlfn.XLOOKUP($B78,rf1_data!$B:$B,rf1_data!BP:BP,"NaN")))</f>
        <v>#N/A</v>
      </c>
      <c r="BY78" s="5" t="e">
        <f>IF(_xlfn.XLOOKUP($B78,rf1_data!$B:$B,rf1_data!BQ:BQ,"NaN")="","NaN",(_xlfn.XLOOKUP($B78,rf1_data!$B:$B,rf1_data!BQ:BQ,"NaN")))</f>
        <v>#N/A</v>
      </c>
      <c r="BZ78" s="5" t="e">
        <f>IF(_xlfn.XLOOKUP($B78,rf1_data!$B:$B,rf1_data!BR:BR,"NaN")="","NaN",(_xlfn.XLOOKUP($B78,rf1_data!$B:$B,rf1_data!BR:BR,"NaN")))</f>
        <v>#N/A</v>
      </c>
      <c r="CA78" s="5" t="e">
        <f>IF(_xlfn.XLOOKUP($B78,rf1_data!$B:$B,rf1_data!BS:BS,"NaN")="","NaN",(_xlfn.XLOOKUP($B78,rf1_data!$B:$B,rf1_data!BS:BS,"NaN")))</f>
        <v>#N/A</v>
      </c>
      <c r="CB78" s="5" t="e">
        <f>IF(_xlfn.XLOOKUP($B78,rf1_data!$B:$B,rf1_data!BT:BT,"NaN")="","NaN",(_xlfn.XLOOKUP($B78,rf1_data!$B:$B,rf1_data!BT:BT,"NaN")))</f>
        <v>#N/A</v>
      </c>
      <c r="CC78" s="5" t="e">
        <f>IF(_xlfn.XLOOKUP($B78,rf1_data!$B:$B,rf1_data!BU:BU,"NaN")="","NaN",(_xlfn.XLOOKUP($B78,rf1_data!$B:$B,rf1_data!BU:BU,"NaN")))</f>
        <v>#N/A</v>
      </c>
      <c r="CD78" s="5" t="e">
        <f>IF(_xlfn.XLOOKUP($B78,rf1_data!$B:$B,rf1_data!BV:BV,"NaN")="","NaN",(_xlfn.XLOOKUP($B78,rf1_data!$B:$B,rf1_data!BV:BV,"NaN")))</f>
        <v>#N/A</v>
      </c>
      <c r="CE78" s="5" t="e">
        <f>IF(_xlfn.XLOOKUP($B78,rf1_data!$B:$B,rf1_data!BW:BW,"NaN")="","NaN",(_xlfn.XLOOKUP($B78,rf1_data!$B:$B,rf1_data!BW:BW,"NaN")))</f>
        <v>#N/A</v>
      </c>
      <c r="CF78" s="5" t="e">
        <f>IF(_xlfn.XLOOKUP($B78,rf1_data!$B:$B,rf1_data!BX:BX,"NaN")="","NaN",(_xlfn.XLOOKUP($B78,rf1_data!$B:$B,rf1_data!BX:BX,"NaN")))</f>
        <v>#N/A</v>
      </c>
      <c r="CG78" s="5" t="e">
        <f>IF(_xlfn.XLOOKUP($B78,rf1_data!$B:$B,rf1_data!BY:BY,"NaN")="","NaN",(_xlfn.XLOOKUP($B78,rf1_data!$B:$B,rf1_data!BY:BY,"NaN")))</f>
        <v>#N/A</v>
      </c>
      <c r="CH78" s="5" t="e">
        <f>IF(_xlfn.XLOOKUP($B78,rf1_data!$B:$B,rf1_data!BZ:BZ,"NaN")="","NaN",(_xlfn.XLOOKUP($B78,rf1_data!$B:$B,rf1_data!BZ:BZ,"NaN")))</f>
        <v>#N/A</v>
      </c>
      <c r="CI78" s="5" t="e">
        <f>IF(_xlfn.XLOOKUP($B78,rf1_data!$B:$B,rf1_data!CA:CA,"NaN")="","NaN",(_xlfn.XLOOKUP($B78,rf1_data!$B:$B,rf1_data!CA:CA,"NaN")))</f>
        <v>#N/A</v>
      </c>
      <c r="CJ78" s="5" t="e">
        <f>IF(_xlfn.XLOOKUP($B78,rf1_data!$B:$B,rf1_data!CB:CB,"NaN")="","NaN",(_xlfn.XLOOKUP($B78,rf1_data!$B:$B,rf1_data!CB:CB,"NaN")))</f>
        <v>#N/A</v>
      </c>
      <c r="CK78" s="5" t="e">
        <f>IF(_xlfn.XLOOKUP($B78,rf1_data!$B:$B,rf1_data!CC:CC,"NaN")="","NaN",(_xlfn.XLOOKUP($B78,rf1_data!$B:$B,rf1_data!CC:CC,"NaN")))</f>
        <v>#N/A</v>
      </c>
      <c r="CL78" s="5" t="e">
        <f>IF(_xlfn.XLOOKUP($B78,rf1_data!$B:$B,rf1_data!CD:CD,"NaN")=0,"NaN",(_xlfn.XLOOKUP($B78,rf1_data!$B:$B,rf1_data!CD:CD,"NaN")))</f>
        <v>#N/A</v>
      </c>
      <c r="CM78" s="5" t="e">
        <f>IF(_xlfn.XLOOKUP($B78,rf1_data!$B:$B,rf1_data!CE:CE,"NaN")="","NaN",(_xlfn.XLOOKUP($B78,rf1_data!$B:$B,rf1_data!CE:CE,"NaN")))</f>
        <v>#N/A</v>
      </c>
      <c r="CN78" s="5" t="e">
        <f>IF(_xlfn.XLOOKUP($B78,rf1_data!$B:$B,rf1_data!CF:CF,"NaN")="","NaN",(_xlfn.XLOOKUP($B78,rf1_data!$B:$B,rf1_data!CF:CF,"NaN")))</f>
        <v>#N/A</v>
      </c>
      <c r="CO78" s="5" t="e">
        <f>IF(_xlfn.XLOOKUP($B78,rf1_data!$B:$B,rf1_data!CG:CG,"NaN")="","NaN",(_xlfn.XLOOKUP($B78,rf1_data!$B:$B,rf1_data!CG:CG,"NaN")))</f>
        <v>#N/A</v>
      </c>
      <c r="CP78" s="5" t="e">
        <f>IF(_xlfn.XLOOKUP($B78,rf1_data!$B:$B,rf1_data!CH:CH,"NaN")=0,"NaN",(_xlfn.XLOOKUP($B78,rf1_data!$B:$B,rf1_data!CH:CH,"NaN")))</f>
        <v>#N/A</v>
      </c>
      <c r="CQ78" s="5" t="e">
        <f>IF(_xlfn.XLOOKUP($B78,rf1_data!$B:$B,rf1_data!CI:CI,"NaN")="","NaN",(_xlfn.XLOOKUP($B78,rf1_data!$B:$B,rf1_data!CI:CI,"NaN")))</f>
        <v>#N/A</v>
      </c>
      <c r="CR78" s="5" t="e">
        <f>IF(_xlfn.XLOOKUP($B78,rf1_data!$B:$B,rf1_data!CJ:CJ,"NaN")="","NaN",(_xlfn.XLOOKUP($B78,rf1_data!$B:$B,rf1_data!CJ:CJ,"NaN")))</f>
        <v>#N/A</v>
      </c>
      <c r="CS78" s="5" t="e">
        <f>IF(_xlfn.XLOOKUP($B78,rf1_data!$B:$B,rf1_data!CK:CK,"NaN")="","NaN",(_xlfn.XLOOKUP($B78,rf1_data!$B:$B,rf1_data!CK:CK,"NaN")))</f>
        <v>#N/A</v>
      </c>
      <c r="CT78" s="5" t="e">
        <f>IF(_xlfn.XLOOKUP($B78,rf1_data!$B:$B,rf1_data!CL:CL,"NaN")="","NaN",(_xlfn.XLOOKUP($B78,rf1_data!$B:$B,rf1_data!CL:CL,"NaN")))</f>
        <v>#N/A</v>
      </c>
      <c r="CU78" s="5" t="e">
        <f>IF(_xlfn.XLOOKUP($B78,rf1_data!$B:$B,rf1_data!CM:CM,"NaN")="","NaN",(_xlfn.XLOOKUP($B78,rf1_data!$B:$B,rf1_data!CM:CM,"NaN")))</f>
        <v>#N/A</v>
      </c>
      <c r="CV78" s="5" t="e">
        <f>IF(_xlfn.XLOOKUP($B78,rf1_data!$B:$B,rf1_data!CN:CN,"NaN")="","NaN",(_xlfn.XLOOKUP($B78,rf1_data!$B:$B,rf1_data!CN:CN,"NaN")))</f>
        <v>#N/A</v>
      </c>
      <c r="CW78" s="5" t="e">
        <f>IF(_xlfn.XLOOKUP($B78,rf1_data!$B:$B,rf1_data!CO:CO,"NaN")="","NaN",(_xlfn.XLOOKUP($B78,rf1_data!$B:$B,rf1_data!CO:CO,"NaN")))</f>
        <v>#N/A</v>
      </c>
      <c r="CX78" s="5" t="e">
        <f>IF(_xlfn.XLOOKUP($B78,rf1_data!$B:$B,rf1_data!CP:CP,"NaN")="","NaN",(_xlfn.XLOOKUP($B78,rf1_data!$B:$B,rf1_data!CP:CP,"NaN")))</f>
        <v>#N/A</v>
      </c>
      <c r="CY78" s="5" t="e">
        <f>IF(_xlfn.XLOOKUP($B78,rf1_data!$B:$B,rf1_data!CQ:CQ,"NaN")="","NaN",(_xlfn.XLOOKUP($B78,rf1_data!$B:$B,rf1_data!CQ:CQ,"NaN")))</f>
        <v>#N/A</v>
      </c>
      <c r="CZ78" s="5" t="e">
        <f>IF(_xlfn.XLOOKUP($B78,rf1_data!$B:$B,rf1_data!CR:CR,"NaN")="","NaN",(_xlfn.XLOOKUP($B78,rf1_data!$B:$B,rf1_data!CR:CR,"NaN")))</f>
        <v>#N/A</v>
      </c>
      <c r="DA78" s="5" t="e">
        <f>IF(_xlfn.XLOOKUP($B78,rf1_data!$B:$B,rf1_data!CS:CS,"NaN")="","NaN",(_xlfn.XLOOKUP($B78,rf1_data!$B:$B,rf1_data!CS:CS,"NaN")))</f>
        <v>#N/A</v>
      </c>
      <c r="DB78" s="4" t="e">
        <f>IF(_xlfn.XLOOKUP($B78,island_data!$B:$B,island_data!H:H,"NaN")="","NaN",_xlfn.XLOOKUP($B78,island_data!$B:$B,island_data!H:H,"NaN"))</f>
        <v>#N/A</v>
      </c>
      <c r="DC78" s="4" t="e">
        <f>IF(_xlfn.XLOOKUP($B78,island_data!$B:$B,island_data!I:I,"NaN")="","NaN",_xlfn.XLOOKUP($B78,island_data!$B:$B,island_data!I:I,"NaN"))</f>
        <v>#N/A</v>
      </c>
      <c r="DD78" s="4" t="e">
        <f>IF(_xlfn.XLOOKUP($B78,island_data!$B:$B,island_data!J:J,"NaN")="","NaN",_xlfn.XLOOKUP($B78,island_data!$B:$B,island_data!J:J,"NaN"))</f>
        <v>#N/A</v>
      </c>
      <c r="DE78" s="4" t="e">
        <f>IF(_xlfn.XLOOKUP($B78,island_data!$B:$B,island_data!K:K,"NaN")="","NaN",_xlfn.XLOOKUP($B78,island_data!$B:$B,island_data!K:K,"NaN"))</f>
        <v>#N/A</v>
      </c>
      <c r="DF78" s="4" t="e">
        <f>IF(_xlfn.XLOOKUP($B78,island_data!$B:$B,island_data!L:L,"NaN")="","NaN",_xlfn.XLOOKUP($B78,island_data!$B:$B,island_data!L:L,"NaN"))</f>
        <v>#N/A</v>
      </c>
      <c r="DG78" s="4" t="e">
        <f>IF(_xlfn.XLOOKUP($B78,island_data!$B:$B,island_data!M:M,"NaN")="","NaN",_xlfn.XLOOKUP($B78,island_data!$B:$B,island_data!M:M,"NaN"))</f>
        <v>#N/A</v>
      </c>
      <c r="DH78" s="4" t="e">
        <f>IF(_xlfn.XLOOKUP($B78,island_data!$B:$B,island_data!N:N,"NaN")="","NaN",_xlfn.XLOOKUP($B78,island_data!$B:$B,island_data!N:N,"NaN"))</f>
        <v>#N/A</v>
      </c>
      <c r="DI78" s="4" t="e">
        <f>IF(_xlfn.XLOOKUP($B78,island_data!$B:$B,island_data!O:O,"NaN")=999,"NaN",_xlfn.XLOOKUP($B78,island_data!$B:$B,island_data!O:O,"NaN"))</f>
        <v>#N/A</v>
      </c>
      <c r="DJ78" s="4" t="e">
        <f>IF(_xlfn.XLOOKUP($B78,island_data!$B:$B,island_data!P:P,"NaN")="","NaN",_xlfn.XLOOKUP($B78,island_data!$B:$B,island_data!P:P,"NaN"))</f>
        <v>#N/A</v>
      </c>
      <c r="DK78" s="4" t="e">
        <f>IF(_xlfn.XLOOKUP($B78,island_data!$B:$B,island_data!Q:Q,"NaN")="","NaN",_xlfn.XLOOKUP($B78,island_data!$B:$B,island_data!Q:Q,"NaN"))</f>
        <v>#N/A</v>
      </c>
      <c r="DL78" s="4" t="e">
        <f>IF(_xlfn.XLOOKUP($B78,island_data!$B:$B,island_data!R:R,"NaN")=999,"NaN",_xlfn.XLOOKUP($B78,island_data!$B:$B,island_data!R:R,"NaN"))</f>
        <v>#N/A</v>
      </c>
      <c r="DM78" s="4" t="e">
        <f>IF(_xlfn.XLOOKUP($B78,island_data!$B:$B,island_data!S:S,"NaN")="","NaN",_xlfn.XLOOKUP($B78,island_data!$B:$B,island_data!S:S,"NaN"))</f>
        <v>#N/A</v>
      </c>
      <c r="DN78" s="4" t="e">
        <f>IF(_xlfn.XLOOKUP($B78,island_data!$B:$B,island_data!T:T,"NaN")="","NaN",_xlfn.XLOOKUP($B78,island_data!$B:$B,island_data!T:T,"NaN"))</f>
        <v>#N/A</v>
      </c>
      <c r="DO78" s="4" t="e">
        <f>IF(_xlfn.XLOOKUP($B78,island_data!$B:$B,island_data!U:U,"NaN")="","NaN",_xlfn.XLOOKUP($B78,island_data!$B:$B,island_data!U:U,"NaN"))</f>
        <v>#N/A</v>
      </c>
      <c r="DP78" s="4" t="e">
        <f>IF(_xlfn.XLOOKUP($B78,island_data!$B:$B,island_data!V:V,"NaN")="","NaN",_xlfn.XLOOKUP($B78,island_data!$B:$B,island_data!V:V,"NaN"))</f>
        <v>#N/A</v>
      </c>
      <c r="DQ78" s="4" t="e">
        <f>IF(_xlfn.XLOOKUP($B78,island_data!$B:$B,island_data!W:W,"NaN")="","NaN",_xlfn.XLOOKUP($B78,island_data!$B:$B,island_data!W:W,"NaN"))</f>
        <v>#N/A</v>
      </c>
      <c r="DR78" s="4" t="e">
        <f>IF(_xlfn.XLOOKUP($B78,island_data!$B:$B,island_data!X:X,"NaN")="","NaN",_xlfn.XLOOKUP($B78,island_data!$B:$B,island_data!X:X,"NaN"))</f>
        <v>#N/A</v>
      </c>
      <c r="DS78" s="4" t="e">
        <f>IF(_xlfn.XLOOKUP($B78,island_data!$B:$B,island_data!Y:Y,"NaN")="","NaN",_xlfn.XLOOKUP($B78,island_data!$B:$B,island_data!Y:Y,"NaN"))</f>
        <v>#N/A</v>
      </c>
      <c r="DT78" s="4" t="e">
        <f>IF(_xlfn.XLOOKUP($B78,island_data!$B:$B,island_data!Z:Z,"NaN")="","NaN",_xlfn.XLOOKUP($B78,island_data!$B:$B,island_data!Z:Z,"NaN"))</f>
        <v>#N/A</v>
      </c>
      <c r="DU78" s="4" t="e">
        <f>IF(_xlfn.XLOOKUP($B78,island_data!$B:$B,island_data!AA:AA,"NaN")="","NaN",_xlfn.XLOOKUP($B78,island_data!$B:$B,island_data!AA:AA,"NaN"))</f>
        <v>#N/A</v>
      </c>
      <c r="DV78" s="4" t="e">
        <f>IF(_xlfn.XLOOKUP($B78,island_data!$B:$B,island_data!AB:AB,"NaN")="","NaN",_xlfn.XLOOKUP($B78,island_data!$B:$B,island_data!AB:AB,"NaN"))</f>
        <v>#N/A</v>
      </c>
      <c r="DW78" s="4" t="e">
        <f>IF(_xlfn.XLOOKUP($B78,island_data!$B:$B,island_data!AC:AC,"NaN")="","NaN",_xlfn.XLOOKUP($B78,island_data!$B:$B,island_data!AC:AC,"NaN"))</f>
        <v>#N/A</v>
      </c>
      <c r="DX78" s="4" t="e">
        <f>IF(_xlfn.XLOOKUP($B78,island_data!$B:$B,island_data!AD:AD,"NaN")="","NaN",_xlfn.XLOOKUP($B78,island_data!$B:$B,island_data!AD:AD,"NaN"))</f>
        <v>#N/A</v>
      </c>
      <c r="DY78" s="4" t="e">
        <f>IF(_xlfn.XLOOKUP($B78,island_data!$B:$B,island_data!AE:AE,"NaN")="","NaN",_xlfn.XLOOKUP($B78,island_data!$B:$B,island_data!AE:AE,"NaN"))</f>
        <v>#N/A</v>
      </c>
      <c r="DZ78" s="4" t="e">
        <f>IF(_xlfn.XLOOKUP($B78,island_data!$B:$B,island_data!AF:AF,"NaN")="","NaN",_xlfn.XLOOKUP($B78,island_data!$B:$B,island_data!AF:AF,"NaN"))</f>
        <v>#N/A</v>
      </c>
      <c r="EA78" s="4" t="e">
        <f>IF(_xlfn.XLOOKUP($B78,island_data!$B:$B,island_data!AG:AG,"NaN")="","NaN",_xlfn.XLOOKUP($B78,island_data!$B:$B,island_data!AG:AG,"NaN"))</f>
        <v>#N/A</v>
      </c>
      <c r="EB78" s="4" t="e">
        <f>IF(_xlfn.XLOOKUP($B78,island_data!$B:$B,island_data!AH:AH,"NaN")="","NaN",_xlfn.XLOOKUP($B78,island_data!$B:$B,island_data!AH:AH,"NaN"))</f>
        <v>#N/A</v>
      </c>
      <c r="EC78" s="4" t="e">
        <f>IF(_xlfn.XLOOKUP($B78,island_data!$B:$B,island_data!AI:AI,"NaN")="","NaN",_xlfn.XLOOKUP($B78,island_data!$B:$B,island_data!AI:AI,"NaN"))</f>
        <v>#N/A</v>
      </c>
      <c r="ED78" s="4" t="e">
        <f>IF(_xlfn.XLOOKUP($B78,island_data!$B:$B,island_data!AJ:AJ,"NaN")="","NaN",_xlfn.XLOOKUP($B78,island_data!$B:$B,island_data!AJ:AJ,"NaN"))</f>
        <v>#N/A</v>
      </c>
      <c r="EE78" s="4" t="e">
        <f>IF(_xlfn.XLOOKUP($B78,island_data!$B:$B,island_data!AK:AK,"NaN")="","NaN",_xlfn.XLOOKUP($B78,island_data!$B:$B,island_data!AK:AK,"NaN"))</f>
        <v>#N/A</v>
      </c>
      <c r="EF78" s="4" t="e">
        <f>IF(_xlfn.XLOOKUP($B78,island_data!$B:$B,island_data!AL:AL,"NaN")="","NaN",_xlfn.XLOOKUP($B78,island_data!$B:$B,island_data!AL:AL,"NaN"))</f>
        <v>#N/A</v>
      </c>
      <c r="EG78" s="4" t="e">
        <f>IF(_xlfn.XLOOKUP($B78,island_data!$B:$B,island_data!AM:AM,"NaN")="","NaN",_xlfn.XLOOKUP($B78,island_data!$B:$B,island_data!AM:AM,"NaN"))</f>
        <v>#N/A</v>
      </c>
      <c r="EH78" s="4" t="e">
        <f>IF(_xlfn.XLOOKUP($B78,island_data!$B:$B,island_data!AN:AN,"NaN")="","NaN",_xlfn.XLOOKUP($B78,island_data!$B:$B,island_data!AN:AN,"NaN"))</f>
        <v>#N/A</v>
      </c>
      <c r="EI78" s="4" t="e">
        <f>IF(_xlfn.XLOOKUP($B78,island_data!$B:$B,island_data!AO:AO,"NaN")="","NaN",_xlfn.XLOOKUP($B78,island_data!$B:$B,island_data!AO:AO,"NaN"))</f>
        <v>#N/A</v>
      </c>
      <c r="EJ78" s="8" t="str">
        <f>IF(_xlfn.XLOOKUP($A78,TabCAT!$A:$A,TabCAT!AU:AU,"NaN")="","NaN",(_xlfn.XLOOKUP($A78,TabCAT!$A:$A,TabCAT!AU:AU,"NaN")))</f>
        <v>NaN</v>
      </c>
      <c r="EK78" s="8" t="str">
        <f>IF(_xlfn.XLOOKUP($A78,TabCAT!$A:$A,TabCAT!AV:AV,"NaN")="","NaN",(_xlfn.XLOOKUP($A78,TabCAT!$A:$A,TabCAT!AV:AV,"NaN")))</f>
        <v>NaN</v>
      </c>
      <c r="EL78" s="8" t="str">
        <f>IF(_xlfn.XLOOKUP($A78,TabCAT!$A:$A,TabCAT!AW:AW,"NaN")="","NaN",(_xlfn.XLOOKUP($A78,TabCAT!$A:$A,TabCAT!AW:AW,"NaN")))</f>
        <v>NaN</v>
      </c>
      <c r="EM78" s="8" t="str">
        <f>IF(_xlfn.XLOOKUP($A78,TabCAT!$A:$A,TabCAT!AX:AX,"NaN")="","NaN",(_xlfn.XLOOKUP($A78,TabCAT!$A:$A,TabCAT!AX:AX,"NaN")))</f>
        <v>NaN</v>
      </c>
      <c r="EN78" s="8" t="str">
        <f>IF(_xlfn.XLOOKUP($A78,TabCAT!$A:$A,TabCAT!AY:AY,"NaN")="","NaN",(_xlfn.XLOOKUP($A78,TabCAT!$A:$A,TabCAT!AY:AY,"NaN")))</f>
        <v>NaN</v>
      </c>
      <c r="EO78" s="8" t="str">
        <f>IF(_xlfn.XLOOKUP($A78,TabCAT!$A:$A,TabCAT!AZ:AZ,"NaN")="","NaN",(_xlfn.XLOOKUP($A78,TabCAT!$A:$A,TabCAT!AZ:AZ,"NaN")))</f>
        <v>NaN</v>
      </c>
      <c r="EP78" s="8" t="str">
        <f>IF(_xlfn.XLOOKUP($A78,TabCAT!$A:$A,TabCAT!BA:BA,"NaN")="","NaN",(_xlfn.XLOOKUP($A78,TabCAT!$A:$A,TabCAT!BA:BA,"NaN")))</f>
        <v>NaN</v>
      </c>
      <c r="EQ78" s="8" t="str">
        <f>IF(_xlfn.XLOOKUP($A78,TabCAT!$A:$A,TabCAT!BB:BB,"NaN")="","NaN",(_xlfn.XLOOKUP($A78,TabCAT!$A:$A,TabCAT!BB:BB,"NaN")))</f>
        <v>NaN</v>
      </c>
      <c r="ER78" s="8" t="str">
        <f>IF(_xlfn.XLOOKUP($A78,TabCAT!$A:$A,TabCAT!BC:BC,"NaN")="","NaN",(_xlfn.XLOOKUP($A78,TabCAT!$A:$A,TabCAT!BC:BC,"NaN")))</f>
        <v>NaN</v>
      </c>
      <c r="ES78" s="8" t="str">
        <f>IF(_xlfn.XLOOKUP($A78,TabCAT!$A:$A,TabCAT!BD:BD,"NaN")="","NaN",(_xlfn.XLOOKUP($A78,TabCAT!$A:$A,TabCAT!BD:BD,"NaN")))</f>
        <v>NaN</v>
      </c>
      <c r="ET78" s="8" t="str">
        <f>IF(_xlfn.XLOOKUP($A78,TabCAT!$A:$A,TabCAT!BE:BE,"NaN")="","NaN",(_xlfn.XLOOKUP($A78,TabCAT!$A:$A,TabCAT!BE:BE,"NaN")))</f>
        <v>NaN</v>
      </c>
      <c r="EU78" s="8" t="str">
        <f>IF(_xlfn.XLOOKUP($A78,TabCAT!$A:$A,TabCAT!BF:BF,"NaN")="","NaN",(_xlfn.XLOOKUP($A78,TabCAT!$A:$A,TabCAT!BF:BF,"NaN")))</f>
        <v>NaN</v>
      </c>
      <c r="EV78" s="8" t="str">
        <f>IF(_xlfn.XLOOKUP($A78,TabCAT!$A:$A,TabCAT!BG:BG,"NaN")="","NaN",(_xlfn.XLOOKUP($A78,TabCAT!$A:$A,TabCAT!BG:BG,"NaN")))</f>
        <v>NaN</v>
      </c>
      <c r="EW78" s="8" t="str">
        <f>IF(_xlfn.XLOOKUP($A78,TabCAT!$A:$A,TabCAT!BH:BH,"NaN")="","NaN",(_xlfn.XLOOKUP($A78,TabCAT!$A:$A,TabCAT!BH:BH,"NaN")))</f>
        <v>NaN</v>
      </c>
      <c r="EX78" s="8" t="str">
        <f>IF(_xlfn.XLOOKUP($A78,TabCAT!$A:$A,TabCAT!BI:BI,"NaN")="","NaN",(_xlfn.XLOOKUP($A78,TabCAT!$A:$A,TabCAT!BI:BI,"NaN")))</f>
        <v>NaN</v>
      </c>
      <c r="EY78" s="8" t="str">
        <f>IF(_xlfn.XLOOKUP($A78,TabCAT!$A:$A,TabCAT!BJ:BJ,"NaN")="","NaN",(_xlfn.XLOOKUP($A78,TabCAT!$A:$A,TabCAT!BJ:BJ,"NaN")))</f>
        <v>NaN</v>
      </c>
      <c r="EZ78" s="8" t="str">
        <f>IF(_xlfn.XLOOKUP($A78,TabCAT!$A:$A,TabCAT!BK:BK,"NaN")="","NaN",(_xlfn.XLOOKUP($A78,TabCAT!$A:$A,TabCAT!BK:BK,"NaN")))</f>
        <v>NaN</v>
      </c>
      <c r="FA78" s="8" t="str">
        <f>IF(_xlfn.XLOOKUP($A78,TabCAT!$A:$A,TabCAT!BL:BL,"NaN")="","NaN",(_xlfn.XLOOKUP($A78,TabCAT!$A:$A,TabCAT!BL:BL,"NaN")))</f>
        <v>NaN</v>
      </c>
      <c r="FB78" s="8" t="str">
        <f>IF(_xlfn.XLOOKUP($A78,TabCAT!$A:$A,TabCAT!BM:BM,"NaN")="","NaN",(_xlfn.XLOOKUP($A78,TabCAT!$A:$A,TabCAT!BM:BM,"NaN")))</f>
        <v>NaN</v>
      </c>
      <c r="FC78" s="8" t="str">
        <f>IF(_xlfn.XLOOKUP($A78,TabCAT!$A:$A,TabCAT!BN:BN,"NaN")="","NaN",(_xlfn.XLOOKUP($A78,TabCAT!$A:$A,TabCAT!BN:BN,"NaN")))</f>
        <v>NaN</v>
      </c>
      <c r="FD78" s="8" t="str">
        <f>IF(_xlfn.XLOOKUP($A78,TabCAT!$A:$A,TabCAT!BO:BO,"NaN")="","NaN",(_xlfn.XLOOKUP($A78,TabCAT!$A:$A,TabCAT!BO:BO,"NaN")))</f>
        <v>NaN</v>
      </c>
      <c r="FE78" s="8" t="str">
        <f>IF(_xlfn.XLOOKUP($A78,TabCAT!$A:$A,TabCAT!BP:BP,"NaN")="","NaN",(_xlfn.XLOOKUP($A78,TabCAT!$A:$A,TabCAT!BP:BP,"NaN")))</f>
        <v>NaN</v>
      </c>
      <c r="FF78" s="8" t="str">
        <f>IF(_xlfn.XLOOKUP($A78,TabCAT!$A:$A,TabCAT!BQ:BQ,"NaN")="","NaN",(_xlfn.XLOOKUP($A78,TabCAT!$A:$A,TabCAT!BQ:BQ,"NaN")))</f>
        <v>NaN</v>
      </c>
      <c r="FG78" s="8" t="str">
        <f>IF(_xlfn.XLOOKUP($A78,TabCAT!$A:$A,TabCAT!BR:BR,"NaN")="","NaN",(_xlfn.XLOOKUP($A78,TabCAT!$A:$A,TabCAT!BR:BR,"NaN")))</f>
        <v>NaN</v>
      </c>
      <c r="FH78" s="8" t="str">
        <f>IF(_xlfn.XLOOKUP($A78,TabCAT!$A:$A,TabCAT!BS:BS,"NaN")="","NaN",(_xlfn.XLOOKUP($A78,TabCAT!$A:$A,TabCAT!BS:BS,"NaN")))</f>
        <v>NaN</v>
      </c>
      <c r="FI78" s="8" t="str">
        <f>IF(_xlfn.XLOOKUP($A78,TabCAT!$A:$A,TabCAT!BT:BT,"NaN")="","NaN",(_xlfn.XLOOKUP($A78,TabCAT!$A:$A,TabCAT!BT:BT,"NaN")))</f>
        <v>NaN</v>
      </c>
      <c r="FJ78" s="8" t="str">
        <f>IF(_xlfn.XLOOKUP($A78,TabCAT!$A:$A,TabCAT!BU:BU,"NaN")="","NaN",(_xlfn.XLOOKUP($A78,TabCAT!$A:$A,TabCAT!BU:BU,"NaN")))</f>
        <v>NaN</v>
      </c>
      <c r="FK78" s="8" t="str">
        <f>IF(_xlfn.XLOOKUP($A78,TabCAT!$A:$A,TabCAT!BV:BV,"NaN")="","NaN",(_xlfn.XLOOKUP($A78,TabCAT!$A:$A,TabCAT!BV:BV,"NaN")))</f>
        <v>NaN</v>
      </c>
      <c r="FL78" s="8" t="str">
        <f>IF(_xlfn.XLOOKUP($A78,TabCAT!$A:$A,TabCAT!BW:BW,"NaN")="","NaN",(_xlfn.XLOOKUP($A78,TabCAT!$A:$A,TabCAT!BW:BW,"NaN")))</f>
        <v>NaN</v>
      </c>
      <c r="FM78" s="8" t="str">
        <f>IF(_xlfn.XLOOKUP($A78,TabCAT!$A:$A,TabCAT!BX:BX,"NaN")="","NaN",(_xlfn.XLOOKUP($A78,TabCAT!$A:$A,TabCAT!BX:BX,"NaN")))</f>
        <v>NaN</v>
      </c>
      <c r="FN78" s="8" t="str">
        <f>IF(_xlfn.XLOOKUP($A78,TabCAT!$A:$A,TabCAT!BY:BY,"NaN")="","NaN",(_xlfn.XLOOKUP($A78,TabCAT!$A:$A,TabCAT!BY:BY,"NaN")))</f>
        <v>NaN</v>
      </c>
      <c r="FO78" s="8" t="str">
        <f>IF(_xlfn.XLOOKUP($A78,TabCAT!$A:$A,TabCAT!BZ:BZ,"NaN")="","NaN",(_xlfn.XLOOKUP($A78,TabCAT!$A:$A,TabCAT!BZ:BZ,"NaN")))</f>
        <v>NaN</v>
      </c>
      <c r="FP78" s="8" t="str">
        <f>IF(_xlfn.XLOOKUP($A78,TabCAT!$A:$A,TabCAT!CA:CA,"NaN")="","NaN",(_xlfn.XLOOKUP($A78,TabCAT!$A:$A,TabCAT!CA:CA,"NaN")))</f>
        <v>NaN</v>
      </c>
      <c r="FQ78" s="8" t="str">
        <f>IF(_xlfn.XLOOKUP($A78,TabCAT!$A:$A,TabCAT!CB:CB,"NaN")="","NaN",(_xlfn.XLOOKUP($A78,TabCAT!$A:$A,TabCAT!CB:CB,"NaN")))</f>
        <v>NaN</v>
      </c>
      <c r="FR78" s="8" t="str">
        <f>IF(_xlfn.XLOOKUP($A78,TabCAT!$A:$A,TabCAT!CC:CC,"NaN")="","NaN",(_xlfn.XLOOKUP($A78,TabCAT!$A:$A,TabCAT!CC:CC,"NaN")))</f>
        <v>NaN</v>
      </c>
      <c r="FS78" s="8" t="str">
        <f>IF(_xlfn.XLOOKUP($A78,TabCAT!$A:$A,TabCAT!CD:CD,"NaN")="","NaN",(_xlfn.XLOOKUP($A78,TabCAT!$A:$A,TabCAT!CD:CD,"NaN")))</f>
        <v>NaN</v>
      </c>
      <c r="FT78" s="8" t="str">
        <f>IF(_xlfn.XLOOKUP($A78,TabCAT!$A:$A,TabCAT!CE:CE,"NaN")="","NaN",(_xlfn.XLOOKUP($A78,TabCAT!$A:$A,TabCAT!CE:CE,"NaN")))</f>
        <v>NaN</v>
      </c>
      <c r="FU78" s="8" t="str">
        <f>IF(_xlfn.XLOOKUP($A78,TabCAT!$A:$A,TabCAT!CF:CF,"NaN")="","NaN",(_xlfn.XLOOKUP($A78,TabCAT!$A:$A,TabCAT!CF:CF,"NaN")))</f>
        <v>NaN</v>
      </c>
      <c r="FV78" s="8" t="str">
        <f>IF(_xlfn.XLOOKUP($A78,TabCAT!$A:$A,TabCAT!CG:CG,"NaN")="","NaN",(_xlfn.XLOOKUP($A78,TabCAT!$A:$A,TabCAT!CG:CG,"NaN")))</f>
        <v>NaN</v>
      </c>
      <c r="FW78" s="8" t="str">
        <f>IF(_xlfn.XLOOKUP($A78,TabCAT!$A:$A,TabCAT!CH:CH,"NaN")="","NaN",(_xlfn.XLOOKUP($A78,TabCAT!$A:$A,TabCAT!CH:CH,"NaN")))</f>
        <v>NaN</v>
      </c>
      <c r="FX78" s="8" t="str">
        <f>IF(_xlfn.XLOOKUP($A78,TabCAT!$A:$A,TabCAT!CI:CI,"NaN")="","NaN",(_xlfn.XLOOKUP($A78,TabCAT!$A:$A,TabCAT!CI:CI,"NaN")))</f>
        <v>NaN</v>
      </c>
      <c r="FY78" s="8" t="str">
        <f>IF(_xlfn.XLOOKUP($A78,TabCAT!$A:$A,TabCAT!CJ:CJ,"NaN")="","NaN",(_xlfn.XLOOKUP($A78,TabCAT!$A:$A,TabCAT!CJ:CJ,"NaN")))</f>
        <v>NaN</v>
      </c>
      <c r="FZ78" s="8" t="str">
        <f>IF(_xlfn.XLOOKUP($A78,TabCAT!$A:$A,TabCAT!CK:CK,"NaN")="","NaN",(_xlfn.XLOOKUP($A78,TabCAT!$A:$A,TabCAT!CK:CK,"NaN")))</f>
        <v>NaN</v>
      </c>
      <c r="GA78" s="8" t="str">
        <f>IF(_xlfn.XLOOKUP($A78,TabCAT!$A:$A,TabCAT!CL:CL,"NaN")="","NaN",(_xlfn.XLOOKUP($A78,TabCAT!$A:$A,TabCAT!CL:CL,"NaN")))</f>
        <v>NaN</v>
      </c>
      <c r="GB78" s="8" t="str">
        <f>IF(_xlfn.XLOOKUP($A78,TabCAT!$A:$A,TabCAT!CM:CM,"NaN")="","NaN",(_xlfn.XLOOKUP($A78,TabCAT!$A:$A,TabCAT!CM:CM,"NaN")))</f>
        <v>NaN</v>
      </c>
      <c r="GC78" s="8" t="str">
        <f>IF(_xlfn.XLOOKUP($A78,TabCAT!$A:$A,TabCAT!CN:CN,"NaN")="","NaN",(_xlfn.XLOOKUP($A78,TabCAT!$A:$A,TabCAT!CN:CN,"NaN")))</f>
        <v>NaN</v>
      </c>
      <c r="GD78" s="8" t="str">
        <f>IF(_xlfn.XLOOKUP($A78,TabCAT!$A:$A,TabCAT!CO:CO,"NaN")="","NaN",(_xlfn.XLOOKUP($A78,TabCAT!$A:$A,TabCAT!CO:CO,"NaN")))</f>
        <v>NaN</v>
      </c>
      <c r="GE78" s="8" t="str">
        <f>IF(_xlfn.XLOOKUP($A78,TabCAT!$A:$A,TabCAT!CP:CP,"NaN")="","NaN",(_xlfn.XLOOKUP($A78,TabCAT!$A:$A,TabCAT!CP:CP,"NaN")))</f>
        <v>NaN</v>
      </c>
      <c r="GF78" s="8" t="str">
        <f>IF(_xlfn.XLOOKUP($A78,TabCAT!$A:$A,TabCAT!CQ:CQ,"NaN")="","NaN",(_xlfn.XLOOKUP($A78,TabCAT!$A:$A,TabCAT!CQ:CQ,"NaN")))</f>
        <v>NaN</v>
      </c>
      <c r="GG78" s="8" t="str">
        <f>IF(_xlfn.XLOOKUP($A78,TabCAT!$A:$A,TabCAT!CR:CR,"NaN")="","NaN",(_xlfn.XLOOKUP($A78,TabCAT!$A:$A,TabCAT!CR:CR,"NaN")))</f>
        <v>NaN</v>
      </c>
      <c r="GH78" s="8" t="str">
        <f>IF(_xlfn.XLOOKUP($A78,TabCAT!$A:$A,TabCAT!CS:CS,"NaN")="","NaN",(_xlfn.XLOOKUP($A78,TabCAT!$A:$A,TabCAT!CS:CS,"NaN")))</f>
        <v>NaN</v>
      </c>
    </row>
    <row r="79" spans="1:190" x14ac:dyDescent="0.2">
      <c r="A79">
        <f>trust!A79</f>
        <v>0</v>
      </c>
      <c r="B79" t="e">
        <f>_xlfn.XLOOKUP(bippity_poppity_boo!A79,rf1_data!A:A,rf1_data!B:B)</f>
        <v>#N/A</v>
      </c>
      <c r="C79" s="2" t="str">
        <f>(_xlfn.XLOOKUP($A79,trust!$A:$A,trust!B:B,"NaN"))</f>
        <v>NaN</v>
      </c>
      <c r="D79" s="2" t="str">
        <f>(_xlfn.XLOOKUP($A79,trust!$A:$A,trust!C:C,"NaN"))</f>
        <v>NaN</v>
      </c>
      <c r="E79" s="2" t="str">
        <f>(_xlfn.XLOOKUP($A79,trust!$A:$A,trust!D:D,"NaN"))</f>
        <v>NaN</v>
      </c>
      <c r="F79" s="2" t="str">
        <f>(_xlfn.XLOOKUP($A79,trust!$A:$A,trust!E:E,"NaN"))</f>
        <v>NaN</v>
      </c>
      <c r="G79" s="2" t="str">
        <f>(_xlfn.XLOOKUP($A79,trust!$A:$A,trust!F:F,"NaN"))</f>
        <v>NaN</v>
      </c>
      <c r="H79" s="2" t="str">
        <f>(_xlfn.XLOOKUP($A79,trust!$A:$A,trust!G:G,"NaN"))</f>
        <v>NaN</v>
      </c>
      <c r="I79" s="3" t="e">
        <f>IF(_xlfn.XLOOKUP($B79,island_data!$B:$B,island_data!C:C,"NaN")="","NaN",_xlfn.XLOOKUP($B79,island_data!$B:$B,island_data!C:C,"NaN"))</f>
        <v>#N/A</v>
      </c>
      <c r="J79" s="3" t="e">
        <f>IF(_xlfn.XLOOKUP($B79,island_data!$B:$B,island_data!D:D,"NaN")="","NaN",_xlfn.XLOOKUP($B79,island_data!$B:$B,island_data!D:D,"NaN"))</f>
        <v>#N/A</v>
      </c>
      <c r="K79" s="4" t="e">
        <f>IF(_xlfn.XLOOKUP($B79,island_data!$B:$B,island_data!E:E,"NaN")="","NaN",_xlfn.XLOOKUP($B79,island_data!$B:$B,island_data!E:E,"NaN"))</f>
        <v>#N/A</v>
      </c>
      <c r="L79" s="5" t="e">
        <f>IF(_xlfn.XLOOKUP($B79,rf1_data!$B:$B,rf1_data!D:D,"NaN")="","NaN",(_xlfn.XLOOKUP($B79,rf1_data!$B:$B,rf1_data!D:D,"NaN")))</f>
        <v>#N/A</v>
      </c>
      <c r="M79" s="5" t="e">
        <f>IF(_xlfn.XLOOKUP($B79,rf1_data!$B:$B,rf1_data!E:E,"NaN")="","NaN",(_xlfn.XLOOKUP($B79,rf1_data!$B:$B,rf1_data!E:E,"NaN")))</f>
        <v>#N/A</v>
      </c>
      <c r="N79" s="5" t="e">
        <f>IF(_xlfn.XLOOKUP($B79,rf1_data!$B:$B,rf1_data!F:F,"NaN")="","NaN",(_xlfn.XLOOKUP($B79,rf1_data!$B:$B,rf1_data!F:F,"NaN")))</f>
        <v>#N/A</v>
      </c>
      <c r="O79" s="5" t="e">
        <f>IF(_xlfn.XLOOKUP($B79,rf1_data!$B:$B,rf1_data!G:G,"NaN")="","NaN",(_xlfn.XLOOKUP($B79,rf1_data!$B:$B,rf1_data!G:G,"NaN")))</f>
        <v>#N/A</v>
      </c>
      <c r="P79" s="5" t="e">
        <f>IF(_xlfn.XLOOKUP($B79,rf1_data!$B:$B,rf1_data!H:H,"NaN")="","NaN",(_xlfn.XLOOKUP($B79,rf1_data!$B:$B,rf1_data!H:H,"NaN")))</f>
        <v>#N/A</v>
      </c>
      <c r="Q79" s="5" t="e">
        <f>IF(_xlfn.XLOOKUP($B79,rf1_data!$B:$B,rf1_data!I:I,"NaN")="","NaN",(_xlfn.XLOOKUP($B79,rf1_data!$B:$B,rf1_data!I:I,"NaN")))</f>
        <v>#N/A</v>
      </c>
      <c r="R79" s="5" t="e">
        <f>IF(_xlfn.XLOOKUP($B79,rf1_data!$B:$B,rf1_data!J:J,"NaN")="","NaN",(_xlfn.XLOOKUP($B79,rf1_data!$B:$B,rf1_data!J:J,"NaN")))</f>
        <v>#N/A</v>
      </c>
      <c r="S79" s="5" t="e">
        <f>IF(_xlfn.XLOOKUP($B79,rf1_data!$B:$B,rf1_data!K:K,"NaN")="","NaN",(_xlfn.XLOOKUP($B79,rf1_data!$B:$B,rf1_data!K:K,"NaN")))</f>
        <v>#N/A</v>
      </c>
      <c r="T79" s="5" t="e">
        <f>IF(_xlfn.XLOOKUP($B79,rf1_data!$B:$B,rf1_data!L:L,"NaN")="","NaN",(_xlfn.XLOOKUP($B79,rf1_data!$B:$B,rf1_data!L:L,"NaN")))</f>
        <v>#N/A</v>
      </c>
      <c r="U79" s="5" t="e">
        <f>IF(_xlfn.XLOOKUP($B79,rf1_data!$B:$B,rf1_data!M:M,"NaN")="","NaN",(_xlfn.XLOOKUP($B79,rf1_data!$B:$B,rf1_data!M:M,"NaN")))</f>
        <v>#N/A</v>
      </c>
      <c r="V79" s="5" t="e">
        <f>IF(_xlfn.XLOOKUP($B79,rf1_data!$B:$B,rf1_data!N:N,"NaN")="","NaN",(_xlfn.XLOOKUP($B79,rf1_data!$B:$B,rf1_data!N:N,"NaN")))</f>
        <v>#N/A</v>
      </c>
      <c r="W79" s="5" t="e">
        <f>IF(_xlfn.XLOOKUP($B79,rf1_data!$B:$B,rf1_data!O:O,"NaN")="","NaN",(_xlfn.XLOOKUP($B79,rf1_data!$B:$B,rf1_data!O:O,"NaN")))</f>
        <v>#N/A</v>
      </c>
      <c r="X79" s="5" t="e">
        <f>IF(_xlfn.XLOOKUP($B79,rf1_data!$B:$B,rf1_data!P:P,"NaN")="","NaN",(_xlfn.XLOOKUP($B79,rf1_data!$B:$B,rf1_data!P:P,"NaN")))</f>
        <v>#N/A</v>
      </c>
      <c r="Y79" s="5" t="e">
        <f>IF(_xlfn.XLOOKUP($B79,rf1_data!$B:$B,rf1_data!Q:Q,"NaN")="","NaN",(_xlfn.XLOOKUP($B79,rf1_data!$B:$B,rf1_data!Q:Q,"NaN")))</f>
        <v>#N/A</v>
      </c>
      <c r="Z79" s="5" t="e">
        <f>IF(_xlfn.XLOOKUP($B79,rf1_data!$B:$B,rf1_data!R:R,"NaN")="","NaN",(_xlfn.XLOOKUP($B79,rf1_data!$B:$B,rf1_data!R:R,"NaN")))</f>
        <v>#N/A</v>
      </c>
      <c r="AA79" s="5" t="e">
        <f>IF(_xlfn.XLOOKUP($B79,rf1_data!$B:$B,rf1_data!S:S,"NaN")="","NaN",(_xlfn.XLOOKUP($B79,rf1_data!$B:$B,rf1_data!S:S,"NaN")))</f>
        <v>#N/A</v>
      </c>
      <c r="AB79" s="5" t="e">
        <f>IF(_xlfn.XLOOKUP($B79,rf1_data!$B:$B,rf1_data!T:T,"NaN")="","NaN",(_xlfn.XLOOKUP($B79,rf1_data!$B:$B,rf1_data!T:T,"NaN")))</f>
        <v>#N/A</v>
      </c>
      <c r="AC79" s="5" t="e">
        <f>IF(_xlfn.XLOOKUP($B79,rf1_data!$B:$B,rf1_data!U:U,"NaN")="","NaN",(_xlfn.XLOOKUP($B79,rf1_data!$B:$B,rf1_data!U:U,"NaN")))</f>
        <v>#N/A</v>
      </c>
      <c r="AD79" s="5" t="e">
        <f>IF(_xlfn.XLOOKUP($B79,rf1_data!$B:$B,rf1_data!V:V,"NaN")="","NaN",(_xlfn.XLOOKUP($B79,rf1_data!$B:$B,rf1_data!V:V,"NaN")))</f>
        <v>#N/A</v>
      </c>
      <c r="AE79" s="5" t="e">
        <f>IF(_xlfn.XLOOKUP($B79,rf1_data!$B:$B,rf1_data!W:W,"NaN")="","NaN",(_xlfn.XLOOKUP($B79,rf1_data!$B:$B,rf1_data!W:W,"NaN")))</f>
        <v>#N/A</v>
      </c>
      <c r="AF79" s="5" t="e">
        <f>IF(_xlfn.XLOOKUP($B79,rf1_data!$B:$B,rf1_data!X:X,"NaN")="","NaN",(_xlfn.XLOOKUP($B79,rf1_data!$B:$B,rf1_data!X:X,"NaN")))</f>
        <v>#N/A</v>
      </c>
      <c r="AG79" s="5" t="e">
        <f>IF(_xlfn.XLOOKUP($B79,rf1_data!$B:$B,rf1_data!Y:Y,"NaN")="","NaN",(_xlfn.XLOOKUP($B79,rf1_data!$B:$B,rf1_data!Y:Y,"NaN")))</f>
        <v>#N/A</v>
      </c>
      <c r="AH79" s="5" t="e">
        <f>IF(_xlfn.XLOOKUP($B79,rf1_data!$B:$B,rf1_data!Z:Z,"NaN")="","NaN",(_xlfn.XLOOKUP($B79,rf1_data!$B:$B,rf1_data!Z:Z,"NaN")))</f>
        <v>#N/A</v>
      </c>
      <c r="AI79" s="5" t="e">
        <f>IF(_xlfn.XLOOKUP($B79,rf1_data!$B:$B,rf1_data!AA:AA,"NaN")="","NaN",(_xlfn.XLOOKUP($B79,rf1_data!$B:$B,rf1_data!AA:AA,"NaN")))</f>
        <v>#N/A</v>
      </c>
      <c r="AJ79" s="5" t="e">
        <f>IF(_xlfn.XLOOKUP($B79,rf1_data!$B:$B,rf1_data!AB:AB,"NaN")="","NaN",(_xlfn.XLOOKUP($B79,rf1_data!$B:$B,rf1_data!AB:AB,"NaN")))</f>
        <v>#N/A</v>
      </c>
      <c r="AK79" s="5" t="e">
        <f>IF(_xlfn.XLOOKUP($B79,rf1_data!$B:$B,rf1_data!AC:AC,"NaN")="","NaN",(_xlfn.XLOOKUP($B79,rf1_data!$B:$B,rf1_data!AC:AC,"NaN")))</f>
        <v>#N/A</v>
      </c>
      <c r="AL79" s="5" t="e">
        <f>IF(_xlfn.XLOOKUP($B79,rf1_data!$B:$B,rf1_data!AD:AD,"NaN")="","NaN",(_xlfn.XLOOKUP($B79,rf1_data!$B:$B,rf1_data!AD:AD,"NaN")))</f>
        <v>#N/A</v>
      </c>
      <c r="AM79" s="5" t="e">
        <f>IF(_xlfn.XLOOKUP($B79,rf1_data!$B:$B,rf1_data!AE:AE,"NaN")="","NaN",(_xlfn.XLOOKUP($B79,rf1_data!$B:$B,rf1_data!AE:AE,"NaN")))</f>
        <v>#N/A</v>
      </c>
      <c r="AN79" s="5" t="e">
        <f>IF(_xlfn.XLOOKUP($B79,rf1_data!$B:$B,rf1_data!AF:AF,"NaN")="","NaN",(_xlfn.XLOOKUP($B79,rf1_data!$B:$B,rf1_data!AF:AF,"NaN")))</f>
        <v>#N/A</v>
      </c>
      <c r="AO79" s="5" t="e">
        <f>IF(_xlfn.XLOOKUP($B79,rf1_data!$B:$B,rf1_data!AG:AG,"NaN")="","NaN",(_xlfn.XLOOKUP($B79,rf1_data!$B:$B,rf1_data!AG:AG,"NaN")))</f>
        <v>#N/A</v>
      </c>
      <c r="AP79" s="5" t="e">
        <f>IF(_xlfn.XLOOKUP($B79,rf1_data!$B:$B,rf1_data!AH:AH,"NaN")="","NaN",(_xlfn.XLOOKUP($B79,rf1_data!$B:$B,rf1_data!AH:AH,"NaN")))</f>
        <v>#N/A</v>
      </c>
      <c r="AQ79" s="5" t="e">
        <f>IF(_xlfn.XLOOKUP($B79,rf1_data!$B:$B,rf1_data!AI:AI,"NaN")="","NaN",(_xlfn.XLOOKUP($B79,rf1_data!$B:$B,rf1_data!AI:AI,"NaN")))</f>
        <v>#N/A</v>
      </c>
      <c r="AR79" s="5" t="e">
        <f>IF(_xlfn.XLOOKUP($B79,rf1_data!$B:$B,rf1_data!AJ:AJ,"NaN")="","NaN",(_xlfn.XLOOKUP($B79,rf1_data!$B:$B,rf1_data!AJ:AJ,"NaN")))</f>
        <v>#N/A</v>
      </c>
      <c r="AS79" s="5" t="e">
        <f>IF(_xlfn.XLOOKUP($B79,rf1_data!$B:$B,rf1_data!AK:AK,"NaN")="","NaN",(_xlfn.XLOOKUP($B79,rf1_data!$B:$B,rf1_data!AK:AK,"NaN")))</f>
        <v>#N/A</v>
      </c>
      <c r="AT79" s="5" t="e">
        <f>IF(_xlfn.XLOOKUP($B79,rf1_data!$B:$B,rf1_data!AL:AL,"NaN")="","NaN",(_xlfn.XLOOKUP($B79,rf1_data!$B:$B,rf1_data!AL:AL,"NaN")))</f>
        <v>#N/A</v>
      </c>
      <c r="AU79" s="5" t="e">
        <f>IF(_xlfn.XLOOKUP($B79,rf1_data!$B:$B,rf1_data!AM:AM,"NaN")="","NaN",(_xlfn.XLOOKUP($B79,rf1_data!$B:$B,rf1_data!AM:AM,"NaN")))</f>
        <v>#N/A</v>
      </c>
      <c r="AV79" s="5" t="e">
        <f>IF(_xlfn.XLOOKUP($B79,rf1_data!$B:$B,rf1_data!AN:AN,"NaN")="","NaN",(_xlfn.XLOOKUP($B79,rf1_data!$B:$B,rf1_data!AN:AN,"NaN")))</f>
        <v>#N/A</v>
      </c>
      <c r="AW79" s="5" t="e">
        <f>IF(_xlfn.XLOOKUP($B79,rf1_data!$B:$B,rf1_data!AO:AO,"NaN")="","NaN",(_xlfn.XLOOKUP($B79,rf1_data!$B:$B,rf1_data!AO:AO,"NaN")))</f>
        <v>#N/A</v>
      </c>
      <c r="AX79" s="5" t="e">
        <f>IF(_xlfn.XLOOKUP($B79,rf1_data!$B:$B,rf1_data!AP:AP,"NaN")="","NaN",(_xlfn.XLOOKUP($B79,rf1_data!$B:$B,rf1_data!AP:AP,"NaN")))</f>
        <v>#N/A</v>
      </c>
      <c r="AY79" s="5" t="e">
        <f>IF(_xlfn.XLOOKUP($B79,rf1_data!$B:$B,rf1_data!AQ:AQ,"NaN")="","NaN",(_xlfn.XLOOKUP($B79,rf1_data!$B:$B,rf1_data!AQ:AQ,"NaN")))</f>
        <v>#N/A</v>
      </c>
      <c r="AZ79" s="5" t="e">
        <f>IF(_xlfn.XLOOKUP($B79,rf1_data!$B:$B,rf1_data!AR:AR,"NaN")="","NaN",(_xlfn.XLOOKUP($B79,rf1_data!$B:$B,rf1_data!AR:AR,"NaN")))</f>
        <v>#N/A</v>
      </c>
      <c r="BA79" s="5" t="e">
        <f>IF(_xlfn.XLOOKUP($B79,rf1_data!$B:$B,rf1_data!AS:AS,"NaN")="","NaN",(_xlfn.XLOOKUP($B79,rf1_data!$B:$B,rf1_data!AS:AS,"NaN")))</f>
        <v>#N/A</v>
      </c>
      <c r="BB79" s="5" t="e">
        <f>IF(_xlfn.XLOOKUP($B79,rf1_data!$B:$B,rf1_data!AT:AT,"NaN")="","NaN",(_xlfn.XLOOKUP($B79,rf1_data!$B:$B,rf1_data!AT:AT,"NaN")))</f>
        <v>#N/A</v>
      </c>
      <c r="BC79" s="5" t="e">
        <f>IF(_xlfn.XLOOKUP($B79,rf1_data!$B:$B,rf1_data!AU:AU,"NaN")="","NaN",(_xlfn.XLOOKUP($B79,rf1_data!$B:$B,rf1_data!AU:AU,"NaN")))</f>
        <v>#N/A</v>
      </c>
      <c r="BD79" s="5" t="e">
        <f>IF(_xlfn.XLOOKUP($B79,rf1_data!$B:$B,rf1_data!AV:AV,"NaN")="","NaN",(_xlfn.XLOOKUP($B79,rf1_data!$B:$B,rf1_data!AV:AV,"NaN")))</f>
        <v>#N/A</v>
      </c>
      <c r="BE79" s="5" t="e">
        <f>IF(_xlfn.XLOOKUP($B79,rf1_data!$B:$B,rf1_data!AW:AW,"NaN")="","NaN",(_xlfn.XLOOKUP($B79,rf1_data!$B:$B,rf1_data!AW:AW,"NaN")))</f>
        <v>#N/A</v>
      </c>
      <c r="BF79" s="5" t="e">
        <f>IF(_xlfn.XLOOKUP($B79,rf1_data!$B:$B,rf1_data!AX:AX,"NaN")="","NaN",(_xlfn.XLOOKUP($B79,rf1_data!$B:$B,rf1_data!AX:AX,"NaN")))</f>
        <v>#N/A</v>
      </c>
      <c r="BG79" s="5" t="e">
        <f>IF(_xlfn.XLOOKUP($B79,rf1_data!$B:$B,rf1_data!AY:AY,"NaN")="","NaN",(_xlfn.XLOOKUP($B79,rf1_data!$B:$B,rf1_data!AY:AY,"NaN")))</f>
        <v>#N/A</v>
      </c>
      <c r="BH79" s="5" t="e">
        <f>IF(_xlfn.XLOOKUP($B79,rf1_data!$B:$B,rf1_data!AZ:AZ,"NaN")="","NaN",(_xlfn.XLOOKUP($B79,rf1_data!$B:$B,rf1_data!AZ:AZ,"NaN")))</f>
        <v>#N/A</v>
      </c>
      <c r="BI79" s="5" t="e">
        <f>IF(_xlfn.XLOOKUP($B79,rf1_data!$B:$B,rf1_data!BA:BA,"NaN")="","NaN",(_xlfn.XLOOKUP($B79,rf1_data!$B:$B,rf1_data!BA:BA,"NaN")))</f>
        <v>#N/A</v>
      </c>
      <c r="BJ79" s="5" t="e">
        <f>IF(_xlfn.XLOOKUP($B79,rf1_data!$B:$B,rf1_data!BB:BB,"NaN")="","NaN",(_xlfn.XLOOKUP($B79,rf1_data!$B:$B,rf1_data!BB:BB,"NaN")))</f>
        <v>#N/A</v>
      </c>
      <c r="BK79" s="5" t="e">
        <f>IF(_xlfn.XLOOKUP($B79,rf1_data!$B:$B,rf1_data!BC:BC,"NaN")="","NaN",(_xlfn.XLOOKUP($B79,rf1_data!$B:$B,rf1_data!BC:BC,"NaN")))</f>
        <v>#N/A</v>
      </c>
      <c r="BL79" s="5" t="e">
        <f>IF(_xlfn.XLOOKUP($B79,rf1_data!$B:$B,rf1_data!BD:BD,"NaN")="","NaN",(_xlfn.XLOOKUP($B79,rf1_data!$B:$B,rf1_data!BD:BD,"NaN")))</f>
        <v>#N/A</v>
      </c>
      <c r="BM79" s="5" t="e">
        <f>IF(_xlfn.XLOOKUP($B79,rf1_data!$B:$B,rf1_data!BE:BE,"NaN")="","NaN",(_xlfn.XLOOKUP($B79,rf1_data!$B:$B,rf1_data!BE:BE,"NaN")))</f>
        <v>#N/A</v>
      </c>
      <c r="BN79" s="5" t="e">
        <f>IF(_xlfn.XLOOKUP($B79,rf1_data!$B:$B,rf1_data!BF:BF,"NaN")="","NaN",(_xlfn.XLOOKUP($B79,rf1_data!$B:$B,rf1_data!BF:BF,"NaN")))</f>
        <v>#N/A</v>
      </c>
      <c r="BO79" s="5" t="e">
        <f>IF(_xlfn.XLOOKUP($B79,rf1_data!$B:$B,rf1_data!BG:BG,"NaN")="","NaN",(_xlfn.XLOOKUP($B79,rf1_data!$B:$B,rf1_data!BG:BG,"NaN")))</f>
        <v>#N/A</v>
      </c>
      <c r="BP79" s="5" t="e">
        <f>IF(_xlfn.XLOOKUP($B79,rf1_data!$B:$B,rf1_data!BH:BH,"NaN")="","NaN",(_xlfn.XLOOKUP($B79,rf1_data!$B:$B,rf1_data!BH:BH,"NaN")))</f>
        <v>#N/A</v>
      </c>
      <c r="BQ79" s="5" t="e">
        <f>IF(_xlfn.XLOOKUP($B79,rf1_data!$B:$B,rf1_data!BI:BI,"NaN")="","NaN",(_xlfn.XLOOKUP($B79,rf1_data!$B:$B,rf1_data!BI:BI,"NaN")))</f>
        <v>#N/A</v>
      </c>
      <c r="BR79" s="5" t="e">
        <f>IF(_xlfn.XLOOKUP($B79,rf1_data!$B:$B,rf1_data!BJ:BJ,"NaN")="","NaN",(_xlfn.XLOOKUP($B79,rf1_data!$B:$B,rf1_data!BJ:BJ,"NaN")))</f>
        <v>#N/A</v>
      </c>
      <c r="BS79" s="5" t="e">
        <f>IF(_xlfn.XLOOKUP($B79,rf1_data!$B:$B,rf1_data!BK:BK,"NaN")="","NaN",(_xlfn.XLOOKUP($B79,rf1_data!$B:$B,rf1_data!BK:BK,"NaN")))</f>
        <v>#N/A</v>
      </c>
      <c r="BT79" s="5" t="e">
        <f>IF(_xlfn.XLOOKUP($B79,rf1_data!$B:$B,rf1_data!BL:BL,"NaN")="","NaN",(_xlfn.XLOOKUP($B79,rf1_data!$B:$B,rf1_data!BL:BL,"NaN")))</f>
        <v>#N/A</v>
      </c>
      <c r="BU79" s="5" t="e">
        <f>IF(_xlfn.XLOOKUP($B79,rf1_data!$B:$B,rf1_data!BM:BM,"NaN")="","NaN",(_xlfn.XLOOKUP($B79,rf1_data!$B:$B,rf1_data!BM:BM,"NaN")))</f>
        <v>#N/A</v>
      </c>
      <c r="BV79" s="5" t="e">
        <f>IF(_xlfn.XLOOKUP($B79,rf1_data!$B:$B,rf1_data!BN:BN,"NaN")="","NaN",(_xlfn.XLOOKUP($B79,rf1_data!$B:$B,rf1_data!BN:BN,"NaN")))</f>
        <v>#N/A</v>
      </c>
      <c r="BW79" s="5" t="e">
        <f>IF(_xlfn.XLOOKUP($B79,rf1_data!$B:$B,rf1_data!BO:BO,"NaN")="","NaN",(_xlfn.XLOOKUP($B79,rf1_data!$B:$B,rf1_data!BO:BO,"NaN")))</f>
        <v>#N/A</v>
      </c>
      <c r="BX79" s="5" t="e">
        <f>IF(_xlfn.XLOOKUP($B79,rf1_data!$B:$B,rf1_data!BP:BP,"NaN")="","NaN",(_xlfn.XLOOKUP($B79,rf1_data!$B:$B,rf1_data!BP:BP,"NaN")))</f>
        <v>#N/A</v>
      </c>
      <c r="BY79" s="5" t="e">
        <f>IF(_xlfn.XLOOKUP($B79,rf1_data!$B:$B,rf1_data!BQ:BQ,"NaN")="","NaN",(_xlfn.XLOOKUP($B79,rf1_data!$B:$B,rf1_data!BQ:BQ,"NaN")))</f>
        <v>#N/A</v>
      </c>
      <c r="BZ79" s="5" t="e">
        <f>IF(_xlfn.XLOOKUP($B79,rf1_data!$B:$B,rf1_data!BR:BR,"NaN")="","NaN",(_xlfn.XLOOKUP($B79,rf1_data!$B:$B,rf1_data!BR:BR,"NaN")))</f>
        <v>#N/A</v>
      </c>
      <c r="CA79" s="5" t="e">
        <f>IF(_xlfn.XLOOKUP($B79,rf1_data!$B:$B,rf1_data!BS:BS,"NaN")="","NaN",(_xlfn.XLOOKUP($B79,rf1_data!$B:$B,rf1_data!BS:BS,"NaN")))</f>
        <v>#N/A</v>
      </c>
      <c r="CB79" s="5" t="e">
        <f>IF(_xlfn.XLOOKUP($B79,rf1_data!$B:$B,rf1_data!BT:BT,"NaN")="","NaN",(_xlfn.XLOOKUP($B79,rf1_data!$B:$B,rf1_data!BT:BT,"NaN")))</f>
        <v>#N/A</v>
      </c>
      <c r="CC79" s="5" t="e">
        <f>IF(_xlfn.XLOOKUP($B79,rf1_data!$B:$B,rf1_data!BU:BU,"NaN")="","NaN",(_xlfn.XLOOKUP($B79,rf1_data!$B:$B,rf1_data!BU:BU,"NaN")))</f>
        <v>#N/A</v>
      </c>
      <c r="CD79" s="5" t="e">
        <f>IF(_xlfn.XLOOKUP($B79,rf1_data!$B:$B,rf1_data!BV:BV,"NaN")="","NaN",(_xlfn.XLOOKUP($B79,rf1_data!$B:$B,rf1_data!BV:BV,"NaN")))</f>
        <v>#N/A</v>
      </c>
      <c r="CE79" s="5" t="e">
        <f>IF(_xlfn.XLOOKUP($B79,rf1_data!$B:$B,rf1_data!BW:BW,"NaN")="","NaN",(_xlfn.XLOOKUP($B79,rf1_data!$B:$B,rf1_data!BW:BW,"NaN")))</f>
        <v>#N/A</v>
      </c>
      <c r="CF79" s="5" t="e">
        <f>IF(_xlfn.XLOOKUP($B79,rf1_data!$B:$B,rf1_data!BX:BX,"NaN")="","NaN",(_xlfn.XLOOKUP($B79,rf1_data!$B:$B,rf1_data!BX:BX,"NaN")))</f>
        <v>#N/A</v>
      </c>
      <c r="CG79" s="5" t="e">
        <f>IF(_xlfn.XLOOKUP($B79,rf1_data!$B:$B,rf1_data!BY:BY,"NaN")="","NaN",(_xlfn.XLOOKUP($B79,rf1_data!$B:$B,rf1_data!BY:BY,"NaN")))</f>
        <v>#N/A</v>
      </c>
      <c r="CH79" s="5" t="e">
        <f>IF(_xlfn.XLOOKUP($B79,rf1_data!$B:$B,rf1_data!BZ:BZ,"NaN")="","NaN",(_xlfn.XLOOKUP($B79,rf1_data!$B:$B,rf1_data!BZ:BZ,"NaN")))</f>
        <v>#N/A</v>
      </c>
      <c r="CI79" s="5" t="e">
        <f>IF(_xlfn.XLOOKUP($B79,rf1_data!$B:$B,rf1_data!CA:CA,"NaN")="","NaN",(_xlfn.XLOOKUP($B79,rf1_data!$B:$B,rf1_data!CA:CA,"NaN")))</f>
        <v>#N/A</v>
      </c>
      <c r="CJ79" s="5" t="e">
        <f>IF(_xlfn.XLOOKUP($B79,rf1_data!$B:$B,rf1_data!CB:CB,"NaN")="","NaN",(_xlfn.XLOOKUP($B79,rf1_data!$B:$B,rf1_data!CB:CB,"NaN")))</f>
        <v>#N/A</v>
      </c>
      <c r="CK79" s="5" t="e">
        <f>IF(_xlfn.XLOOKUP($B79,rf1_data!$B:$B,rf1_data!CC:CC,"NaN")="","NaN",(_xlfn.XLOOKUP($B79,rf1_data!$B:$B,rf1_data!CC:CC,"NaN")))</f>
        <v>#N/A</v>
      </c>
      <c r="CL79" s="5" t="e">
        <f>IF(_xlfn.XLOOKUP($B79,rf1_data!$B:$B,rf1_data!CD:CD,"NaN")=0,"NaN",(_xlfn.XLOOKUP($B79,rf1_data!$B:$B,rf1_data!CD:CD,"NaN")))</f>
        <v>#N/A</v>
      </c>
      <c r="CM79" s="5" t="e">
        <f>IF(_xlfn.XLOOKUP($B79,rf1_data!$B:$B,rf1_data!CE:CE,"NaN")="","NaN",(_xlfn.XLOOKUP($B79,rf1_data!$B:$B,rf1_data!CE:CE,"NaN")))</f>
        <v>#N/A</v>
      </c>
      <c r="CN79" s="5" t="e">
        <f>IF(_xlfn.XLOOKUP($B79,rf1_data!$B:$B,rf1_data!CF:CF,"NaN")="","NaN",(_xlfn.XLOOKUP($B79,rf1_data!$B:$B,rf1_data!CF:CF,"NaN")))</f>
        <v>#N/A</v>
      </c>
      <c r="CO79" s="5" t="e">
        <f>IF(_xlfn.XLOOKUP($B79,rf1_data!$B:$B,rf1_data!CG:CG,"NaN")="","NaN",(_xlfn.XLOOKUP($B79,rf1_data!$B:$B,rf1_data!CG:CG,"NaN")))</f>
        <v>#N/A</v>
      </c>
      <c r="CP79" s="5" t="e">
        <f>IF(_xlfn.XLOOKUP($B79,rf1_data!$B:$B,rf1_data!CH:CH,"NaN")=0,"NaN",(_xlfn.XLOOKUP($B79,rf1_data!$B:$B,rf1_data!CH:CH,"NaN")))</f>
        <v>#N/A</v>
      </c>
      <c r="CQ79" s="5" t="e">
        <f>IF(_xlfn.XLOOKUP($B79,rf1_data!$B:$B,rf1_data!CI:CI,"NaN")="","NaN",(_xlfn.XLOOKUP($B79,rf1_data!$B:$B,rf1_data!CI:CI,"NaN")))</f>
        <v>#N/A</v>
      </c>
      <c r="CR79" s="5" t="e">
        <f>IF(_xlfn.XLOOKUP($B79,rf1_data!$B:$B,rf1_data!CJ:CJ,"NaN")="","NaN",(_xlfn.XLOOKUP($B79,rf1_data!$B:$B,rf1_data!CJ:CJ,"NaN")))</f>
        <v>#N/A</v>
      </c>
      <c r="CS79" s="5" t="e">
        <f>IF(_xlfn.XLOOKUP($B79,rf1_data!$B:$B,rf1_data!CK:CK,"NaN")="","NaN",(_xlfn.XLOOKUP($B79,rf1_data!$B:$B,rf1_data!CK:CK,"NaN")))</f>
        <v>#N/A</v>
      </c>
      <c r="CT79" s="5" t="e">
        <f>IF(_xlfn.XLOOKUP($B79,rf1_data!$B:$B,rf1_data!CL:CL,"NaN")="","NaN",(_xlfn.XLOOKUP($B79,rf1_data!$B:$B,rf1_data!CL:CL,"NaN")))</f>
        <v>#N/A</v>
      </c>
      <c r="CU79" s="5" t="e">
        <f>IF(_xlfn.XLOOKUP($B79,rf1_data!$B:$B,rf1_data!CM:CM,"NaN")="","NaN",(_xlfn.XLOOKUP($B79,rf1_data!$B:$B,rf1_data!CM:CM,"NaN")))</f>
        <v>#N/A</v>
      </c>
      <c r="CV79" s="5" t="e">
        <f>IF(_xlfn.XLOOKUP($B79,rf1_data!$B:$B,rf1_data!CN:CN,"NaN")="","NaN",(_xlfn.XLOOKUP($B79,rf1_data!$B:$B,rf1_data!CN:CN,"NaN")))</f>
        <v>#N/A</v>
      </c>
      <c r="CW79" s="5" t="e">
        <f>IF(_xlfn.XLOOKUP($B79,rf1_data!$B:$B,rf1_data!CO:CO,"NaN")="","NaN",(_xlfn.XLOOKUP($B79,rf1_data!$B:$B,rf1_data!CO:CO,"NaN")))</f>
        <v>#N/A</v>
      </c>
      <c r="CX79" s="5" t="e">
        <f>IF(_xlfn.XLOOKUP($B79,rf1_data!$B:$B,rf1_data!CP:CP,"NaN")="","NaN",(_xlfn.XLOOKUP($B79,rf1_data!$B:$B,rf1_data!CP:CP,"NaN")))</f>
        <v>#N/A</v>
      </c>
      <c r="CY79" s="5" t="e">
        <f>IF(_xlfn.XLOOKUP($B79,rf1_data!$B:$B,rf1_data!CQ:CQ,"NaN")="","NaN",(_xlfn.XLOOKUP($B79,rf1_data!$B:$B,rf1_data!CQ:CQ,"NaN")))</f>
        <v>#N/A</v>
      </c>
      <c r="CZ79" s="5" t="e">
        <f>IF(_xlfn.XLOOKUP($B79,rf1_data!$B:$B,rf1_data!CR:CR,"NaN")="","NaN",(_xlfn.XLOOKUP($B79,rf1_data!$B:$B,rf1_data!CR:CR,"NaN")))</f>
        <v>#N/A</v>
      </c>
      <c r="DA79" s="5" t="e">
        <f>IF(_xlfn.XLOOKUP($B79,rf1_data!$B:$B,rf1_data!CS:CS,"NaN")="","NaN",(_xlfn.XLOOKUP($B79,rf1_data!$B:$B,rf1_data!CS:CS,"NaN")))</f>
        <v>#N/A</v>
      </c>
      <c r="DB79" s="4" t="e">
        <f>IF(_xlfn.XLOOKUP($B79,island_data!$B:$B,island_data!H:H,"NaN")="","NaN",_xlfn.XLOOKUP($B79,island_data!$B:$B,island_data!H:H,"NaN"))</f>
        <v>#N/A</v>
      </c>
      <c r="DC79" s="4" t="e">
        <f>IF(_xlfn.XLOOKUP($B79,island_data!$B:$B,island_data!I:I,"NaN")="","NaN",_xlfn.XLOOKUP($B79,island_data!$B:$B,island_data!I:I,"NaN"))</f>
        <v>#N/A</v>
      </c>
      <c r="DD79" s="4" t="e">
        <f>IF(_xlfn.XLOOKUP($B79,island_data!$B:$B,island_data!J:J,"NaN")="","NaN",_xlfn.XLOOKUP($B79,island_data!$B:$B,island_data!J:J,"NaN"))</f>
        <v>#N/A</v>
      </c>
      <c r="DE79" s="4" t="e">
        <f>IF(_xlfn.XLOOKUP($B79,island_data!$B:$B,island_data!K:K,"NaN")="","NaN",_xlfn.XLOOKUP($B79,island_data!$B:$B,island_data!K:K,"NaN"))</f>
        <v>#N/A</v>
      </c>
      <c r="DF79" s="4" t="e">
        <f>IF(_xlfn.XLOOKUP($B79,island_data!$B:$B,island_data!L:L,"NaN")="","NaN",_xlfn.XLOOKUP($B79,island_data!$B:$B,island_data!L:L,"NaN"))</f>
        <v>#N/A</v>
      </c>
      <c r="DG79" s="4" t="e">
        <f>IF(_xlfn.XLOOKUP($B79,island_data!$B:$B,island_data!M:M,"NaN")="","NaN",_xlfn.XLOOKUP($B79,island_data!$B:$B,island_data!M:M,"NaN"))</f>
        <v>#N/A</v>
      </c>
      <c r="DH79" s="4" t="e">
        <f>IF(_xlfn.XLOOKUP($B79,island_data!$B:$B,island_data!N:N,"NaN")="","NaN",_xlfn.XLOOKUP($B79,island_data!$B:$B,island_data!N:N,"NaN"))</f>
        <v>#N/A</v>
      </c>
      <c r="DI79" s="4" t="e">
        <f>IF(_xlfn.XLOOKUP($B79,island_data!$B:$B,island_data!O:O,"NaN")=999,"NaN",_xlfn.XLOOKUP($B79,island_data!$B:$B,island_data!O:O,"NaN"))</f>
        <v>#N/A</v>
      </c>
      <c r="DJ79" s="4" t="e">
        <f>IF(_xlfn.XLOOKUP($B79,island_data!$B:$B,island_data!P:P,"NaN")="","NaN",_xlfn.XLOOKUP($B79,island_data!$B:$B,island_data!P:P,"NaN"))</f>
        <v>#N/A</v>
      </c>
      <c r="DK79" s="4" t="e">
        <f>IF(_xlfn.XLOOKUP($B79,island_data!$B:$B,island_data!Q:Q,"NaN")="","NaN",_xlfn.XLOOKUP($B79,island_data!$B:$B,island_data!Q:Q,"NaN"))</f>
        <v>#N/A</v>
      </c>
      <c r="DL79" s="4" t="e">
        <f>IF(_xlfn.XLOOKUP($B79,island_data!$B:$B,island_data!R:R,"NaN")=999,"NaN",_xlfn.XLOOKUP($B79,island_data!$B:$B,island_data!R:R,"NaN"))</f>
        <v>#N/A</v>
      </c>
      <c r="DM79" s="4" t="e">
        <f>IF(_xlfn.XLOOKUP($B79,island_data!$B:$B,island_data!S:S,"NaN")="","NaN",_xlfn.XLOOKUP($B79,island_data!$B:$B,island_data!S:S,"NaN"))</f>
        <v>#N/A</v>
      </c>
      <c r="DN79" s="4" t="e">
        <f>IF(_xlfn.XLOOKUP($B79,island_data!$B:$B,island_data!T:T,"NaN")="","NaN",_xlfn.XLOOKUP($B79,island_data!$B:$B,island_data!T:T,"NaN"))</f>
        <v>#N/A</v>
      </c>
      <c r="DO79" s="4" t="e">
        <f>IF(_xlfn.XLOOKUP($B79,island_data!$B:$B,island_data!U:U,"NaN")="","NaN",_xlfn.XLOOKUP($B79,island_data!$B:$B,island_data!U:U,"NaN"))</f>
        <v>#N/A</v>
      </c>
      <c r="DP79" s="4" t="e">
        <f>IF(_xlfn.XLOOKUP($B79,island_data!$B:$B,island_data!V:V,"NaN")="","NaN",_xlfn.XLOOKUP($B79,island_data!$B:$B,island_data!V:V,"NaN"))</f>
        <v>#N/A</v>
      </c>
      <c r="DQ79" s="4" t="e">
        <f>IF(_xlfn.XLOOKUP($B79,island_data!$B:$B,island_data!W:W,"NaN")="","NaN",_xlfn.XLOOKUP($B79,island_data!$B:$B,island_data!W:W,"NaN"))</f>
        <v>#N/A</v>
      </c>
      <c r="DR79" s="4" t="e">
        <f>IF(_xlfn.XLOOKUP($B79,island_data!$B:$B,island_data!X:X,"NaN")="","NaN",_xlfn.XLOOKUP($B79,island_data!$B:$B,island_data!X:X,"NaN"))</f>
        <v>#N/A</v>
      </c>
      <c r="DS79" s="4" t="e">
        <f>IF(_xlfn.XLOOKUP($B79,island_data!$B:$B,island_data!Y:Y,"NaN")="","NaN",_xlfn.XLOOKUP($B79,island_data!$B:$B,island_data!Y:Y,"NaN"))</f>
        <v>#N/A</v>
      </c>
      <c r="DT79" s="4" t="e">
        <f>IF(_xlfn.XLOOKUP($B79,island_data!$B:$B,island_data!Z:Z,"NaN")="","NaN",_xlfn.XLOOKUP($B79,island_data!$B:$B,island_data!Z:Z,"NaN"))</f>
        <v>#N/A</v>
      </c>
      <c r="DU79" s="4" t="e">
        <f>IF(_xlfn.XLOOKUP($B79,island_data!$B:$B,island_data!AA:AA,"NaN")="","NaN",_xlfn.XLOOKUP($B79,island_data!$B:$B,island_data!AA:AA,"NaN"))</f>
        <v>#N/A</v>
      </c>
      <c r="DV79" s="4" t="e">
        <f>IF(_xlfn.XLOOKUP($B79,island_data!$B:$B,island_data!AB:AB,"NaN")="","NaN",_xlfn.XLOOKUP($B79,island_data!$B:$B,island_data!AB:AB,"NaN"))</f>
        <v>#N/A</v>
      </c>
      <c r="DW79" s="4" t="e">
        <f>IF(_xlfn.XLOOKUP($B79,island_data!$B:$B,island_data!AC:AC,"NaN")="","NaN",_xlfn.XLOOKUP($B79,island_data!$B:$B,island_data!AC:AC,"NaN"))</f>
        <v>#N/A</v>
      </c>
      <c r="DX79" s="4" t="e">
        <f>IF(_xlfn.XLOOKUP($B79,island_data!$B:$B,island_data!AD:AD,"NaN")="","NaN",_xlfn.XLOOKUP($B79,island_data!$B:$B,island_data!AD:AD,"NaN"))</f>
        <v>#N/A</v>
      </c>
      <c r="DY79" s="4" t="e">
        <f>IF(_xlfn.XLOOKUP($B79,island_data!$B:$B,island_data!AE:AE,"NaN")="","NaN",_xlfn.XLOOKUP($B79,island_data!$B:$B,island_data!AE:AE,"NaN"))</f>
        <v>#N/A</v>
      </c>
      <c r="DZ79" s="4" t="e">
        <f>IF(_xlfn.XLOOKUP($B79,island_data!$B:$B,island_data!AF:AF,"NaN")="","NaN",_xlfn.XLOOKUP($B79,island_data!$B:$B,island_data!AF:AF,"NaN"))</f>
        <v>#N/A</v>
      </c>
      <c r="EA79" s="4" t="e">
        <f>IF(_xlfn.XLOOKUP($B79,island_data!$B:$B,island_data!AG:AG,"NaN")="","NaN",_xlfn.XLOOKUP($B79,island_data!$B:$B,island_data!AG:AG,"NaN"))</f>
        <v>#N/A</v>
      </c>
      <c r="EB79" s="4" t="e">
        <f>IF(_xlfn.XLOOKUP($B79,island_data!$B:$B,island_data!AH:AH,"NaN")="","NaN",_xlfn.XLOOKUP($B79,island_data!$B:$B,island_data!AH:AH,"NaN"))</f>
        <v>#N/A</v>
      </c>
      <c r="EC79" s="4" t="e">
        <f>IF(_xlfn.XLOOKUP($B79,island_data!$B:$B,island_data!AI:AI,"NaN")="","NaN",_xlfn.XLOOKUP($B79,island_data!$B:$B,island_data!AI:AI,"NaN"))</f>
        <v>#N/A</v>
      </c>
      <c r="ED79" s="4" t="e">
        <f>IF(_xlfn.XLOOKUP($B79,island_data!$B:$B,island_data!AJ:AJ,"NaN")="","NaN",_xlfn.XLOOKUP($B79,island_data!$B:$B,island_data!AJ:AJ,"NaN"))</f>
        <v>#N/A</v>
      </c>
      <c r="EE79" s="4" t="e">
        <f>IF(_xlfn.XLOOKUP($B79,island_data!$B:$B,island_data!AK:AK,"NaN")="","NaN",_xlfn.XLOOKUP($B79,island_data!$B:$B,island_data!AK:AK,"NaN"))</f>
        <v>#N/A</v>
      </c>
      <c r="EF79" s="4" t="e">
        <f>IF(_xlfn.XLOOKUP($B79,island_data!$B:$B,island_data!AL:AL,"NaN")="","NaN",_xlfn.XLOOKUP($B79,island_data!$B:$B,island_data!AL:AL,"NaN"))</f>
        <v>#N/A</v>
      </c>
      <c r="EG79" s="4" t="e">
        <f>IF(_xlfn.XLOOKUP($B79,island_data!$B:$B,island_data!AM:AM,"NaN")="","NaN",_xlfn.XLOOKUP($B79,island_data!$B:$B,island_data!AM:AM,"NaN"))</f>
        <v>#N/A</v>
      </c>
      <c r="EH79" s="4" t="e">
        <f>IF(_xlfn.XLOOKUP($B79,island_data!$B:$B,island_data!AN:AN,"NaN")="","NaN",_xlfn.XLOOKUP($B79,island_data!$B:$B,island_data!AN:AN,"NaN"))</f>
        <v>#N/A</v>
      </c>
      <c r="EI79" s="4" t="e">
        <f>IF(_xlfn.XLOOKUP($B79,island_data!$B:$B,island_data!AO:AO,"NaN")="","NaN",_xlfn.XLOOKUP($B79,island_data!$B:$B,island_data!AO:AO,"NaN"))</f>
        <v>#N/A</v>
      </c>
      <c r="EJ79" s="8" t="str">
        <f>IF(_xlfn.XLOOKUP($A79,TabCAT!$A:$A,TabCAT!AU:AU,"NaN")="","NaN",(_xlfn.XLOOKUP($A79,TabCAT!$A:$A,TabCAT!AU:AU,"NaN")))</f>
        <v>NaN</v>
      </c>
      <c r="EK79" s="8" t="str">
        <f>IF(_xlfn.XLOOKUP($A79,TabCAT!$A:$A,TabCAT!AV:AV,"NaN")="","NaN",(_xlfn.XLOOKUP($A79,TabCAT!$A:$A,TabCAT!AV:AV,"NaN")))</f>
        <v>NaN</v>
      </c>
      <c r="EL79" s="8" t="str">
        <f>IF(_xlfn.XLOOKUP($A79,TabCAT!$A:$A,TabCAT!AW:AW,"NaN")="","NaN",(_xlfn.XLOOKUP($A79,TabCAT!$A:$A,TabCAT!AW:AW,"NaN")))</f>
        <v>NaN</v>
      </c>
      <c r="EM79" s="8" t="str">
        <f>IF(_xlfn.XLOOKUP($A79,TabCAT!$A:$A,TabCAT!AX:AX,"NaN")="","NaN",(_xlfn.XLOOKUP($A79,TabCAT!$A:$A,TabCAT!AX:AX,"NaN")))</f>
        <v>NaN</v>
      </c>
      <c r="EN79" s="8" t="str">
        <f>IF(_xlfn.XLOOKUP($A79,TabCAT!$A:$A,TabCAT!AY:AY,"NaN")="","NaN",(_xlfn.XLOOKUP($A79,TabCAT!$A:$A,TabCAT!AY:AY,"NaN")))</f>
        <v>NaN</v>
      </c>
      <c r="EO79" s="8" t="str">
        <f>IF(_xlfn.XLOOKUP($A79,TabCAT!$A:$A,TabCAT!AZ:AZ,"NaN")="","NaN",(_xlfn.XLOOKUP($A79,TabCAT!$A:$A,TabCAT!AZ:AZ,"NaN")))</f>
        <v>NaN</v>
      </c>
      <c r="EP79" s="8" t="str">
        <f>IF(_xlfn.XLOOKUP($A79,TabCAT!$A:$A,TabCAT!BA:BA,"NaN")="","NaN",(_xlfn.XLOOKUP($A79,TabCAT!$A:$A,TabCAT!BA:BA,"NaN")))</f>
        <v>NaN</v>
      </c>
      <c r="EQ79" s="8" t="str">
        <f>IF(_xlfn.XLOOKUP($A79,TabCAT!$A:$A,TabCAT!BB:BB,"NaN")="","NaN",(_xlfn.XLOOKUP($A79,TabCAT!$A:$A,TabCAT!BB:BB,"NaN")))</f>
        <v>NaN</v>
      </c>
      <c r="ER79" s="8" t="str">
        <f>IF(_xlfn.XLOOKUP($A79,TabCAT!$A:$A,TabCAT!BC:BC,"NaN")="","NaN",(_xlfn.XLOOKUP($A79,TabCAT!$A:$A,TabCAT!BC:BC,"NaN")))</f>
        <v>NaN</v>
      </c>
      <c r="ES79" s="8" t="str">
        <f>IF(_xlfn.XLOOKUP($A79,TabCAT!$A:$A,TabCAT!BD:BD,"NaN")="","NaN",(_xlfn.XLOOKUP($A79,TabCAT!$A:$A,TabCAT!BD:BD,"NaN")))</f>
        <v>NaN</v>
      </c>
      <c r="ET79" s="8" t="str">
        <f>IF(_xlfn.XLOOKUP($A79,TabCAT!$A:$A,TabCAT!BE:BE,"NaN")="","NaN",(_xlfn.XLOOKUP($A79,TabCAT!$A:$A,TabCAT!BE:BE,"NaN")))</f>
        <v>NaN</v>
      </c>
      <c r="EU79" s="8" t="str">
        <f>IF(_xlfn.XLOOKUP($A79,TabCAT!$A:$A,TabCAT!BF:BF,"NaN")="","NaN",(_xlfn.XLOOKUP($A79,TabCAT!$A:$A,TabCAT!BF:BF,"NaN")))</f>
        <v>NaN</v>
      </c>
      <c r="EV79" s="8" t="str">
        <f>IF(_xlfn.XLOOKUP($A79,TabCAT!$A:$A,TabCAT!BG:BG,"NaN")="","NaN",(_xlfn.XLOOKUP($A79,TabCAT!$A:$A,TabCAT!BG:BG,"NaN")))</f>
        <v>NaN</v>
      </c>
      <c r="EW79" s="8" t="str">
        <f>IF(_xlfn.XLOOKUP($A79,TabCAT!$A:$A,TabCAT!BH:BH,"NaN")="","NaN",(_xlfn.XLOOKUP($A79,TabCAT!$A:$A,TabCAT!BH:BH,"NaN")))</f>
        <v>NaN</v>
      </c>
      <c r="EX79" s="8" t="str">
        <f>IF(_xlfn.XLOOKUP($A79,TabCAT!$A:$A,TabCAT!BI:BI,"NaN")="","NaN",(_xlfn.XLOOKUP($A79,TabCAT!$A:$A,TabCAT!BI:BI,"NaN")))</f>
        <v>NaN</v>
      </c>
      <c r="EY79" s="8" t="str">
        <f>IF(_xlfn.XLOOKUP($A79,TabCAT!$A:$A,TabCAT!BJ:BJ,"NaN")="","NaN",(_xlfn.XLOOKUP($A79,TabCAT!$A:$A,TabCAT!BJ:BJ,"NaN")))</f>
        <v>NaN</v>
      </c>
      <c r="EZ79" s="8" t="str">
        <f>IF(_xlfn.XLOOKUP($A79,TabCAT!$A:$A,TabCAT!BK:BK,"NaN")="","NaN",(_xlfn.XLOOKUP($A79,TabCAT!$A:$A,TabCAT!BK:BK,"NaN")))</f>
        <v>NaN</v>
      </c>
      <c r="FA79" s="8" t="str">
        <f>IF(_xlfn.XLOOKUP($A79,TabCAT!$A:$A,TabCAT!BL:BL,"NaN")="","NaN",(_xlfn.XLOOKUP($A79,TabCAT!$A:$A,TabCAT!BL:BL,"NaN")))</f>
        <v>NaN</v>
      </c>
      <c r="FB79" s="8" t="str">
        <f>IF(_xlfn.XLOOKUP($A79,TabCAT!$A:$A,TabCAT!BM:BM,"NaN")="","NaN",(_xlfn.XLOOKUP($A79,TabCAT!$A:$A,TabCAT!BM:BM,"NaN")))</f>
        <v>NaN</v>
      </c>
      <c r="FC79" s="8" t="str">
        <f>IF(_xlfn.XLOOKUP($A79,TabCAT!$A:$A,TabCAT!BN:BN,"NaN")="","NaN",(_xlfn.XLOOKUP($A79,TabCAT!$A:$A,TabCAT!BN:BN,"NaN")))</f>
        <v>NaN</v>
      </c>
      <c r="FD79" s="8" t="str">
        <f>IF(_xlfn.XLOOKUP($A79,TabCAT!$A:$A,TabCAT!BO:BO,"NaN")="","NaN",(_xlfn.XLOOKUP($A79,TabCAT!$A:$A,TabCAT!BO:BO,"NaN")))</f>
        <v>NaN</v>
      </c>
      <c r="FE79" s="8" t="str">
        <f>IF(_xlfn.XLOOKUP($A79,TabCAT!$A:$A,TabCAT!BP:BP,"NaN")="","NaN",(_xlfn.XLOOKUP($A79,TabCAT!$A:$A,TabCAT!BP:BP,"NaN")))</f>
        <v>NaN</v>
      </c>
      <c r="FF79" s="8" t="str">
        <f>IF(_xlfn.XLOOKUP($A79,TabCAT!$A:$A,TabCAT!BQ:BQ,"NaN")="","NaN",(_xlfn.XLOOKUP($A79,TabCAT!$A:$A,TabCAT!BQ:BQ,"NaN")))</f>
        <v>NaN</v>
      </c>
      <c r="FG79" s="8" t="str">
        <f>IF(_xlfn.XLOOKUP($A79,TabCAT!$A:$A,TabCAT!BR:BR,"NaN")="","NaN",(_xlfn.XLOOKUP($A79,TabCAT!$A:$A,TabCAT!BR:BR,"NaN")))</f>
        <v>NaN</v>
      </c>
      <c r="FH79" s="8" t="str">
        <f>IF(_xlfn.XLOOKUP($A79,TabCAT!$A:$A,TabCAT!BS:BS,"NaN")="","NaN",(_xlfn.XLOOKUP($A79,TabCAT!$A:$A,TabCAT!BS:BS,"NaN")))</f>
        <v>NaN</v>
      </c>
      <c r="FI79" s="8" t="str">
        <f>IF(_xlfn.XLOOKUP($A79,TabCAT!$A:$A,TabCAT!BT:BT,"NaN")="","NaN",(_xlfn.XLOOKUP($A79,TabCAT!$A:$A,TabCAT!BT:BT,"NaN")))</f>
        <v>NaN</v>
      </c>
      <c r="FJ79" s="8" t="str">
        <f>IF(_xlfn.XLOOKUP($A79,TabCAT!$A:$A,TabCAT!BU:BU,"NaN")="","NaN",(_xlfn.XLOOKUP($A79,TabCAT!$A:$A,TabCAT!BU:BU,"NaN")))</f>
        <v>NaN</v>
      </c>
      <c r="FK79" s="8" t="str">
        <f>IF(_xlfn.XLOOKUP($A79,TabCAT!$A:$A,TabCAT!BV:BV,"NaN")="","NaN",(_xlfn.XLOOKUP($A79,TabCAT!$A:$A,TabCAT!BV:BV,"NaN")))</f>
        <v>NaN</v>
      </c>
      <c r="FL79" s="8" t="str">
        <f>IF(_xlfn.XLOOKUP($A79,TabCAT!$A:$A,TabCAT!BW:BW,"NaN")="","NaN",(_xlfn.XLOOKUP($A79,TabCAT!$A:$A,TabCAT!BW:BW,"NaN")))</f>
        <v>NaN</v>
      </c>
      <c r="FM79" s="8" t="str">
        <f>IF(_xlfn.XLOOKUP($A79,TabCAT!$A:$A,TabCAT!BX:BX,"NaN")="","NaN",(_xlfn.XLOOKUP($A79,TabCAT!$A:$A,TabCAT!BX:BX,"NaN")))</f>
        <v>NaN</v>
      </c>
      <c r="FN79" s="8" t="str">
        <f>IF(_xlfn.XLOOKUP($A79,TabCAT!$A:$A,TabCAT!BY:BY,"NaN")="","NaN",(_xlfn.XLOOKUP($A79,TabCAT!$A:$A,TabCAT!BY:BY,"NaN")))</f>
        <v>NaN</v>
      </c>
      <c r="FO79" s="8" t="str">
        <f>IF(_xlfn.XLOOKUP($A79,TabCAT!$A:$A,TabCAT!BZ:BZ,"NaN")="","NaN",(_xlfn.XLOOKUP($A79,TabCAT!$A:$A,TabCAT!BZ:BZ,"NaN")))</f>
        <v>NaN</v>
      </c>
      <c r="FP79" s="8" t="str">
        <f>IF(_xlfn.XLOOKUP($A79,TabCAT!$A:$A,TabCAT!CA:CA,"NaN")="","NaN",(_xlfn.XLOOKUP($A79,TabCAT!$A:$A,TabCAT!CA:CA,"NaN")))</f>
        <v>NaN</v>
      </c>
      <c r="FQ79" s="8" t="str">
        <f>IF(_xlfn.XLOOKUP($A79,TabCAT!$A:$A,TabCAT!CB:CB,"NaN")="","NaN",(_xlfn.XLOOKUP($A79,TabCAT!$A:$A,TabCAT!CB:CB,"NaN")))</f>
        <v>NaN</v>
      </c>
      <c r="FR79" s="8" t="str">
        <f>IF(_xlfn.XLOOKUP($A79,TabCAT!$A:$A,TabCAT!CC:CC,"NaN")="","NaN",(_xlfn.XLOOKUP($A79,TabCAT!$A:$A,TabCAT!CC:CC,"NaN")))</f>
        <v>NaN</v>
      </c>
      <c r="FS79" s="8" t="str">
        <f>IF(_xlfn.XLOOKUP($A79,TabCAT!$A:$A,TabCAT!CD:CD,"NaN")="","NaN",(_xlfn.XLOOKUP($A79,TabCAT!$A:$A,TabCAT!CD:CD,"NaN")))</f>
        <v>NaN</v>
      </c>
      <c r="FT79" s="8" t="str">
        <f>IF(_xlfn.XLOOKUP($A79,TabCAT!$A:$A,TabCAT!CE:CE,"NaN")="","NaN",(_xlfn.XLOOKUP($A79,TabCAT!$A:$A,TabCAT!CE:CE,"NaN")))</f>
        <v>NaN</v>
      </c>
      <c r="FU79" s="8" t="str">
        <f>IF(_xlfn.XLOOKUP($A79,TabCAT!$A:$A,TabCAT!CF:CF,"NaN")="","NaN",(_xlfn.XLOOKUP($A79,TabCAT!$A:$A,TabCAT!CF:CF,"NaN")))</f>
        <v>NaN</v>
      </c>
      <c r="FV79" s="8" t="str">
        <f>IF(_xlfn.XLOOKUP($A79,TabCAT!$A:$A,TabCAT!CG:CG,"NaN")="","NaN",(_xlfn.XLOOKUP($A79,TabCAT!$A:$A,TabCAT!CG:CG,"NaN")))</f>
        <v>NaN</v>
      </c>
      <c r="FW79" s="8" t="str">
        <f>IF(_xlfn.XLOOKUP($A79,TabCAT!$A:$A,TabCAT!CH:CH,"NaN")="","NaN",(_xlfn.XLOOKUP($A79,TabCAT!$A:$A,TabCAT!CH:CH,"NaN")))</f>
        <v>NaN</v>
      </c>
      <c r="FX79" s="8" t="str">
        <f>IF(_xlfn.XLOOKUP($A79,TabCAT!$A:$A,TabCAT!CI:CI,"NaN")="","NaN",(_xlfn.XLOOKUP($A79,TabCAT!$A:$A,TabCAT!CI:CI,"NaN")))</f>
        <v>NaN</v>
      </c>
      <c r="FY79" s="8" t="str">
        <f>IF(_xlfn.XLOOKUP($A79,TabCAT!$A:$A,TabCAT!CJ:CJ,"NaN")="","NaN",(_xlfn.XLOOKUP($A79,TabCAT!$A:$A,TabCAT!CJ:CJ,"NaN")))</f>
        <v>NaN</v>
      </c>
      <c r="FZ79" s="8" t="str">
        <f>IF(_xlfn.XLOOKUP($A79,TabCAT!$A:$A,TabCAT!CK:CK,"NaN")="","NaN",(_xlfn.XLOOKUP($A79,TabCAT!$A:$A,TabCAT!CK:CK,"NaN")))</f>
        <v>NaN</v>
      </c>
      <c r="GA79" s="8" t="str">
        <f>IF(_xlfn.XLOOKUP($A79,TabCAT!$A:$A,TabCAT!CL:CL,"NaN")="","NaN",(_xlfn.XLOOKUP($A79,TabCAT!$A:$A,TabCAT!CL:CL,"NaN")))</f>
        <v>NaN</v>
      </c>
      <c r="GB79" s="8" t="str">
        <f>IF(_xlfn.XLOOKUP($A79,TabCAT!$A:$A,TabCAT!CM:CM,"NaN")="","NaN",(_xlfn.XLOOKUP($A79,TabCAT!$A:$A,TabCAT!CM:CM,"NaN")))</f>
        <v>NaN</v>
      </c>
      <c r="GC79" s="8" t="str">
        <f>IF(_xlfn.XLOOKUP($A79,TabCAT!$A:$A,TabCAT!CN:CN,"NaN")="","NaN",(_xlfn.XLOOKUP($A79,TabCAT!$A:$A,TabCAT!CN:CN,"NaN")))</f>
        <v>NaN</v>
      </c>
      <c r="GD79" s="8" t="str">
        <f>IF(_xlfn.XLOOKUP($A79,TabCAT!$A:$A,TabCAT!CO:CO,"NaN")="","NaN",(_xlfn.XLOOKUP($A79,TabCAT!$A:$A,TabCAT!CO:CO,"NaN")))</f>
        <v>NaN</v>
      </c>
      <c r="GE79" s="8" t="str">
        <f>IF(_xlfn.XLOOKUP($A79,TabCAT!$A:$A,TabCAT!CP:CP,"NaN")="","NaN",(_xlfn.XLOOKUP($A79,TabCAT!$A:$A,TabCAT!CP:CP,"NaN")))</f>
        <v>NaN</v>
      </c>
      <c r="GF79" s="8" t="str">
        <f>IF(_xlfn.XLOOKUP($A79,TabCAT!$A:$A,TabCAT!CQ:CQ,"NaN")="","NaN",(_xlfn.XLOOKUP($A79,TabCAT!$A:$A,TabCAT!CQ:CQ,"NaN")))</f>
        <v>NaN</v>
      </c>
      <c r="GG79" s="8" t="str">
        <f>IF(_xlfn.XLOOKUP($A79,TabCAT!$A:$A,TabCAT!CR:CR,"NaN")="","NaN",(_xlfn.XLOOKUP($A79,TabCAT!$A:$A,TabCAT!CR:CR,"NaN")))</f>
        <v>NaN</v>
      </c>
      <c r="GH79" s="8" t="str">
        <f>IF(_xlfn.XLOOKUP($A79,TabCAT!$A:$A,TabCAT!CS:CS,"NaN")="","NaN",(_xlfn.XLOOKUP($A79,TabCAT!$A:$A,TabCAT!CS:CS,"NaN")))</f>
        <v>NaN</v>
      </c>
    </row>
    <row r="80" spans="1:190" x14ac:dyDescent="0.2">
      <c r="A80">
        <f>trust!A80</f>
        <v>0</v>
      </c>
      <c r="B80" t="e">
        <f>_xlfn.XLOOKUP(bippity_poppity_boo!A80,rf1_data!A:A,rf1_data!B:B)</f>
        <v>#N/A</v>
      </c>
      <c r="C80" s="2" t="str">
        <f>(_xlfn.XLOOKUP($A80,trust!$A:$A,trust!B:B,"NaN"))</f>
        <v>NaN</v>
      </c>
      <c r="D80" s="2" t="str">
        <f>(_xlfn.XLOOKUP($A80,trust!$A:$A,trust!C:C,"NaN"))</f>
        <v>NaN</v>
      </c>
      <c r="E80" s="2" t="str">
        <f>(_xlfn.XLOOKUP($A80,trust!$A:$A,trust!D:D,"NaN"))</f>
        <v>NaN</v>
      </c>
      <c r="F80" s="2" t="str">
        <f>(_xlfn.XLOOKUP($A80,trust!$A:$A,trust!E:E,"NaN"))</f>
        <v>NaN</v>
      </c>
      <c r="G80" s="2" t="str">
        <f>(_xlfn.XLOOKUP($A80,trust!$A:$A,trust!F:F,"NaN"))</f>
        <v>NaN</v>
      </c>
      <c r="H80" s="2" t="str">
        <f>(_xlfn.XLOOKUP($A80,trust!$A:$A,trust!G:G,"NaN"))</f>
        <v>NaN</v>
      </c>
      <c r="I80" s="3" t="e">
        <f>IF(_xlfn.XLOOKUP($B80,island_data!$B:$B,island_data!C:C,"NaN")="","NaN",_xlfn.XLOOKUP($B80,island_data!$B:$B,island_data!C:C,"NaN"))</f>
        <v>#N/A</v>
      </c>
      <c r="J80" s="3" t="e">
        <f>IF(_xlfn.XLOOKUP($B80,island_data!$B:$B,island_data!D:D,"NaN")="","NaN",_xlfn.XLOOKUP($B80,island_data!$B:$B,island_data!D:D,"NaN"))</f>
        <v>#N/A</v>
      </c>
      <c r="K80" s="4" t="e">
        <f>IF(_xlfn.XLOOKUP($B80,island_data!$B:$B,island_data!E:E,"NaN")="","NaN",_xlfn.XLOOKUP($B80,island_data!$B:$B,island_data!E:E,"NaN"))</f>
        <v>#N/A</v>
      </c>
      <c r="L80" s="5" t="e">
        <f>IF(_xlfn.XLOOKUP($B80,rf1_data!$B:$B,rf1_data!D:D,"NaN")="","NaN",(_xlfn.XLOOKUP($B80,rf1_data!$B:$B,rf1_data!D:D,"NaN")))</f>
        <v>#N/A</v>
      </c>
      <c r="M80" s="5" t="e">
        <f>IF(_xlfn.XLOOKUP($B80,rf1_data!$B:$B,rf1_data!E:E,"NaN")="","NaN",(_xlfn.XLOOKUP($B80,rf1_data!$B:$B,rf1_data!E:E,"NaN")))</f>
        <v>#N/A</v>
      </c>
      <c r="N80" s="5" t="e">
        <f>IF(_xlfn.XLOOKUP($B80,rf1_data!$B:$B,rf1_data!F:F,"NaN")="","NaN",(_xlfn.XLOOKUP($B80,rf1_data!$B:$B,rf1_data!F:F,"NaN")))</f>
        <v>#N/A</v>
      </c>
      <c r="O80" s="5" t="e">
        <f>IF(_xlfn.XLOOKUP($B80,rf1_data!$B:$B,rf1_data!G:G,"NaN")="","NaN",(_xlfn.XLOOKUP($B80,rf1_data!$B:$B,rf1_data!G:G,"NaN")))</f>
        <v>#N/A</v>
      </c>
      <c r="P80" s="5" t="e">
        <f>IF(_xlfn.XLOOKUP($B80,rf1_data!$B:$B,rf1_data!H:H,"NaN")="","NaN",(_xlfn.XLOOKUP($B80,rf1_data!$B:$B,rf1_data!H:H,"NaN")))</f>
        <v>#N/A</v>
      </c>
      <c r="Q80" s="5" t="e">
        <f>IF(_xlfn.XLOOKUP($B80,rf1_data!$B:$B,rf1_data!I:I,"NaN")="","NaN",(_xlfn.XLOOKUP($B80,rf1_data!$B:$B,rf1_data!I:I,"NaN")))</f>
        <v>#N/A</v>
      </c>
      <c r="R80" s="5" t="e">
        <f>IF(_xlfn.XLOOKUP($B80,rf1_data!$B:$B,rf1_data!J:J,"NaN")="","NaN",(_xlfn.XLOOKUP($B80,rf1_data!$B:$B,rf1_data!J:J,"NaN")))</f>
        <v>#N/A</v>
      </c>
      <c r="S80" s="5" t="e">
        <f>IF(_xlfn.XLOOKUP($B80,rf1_data!$B:$B,rf1_data!K:K,"NaN")="","NaN",(_xlfn.XLOOKUP($B80,rf1_data!$B:$B,rf1_data!K:K,"NaN")))</f>
        <v>#N/A</v>
      </c>
      <c r="T80" s="5" t="e">
        <f>IF(_xlfn.XLOOKUP($B80,rf1_data!$B:$B,rf1_data!L:L,"NaN")="","NaN",(_xlfn.XLOOKUP($B80,rf1_data!$B:$B,rf1_data!L:L,"NaN")))</f>
        <v>#N/A</v>
      </c>
      <c r="U80" s="5" t="e">
        <f>IF(_xlfn.XLOOKUP($B80,rf1_data!$B:$B,rf1_data!M:M,"NaN")="","NaN",(_xlfn.XLOOKUP($B80,rf1_data!$B:$B,rf1_data!M:M,"NaN")))</f>
        <v>#N/A</v>
      </c>
      <c r="V80" s="5" t="e">
        <f>IF(_xlfn.XLOOKUP($B80,rf1_data!$B:$B,rf1_data!N:N,"NaN")="","NaN",(_xlfn.XLOOKUP($B80,rf1_data!$B:$B,rf1_data!N:N,"NaN")))</f>
        <v>#N/A</v>
      </c>
      <c r="W80" s="5" t="e">
        <f>IF(_xlfn.XLOOKUP($B80,rf1_data!$B:$B,rf1_data!O:O,"NaN")="","NaN",(_xlfn.XLOOKUP($B80,rf1_data!$B:$B,rf1_data!O:O,"NaN")))</f>
        <v>#N/A</v>
      </c>
      <c r="X80" s="5" t="e">
        <f>IF(_xlfn.XLOOKUP($B80,rf1_data!$B:$B,rf1_data!P:P,"NaN")="","NaN",(_xlfn.XLOOKUP($B80,rf1_data!$B:$B,rf1_data!P:P,"NaN")))</f>
        <v>#N/A</v>
      </c>
      <c r="Y80" s="5" t="e">
        <f>IF(_xlfn.XLOOKUP($B80,rf1_data!$B:$B,rf1_data!Q:Q,"NaN")="","NaN",(_xlfn.XLOOKUP($B80,rf1_data!$B:$B,rf1_data!Q:Q,"NaN")))</f>
        <v>#N/A</v>
      </c>
      <c r="Z80" s="5" t="e">
        <f>IF(_xlfn.XLOOKUP($B80,rf1_data!$B:$B,rf1_data!R:R,"NaN")="","NaN",(_xlfn.XLOOKUP($B80,rf1_data!$B:$B,rf1_data!R:R,"NaN")))</f>
        <v>#N/A</v>
      </c>
      <c r="AA80" s="5" t="e">
        <f>IF(_xlfn.XLOOKUP($B80,rf1_data!$B:$B,rf1_data!S:S,"NaN")="","NaN",(_xlfn.XLOOKUP($B80,rf1_data!$B:$B,rf1_data!S:S,"NaN")))</f>
        <v>#N/A</v>
      </c>
      <c r="AB80" s="5" t="e">
        <f>IF(_xlfn.XLOOKUP($B80,rf1_data!$B:$B,rf1_data!T:T,"NaN")="","NaN",(_xlfn.XLOOKUP($B80,rf1_data!$B:$B,rf1_data!T:T,"NaN")))</f>
        <v>#N/A</v>
      </c>
      <c r="AC80" s="5" t="e">
        <f>IF(_xlfn.XLOOKUP($B80,rf1_data!$B:$B,rf1_data!U:U,"NaN")="","NaN",(_xlfn.XLOOKUP($B80,rf1_data!$B:$B,rf1_data!U:U,"NaN")))</f>
        <v>#N/A</v>
      </c>
      <c r="AD80" s="5" t="e">
        <f>IF(_xlfn.XLOOKUP($B80,rf1_data!$B:$B,rf1_data!V:V,"NaN")="","NaN",(_xlfn.XLOOKUP($B80,rf1_data!$B:$B,rf1_data!V:V,"NaN")))</f>
        <v>#N/A</v>
      </c>
      <c r="AE80" s="5" t="e">
        <f>IF(_xlfn.XLOOKUP($B80,rf1_data!$B:$B,rf1_data!W:W,"NaN")="","NaN",(_xlfn.XLOOKUP($B80,rf1_data!$B:$B,rf1_data!W:W,"NaN")))</f>
        <v>#N/A</v>
      </c>
      <c r="AF80" s="5" t="e">
        <f>IF(_xlfn.XLOOKUP($B80,rf1_data!$B:$B,rf1_data!X:X,"NaN")="","NaN",(_xlfn.XLOOKUP($B80,rf1_data!$B:$B,rf1_data!X:X,"NaN")))</f>
        <v>#N/A</v>
      </c>
      <c r="AG80" s="5" t="e">
        <f>IF(_xlfn.XLOOKUP($B80,rf1_data!$B:$B,rf1_data!Y:Y,"NaN")="","NaN",(_xlfn.XLOOKUP($B80,rf1_data!$B:$B,rf1_data!Y:Y,"NaN")))</f>
        <v>#N/A</v>
      </c>
      <c r="AH80" s="5" t="e">
        <f>IF(_xlfn.XLOOKUP($B80,rf1_data!$B:$B,rf1_data!Z:Z,"NaN")="","NaN",(_xlfn.XLOOKUP($B80,rf1_data!$B:$B,rf1_data!Z:Z,"NaN")))</f>
        <v>#N/A</v>
      </c>
      <c r="AI80" s="5" t="e">
        <f>IF(_xlfn.XLOOKUP($B80,rf1_data!$B:$B,rf1_data!AA:AA,"NaN")="","NaN",(_xlfn.XLOOKUP($B80,rf1_data!$B:$B,rf1_data!AA:AA,"NaN")))</f>
        <v>#N/A</v>
      </c>
      <c r="AJ80" s="5" t="e">
        <f>IF(_xlfn.XLOOKUP($B80,rf1_data!$B:$B,rf1_data!AB:AB,"NaN")="","NaN",(_xlfn.XLOOKUP($B80,rf1_data!$B:$B,rf1_data!AB:AB,"NaN")))</f>
        <v>#N/A</v>
      </c>
      <c r="AK80" s="5" t="e">
        <f>IF(_xlfn.XLOOKUP($B80,rf1_data!$B:$B,rf1_data!AC:AC,"NaN")="","NaN",(_xlfn.XLOOKUP($B80,rf1_data!$B:$B,rf1_data!AC:AC,"NaN")))</f>
        <v>#N/A</v>
      </c>
      <c r="AL80" s="5" t="e">
        <f>IF(_xlfn.XLOOKUP($B80,rf1_data!$B:$B,rf1_data!AD:AD,"NaN")="","NaN",(_xlfn.XLOOKUP($B80,rf1_data!$B:$B,rf1_data!AD:AD,"NaN")))</f>
        <v>#N/A</v>
      </c>
      <c r="AM80" s="5" t="e">
        <f>IF(_xlfn.XLOOKUP($B80,rf1_data!$B:$B,rf1_data!AE:AE,"NaN")="","NaN",(_xlfn.XLOOKUP($B80,rf1_data!$B:$B,rf1_data!AE:AE,"NaN")))</f>
        <v>#N/A</v>
      </c>
      <c r="AN80" s="5" t="e">
        <f>IF(_xlfn.XLOOKUP($B80,rf1_data!$B:$B,rf1_data!AF:AF,"NaN")="","NaN",(_xlfn.XLOOKUP($B80,rf1_data!$B:$B,rf1_data!AF:AF,"NaN")))</f>
        <v>#N/A</v>
      </c>
      <c r="AO80" s="5" t="e">
        <f>IF(_xlfn.XLOOKUP($B80,rf1_data!$B:$B,rf1_data!AG:AG,"NaN")="","NaN",(_xlfn.XLOOKUP($B80,rf1_data!$B:$B,rf1_data!AG:AG,"NaN")))</f>
        <v>#N/A</v>
      </c>
      <c r="AP80" s="5" t="e">
        <f>IF(_xlfn.XLOOKUP($B80,rf1_data!$B:$B,rf1_data!AH:AH,"NaN")="","NaN",(_xlfn.XLOOKUP($B80,rf1_data!$B:$B,rf1_data!AH:AH,"NaN")))</f>
        <v>#N/A</v>
      </c>
      <c r="AQ80" s="5" t="e">
        <f>IF(_xlfn.XLOOKUP($B80,rf1_data!$B:$B,rf1_data!AI:AI,"NaN")="","NaN",(_xlfn.XLOOKUP($B80,rf1_data!$B:$B,rf1_data!AI:AI,"NaN")))</f>
        <v>#N/A</v>
      </c>
      <c r="AR80" s="5" t="e">
        <f>IF(_xlfn.XLOOKUP($B80,rf1_data!$B:$B,rf1_data!AJ:AJ,"NaN")="","NaN",(_xlfn.XLOOKUP($B80,rf1_data!$B:$B,rf1_data!AJ:AJ,"NaN")))</f>
        <v>#N/A</v>
      </c>
      <c r="AS80" s="5" t="e">
        <f>IF(_xlfn.XLOOKUP($B80,rf1_data!$B:$B,rf1_data!AK:AK,"NaN")="","NaN",(_xlfn.XLOOKUP($B80,rf1_data!$B:$B,rf1_data!AK:AK,"NaN")))</f>
        <v>#N/A</v>
      </c>
      <c r="AT80" s="5" t="e">
        <f>IF(_xlfn.XLOOKUP($B80,rf1_data!$B:$B,rf1_data!AL:AL,"NaN")="","NaN",(_xlfn.XLOOKUP($B80,rf1_data!$B:$B,rf1_data!AL:AL,"NaN")))</f>
        <v>#N/A</v>
      </c>
      <c r="AU80" s="5" t="e">
        <f>IF(_xlfn.XLOOKUP($B80,rf1_data!$B:$B,rf1_data!AM:AM,"NaN")="","NaN",(_xlfn.XLOOKUP($B80,rf1_data!$B:$B,rf1_data!AM:AM,"NaN")))</f>
        <v>#N/A</v>
      </c>
      <c r="AV80" s="5" t="e">
        <f>IF(_xlfn.XLOOKUP($B80,rf1_data!$B:$B,rf1_data!AN:AN,"NaN")="","NaN",(_xlfn.XLOOKUP($B80,rf1_data!$B:$B,rf1_data!AN:AN,"NaN")))</f>
        <v>#N/A</v>
      </c>
      <c r="AW80" s="5" t="e">
        <f>IF(_xlfn.XLOOKUP($B80,rf1_data!$B:$B,rf1_data!AO:AO,"NaN")="","NaN",(_xlfn.XLOOKUP($B80,rf1_data!$B:$B,rf1_data!AO:AO,"NaN")))</f>
        <v>#N/A</v>
      </c>
      <c r="AX80" s="5" t="e">
        <f>IF(_xlfn.XLOOKUP($B80,rf1_data!$B:$B,rf1_data!AP:AP,"NaN")="","NaN",(_xlfn.XLOOKUP($B80,rf1_data!$B:$B,rf1_data!AP:AP,"NaN")))</f>
        <v>#N/A</v>
      </c>
      <c r="AY80" s="5" t="e">
        <f>IF(_xlfn.XLOOKUP($B80,rf1_data!$B:$B,rf1_data!AQ:AQ,"NaN")="","NaN",(_xlfn.XLOOKUP($B80,rf1_data!$B:$B,rf1_data!AQ:AQ,"NaN")))</f>
        <v>#N/A</v>
      </c>
      <c r="AZ80" s="5" t="e">
        <f>IF(_xlfn.XLOOKUP($B80,rf1_data!$B:$B,rf1_data!AR:AR,"NaN")="","NaN",(_xlfn.XLOOKUP($B80,rf1_data!$B:$B,rf1_data!AR:AR,"NaN")))</f>
        <v>#N/A</v>
      </c>
      <c r="BA80" s="5" t="e">
        <f>IF(_xlfn.XLOOKUP($B80,rf1_data!$B:$B,rf1_data!AS:AS,"NaN")="","NaN",(_xlfn.XLOOKUP($B80,rf1_data!$B:$B,rf1_data!AS:AS,"NaN")))</f>
        <v>#N/A</v>
      </c>
      <c r="BB80" s="5" t="e">
        <f>IF(_xlfn.XLOOKUP($B80,rf1_data!$B:$B,rf1_data!AT:AT,"NaN")="","NaN",(_xlfn.XLOOKUP($B80,rf1_data!$B:$B,rf1_data!AT:AT,"NaN")))</f>
        <v>#N/A</v>
      </c>
      <c r="BC80" s="5" t="e">
        <f>IF(_xlfn.XLOOKUP($B80,rf1_data!$B:$B,rf1_data!AU:AU,"NaN")="","NaN",(_xlfn.XLOOKUP($B80,rf1_data!$B:$B,rf1_data!AU:AU,"NaN")))</f>
        <v>#N/A</v>
      </c>
      <c r="BD80" s="5" t="e">
        <f>IF(_xlfn.XLOOKUP($B80,rf1_data!$B:$B,rf1_data!AV:AV,"NaN")="","NaN",(_xlfn.XLOOKUP($B80,rf1_data!$B:$B,rf1_data!AV:AV,"NaN")))</f>
        <v>#N/A</v>
      </c>
      <c r="BE80" s="5" t="e">
        <f>IF(_xlfn.XLOOKUP($B80,rf1_data!$B:$B,rf1_data!AW:AW,"NaN")="","NaN",(_xlfn.XLOOKUP($B80,rf1_data!$B:$B,rf1_data!AW:AW,"NaN")))</f>
        <v>#N/A</v>
      </c>
      <c r="BF80" s="5" t="e">
        <f>IF(_xlfn.XLOOKUP($B80,rf1_data!$B:$B,rf1_data!AX:AX,"NaN")="","NaN",(_xlfn.XLOOKUP($B80,rf1_data!$B:$B,rf1_data!AX:AX,"NaN")))</f>
        <v>#N/A</v>
      </c>
      <c r="BG80" s="5" t="e">
        <f>IF(_xlfn.XLOOKUP($B80,rf1_data!$B:$B,rf1_data!AY:AY,"NaN")="","NaN",(_xlfn.XLOOKUP($B80,rf1_data!$B:$B,rf1_data!AY:AY,"NaN")))</f>
        <v>#N/A</v>
      </c>
      <c r="BH80" s="5" t="e">
        <f>IF(_xlfn.XLOOKUP($B80,rf1_data!$B:$B,rf1_data!AZ:AZ,"NaN")="","NaN",(_xlfn.XLOOKUP($B80,rf1_data!$B:$B,rf1_data!AZ:AZ,"NaN")))</f>
        <v>#N/A</v>
      </c>
      <c r="BI80" s="5" t="e">
        <f>IF(_xlfn.XLOOKUP($B80,rf1_data!$B:$B,rf1_data!BA:BA,"NaN")="","NaN",(_xlfn.XLOOKUP($B80,rf1_data!$B:$B,rf1_data!BA:BA,"NaN")))</f>
        <v>#N/A</v>
      </c>
      <c r="BJ80" s="5" t="e">
        <f>IF(_xlfn.XLOOKUP($B80,rf1_data!$B:$B,rf1_data!BB:BB,"NaN")="","NaN",(_xlfn.XLOOKUP($B80,rf1_data!$B:$B,rf1_data!BB:BB,"NaN")))</f>
        <v>#N/A</v>
      </c>
      <c r="BK80" s="5" t="e">
        <f>IF(_xlfn.XLOOKUP($B80,rf1_data!$B:$B,rf1_data!BC:BC,"NaN")="","NaN",(_xlfn.XLOOKUP($B80,rf1_data!$B:$B,rf1_data!BC:BC,"NaN")))</f>
        <v>#N/A</v>
      </c>
      <c r="BL80" s="5" t="e">
        <f>IF(_xlfn.XLOOKUP($B80,rf1_data!$B:$B,rf1_data!BD:BD,"NaN")="","NaN",(_xlfn.XLOOKUP($B80,rf1_data!$B:$B,rf1_data!BD:BD,"NaN")))</f>
        <v>#N/A</v>
      </c>
      <c r="BM80" s="5" t="e">
        <f>IF(_xlfn.XLOOKUP($B80,rf1_data!$B:$B,rf1_data!BE:BE,"NaN")="","NaN",(_xlfn.XLOOKUP($B80,rf1_data!$B:$B,rf1_data!BE:BE,"NaN")))</f>
        <v>#N/A</v>
      </c>
      <c r="BN80" s="5" t="e">
        <f>IF(_xlfn.XLOOKUP($B80,rf1_data!$B:$B,rf1_data!BF:BF,"NaN")="","NaN",(_xlfn.XLOOKUP($B80,rf1_data!$B:$B,rf1_data!BF:BF,"NaN")))</f>
        <v>#N/A</v>
      </c>
      <c r="BO80" s="5" t="e">
        <f>IF(_xlfn.XLOOKUP($B80,rf1_data!$B:$B,rf1_data!BG:BG,"NaN")="","NaN",(_xlfn.XLOOKUP($B80,rf1_data!$B:$B,rf1_data!BG:BG,"NaN")))</f>
        <v>#N/A</v>
      </c>
      <c r="BP80" s="5" t="e">
        <f>IF(_xlfn.XLOOKUP($B80,rf1_data!$B:$B,rf1_data!BH:BH,"NaN")="","NaN",(_xlfn.XLOOKUP($B80,rf1_data!$B:$B,rf1_data!BH:BH,"NaN")))</f>
        <v>#N/A</v>
      </c>
      <c r="BQ80" s="5" t="e">
        <f>IF(_xlfn.XLOOKUP($B80,rf1_data!$B:$B,rf1_data!BI:BI,"NaN")="","NaN",(_xlfn.XLOOKUP($B80,rf1_data!$B:$B,rf1_data!BI:BI,"NaN")))</f>
        <v>#N/A</v>
      </c>
      <c r="BR80" s="5" t="e">
        <f>IF(_xlfn.XLOOKUP($B80,rf1_data!$B:$B,rf1_data!BJ:BJ,"NaN")="","NaN",(_xlfn.XLOOKUP($B80,rf1_data!$B:$B,rf1_data!BJ:BJ,"NaN")))</f>
        <v>#N/A</v>
      </c>
      <c r="BS80" s="5" t="e">
        <f>IF(_xlfn.XLOOKUP($B80,rf1_data!$B:$B,rf1_data!BK:BK,"NaN")="","NaN",(_xlfn.XLOOKUP($B80,rf1_data!$B:$B,rf1_data!BK:BK,"NaN")))</f>
        <v>#N/A</v>
      </c>
      <c r="BT80" s="5" t="e">
        <f>IF(_xlfn.XLOOKUP($B80,rf1_data!$B:$B,rf1_data!BL:BL,"NaN")="","NaN",(_xlfn.XLOOKUP($B80,rf1_data!$B:$B,rf1_data!BL:BL,"NaN")))</f>
        <v>#N/A</v>
      </c>
      <c r="BU80" s="5" t="e">
        <f>IF(_xlfn.XLOOKUP($B80,rf1_data!$B:$B,rf1_data!BM:BM,"NaN")="","NaN",(_xlfn.XLOOKUP($B80,rf1_data!$B:$B,rf1_data!BM:BM,"NaN")))</f>
        <v>#N/A</v>
      </c>
      <c r="BV80" s="5" t="e">
        <f>IF(_xlfn.XLOOKUP($B80,rf1_data!$B:$B,rf1_data!BN:BN,"NaN")="","NaN",(_xlfn.XLOOKUP($B80,rf1_data!$B:$B,rf1_data!BN:BN,"NaN")))</f>
        <v>#N/A</v>
      </c>
      <c r="BW80" s="5" t="e">
        <f>IF(_xlfn.XLOOKUP($B80,rf1_data!$B:$B,rf1_data!BO:BO,"NaN")="","NaN",(_xlfn.XLOOKUP($B80,rf1_data!$B:$B,rf1_data!BO:BO,"NaN")))</f>
        <v>#N/A</v>
      </c>
      <c r="BX80" s="5" t="e">
        <f>IF(_xlfn.XLOOKUP($B80,rf1_data!$B:$B,rf1_data!BP:BP,"NaN")="","NaN",(_xlfn.XLOOKUP($B80,rf1_data!$B:$B,rf1_data!BP:BP,"NaN")))</f>
        <v>#N/A</v>
      </c>
      <c r="BY80" s="5" t="e">
        <f>IF(_xlfn.XLOOKUP($B80,rf1_data!$B:$B,rf1_data!BQ:BQ,"NaN")="","NaN",(_xlfn.XLOOKUP($B80,rf1_data!$B:$B,rf1_data!BQ:BQ,"NaN")))</f>
        <v>#N/A</v>
      </c>
      <c r="BZ80" s="5" t="e">
        <f>IF(_xlfn.XLOOKUP($B80,rf1_data!$B:$B,rf1_data!BR:BR,"NaN")="","NaN",(_xlfn.XLOOKUP($B80,rf1_data!$B:$B,rf1_data!BR:BR,"NaN")))</f>
        <v>#N/A</v>
      </c>
      <c r="CA80" s="5" t="e">
        <f>IF(_xlfn.XLOOKUP($B80,rf1_data!$B:$B,rf1_data!BS:BS,"NaN")="","NaN",(_xlfn.XLOOKUP($B80,rf1_data!$B:$B,rf1_data!BS:BS,"NaN")))</f>
        <v>#N/A</v>
      </c>
      <c r="CB80" s="5" t="e">
        <f>IF(_xlfn.XLOOKUP($B80,rf1_data!$B:$B,rf1_data!BT:BT,"NaN")="","NaN",(_xlfn.XLOOKUP($B80,rf1_data!$B:$B,rf1_data!BT:BT,"NaN")))</f>
        <v>#N/A</v>
      </c>
      <c r="CC80" s="5" t="e">
        <f>IF(_xlfn.XLOOKUP($B80,rf1_data!$B:$B,rf1_data!BU:BU,"NaN")="","NaN",(_xlfn.XLOOKUP($B80,rf1_data!$B:$B,rf1_data!BU:BU,"NaN")))</f>
        <v>#N/A</v>
      </c>
      <c r="CD80" s="5" t="e">
        <f>IF(_xlfn.XLOOKUP($B80,rf1_data!$B:$B,rf1_data!BV:BV,"NaN")="","NaN",(_xlfn.XLOOKUP($B80,rf1_data!$B:$B,rf1_data!BV:BV,"NaN")))</f>
        <v>#N/A</v>
      </c>
      <c r="CE80" s="5" t="e">
        <f>IF(_xlfn.XLOOKUP($B80,rf1_data!$B:$B,rf1_data!BW:BW,"NaN")="","NaN",(_xlfn.XLOOKUP($B80,rf1_data!$B:$B,rf1_data!BW:BW,"NaN")))</f>
        <v>#N/A</v>
      </c>
      <c r="CF80" s="5" t="e">
        <f>IF(_xlfn.XLOOKUP($B80,rf1_data!$B:$B,rf1_data!BX:BX,"NaN")="","NaN",(_xlfn.XLOOKUP($B80,rf1_data!$B:$B,rf1_data!BX:BX,"NaN")))</f>
        <v>#N/A</v>
      </c>
      <c r="CG80" s="5" t="e">
        <f>IF(_xlfn.XLOOKUP($B80,rf1_data!$B:$B,rf1_data!BY:BY,"NaN")="","NaN",(_xlfn.XLOOKUP($B80,rf1_data!$B:$B,rf1_data!BY:BY,"NaN")))</f>
        <v>#N/A</v>
      </c>
      <c r="CH80" s="5" t="e">
        <f>IF(_xlfn.XLOOKUP($B80,rf1_data!$B:$B,rf1_data!BZ:BZ,"NaN")="","NaN",(_xlfn.XLOOKUP($B80,rf1_data!$B:$B,rf1_data!BZ:BZ,"NaN")))</f>
        <v>#N/A</v>
      </c>
      <c r="CI80" s="5" t="e">
        <f>IF(_xlfn.XLOOKUP($B80,rf1_data!$B:$B,rf1_data!CA:CA,"NaN")="","NaN",(_xlfn.XLOOKUP($B80,rf1_data!$B:$B,rf1_data!CA:CA,"NaN")))</f>
        <v>#N/A</v>
      </c>
      <c r="CJ80" s="5" t="e">
        <f>IF(_xlfn.XLOOKUP($B80,rf1_data!$B:$B,rf1_data!CB:CB,"NaN")="","NaN",(_xlfn.XLOOKUP($B80,rf1_data!$B:$B,rf1_data!CB:CB,"NaN")))</f>
        <v>#N/A</v>
      </c>
      <c r="CK80" s="5" t="e">
        <f>IF(_xlfn.XLOOKUP($B80,rf1_data!$B:$B,rf1_data!CC:CC,"NaN")="","NaN",(_xlfn.XLOOKUP($B80,rf1_data!$B:$B,rf1_data!CC:CC,"NaN")))</f>
        <v>#N/A</v>
      </c>
      <c r="CL80" s="5" t="e">
        <f>IF(_xlfn.XLOOKUP($B80,rf1_data!$B:$B,rf1_data!CD:CD,"NaN")=0,"NaN",(_xlfn.XLOOKUP($B80,rf1_data!$B:$B,rf1_data!CD:CD,"NaN")))</f>
        <v>#N/A</v>
      </c>
      <c r="CM80" s="5" t="e">
        <f>IF(_xlfn.XLOOKUP($B80,rf1_data!$B:$B,rf1_data!CE:CE,"NaN")="","NaN",(_xlfn.XLOOKUP($B80,rf1_data!$B:$B,rf1_data!CE:CE,"NaN")))</f>
        <v>#N/A</v>
      </c>
      <c r="CN80" s="5" t="e">
        <f>IF(_xlfn.XLOOKUP($B80,rf1_data!$B:$B,rf1_data!CF:CF,"NaN")="","NaN",(_xlfn.XLOOKUP($B80,rf1_data!$B:$B,rf1_data!CF:CF,"NaN")))</f>
        <v>#N/A</v>
      </c>
      <c r="CO80" s="5" t="e">
        <f>IF(_xlfn.XLOOKUP($B80,rf1_data!$B:$B,rf1_data!CG:CG,"NaN")="","NaN",(_xlfn.XLOOKUP($B80,rf1_data!$B:$B,rf1_data!CG:CG,"NaN")))</f>
        <v>#N/A</v>
      </c>
      <c r="CP80" s="5" t="e">
        <f>IF(_xlfn.XLOOKUP($B80,rf1_data!$B:$B,rf1_data!CH:CH,"NaN")=0,"NaN",(_xlfn.XLOOKUP($B80,rf1_data!$B:$B,rf1_data!CH:CH,"NaN")))</f>
        <v>#N/A</v>
      </c>
      <c r="CQ80" s="5" t="e">
        <f>IF(_xlfn.XLOOKUP($B80,rf1_data!$B:$B,rf1_data!CI:CI,"NaN")="","NaN",(_xlfn.XLOOKUP($B80,rf1_data!$B:$B,rf1_data!CI:CI,"NaN")))</f>
        <v>#N/A</v>
      </c>
      <c r="CR80" s="5" t="e">
        <f>IF(_xlfn.XLOOKUP($B80,rf1_data!$B:$B,rf1_data!CJ:CJ,"NaN")="","NaN",(_xlfn.XLOOKUP($B80,rf1_data!$B:$B,rf1_data!CJ:CJ,"NaN")))</f>
        <v>#N/A</v>
      </c>
      <c r="CS80" s="5" t="e">
        <f>IF(_xlfn.XLOOKUP($B80,rf1_data!$B:$B,rf1_data!CK:CK,"NaN")="","NaN",(_xlfn.XLOOKUP($B80,rf1_data!$B:$B,rf1_data!CK:CK,"NaN")))</f>
        <v>#N/A</v>
      </c>
      <c r="CT80" s="5" t="e">
        <f>IF(_xlfn.XLOOKUP($B80,rf1_data!$B:$B,rf1_data!CL:CL,"NaN")="","NaN",(_xlfn.XLOOKUP($B80,rf1_data!$B:$B,rf1_data!CL:CL,"NaN")))</f>
        <v>#N/A</v>
      </c>
      <c r="CU80" s="5" t="e">
        <f>IF(_xlfn.XLOOKUP($B80,rf1_data!$B:$B,rf1_data!CM:CM,"NaN")="","NaN",(_xlfn.XLOOKUP($B80,rf1_data!$B:$B,rf1_data!CM:CM,"NaN")))</f>
        <v>#N/A</v>
      </c>
      <c r="CV80" s="5" t="e">
        <f>IF(_xlfn.XLOOKUP($B80,rf1_data!$B:$B,rf1_data!CN:CN,"NaN")="","NaN",(_xlfn.XLOOKUP($B80,rf1_data!$B:$B,rf1_data!CN:CN,"NaN")))</f>
        <v>#N/A</v>
      </c>
      <c r="CW80" s="5" t="e">
        <f>IF(_xlfn.XLOOKUP($B80,rf1_data!$B:$B,rf1_data!CO:CO,"NaN")="","NaN",(_xlfn.XLOOKUP($B80,rf1_data!$B:$B,rf1_data!CO:CO,"NaN")))</f>
        <v>#N/A</v>
      </c>
      <c r="CX80" s="5" t="e">
        <f>IF(_xlfn.XLOOKUP($B80,rf1_data!$B:$B,rf1_data!CP:CP,"NaN")="","NaN",(_xlfn.XLOOKUP($B80,rf1_data!$B:$B,rf1_data!CP:CP,"NaN")))</f>
        <v>#N/A</v>
      </c>
      <c r="CY80" s="5" t="e">
        <f>IF(_xlfn.XLOOKUP($B80,rf1_data!$B:$B,rf1_data!CQ:CQ,"NaN")="","NaN",(_xlfn.XLOOKUP($B80,rf1_data!$B:$B,rf1_data!CQ:CQ,"NaN")))</f>
        <v>#N/A</v>
      </c>
      <c r="CZ80" s="5" t="e">
        <f>IF(_xlfn.XLOOKUP($B80,rf1_data!$B:$B,rf1_data!CR:CR,"NaN")="","NaN",(_xlfn.XLOOKUP($B80,rf1_data!$B:$B,rf1_data!CR:CR,"NaN")))</f>
        <v>#N/A</v>
      </c>
      <c r="DA80" s="5" t="e">
        <f>IF(_xlfn.XLOOKUP($B80,rf1_data!$B:$B,rf1_data!CS:CS,"NaN")="","NaN",(_xlfn.XLOOKUP($B80,rf1_data!$B:$B,rf1_data!CS:CS,"NaN")))</f>
        <v>#N/A</v>
      </c>
      <c r="DB80" s="4" t="e">
        <f>IF(_xlfn.XLOOKUP($B80,island_data!$B:$B,island_data!H:H,"NaN")="","NaN",_xlfn.XLOOKUP($B80,island_data!$B:$B,island_data!H:H,"NaN"))</f>
        <v>#N/A</v>
      </c>
      <c r="DC80" s="4" t="e">
        <f>IF(_xlfn.XLOOKUP($B80,island_data!$B:$B,island_data!I:I,"NaN")="","NaN",_xlfn.XLOOKUP($B80,island_data!$B:$B,island_data!I:I,"NaN"))</f>
        <v>#N/A</v>
      </c>
      <c r="DD80" s="4" t="e">
        <f>IF(_xlfn.XLOOKUP($B80,island_data!$B:$B,island_data!J:J,"NaN")="","NaN",_xlfn.XLOOKUP($B80,island_data!$B:$B,island_data!J:J,"NaN"))</f>
        <v>#N/A</v>
      </c>
      <c r="DE80" s="4" t="e">
        <f>IF(_xlfn.XLOOKUP($B80,island_data!$B:$B,island_data!K:K,"NaN")="","NaN",_xlfn.XLOOKUP($B80,island_data!$B:$B,island_data!K:K,"NaN"))</f>
        <v>#N/A</v>
      </c>
      <c r="DF80" s="4" t="e">
        <f>IF(_xlfn.XLOOKUP($B80,island_data!$B:$B,island_data!L:L,"NaN")="","NaN",_xlfn.XLOOKUP($B80,island_data!$B:$B,island_data!L:L,"NaN"))</f>
        <v>#N/A</v>
      </c>
      <c r="DG80" s="4" t="e">
        <f>IF(_xlfn.XLOOKUP($B80,island_data!$B:$B,island_data!M:M,"NaN")="","NaN",_xlfn.XLOOKUP($B80,island_data!$B:$B,island_data!M:M,"NaN"))</f>
        <v>#N/A</v>
      </c>
      <c r="DH80" s="4" t="e">
        <f>IF(_xlfn.XLOOKUP($B80,island_data!$B:$B,island_data!N:N,"NaN")="","NaN",_xlfn.XLOOKUP($B80,island_data!$B:$B,island_data!N:N,"NaN"))</f>
        <v>#N/A</v>
      </c>
      <c r="DI80" s="4" t="e">
        <f>IF(_xlfn.XLOOKUP($B80,island_data!$B:$B,island_data!O:O,"NaN")=999,"NaN",_xlfn.XLOOKUP($B80,island_data!$B:$B,island_data!O:O,"NaN"))</f>
        <v>#N/A</v>
      </c>
      <c r="DJ80" s="4" t="e">
        <f>IF(_xlfn.XLOOKUP($B80,island_data!$B:$B,island_data!P:P,"NaN")="","NaN",_xlfn.XLOOKUP($B80,island_data!$B:$B,island_data!P:P,"NaN"))</f>
        <v>#N/A</v>
      </c>
      <c r="DK80" s="4" t="e">
        <f>IF(_xlfn.XLOOKUP($B80,island_data!$B:$B,island_data!Q:Q,"NaN")="","NaN",_xlfn.XLOOKUP($B80,island_data!$B:$B,island_data!Q:Q,"NaN"))</f>
        <v>#N/A</v>
      </c>
      <c r="DL80" s="4" t="e">
        <f>IF(_xlfn.XLOOKUP($B80,island_data!$B:$B,island_data!R:R,"NaN")=999,"NaN",_xlfn.XLOOKUP($B80,island_data!$B:$B,island_data!R:R,"NaN"))</f>
        <v>#N/A</v>
      </c>
      <c r="DM80" s="4" t="e">
        <f>IF(_xlfn.XLOOKUP($B80,island_data!$B:$B,island_data!S:S,"NaN")="","NaN",_xlfn.XLOOKUP($B80,island_data!$B:$B,island_data!S:S,"NaN"))</f>
        <v>#N/A</v>
      </c>
      <c r="DN80" s="4" t="e">
        <f>IF(_xlfn.XLOOKUP($B80,island_data!$B:$B,island_data!T:T,"NaN")="","NaN",_xlfn.XLOOKUP($B80,island_data!$B:$B,island_data!T:T,"NaN"))</f>
        <v>#N/A</v>
      </c>
      <c r="DO80" s="4" t="e">
        <f>IF(_xlfn.XLOOKUP($B80,island_data!$B:$B,island_data!U:U,"NaN")="","NaN",_xlfn.XLOOKUP($B80,island_data!$B:$B,island_data!U:U,"NaN"))</f>
        <v>#N/A</v>
      </c>
      <c r="DP80" s="4" t="e">
        <f>IF(_xlfn.XLOOKUP($B80,island_data!$B:$B,island_data!V:V,"NaN")="","NaN",_xlfn.XLOOKUP($B80,island_data!$B:$B,island_data!V:V,"NaN"))</f>
        <v>#N/A</v>
      </c>
      <c r="DQ80" s="4" t="e">
        <f>IF(_xlfn.XLOOKUP($B80,island_data!$B:$B,island_data!W:W,"NaN")="","NaN",_xlfn.XLOOKUP($B80,island_data!$B:$B,island_data!W:W,"NaN"))</f>
        <v>#N/A</v>
      </c>
      <c r="DR80" s="4" t="e">
        <f>IF(_xlfn.XLOOKUP($B80,island_data!$B:$B,island_data!X:X,"NaN")="","NaN",_xlfn.XLOOKUP($B80,island_data!$B:$B,island_data!X:X,"NaN"))</f>
        <v>#N/A</v>
      </c>
      <c r="DS80" s="4" t="e">
        <f>IF(_xlfn.XLOOKUP($B80,island_data!$B:$B,island_data!Y:Y,"NaN")="","NaN",_xlfn.XLOOKUP($B80,island_data!$B:$B,island_data!Y:Y,"NaN"))</f>
        <v>#N/A</v>
      </c>
      <c r="DT80" s="4" t="e">
        <f>IF(_xlfn.XLOOKUP($B80,island_data!$B:$B,island_data!Z:Z,"NaN")="","NaN",_xlfn.XLOOKUP($B80,island_data!$B:$B,island_data!Z:Z,"NaN"))</f>
        <v>#N/A</v>
      </c>
      <c r="DU80" s="4" t="e">
        <f>IF(_xlfn.XLOOKUP($B80,island_data!$B:$B,island_data!AA:AA,"NaN")="","NaN",_xlfn.XLOOKUP($B80,island_data!$B:$B,island_data!AA:AA,"NaN"))</f>
        <v>#N/A</v>
      </c>
      <c r="DV80" s="4" t="e">
        <f>IF(_xlfn.XLOOKUP($B80,island_data!$B:$B,island_data!AB:AB,"NaN")="","NaN",_xlfn.XLOOKUP($B80,island_data!$B:$B,island_data!AB:AB,"NaN"))</f>
        <v>#N/A</v>
      </c>
      <c r="DW80" s="4" t="e">
        <f>IF(_xlfn.XLOOKUP($B80,island_data!$B:$B,island_data!AC:AC,"NaN")="","NaN",_xlfn.XLOOKUP($B80,island_data!$B:$B,island_data!AC:AC,"NaN"))</f>
        <v>#N/A</v>
      </c>
      <c r="DX80" s="4" t="e">
        <f>IF(_xlfn.XLOOKUP($B80,island_data!$B:$B,island_data!AD:AD,"NaN")="","NaN",_xlfn.XLOOKUP($B80,island_data!$B:$B,island_data!AD:AD,"NaN"))</f>
        <v>#N/A</v>
      </c>
      <c r="DY80" s="4" t="e">
        <f>IF(_xlfn.XLOOKUP($B80,island_data!$B:$B,island_data!AE:AE,"NaN")="","NaN",_xlfn.XLOOKUP($B80,island_data!$B:$B,island_data!AE:AE,"NaN"))</f>
        <v>#N/A</v>
      </c>
      <c r="DZ80" s="4" t="e">
        <f>IF(_xlfn.XLOOKUP($B80,island_data!$B:$B,island_data!AF:AF,"NaN")="","NaN",_xlfn.XLOOKUP($B80,island_data!$B:$B,island_data!AF:AF,"NaN"))</f>
        <v>#N/A</v>
      </c>
      <c r="EA80" s="4" t="e">
        <f>IF(_xlfn.XLOOKUP($B80,island_data!$B:$B,island_data!AG:AG,"NaN")="","NaN",_xlfn.XLOOKUP($B80,island_data!$B:$B,island_data!AG:AG,"NaN"))</f>
        <v>#N/A</v>
      </c>
      <c r="EB80" s="4" t="e">
        <f>IF(_xlfn.XLOOKUP($B80,island_data!$B:$B,island_data!AH:AH,"NaN")="","NaN",_xlfn.XLOOKUP($B80,island_data!$B:$B,island_data!AH:AH,"NaN"))</f>
        <v>#N/A</v>
      </c>
      <c r="EC80" s="4" t="e">
        <f>IF(_xlfn.XLOOKUP($B80,island_data!$B:$B,island_data!AI:AI,"NaN")="","NaN",_xlfn.XLOOKUP($B80,island_data!$B:$B,island_data!AI:AI,"NaN"))</f>
        <v>#N/A</v>
      </c>
      <c r="ED80" s="4" t="e">
        <f>IF(_xlfn.XLOOKUP($B80,island_data!$B:$B,island_data!AJ:AJ,"NaN")="","NaN",_xlfn.XLOOKUP($B80,island_data!$B:$B,island_data!AJ:AJ,"NaN"))</f>
        <v>#N/A</v>
      </c>
      <c r="EE80" s="4" t="e">
        <f>IF(_xlfn.XLOOKUP($B80,island_data!$B:$B,island_data!AK:AK,"NaN")="","NaN",_xlfn.XLOOKUP($B80,island_data!$B:$B,island_data!AK:AK,"NaN"))</f>
        <v>#N/A</v>
      </c>
      <c r="EF80" s="4" t="e">
        <f>IF(_xlfn.XLOOKUP($B80,island_data!$B:$B,island_data!AL:AL,"NaN")="","NaN",_xlfn.XLOOKUP($B80,island_data!$B:$B,island_data!AL:AL,"NaN"))</f>
        <v>#N/A</v>
      </c>
      <c r="EG80" s="4" t="e">
        <f>IF(_xlfn.XLOOKUP($B80,island_data!$B:$B,island_data!AM:AM,"NaN")="","NaN",_xlfn.XLOOKUP($B80,island_data!$B:$B,island_data!AM:AM,"NaN"))</f>
        <v>#N/A</v>
      </c>
      <c r="EH80" s="4" t="e">
        <f>IF(_xlfn.XLOOKUP($B80,island_data!$B:$B,island_data!AN:AN,"NaN")="","NaN",_xlfn.XLOOKUP($B80,island_data!$B:$B,island_data!AN:AN,"NaN"))</f>
        <v>#N/A</v>
      </c>
      <c r="EI80" s="4" t="e">
        <f>IF(_xlfn.XLOOKUP($B80,island_data!$B:$B,island_data!AO:AO,"NaN")="","NaN",_xlfn.XLOOKUP($B80,island_data!$B:$B,island_data!AO:AO,"NaN"))</f>
        <v>#N/A</v>
      </c>
      <c r="EJ80" s="8" t="str">
        <f>IF(_xlfn.XLOOKUP($A80,TabCAT!$A:$A,TabCAT!AU:AU,"NaN")="","NaN",(_xlfn.XLOOKUP($A80,TabCAT!$A:$A,TabCAT!AU:AU,"NaN")))</f>
        <v>NaN</v>
      </c>
      <c r="EK80" s="8" t="str">
        <f>IF(_xlfn.XLOOKUP($A80,TabCAT!$A:$A,TabCAT!AV:AV,"NaN")="","NaN",(_xlfn.XLOOKUP($A80,TabCAT!$A:$A,TabCAT!AV:AV,"NaN")))</f>
        <v>NaN</v>
      </c>
      <c r="EL80" s="8" t="str">
        <f>IF(_xlfn.XLOOKUP($A80,TabCAT!$A:$A,TabCAT!AW:AW,"NaN")="","NaN",(_xlfn.XLOOKUP($A80,TabCAT!$A:$A,TabCAT!AW:AW,"NaN")))</f>
        <v>NaN</v>
      </c>
      <c r="EM80" s="8" t="str">
        <f>IF(_xlfn.XLOOKUP($A80,TabCAT!$A:$A,TabCAT!AX:AX,"NaN")="","NaN",(_xlfn.XLOOKUP($A80,TabCAT!$A:$A,TabCAT!AX:AX,"NaN")))</f>
        <v>NaN</v>
      </c>
      <c r="EN80" s="8" t="str">
        <f>IF(_xlfn.XLOOKUP($A80,TabCAT!$A:$A,TabCAT!AY:AY,"NaN")="","NaN",(_xlfn.XLOOKUP($A80,TabCAT!$A:$A,TabCAT!AY:AY,"NaN")))</f>
        <v>NaN</v>
      </c>
      <c r="EO80" s="8" t="str">
        <f>IF(_xlfn.XLOOKUP($A80,TabCAT!$A:$A,TabCAT!AZ:AZ,"NaN")="","NaN",(_xlfn.XLOOKUP($A80,TabCAT!$A:$A,TabCAT!AZ:AZ,"NaN")))</f>
        <v>NaN</v>
      </c>
      <c r="EP80" s="8" t="str">
        <f>IF(_xlfn.XLOOKUP($A80,TabCAT!$A:$A,TabCAT!BA:BA,"NaN")="","NaN",(_xlfn.XLOOKUP($A80,TabCAT!$A:$A,TabCAT!BA:BA,"NaN")))</f>
        <v>NaN</v>
      </c>
      <c r="EQ80" s="8" t="str">
        <f>IF(_xlfn.XLOOKUP($A80,TabCAT!$A:$A,TabCAT!BB:BB,"NaN")="","NaN",(_xlfn.XLOOKUP($A80,TabCAT!$A:$A,TabCAT!BB:BB,"NaN")))</f>
        <v>NaN</v>
      </c>
      <c r="ER80" s="8" t="str">
        <f>IF(_xlfn.XLOOKUP($A80,TabCAT!$A:$A,TabCAT!BC:BC,"NaN")="","NaN",(_xlfn.XLOOKUP($A80,TabCAT!$A:$A,TabCAT!BC:BC,"NaN")))</f>
        <v>NaN</v>
      </c>
      <c r="ES80" s="8" t="str">
        <f>IF(_xlfn.XLOOKUP($A80,TabCAT!$A:$A,TabCAT!BD:BD,"NaN")="","NaN",(_xlfn.XLOOKUP($A80,TabCAT!$A:$A,TabCAT!BD:BD,"NaN")))</f>
        <v>NaN</v>
      </c>
      <c r="ET80" s="8" t="str">
        <f>IF(_xlfn.XLOOKUP($A80,TabCAT!$A:$A,TabCAT!BE:BE,"NaN")="","NaN",(_xlfn.XLOOKUP($A80,TabCAT!$A:$A,TabCAT!BE:BE,"NaN")))</f>
        <v>NaN</v>
      </c>
      <c r="EU80" s="8" t="str">
        <f>IF(_xlfn.XLOOKUP($A80,TabCAT!$A:$A,TabCAT!BF:BF,"NaN")="","NaN",(_xlfn.XLOOKUP($A80,TabCAT!$A:$A,TabCAT!BF:BF,"NaN")))</f>
        <v>NaN</v>
      </c>
      <c r="EV80" s="8" t="str">
        <f>IF(_xlfn.XLOOKUP($A80,TabCAT!$A:$A,TabCAT!BG:BG,"NaN")="","NaN",(_xlfn.XLOOKUP($A80,TabCAT!$A:$A,TabCAT!BG:BG,"NaN")))</f>
        <v>NaN</v>
      </c>
      <c r="EW80" s="8" t="str">
        <f>IF(_xlfn.XLOOKUP($A80,TabCAT!$A:$A,TabCAT!BH:BH,"NaN")="","NaN",(_xlfn.XLOOKUP($A80,TabCAT!$A:$A,TabCAT!BH:BH,"NaN")))</f>
        <v>NaN</v>
      </c>
      <c r="EX80" s="8" t="str">
        <f>IF(_xlfn.XLOOKUP($A80,TabCAT!$A:$A,TabCAT!BI:BI,"NaN")="","NaN",(_xlfn.XLOOKUP($A80,TabCAT!$A:$A,TabCAT!BI:BI,"NaN")))</f>
        <v>NaN</v>
      </c>
      <c r="EY80" s="8" t="str">
        <f>IF(_xlfn.XLOOKUP($A80,TabCAT!$A:$A,TabCAT!BJ:BJ,"NaN")="","NaN",(_xlfn.XLOOKUP($A80,TabCAT!$A:$A,TabCAT!BJ:BJ,"NaN")))</f>
        <v>NaN</v>
      </c>
      <c r="EZ80" s="8" t="str">
        <f>IF(_xlfn.XLOOKUP($A80,TabCAT!$A:$A,TabCAT!BK:BK,"NaN")="","NaN",(_xlfn.XLOOKUP($A80,TabCAT!$A:$A,TabCAT!BK:BK,"NaN")))</f>
        <v>NaN</v>
      </c>
      <c r="FA80" s="8" t="str">
        <f>IF(_xlfn.XLOOKUP($A80,TabCAT!$A:$A,TabCAT!BL:BL,"NaN")="","NaN",(_xlfn.XLOOKUP($A80,TabCAT!$A:$A,TabCAT!BL:BL,"NaN")))</f>
        <v>NaN</v>
      </c>
      <c r="FB80" s="8" t="str">
        <f>IF(_xlfn.XLOOKUP($A80,TabCAT!$A:$A,TabCAT!BM:BM,"NaN")="","NaN",(_xlfn.XLOOKUP($A80,TabCAT!$A:$A,TabCAT!BM:BM,"NaN")))</f>
        <v>NaN</v>
      </c>
      <c r="FC80" s="8" t="str">
        <f>IF(_xlfn.XLOOKUP($A80,TabCAT!$A:$A,TabCAT!BN:BN,"NaN")="","NaN",(_xlfn.XLOOKUP($A80,TabCAT!$A:$A,TabCAT!BN:BN,"NaN")))</f>
        <v>NaN</v>
      </c>
      <c r="FD80" s="8" t="str">
        <f>IF(_xlfn.XLOOKUP($A80,TabCAT!$A:$A,TabCAT!BO:BO,"NaN")="","NaN",(_xlfn.XLOOKUP($A80,TabCAT!$A:$A,TabCAT!BO:BO,"NaN")))</f>
        <v>NaN</v>
      </c>
      <c r="FE80" s="8" t="str">
        <f>IF(_xlfn.XLOOKUP($A80,TabCAT!$A:$A,TabCAT!BP:BP,"NaN")="","NaN",(_xlfn.XLOOKUP($A80,TabCAT!$A:$A,TabCAT!BP:BP,"NaN")))</f>
        <v>NaN</v>
      </c>
      <c r="FF80" s="8" t="str">
        <f>IF(_xlfn.XLOOKUP($A80,TabCAT!$A:$A,TabCAT!BQ:BQ,"NaN")="","NaN",(_xlfn.XLOOKUP($A80,TabCAT!$A:$A,TabCAT!BQ:BQ,"NaN")))</f>
        <v>NaN</v>
      </c>
      <c r="FG80" s="8" t="str">
        <f>IF(_xlfn.XLOOKUP($A80,TabCAT!$A:$A,TabCAT!BR:BR,"NaN")="","NaN",(_xlfn.XLOOKUP($A80,TabCAT!$A:$A,TabCAT!BR:BR,"NaN")))</f>
        <v>NaN</v>
      </c>
      <c r="FH80" s="8" t="str">
        <f>IF(_xlfn.XLOOKUP($A80,TabCAT!$A:$A,TabCAT!BS:BS,"NaN")="","NaN",(_xlfn.XLOOKUP($A80,TabCAT!$A:$A,TabCAT!BS:BS,"NaN")))</f>
        <v>NaN</v>
      </c>
      <c r="FI80" s="8" t="str">
        <f>IF(_xlfn.XLOOKUP($A80,TabCAT!$A:$A,TabCAT!BT:BT,"NaN")="","NaN",(_xlfn.XLOOKUP($A80,TabCAT!$A:$A,TabCAT!BT:BT,"NaN")))</f>
        <v>NaN</v>
      </c>
      <c r="FJ80" s="8" t="str">
        <f>IF(_xlfn.XLOOKUP($A80,TabCAT!$A:$A,TabCAT!BU:BU,"NaN")="","NaN",(_xlfn.XLOOKUP($A80,TabCAT!$A:$A,TabCAT!BU:BU,"NaN")))</f>
        <v>NaN</v>
      </c>
      <c r="FK80" s="8" t="str">
        <f>IF(_xlfn.XLOOKUP($A80,TabCAT!$A:$A,TabCAT!BV:BV,"NaN")="","NaN",(_xlfn.XLOOKUP($A80,TabCAT!$A:$A,TabCAT!BV:BV,"NaN")))</f>
        <v>NaN</v>
      </c>
      <c r="FL80" s="8" t="str">
        <f>IF(_xlfn.XLOOKUP($A80,TabCAT!$A:$A,TabCAT!BW:BW,"NaN")="","NaN",(_xlfn.XLOOKUP($A80,TabCAT!$A:$A,TabCAT!BW:BW,"NaN")))</f>
        <v>NaN</v>
      </c>
      <c r="FM80" s="8" t="str">
        <f>IF(_xlfn.XLOOKUP($A80,TabCAT!$A:$A,TabCAT!BX:BX,"NaN")="","NaN",(_xlfn.XLOOKUP($A80,TabCAT!$A:$A,TabCAT!BX:BX,"NaN")))</f>
        <v>NaN</v>
      </c>
      <c r="FN80" s="8" t="str">
        <f>IF(_xlfn.XLOOKUP($A80,TabCAT!$A:$A,TabCAT!BY:BY,"NaN")="","NaN",(_xlfn.XLOOKUP($A80,TabCAT!$A:$A,TabCAT!BY:BY,"NaN")))</f>
        <v>NaN</v>
      </c>
      <c r="FO80" s="8" t="str">
        <f>IF(_xlfn.XLOOKUP($A80,TabCAT!$A:$A,TabCAT!BZ:BZ,"NaN")="","NaN",(_xlfn.XLOOKUP($A80,TabCAT!$A:$A,TabCAT!BZ:BZ,"NaN")))</f>
        <v>NaN</v>
      </c>
      <c r="FP80" s="8" t="str">
        <f>IF(_xlfn.XLOOKUP($A80,TabCAT!$A:$A,TabCAT!CA:CA,"NaN")="","NaN",(_xlfn.XLOOKUP($A80,TabCAT!$A:$A,TabCAT!CA:CA,"NaN")))</f>
        <v>NaN</v>
      </c>
      <c r="FQ80" s="8" t="str">
        <f>IF(_xlfn.XLOOKUP($A80,TabCAT!$A:$A,TabCAT!CB:CB,"NaN")="","NaN",(_xlfn.XLOOKUP($A80,TabCAT!$A:$A,TabCAT!CB:CB,"NaN")))</f>
        <v>NaN</v>
      </c>
      <c r="FR80" s="8" t="str">
        <f>IF(_xlfn.XLOOKUP($A80,TabCAT!$A:$A,TabCAT!CC:CC,"NaN")="","NaN",(_xlfn.XLOOKUP($A80,TabCAT!$A:$A,TabCAT!CC:CC,"NaN")))</f>
        <v>NaN</v>
      </c>
      <c r="FS80" s="8" t="str">
        <f>IF(_xlfn.XLOOKUP($A80,TabCAT!$A:$A,TabCAT!CD:CD,"NaN")="","NaN",(_xlfn.XLOOKUP($A80,TabCAT!$A:$A,TabCAT!CD:CD,"NaN")))</f>
        <v>NaN</v>
      </c>
      <c r="FT80" s="8" t="str">
        <f>IF(_xlfn.XLOOKUP($A80,TabCAT!$A:$A,TabCAT!CE:CE,"NaN")="","NaN",(_xlfn.XLOOKUP($A80,TabCAT!$A:$A,TabCAT!CE:CE,"NaN")))</f>
        <v>NaN</v>
      </c>
      <c r="FU80" s="8" t="str">
        <f>IF(_xlfn.XLOOKUP($A80,TabCAT!$A:$A,TabCAT!CF:CF,"NaN")="","NaN",(_xlfn.XLOOKUP($A80,TabCAT!$A:$A,TabCAT!CF:CF,"NaN")))</f>
        <v>NaN</v>
      </c>
      <c r="FV80" s="8" t="str">
        <f>IF(_xlfn.XLOOKUP($A80,TabCAT!$A:$A,TabCAT!CG:CG,"NaN")="","NaN",(_xlfn.XLOOKUP($A80,TabCAT!$A:$A,TabCAT!CG:CG,"NaN")))</f>
        <v>NaN</v>
      </c>
      <c r="FW80" s="8" t="str">
        <f>IF(_xlfn.XLOOKUP($A80,TabCAT!$A:$A,TabCAT!CH:CH,"NaN")="","NaN",(_xlfn.XLOOKUP($A80,TabCAT!$A:$A,TabCAT!CH:CH,"NaN")))</f>
        <v>NaN</v>
      </c>
      <c r="FX80" s="8" t="str">
        <f>IF(_xlfn.XLOOKUP($A80,TabCAT!$A:$A,TabCAT!CI:CI,"NaN")="","NaN",(_xlfn.XLOOKUP($A80,TabCAT!$A:$A,TabCAT!CI:CI,"NaN")))</f>
        <v>NaN</v>
      </c>
      <c r="FY80" s="8" t="str">
        <f>IF(_xlfn.XLOOKUP($A80,TabCAT!$A:$A,TabCAT!CJ:CJ,"NaN")="","NaN",(_xlfn.XLOOKUP($A80,TabCAT!$A:$A,TabCAT!CJ:CJ,"NaN")))</f>
        <v>NaN</v>
      </c>
      <c r="FZ80" s="8" t="str">
        <f>IF(_xlfn.XLOOKUP($A80,TabCAT!$A:$A,TabCAT!CK:CK,"NaN")="","NaN",(_xlfn.XLOOKUP($A80,TabCAT!$A:$A,TabCAT!CK:CK,"NaN")))</f>
        <v>NaN</v>
      </c>
      <c r="GA80" s="8" t="str">
        <f>IF(_xlfn.XLOOKUP($A80,TabCAT!$A:$A,TabCAT!CL:CL,"NaN")="","NaN",(_xlfn.XLOOKUP($A80,TabCAT!$A:$A,TabCAT!CL:CL,"NaN")))</f>
        <v>NaN</v>
      </c>
      <c r="GB80" s="8" t="str">
        <f>IF(_xlfn.XLOOKUP($A80,TabCAT!$A:$A,TabCAT!CM:CM,"NaN")="","NaN",(_xlfn.XLOOKUP($A80,TabCAT!$A:$A,TabCAT!CM:CM,"NaN")))</f>
        <v>NaN</v>
      </c>
      <c r="GC80" s="8" t="str">
        <f>IF(_xlfn.XLOOKUP($A80,TabCAT!$A:$A,TabCAT!CN:CN,"NaN")="","NaN",(_xlfn.XLOOKUP($A80,TabCAT!$A:$A,TabCAT!CN:CN,"NaN")))</f>
        <v>NaN</v>
      </c>
      <c r="GD80" s="8" t="str">
        <f>IF(_xlfn.XLOOKUP($A80,TabCAT!$A:$A,TabCAT!CO:CO,"NaN")="","NaN",(_xlfn.XLOOKUP($A80,TabCAT!$A:$A,TabCAT!CO:CO,"NaN")))</f>
        <v>NaN</v>
      </c>
      <c r="GE80" s="8" t="str">
        <f>IF(_xlfn.XLOOKUP($A80,TabCAT!$A:$A,TabCAT!CP:CP,"NaN")="","NaN",(_xlfn.XLOOKUP($A80,TabCAT!$A:$A,TabCAT!CP:CP,"NaN")))</f>
        <v>NaN</v>
      </c>
      <c r="GF80" s="8" t="str">
        <f>IF(_xlfn.XLOOKUP($A80,TabCAT!$A:$A,TabCAT!CQ:CQ,"NaN")="","NaN",(_xlfn.XLOOKUP($A80,TabCAT!$A:$A,TabCAT!CQ:CQ,"NaN")))</f>
        <v>NaN</v>
      </c>
      <c r="GG80" s="8" t="str">
        <f>IF(_xlfn.XLOOKUP($A80,TabCAT!$A:$A,TabCAT!CR:CR,"NaN")="","NaN",(_xlfn.XLOOKUP($A80,TabCAT!$A:$A,TabCAT!CR:CR,"NaN")))</f>
        <v>NaN</v>
      </c>
      <c r="GH80" s="8" t="str">
        <f>IF(_xlfn.XLOOKUP($A80,TabCAT!$A:$A,TabCAT!CS:CS,"NaN")="","NaN",(_xlfn.XLOOKUP($A80,TabCAT!$A:$A,TabCAT!CS:CS,"NaN")))</f>
        <v>NaN</v>
      </c>
    </row>
    <row r="81" spans="1:190" x14ac:dyDescent="0.2">
      <c r="A81">
        <f>trust!A81</f>
        <v>0</v>
      </c>
      <c r="B81" t="e">
        <f>_xlfn.XLOOKUP(bippity_poppity_boo!A81,rf1_data!A:A,rf1_data!B:B)</f>
        <v>#N/A</v>
      </c>
      <c r="C81" s="2" t="str">
        <f>(_xlfn.XLOOKUP($A81,trust!$A:$A,trust!B:B,"NaN"))</f>
        <v>NaN</v>
      </c>
      <c r="D81" s="2" t="str">
        <f>(_xlfn.XLOOKUP($A81,trust!$A:$A,trust!C:C,"NaN"))</f>
        <v>NaN</v>
      </c>
      <c r="E81" s="2" t="str">
        <f>(_xlfn.XLOOKUP($A81,trust!$A:$A,trust!D:D,"NaN"))</f>
        <v>NaN</v>
      </c>
      <c r="F81" s="2" t="str">
        <f>(_xlfn.XLOOKUP($A81,trust!$A:$A,trust!E:E,"NaN"))</f>
        <v>NaN</v>
      </c>
      <c r="G81" s="2" t="str">
        <f>(_xlfn.XLOOKUP($A81,trust!$A:$A,trust!F:F,"NaN"))</f>
        <v>NaN</v>
      </c>
      <c r="H81" s="2" t="str">
        <f>(_xlfn.XLOOKUP($A81,trust!$A:$A,trust!G:G,"NaN"))</f>
        <v>NaN</v>
      </c>
      <c r="I81" s="3" t="e">
        <f>IF(_xlfn.XLOOKUP($B81,island_data!$B:$B,island_data!C:C,"NaN")="","NaN",_xlfn.XLOOKUP($B81,island_data!$B:$B,island_data!C:C,"NaN"))</f>
        <v>#N/A</v>
      </c>
      <c r="J81" s="3" t="e">
        <f>IF(_xlfn.XLOOKUP($B81,island_data!$B:$B,island_data!D:D,"NaN")="","NaN",_xlfn.XLOOKUP($B81,island_data!$B:$B,island_data!D:D,"NaN"))</f>
        <v>#N/A</v>
      </c>
      <c r="K81" s="4" t="e">
        <f>IF(_xlfn.XLOOKUP($B81,island_data!$B:$B,island_data!E:E,"NaN")="","NaN",_xlfn.XLOOKUP($B81,island_data!$B:$B,island_data!E:E,"NaN"))</f>
        <v>#N/A</v>
      </c>
      <c r="L81" s="5" t="e">
        <f>IF(_xlfn.XLOOKUP($B81,rf1_data!$B:$B,rf1_data!D:D,"NaN")="","NaN",(_xlfn.XLOOKUP($B81,rf1_data!$B:$B,rf1_data!D:D,"NaN")))</f>
        <v>#N/A</v>
      </c>
      <c r="M81" s="5" t="e">
        <f>IF(_xlfn.XLOOKUP($B81,rf1_data!$B:$B,rf1_data!E:E,"NaN")="","NaN",(_xlfn.XLOOKUP($B81,rf1_data!$B:$B,rf1_data!E:E,"NaN")))</f>
        <v>#N/A</v>
      </c>
      <c r="N81" s="5" t="e">
        <f>IF(_xlfn.XLOOKUP($B81,rf1_data!$B:$B,rf1_data!F:F,"NaN")="","NaN",(_xlfn.XLOOKUP($B81,rf1_data!$B:$B,rf1_data!F:F,"NaN")))</f>
        <v>#N/A</v>
      </c>
      <c r="O81" s="5" t="e">
        <f>IF(_xlfn.XLOOKUP($B81,rf1_data!$B:$B,rf1_data!G:G,"NaN")="","NaN",(_xlfn.XLOOKUP($B81,rf1_data!$B:$B,rf1_data!G:G,"NaN")))</f>
        <v>#N/A</v>
      </c>
      <c r="P81" s="5" t="e">
        <f>IF(_xlfn.XLOOKUP($B81,rf1_data!$B:$B,rf1_data!H:H,"NaN")="","NaN",(_xlfn.XLOOKUP($B81,rf1_data!$B:$B,rf1_data!H:H,"NaN")))</f>
        <v>#N/A</v>
      </c>
      <c r="Q81" s="5" t="e">
        <f>IF(_xlfn.XLOOKUP($B81,rf1_data!$B:$B,rf1_data!I:I,"NaN")="","NaN",(_xlfn.XLOOKUP($B81,rf1_data!$B:$B,rf1_data!I:I,"NaN")))</f>
        <v>#N/A</v>
      </c>
      <c r="R81" s="5" t="e">
        <f>IF(_xlfn.XLOOKUP($B81,rf1_data!$B:$B,rf1_data!J:J,"NaN")="","NaN",(_xlfn.XLOOKUP($B81,rf1_data!$B:$B,rf1_data!J:J,"NaN")))</f>
        <v>#N/A</v>
      </c>
      <c r="S81" s="5" t="e">
        <f>IF(_xlfn.XLOOKUP($B81,rf1_data!$B:$B,rf1_data!K:K,"NaN")="","NaN",(_xlfn.XLOOKUP($B81,rf1_data!$B:$B,rf1_data!K:K,"NaN")))</f>
        <v>#N/A</v>
      </c>
      <c r="T81" s="5" t="e">
        <f>IF(_xlfn.XLOOKUP($B81,rf1_data!$B:$B,rf1_data!L:L,"NaN")="","NaN",(_xlfn.XLOOKUP($B81,rf1_data!$B:$B,rf1_data!L:L,"NaN")))</f>
        <v>#N/A</v>
      </c>
      <c r="U81" s="5" t="e">
        <f>IF(_xlfn.XLOOKUP($B81,rf1_data!$B:$B,rf1_data!M:M,"NaN")="","NaN",(_xlfn.XLOOKUP($B81,rf1_data!$B:$B,rf1_data!M:M,"NaN")))</f>
        <v>#N/A</v>
      </c>
      <c r="V81" s="5" t="e">
        <f>IF(_xlfn.XLOOKUP($B81,rf1_data!$B:$B,rf1_data!N:N,"NaN")="","NaN",(_xlfn.XLOOKUP($B81,rf1_data!$B:$B,rf1_data!N:N,"NaN")))</f>
        <v>#N/A</v>
      </c>
      <c r="W81" s="5" t="e">
        <f>IF(_xlfn.XLOOKUP($B81,rf1_data!$B:$B,rf1_data!O:O,"NaN")="","NaN",(_xlfn.XLOOKUP($B81,rf1_data!$B:$B,rf1_data!O:O,"NaN")))</f>
        <v>#N/A</v>
      </c>
      <c r="X81" s="5" t="e">
        <f>IF(_xlfn.XLOOKUP($B81,rf1_data!$B:$B,rf1_data!P:P,"NaN")="","NaN",(_xlfn.XLOOKUP($B81,rf1_data!$B:$B,rf1_data!P:P,"NaN")))</f>
        <v>#N/A</v>
      </c>
      <c r="Y81" s="5" t="e">
        <f>IF(_xlfn.XLOOKUP($B81,rf1_data!$B:$B,rf1_data!Q:Q,"NaN")="","NaN",(_xlfn.XLOOKUP($B81,rf1_data!$B:$B,rf1_data!Q:Q,"NaN")))</f>
        <v>#N/A</v>
      </c>
      <c r="Z81" s="5" t="e">
        <f>IF(_xlfn.XLOOKUP($B81,rf1_data!$B:$B,rf1_data!R:R,"NaN")="","NaN",(_xlfn.XLOOKUP($B81,rf1_data!$B:$B,rf1_data!R:R,"NaN")))</f>
        <v>#N/A</v>
      </c>
      <c r="AA81" s="5" t="e">
        <f>IF(_xlfn.XLOOKUP($B81,rf1_data!$B:$B,rf1_data!S:S,"NaN")="","NaN",(_xlfn.XLOOKUP($B81,rf1_data!$B:$B,rf1_data!S:S,"NaN")))</f>
        <v>#N/A</v>
      </c>
      <c r="AB81" s="5" t="e">
        <f>IF(_xlfn.XLOOKUP($B81,rf1_data!$B:$B,rf1_data!T:T,"NaN")="","NaN",(_xlfn.XLOOKUP($B81,rf1_data!$B:$B,rf1_data!T:T,"NaN")))</f>
        <v>#N/A</v>
      </c>
      <c r="AC81" s="5" t="e">
        <f>IF(_xlfn.XLOOKUP($B81,rf1_data!$B:$B,rf1_data!U:U,"NaN")="","NaN",(_xlfn.XLOOKUP($B81,rf1_data!$B:$B,rf1_data!U:U,"NaN")))</f>
        <v>#N/A</v>
      </c>
      <c r="AD81" s="5" t="e">
        <f>IF(_xlfn.XLOOKUP($B81,rf1_data!$B:$B,rf1_data!V:V,"NaN")="","NaN",(_xlfn.XLOOKUP($B81,rf1_data!$B:$B,rf1_data!V:V,"NaN")))</f>
        <v>#N/A</v>
      </c>
      <c r="AE81" s="5" t="e">
        <f>IF(_xlfn.XLOOKUP($B81,rf1_data!$B:$B,rf1_data!W:W,"NaN")="","NaN",(_xlfn.XLOOKUP($B81,rf1_data!$B:$B,rf1_data!W:W,"NaN")))</f>
        <v>#N/A</v>
      </c>
      <c r="AF81" s="5" t="e">
        <f>IF(_xlfn.XLOOKUP($B81,rf1_data!$B:$B,rf1_data!X:X,"NaN")="","NaN",(_xlfn.XLOOKUP($B81,rf1_data!$B:$B,rf1_data!X:X,"NaN")))</f>
        <v>#N/A</v>
      </c>
      <c r="AG81" s="5" t="e">
        <f>IF(_xlfn.XLOOKUP($B81,rf1_data!$B:$B,rf1_data!Y:Y,"NaN")="","NaN",(_xlfn.XLOOKUP($B81,rf1_data!$B:$B,rf1_data!Y:Y,"NaN")))</f>
        <v>#N/A</v>
      </c>
      <c r="AH81" s="5" t="e">
        <f>IF(_xlfn.XLOOKUP($B81,rf1_data!$B:$B,rf1_data!Z:Z,"NaN")="","NaN",(_xlfn.XLOOKUP($B81,rf1_data!$B:$B,rf1_data!Z:Z,"NaN")))</f>
        <v>#N/A</v>
      </c>
      <c r="AI81" s="5" t="e">
        <f>IF(_xlfn.XLOOKUP($B81,rf1_data!$B:$B,rf1_data!AA:AA,"NaN")="","NaN",(_xlfn.XLOOKUP($B81,rf1_data!$B:$B,rf1_data!AA:AA,"NaN")))</f>
        <v>#N/A</v>
      </c>
      <c r="AJ81" s="5" t="e">
        <f>IF(_xlfn.XLOOKUP($B81,rf1_data!$B:$B,rf1_data!AB:AB,"NaN")="","NaN",(_xlfn.XLOOKUP($B81,rf1_data!$B:$B,rf1_data!AB:AB,"NaN")))</f>
        <v>#N/A</v>
      </c>
      <c r="AK81" s="5" t="e">
        <f>IF(_xlfn.XLOOKUP($B81,rf1_data!$B:$B,rf1_data!AC:AC,"NaN")="","NaN",(_xlfn.XLOOKUP($B81,rf1_data!$B:$B,rf1_data!AC:AC,"NaN")))</f>
        <v>#N/A</v>
      </c>
      <c r="AL81" s="5" t="e">
        <f>IF(_xlfn.XLOOKUP($B81,rf1_data!$B:$B,rf1_data!AD:AD,"NaN")="","NaN",(_xlfn.XLOOKUP($B81,rf1_data!$B:$B,rf1_data!AD:AD,"NaN")))</f>
        <v>#N/A</v>
      </c>
      <c r="AM81" s="5" t="e">
        <f>IF(_xlfn.XLOOKUP($B81,rf1_data!$B:$B,rf1_data!AE:AE,"NaN")="","NaN",(_xlfn.XLOOKUP($B81,rf1_data!$B:$B,rf1_data!AE:AE,"NaN")))</f>
        <v>#N/A</v>
      </c>
      <c r="AN81" s="5" t="e">
        <f>IF(_xlfn.XLOOKUP($B81,rf1_data!$B:$B,rf1_data!AF:AF,"NaN")="","NaN",(_xlfn.XLOOKUP($B81,rf1_data!$B:$B,rf1_data!AF:AF,"NaN")))</f>
        <v>#N/A</v>
      </c>
      <c r="AO81" s="5" t="e">
        <f>IF(_xlfn.XLOOKUP($B81,rf1_data!$B:$B,rf1_data!AG:AG,"NaN")="","NaN",(_xlfn.XLOOKUP($B81,rf1_data!$B:$B,rf1_data!AG:AG,"NaN")))</f>
        <v>#N/A</v>
      </c>
      <c r="AP81" s="5" t="e">
        <f>IF(_xlfn.XLOOKUP($B81,rf1_data!$B:$B,rf1_data!AH:AH,"NaN")="","NaN",(_xlfn.XLOOKUP($B81,rf1_data!$B:$B,rf1_data!AH:AH,"NaN")))</f>
        <v>#N/A</v>
      </c>
      <c r="AQ81" s="5" t="e">
        <f>IF(_xlfn.XLOOKUP($B81,rf1_data!$B:$B,rf1_data!AI:AI,"NaN")="","NaN",(_xlfn.XLOOKUP($B81,rf1_data!$B:$B,rf1_data!AI:AI,"NaN")))</f>
        <v>#N/A</v>
      </c>
      <c r="AR81" s="5" t="e">
        <f>IF(_xlfn.XLOOKUP($B81,rf1_data!$B:$B,rf1_data!AJ:AJ,"NaN")="","NaN",(_xlfn.XLOOKUP($B81,rf1_data!$B:$B,rf1_data!AJ:AJ,"NaN")))</f>
        <v>#N/A</v>
      </c>
      <c r="AS81" s="5" t="e">
        <f>IF(_xlfn.XLOOKUP($B81,rf1_data!$B:$B,rf1_data!AK:AK,"NaN")="","NaN",(_xlfn.XLOOKUP($B81,rf1_data!$B:$B,rf1_data!AK:AK,"NaN")))</f>
        <v>#N/A</v>
      </c>
      <c r="AT81" s="5" t="e">
        <f>IF(_xlfn.XLOOKUP($B81,rf1_data!$B:$B,rf1_data!AL:AL,"NaN")="","NaN",(_xlfn.XLOOKUP($B81,rf1_data!$B:$B,rf1_data!AL:AL,"NaN")))</f>
        <v>#N/A</v>
      </c>
      <c r="AU81" s="5" t="e">
        <f>IF(_xlfn.XLOOKUP($B81,rf1_data!$B:$B,rf1_data!AM:AM,"NaN")="","NaN",(_xlfn.XLOOKUP($B81,rf1_data!$B:$B,rf1_data!AM:AM,"NaN")))</f>
        <v>#N/A</v>
      </c>
      <c r="AV81" s="5" t="e">
        <f>IF(_xlfn.XLOOKUP($B81,rf1_data!$B:$B,rf1_data!AN:AN,"NaN")="","NaN",(_xlfn.XLOOKUP($B81,rf1_data!$B:$B,rf1_data!AN:AN,"NaN")))</f>
        <v>#N/A</v>
      </c>
      <c r="AW81" s="5" t="e">
        <f>IF(_xlfn.XLOOKUP($B81,rf1_data!$B:$B,rf1_data!AO:AO,"NaN")="","NaN",(_xlfn.XLOOKUP($B81,rf1_data!$B:$B,rf1_data!AO:AO,"NaN")))</f>
        <v>#N/A</v>
      </c>
      <c r="AX81" s="5" t="e">
        <f>IF(_xlfn.XLOOKUP($B81,rf1_data!$B:$B,rf1_data!AP:AP,"NaN")="","NaN",(_xlfn.XLOOKUP($B81,rf1_data!$B:$B,rf1_data!AP:AP,"NaN")))</f>
        <v>#N/A</v>
      </c>
      <c r="AY81" s="5" t="e">
        <f>IF(_xlfn.XLOOKUP($B81,rf1_data!$B:$B,rf1_data!AQ:AQ,"NaN")="","NaN",(_xlfn.XLOOKUP($B81,rf1_data!$B:$B,rf1_data!AQ:AQ,"NaN")))</f>
        <v>#N/A</v>
      </c>
      <c r="AZ81" s="5" t="e">
        <f>IF(_xlfn.XLOOKUP($B81,rf1_data!$B:$B,rf1_data!AR:AR,"NaN")="","NaN",(_xlfn.XLOOKUP($B81,rf1_data!$B:$B,rf1_data!AR:AR,"NaN")))</f>
        <v>#N/A</v>
      </c>
      <c r="BA81" s="5" t="e">
        <f>IF(_xlfn.XLOOKUP($B81,rf1_data!$B:$B,rf1_data!AS:AS,"NaN")="","NaN",(_xlfn.XLOOKUP($B81,rf1_data!$B:$B,rf1_data!AS:AS,"NaN")))</f>
        <v>#N/A</v>
      </c>
      <c r="BB81" s="5" t="e">
        <f>IF(_xlfn.XLOOKUP($B81,rf1_data!$B:$B,rf1_data!AT:AT,"NaN")="","NaN",(_xlfn.XLOOKUP($B81,rf1_data!$B:$B,rf1_data!AT:AT,"NaN")))</f>
        <v>#N/A</v>
      </c>
      <c r="BC81" s="5" t="e">
        <f>IF(_xlfn.XLOOKUP($B81,rf1_data!$B:$B,rf1_data!AU:AU,"NaN")="","NaN",(_xlfn.XLOOKUP($B81,rf1_data!$B:$B,rf1_data!AU:AU,"NaN")))</f>
        <v>#N/A</v>
      </c>
      <c r="BD81" s="5" t="e">
        <f>IF(_xlfn.XLOOKUP($B81,rf1_data!$B:$B,rf1_data!AV:AV,"NaN")="","NaN",(_xlfn.XLOOKUP($B81,rf1_data!$B:$B,rf1_data!AV:AV,"NaN")))</f>
        <v>#N/A</v>
      </c>
      <c r="BE81" s="5" t="e">
        <f>IF(_xlfn.XLOOKUP($B81,rf1_data!$B:$B,rf1_data!AW:AW,"NaN")="","NaN",(_xlfn.XLOOKUP($B81,rf1_data!$B:$B,rf1_data!AW:AW,"NaN")))</f>
        <v>#N/A</v>
      </c>
      <c r="BF81" s="5" t="e">
        <f>IF(_xlfn.XLOOKUP($B81,rf1_data!$B:$B,rf1_data!AX:AX,"NaN")="","NaN",(_xlfn.XLOOKUP($B81,rf1_data!$B:$B,rf1_data!AX:AX,"NaN")))</f>
        <v>#N/A</v>
      </c>
      <c r="BG81" s="5" t="e">
        <f>IF(_xlfn.XLOOKUP($B81,rf1_data!$B:$B,rf1_data!AY:AY,"NaN")="","NaN",(_xlfn.XLOOKUP($B81,rf1_data!$B:$B,rf1_data!AY:AY,"NaN")))</f>
        <v>#N/A</v>
      </c>
      <c r="BH81" s="5" t="e">
        <f>IF(_xlfn.XLOOKUP($B81,rf1_data!$B:$B,rf1_data!AZ:AZ,"NaN")="","NaN",(_xlfn.XLOOKUP($B81,rf1_data!$B:$B,rf1_data!AZ:AZ,"NaN")))</f>
        <v>#N/A</v>
      </c>
      <c r="BI81" s="5" t="e">
        <f>IF(_xlfn.XLOOKUP($B81,rf1_data!$B:$B,rf1_data!BA:BA,"NaN")="","NaN",(_xlfn.XLOOKUP($B81,rf1_data!$B:$B,rf1_data!BA:BA,"NaN")))</f>
        <v>#N/A</v>
      </c>
      <c r="BJ81" s="5" t="e">
        <f>IF(_xlfn.XLOOKUP($B81,rf1_data!$B:$B,rf1_data!BB:BB,"NaN")="","NaN",(_xlfn.XLOOKUP($B81,rf1_data!$B:$B,rf1_data!BB:BB,"NaN")))</f>
        <v>#N/A</v>
      </c>
      <c r="BK81" s="5" t="e">
        <f>IF(_xlfn.XLOOKUP($B81,rf1_data!$B:$B,rf1_data!BC:BC,"NaN")="","NaN",(_xlfn.XLOOKUP($B81,rf1_data!$B:$B,rf1_data!BC:BC,"NaN")))</f>
        <v>#N/A</v>
      </c>
      <c r="BL81" s="5" t="e">
        <f>IF(_xlfn.XLOOKUP($B81,rf1_data!$B:$B,rf1_data!BD:BD,"NaN")="","NaN",(_xlfn.XLOOKUP($B81,rf1_data!$B:$B,rf1_data!BD:BD,"NaN")))</f>
        <v>#N/A</v>
      </c>
      <c r="BM81" s="5" t="e">
        <f>IF(_xlfn.XLOOKUP($B81,rf1_data!$B:$B,rf1_data!BE:BE,"NaN")="","NaN",(_xlfn.XLOOKUP($B81,rf1_data!$B:$B,rf1_data!BE:BE,"NaN")))</f>
        <v>#N/A</v>
      </c>
      <c r="BN81" s="5" t="e">
        <f>IF(_xlfn.XLOOKUP($B81,rf1_data!$B:$B,rf1_data!BF:BF,"NaN")="","NaN",(_xlfn.XLOOKUP($B81,rf1_data!$B:$B,rf1_data!BF:BF,"NaN")))</f>
        <v>#N/A</v>
      </c>
      <c r="BO81" s="5" t="e">
        <f>IF(_xlfn.XLOOKUP($B81,rf1_data!$B:$B,rf1_data!BG:BG,"NaN")="","NaN",(_xlfn.XLOOKUP($B81,rf1_data!$B:$B,rf1_data!BG:BG,"NaN")))</f>
        <v>#N/A</v>
      </c>
      <c r="BP81" s="5" t="e">
        <f>IF(_xlfn.XLOOKUP($B81,rf1_data!$B:$B,rf1_data!BH:BH,"NaN")="","NaN",(_xlfn.XLOOKUP($B81,rf1_data!$B:$B,rf1_data!BH:BH,"NaN")))</f>
        <v>#N/A</v>
      </c>
      <c r="BQ81" s="5" t="e">
        <f>IF(_xlfn.XLOOKUP($B81,rf1_data!$B:$B,rf1_data!BI:BI,"NaN")="","NaN",(_xlfn.XLOOKUP($B81,rf1_data!$B:$B,rf1_data!BI:BI,"NaN")))</f>
        <v>#N/A</v>
      </c>
      <c r="BR81" s="5" t="e">
        <f>IF(_xlfn.XLOOKUP($B81,rf1_data!$B:$B,rf1_data!BJ:BJ,"NaN")="","NaN",(_xlfn.XLOOKUP($B81,rf1_data!$B:$B,rf1_data!BJ:BJ,"NaN")))</f>
        <v>#N/A</v>
      </c>
      <c r="BS81" s="5" t="e">
        <f>IF(_xlfn.XLOOKUP($B81,rf1_data!$B:$B,rf1_data!BK:BK,"NaN")="","NaN",(_xlfn.XLOOKUP($B81,rf1_data!$B:$B,rf1_data!BK:BK,"NaN")))</f>
        <v>#N/A</v>
      </c>
      <c r="BT81" s="5" t="e">
        <f>IF(_xlfn.XLOOKUP($B81,rf1_data!$B:$B,rf1_data!BL:BL,"NaN")="","NaN",(_xlfn.XLOOKUP($B81,rf1_data!$B:$B,rf1_data!BL:BL,"NaN")))</f>
        <v>#N/A</v>
      </c>
      <c r="BU81" s="5" t="e">
        <f>IF(_xlfn.XLOOKUP($B81,rf1_data!$B:$B,rf1_data!BM:BM,"NaN")="","NaN",(_xlfn.XLOOKUP($B81,rf1_data!$B:$B,rf1_data!BM:BM,"NaN")))</f>
        <v>#N/A</v>
      </c>
      <c r="BV81" s="5" t="e">
        <f>IF(_xlfn.XLOOKUP($B81,rf1_data!$B:$B,rf1_data!BN:BN,"NaN")="","NaN",(_xlfn.XLOOKUP($B81,rf1_data!$B:$B,rf1_data!BN:BN,"NaN")))</f>
        <v>#N/A</v>
      </c>
      <c r="BW81" s="5" t="e">
        <f>IF(_xlfn.XLOOKUP($B81,rf1_data!$B:$B,rf1_data!BO:BO,"NaN")="","NaN",(_xlfn.XLOOKUP($B81,rf1_data!$B:$B,rf1_data!BO:BO,"NaN")))</f>
        <v>#N/A</v>
      </c>
      <c r="BX81" s="5" t="e">
        <f>IF(_xlfn.XLOOKUP($B81,rf1_data!$B:$B,rf1_data!BP:BP,"NaN")="","NaN",(_xlfn.XLOOKUP($B81,rf1_data!$B:$B,rf1_data!BP:BP,"NaN")))</f>
        <v>#N/A</v>
      </c>
      <c r="BY81" s="5" t="e">
        <f>IF(_xlfn.XLOOKUP($B81,rf1_data!$B:$B,rf1_data!BQ:BQ,"NaN")="","NaN",(_xlfn.XLOOKUP($B81,rf1_data!$B:$B,rf1_data!BQ:BQ,"NaN")))</f>
        <v>#N/A</v>
      </c>
      <c r="BZ81" s="5" t="e">
        <f>IF(_xlfn.XLOOKUP($B81,rf1_data!$B:$B,rf1_data!BR:BR,"NaN")="","NaN",(_xlfn.XLOOKUP($B81,rf1_data!$B:$B,rf1_data!BR:BR,"NaN")))</f>
        <v>#N/A</v>
      </c>
      <c r="CA81" s="5" t="e">
        <f>IF(_xlfn.XLOOKUP($B81,rf1_data!$B:$B,rf1_data!BS:BS,"NaN")="","NaN",(_xlfn.XLOOKUP($B81,rf1_data!$B:$B,rf1_data!BS:BS,"NaN")))</f>
        <v>#N/A</v>
      </c>
      <c r="CB81" s="5" t="e">
        <f>IF(_xlfn.XLOOKUP($B81,rf1_data!$B:$B,rf1_data!BT:BT,"NaN")="","NaN",(_xlfn.XLOOKUP($B81,rf1_data!$B:$B,rf1_data!BT:BT,"NaN")))</f>
        <v>#N/A</v>
      </c>
      <c r="CC81" s="5" t="e">
        <f>IF(_xlfn.XLOOKUP($B81,rf1_data!$B:$B,rf1_data!BU:BU,"NaN")="","NaN",(_xlfn.XLOOKUP($B81,rf1_data!$B:$B,rf1_data!BU:BU,"NaN")))</f>
        <v>#N/A</v>
      </c>
      <c r="CD81" s="5" t="e">
        <f>IF(_xlfn.XLOOKUP($B81,rf1_data!$B:$B,rf1_data!BV:BV,"NaN")="","NaN",(_xlfn.XLOOKUP($B81,rf1_data!$B:$B,rf1_data!BV:BV,"NaN")))</f>
        <v>#N/A</v>
      </c>
      <c r="CE81" s="5" t="e">
        <f>IF(_xlfn.XLOOKUP($B81,rf1_data!$B:$B,rf1_data!BW:BW,"NaN")="","NaN",(_xlfn.XLOOKUP($B81,rf1_data!$B:$B,rf1_data!BW:BW,"NaN")))</f>
        <v>#N/A</v>
      </c>
      <c r="CF81" s="5" t="e">
        <f>IF(_xlfn.XLOOKUP($B81,rf1_data!$B:$B,rf1_data!BX:BX,"NaN")="","NaN",(_xlfn.XLOOKUP($B81,rf1_data!$B:$B,rf1_data!BX:BX,"NaN")))</f>
        <v>#N/A</v>
      </c>
      <c r="CG81" s="5" t="e">
        <f>IF(_xlfn.XLOOKUP($B81,rf1_data!$B:$B,rf1_data!BY:BY,"NaN")="","NaN",(_xlfn.XLOOKUP($B81,rf1_data!$B:$B,rf1_data!BY:BY,"NaN")))</f>
        <v>#N/A</v>
      </c>
      <c r="CH81" s="5" t="e">
        <f>IF(_xlfn.XLOOKUP($B81,rf1_data!$B:$B,rf1_data!BZ:BZ,"NaN")="","NaN",(_xlfn.XLOOKUP($B81,rf1_data!$B:$B,rf1_data!BZ:BZ,"NaN")))</f>
        <v>#N/A</v>
      </c>
      <c r="CI81" s="5" t="e">
        <f>IF(_xlfn.XLOOKUP($B81,rf1_data!$B:$B,rf1_data!CA:CA,"NaN")="","NaN",(_xlfn.XLOOKUP($B81,rf1_data!$B:$B,rf1_data!CA:CA,"NaN")))</f>
        <v>#N/A</v>
      </c>
      <c r="CJ81" s="5" t="e">
        <f>IF(_xlfn.XLOOKUP($B81,rf1_data!$B:$B,rf1_data!CB:CB,"NaN")="","NaN",(_xlfn.XLOOKUP($B81,rf1_data!$B:$B,rf1_data!CB:CB,"NaN")))</f>
        <v>#N/A</v>
      </c>
      <c r="CK81" s="5" t="e">
        <f>IF(_xlfn.XLOOKUP($B81,rf1_data!$B:$B,rf1_data!CC:CC,"NaN")="","NaN",(_xlfn.XLOOKUP($B81,rf1_data!$B:$B,rf1_data!CC:CC,"NaN")))</f>
        <v>#N/A</v>
      </c>
      <c r="CL81" s="5" t="e">
        <f>IF(_xlfn.XLOOKUP($B81,rf1_data!$B:$B,rf1_data!CD:CD,"NaN")=0,"NaN",(_xlfn.XLOOKUP($B81,rf1_data!$B:$B,rf1_data!CD:CD,"NaN")))</f>
        <v>#N/A</v>
      </c>
      <c r="CM81" s="5" t="e">
        <f>IF(_xlfn.XLOOKUP($B81,rf1_data!$B:$B,rf1_data!CE:CE,"NaN")="","NaN",(_xlfn.XLOOKUP($B81,rf1_data!$B:$B,rf1_data!CE:CE,"NaN")))</f>
        <v>#N/A</v>
      </c>
      <c r="CN81" s="5" t="e">
        <f>IF(_xlfn.XLOOKUP($B81,rf1_data!$B:$B,rf1_data!CF:CF,"NaN")="","NaN",(_xlfn.XLOOKUP($B81,rf1_data!$B:$B,rf1_data!CF:CF,"NaN")))</f>
        <v>#N/A</v>
      </c>
      <c r="CO81" s="5" t="e">
        <f>IF(_xlfn.XLOOKUP($B81,rf1_data!$B:$B,rf1_data!CG:CG,"NaN")="","NaN",(_xlfn.XLOOKUP($B81,rf1_data!$B:$B,rf1_data!CG:CG,"NaN")))</f>
        <v>#N/A</v>
      </c>
      <c r="CP81" s="5" t="e">
        <f>IF(_xlfn.XLOOKUP($B81,rf1_data!$B:$B,rf1_data!CH:CH,"NaN")=0,"NaN",(_xlfn.XLOOKUP($B81,rf1_data!$B:$B,rf1_data!CH:CH,"NaN")))</f>
        <v>#N/A</v>
      </c>
      <c r="CQ81" s="5" t="e">
        <f>IF(_xlfn.XLOOKUP($B81,rf1_data!$B:$B,rf1_data!CI:CI,"NaN")="","NaN",(_xlfn.XLOOKUP($B81,rf1_data!$B:$B,rf1_data!CI:CI,"NaN")))</f>
        <v>#N/A</v>
      </c>
      <c r="CR81" s="5" t="e">
        <f>IF(_xlfn.XLOOKUP($B81,rf1_data!$B:$B,rf1_data!CJ:CJ,"NaN")="","NaN",(_xlfn.XLOOKUP($B81,rf1_data!$B:$B,rf1_data!CJ:CJ,"NaN")))</f>
        <v>#N/A</v>
      </c>
      <c r="CS81" s="5" t="e">
        <f>IF(_xlfn.XLOOKUP($B81,rf1_data!$B:$B,rf1_data!CK:CK,"NaN")="","NaN",(_xlfn.XLOOKUP($B81,rf1_data!$B:$B,rf1_data!CK:CK,"NaN")))</f>
        <v>#N/A</v>
      </c>
      <c r="CT81" s="5" t="e">
        <f>IF(_xlfn.XLOOKUP($B81,rf1_data!$B:$B,rf1_data!CL:CL,"NaN")="","NaN",(_xlfn.XLOOKUP($B81,rf1_data!$B:$B,rf1_data!CL:CL,"NaN")))</f>
        <v>#N/A</v>
      </c>
      <c r="CU81" s="5" t="e">
        <f>IF(_xlfn.XLOOKUP($B81,rf1_data!$B:$B,rf1_data!CM:CM,"NaN")="","NaN",(_xlfn.XLOOKUP($B81,rf1_data!$B:$B,rf1_data!CM:CM,"NaN")))</f>
        <v>#N/A</v>
      </c>
      <c r="CV81" s="5" t="e">
        <f>IF(_xlfn.XLOOKUP($B81,rf1_data!$B:$B,rf1_data!CN:CN,"NaN")="","NaN",(_xlfn.XLOOKUP($B81,rf1_data!$B:$B,rf1_data!CN:CN,"NaN")))</f>
        <v>#N/A</v>
      </c>
      <c r="CW81" s="5" t="e">
        <f>IF(_xlfn.XLOOKUP($B81,rf1_data!$B:$B,rf1_data!CO:CO,"NaN")="","NaN",(_xlfn.XLOOKUP($B81,rf1_data!$B:$B,rf1_data!CO:CO,"NaN")))</f>
        <v>#N/A</v>
      </c>
      <c r="CX81" s="5" t="e">
        <f>IF(_xlfn.XLOOKUP($B81,rf1_data!$B:$B,rf1_data!CP:CP,"NaN")="","NaN",(_xlfn.XLOOKUP($B81,rf1_data!$B:$B,rf1_data!CP:CP,"NaN")))</f>
        <v>#N/A</v>
      </c>
      <c r="CY81" s="5" t="e">
        <f>IF(_xlfn.XLOOKUP($B81,rf1_data!$B:$B,rf1_data!CQ:CQ,"NaN")="","NaN",(_xlfn.XLOOKUP($B81,rf1_data!$B:$B,rf1_data!CQ:CQ,"NaN")))</f>
        <v>#N/A</v>
      </c>
      <c r="CZ81" s="5" t="e">
        <f>IF(_xlfn.XLOOKUP($B81,rf1_data!$B:$B,rf1_data!CR:CR,"NaN")="","NaN",(_xlfn.XLOOKUP($B81,rf1_data!$B:$B,rf1_data!CR:CR,"NaN")))</f>
        <v>#N/A</v>
      </c>
      <c r="DA81" s="5" t="e">
        <f>IF(_xlfn.XLOOKUP($B81,rf1_data!$B:$B,rf1_data!CS:CS,"NaN")="","NaN",(_xlfn.XLOOKUP($B81,rf1_data!$B:$B,rf1_data!CS:CS,"NaN")))</f>
        <v>#N/A</v>
      </c>
      <c r="DB81" s="4" t="e">
        <f>IF(_xlfn.XLOOKUP($B81,island_data!$B:$B,island_data!H:H,"NaN")="","NaN",_xlfn.XLOOKUP($B81,island_data!$B:$B,island_data!H:H,"NaN"))</f>
        <v>#N/A</v>
      </c>
      <c r="DC81" s="4" t="e">
        <f>IF(_xlfn.XLOOKUP($B81,island_data!$B:$B,island_data!I:I,"NaN")="","NaN",_xlfn.XLOOKUP($B81,island_data!$B:$B,island_data!I:I,"NaN"))</f>
        <v>#N/A</v>
      </c>
      <c r="DD81" s="4" t="e">
        <f>IF(_xlfn.XLOOKUP($B81,island_data!$B:$B,island_data!J:J,"NaN")="","NaN",_xlfn.XLOOKUP($B81,island_data!$B:$B,island_data!J:J,"NaN"))</f>
        <v>#N/A</v>
      </c>
      <c r="DE81" s="4" t="e">
        <f>IF(_xlfn.XLOOKUP($B81,island_data!$B:$B,island_data!K:K,"NaN")="","NaN",_xlfn.XLOOKUP($B81,island_data!$B:$B,island_data!K:K,"NaN"))</f>
        <v>#N/A</v>
      </c>
      <c r="DF81" s="4" t="e">
        <f>IF(_xlfn.XLOOKUP($B81,island_data!$B:$B,island_data!L:L,"NaN")="","NaN",_xlfn.XLOOKUP($B81,island_data!$B:$B,island_data!L:L,"NaN"))</f>
        <v>#N/A</v>
      </c>
      <c r="DG81" s="4" t="e">
        <f>IF(_xlfn.XLOOKUP($B81,island_data!$B:$B,island_data!M:M,"NaN")="","NaN",_xlfn.XLOOKUP($B81,island_data!$B:$B,island_data!M:M,"NaN"))</f>
        <v>#N/A</v>
      </c>
      <c r="DH81" s="4" t="e">
        <f>IF(_xlfn.XLOOKUP($B81,island_data!$B:$B,island_data!N:N,"NaN")="","NaN",_xlfn.XLOOKUP($B81,island_data!$B:$B,island_data!N:N,"NaN"))</f>
        <v>#N/A</v>
      </c>
      <c r="DI81" s="4" t="e">
        <f>IF(_xlfn.XLOOKUP($B81,island_data!$B:$B,island_data!O:O,"NaN")=999,"NaN",_xlfn.XLOOKUP($B81,island_data!$B:$B,island_data!O:O,"NaN"))</f>
        <v>#N/A</v>
      </c>
      <c r="DJ81" s="4" t="e">
        <f>IF(_xlfn.XLOOKUP($B81,island_data!$B:$B,island_data!P:P,"NaN")="","NaN",_xlfn.XLOOKUP($B81,island_data!$B:$B,island_data!P:P,"NaN"))</f>
        <v>#N/A</v>
      </c>
      <c r="DK81" s="4" t="e">
        <f>IF(_xlfn.XLOOKUP($B81,island_data!$B:$B,island_data!Q:Q,"NaN")="","NaN",_xlfn.XLOOKUP($B81,island_data!$B:$B,island_data!Q:Q,"NaN"))</f>
        <v>#N/A</v>
      </c>
      <c r="DL81" s="4" t="e">
        <f>IF(_xlfn.XLOOKUP($B81,island_data!$B:$B,island_data!R:R,"NaN")=999,"NaN",_xlfn.XLOOKUP($B81,island_data!$B:$B,island_data!R:R,"NaN"))</f>
        <v>#N/A</v>
      </c>
      <c r="DM81" s="4" t="e">
        <f>IF(_xlfn.XLOOKUP($B81,island_data!$B:$B,island_data!S:S,"NaN")="","NaN",_xlfn.XLOOKUP($B81,island_data!$B:$B,island_data!S:S,"NaN"))</f>
        <v>#N/A</v>
      </c>
      <c r="DN81" s="4" t="e">
        <f>IF(_xlfn.XLOOKUP($B81,island_data!$B:$B,island_data!T:T,"NaN")="","NaN",_xlfn.XLOOKUP($B81,island_data!$B:$B,island_data!T:T,"NaN"))</f>
        <v>#N/A</v>
      </c>
      <c r="DO81" s="4" t="e">
        <f>IF(_xlfn.XLOOKUP($B81,island_data!$B:$B,island_data!U:U,"NaN")="","NaN",_xlfn.XLOOKUP($B81,island_data!$B:$B,island_data!U:U,"NaN"))</f>
        <v>#N/A</v>
      </c>
      <c r="DP81" s="4" t="e">
        <f>IF(_xlfn.XLOOKUP($B81,island_data!$B:$B,island_data!V:V,"NaN")="","NaN",_xlfn.XLOOKUP($B81,island_data!$B:$B,island_data!V:V,"NaN"))</f>
        <v>#N/A</v>
      </c>
      <c r="DQ81" s="4" t="e">
        <f>IF(_xlfn.XLOOKUP($B81,island_data!$B:$B,island_data!W:W,"NaN")="","NaN",_xlfn.XLOOKUP($B81,island_data!$B:$B,island_data!W:W,"NaN"))</f>
        <v>#N/A</v>
      </c>
      <c r="DR81" s="4" t="e">
        <f>IF(_xlfn.XLOOKUP($B81,island_data!$B:$B,island_data!X:X,"NaN")="","NaN",_xlfn.XLOOKUP($B81,island_data!$B:$B,island_data!X:X,"NaN"))</f>
        <v>#N/A</v>
      </c>
      <c r="DS81" s="4" t="e">
        <f>IF(_xlfn.XLOOKUP($B81,island_data!$B:$B,island_data!Y:Y,"NaN")="","NaN",_xlfn.XLOOKUP($B81,island_data!$B:$B,island_data!Y:Y,"NaN"))</f>
        <v>#N/A</v>
      </c>
      <c r="DT81" s="4" t="e">
        <f>IF(_xlfn.XLOOKUP($B81,island_data!$B:$B,island_data!Z:Z,"NaN")="","NaN",_xlfn.XLOOKUP($B81,island_data!$B:$B,island_data!Z:Z,"NaN"))</f>
        <v>#N/A</v>
      </c>
      <c r="DU81" s="4" t="e">
        <f>IF(_xlfn.XLOOKUP($B81,island_data!$B:$B,island_data!AA:AA,"NaN")="","NaN",_xlfn.XLOOKUP($B81,island_data!$B:$B,island_data!AA:AA,"NaN"))</f>
        <v>#N/A</v>
      </c>
      <c r="DV81" s="4" t="e">
        <f>IF(_xlfn.XLOOKUP($B81,island_data!$B:$B,island_data!AB:AB,"NaN")="","NaN",_xlfn.XLOOKUP($B81,island_data!$B:$B,island_data!AB:AB,"NaN"))</f>
        <v>#N/A</v>
      </c>
      <c r="DW81" s="4" t="e">
        <f>IF(_xlfn.XLOOKUP($B81,island_data!$B:$B,island_data!AC:AC,"NaN")="","NaN",_xlfn.XLOOKUP($B81,island_data!$B:$B,island_data!AC:AC,"NaN"))</f>
        <v>#N/A</v>
      </c>
      <c r="DX81" s="4" t="e">
        <f>IF(_xlfn.XLOOKUP($B81,island_data!$B:$B,island_data!AD:AD,"NaN")="","NaN",_xlfn.XLOOKUP($B81,island_data!$B:$B,island_data!AD:AD,"NaN"))</f>
        <v>#N/A</v>
      </c>
      <c r="DY81" s="4" t="e">
        <f>IF(_xlfn.XLOOKUP($B81,island_data!$B:$B,island_data!AE:AE,"NaN")="","NaN",_xlfn.XLOOKUP($B81,island_data!$B:$B,island_data!AE:AE,"NaN"))</f>
        <v>#N/A</v>
      </c>
      <c r="DZ81" s="4" t="e">
        <f>IF(_xlfn.XLOOKUP($B81,island_data!$B:$B,island_data!AF:AF,"NaN")="","NaN",_xlfn.XLOOKUP($B81,island_data!$B:$B,island_data!AF:AF,"NaN"))</f>
        <v>#N/A</v>
      </c>
      <c r="EA81" s="4" t="e">
        <f>IF(_xlfn.XLOOKUP($B81,island_data!$B:$B,island_data!AG:AG,"NaN")="","NaN",_xlfn.XLOOKUP($B81,island_data!$B:$B,island_data!AG:AG,"NaN"))</f>
        <v>#N/A</v>
      </c>
      <c r="EB81" s="4" t="e">
        <f>IF(_xlfn.XLOOKUP($B81,island_data!$B:$B,island_data!AH:AH,"NaN")="","NaN",_xlfn.XLOOKUP($B81,island_data!$B:$B,island_data!AH:AH,"NaN"))</f>
        <v>#N/A</v>
      </c>
      <c r="EC81" s="4" t="e">
        <f>IF(_xlfn.XLOOKUP($B81,island_data!$B:$B,island_data!AI:AI,"NaN")="","NaN",_xlfn.XLOOKUP($B81,island_data!$B:$B,island_data!AI:AI,"NaN"))</f>
        <v>#N/A</v>
      </c>
      <c r="ED81" s="4" t="e">
        <f>IF(_xlfn.XLOOKUP($B81,island_data!$B:$B,island_data!AJ:AJ,"NaN")="","NaN",_xlfn.XLOOKUP($B81,island_data!$B:$B,island_data!AJ:AJ,"NaN"))</f>
        <v>#N/A</v>
      </c>
      <c r="EE81" s="4" t="e">
        <f>IF(_xlfn.XLOOKUP($B81,island_data!$B:$B,island_data!AK:AK,"NaN")="","NaN",_xlfn.XLOOKUP($B81,island_data!$B:$B,island_data!AK:AK,"NaN"))</f>
        <v>#N/A</v>
      </c>
      <c r="EF81" s="4" t="e">
        <f>IF(_xlfn.XLOOKUP($B81,island_data!$B:$B,island_data!AL:AL,"NaN")="","NaN",_xlfn.XLOOKUP($B81,island_data!$B:$B,island_data!AL:AL,"NaN"))</f>
        <v>#N/A</v>
      </c>
      <c r="EG81" s="4" t="e">
        <f>IF(_xlfn.XLOOKUP($B81,island_data!$B:$B,island_data!AM:AM,"NaN")="","NaN",_xlfn.XLOOKUP($B81,island_data!$B:$B,island_data!AM:AM,"NaN"))</f>
        <v>#N/A</v>
      </c>
      <c r="EH81" s="4" t="e">
        <f>IF(_xlfn.XLOOKUP($B81,island_data!$B:$B,island_data!AN:AN,"NaN")="","NaN",_xlfn.XLOOKUP($B81,island_data!$B:$B,island_data!AN:AN,"NaN"))</f>
        <v>#N/A</v>
      </c>
      <c r="EI81" s="4" t="e">
        <f>IF(_xlfn.XLOOKUP($B81,island_data!$B:$B,island_data!AO:AO,"NaN")="","NaN",_xlfn.XLOOKUP($B81,island_data!$B:$B,island_data!AO:AO,"NaN"))</f>
        <v>#N/A</v>
      </c>
      <c r="EJ81" s="8" t="str">
        <f>IF(_xlfn.XLOOKUP($A81,TabCAT!$A:$A,TabCAT!AU:AU,"NaN")="","NaN",(_xlfn.XLOOKUP($A81,TabCAT!$A:$A,TabCAT!AU:AU,"NaN")))</f>
        <v>NaN</v>
      </c>
      <c r="EK81" s="8" t="str">
        <f>IF(_xlfn.XLOOKUP($A81,TabCAT!$A:$A,TabCAT!AV:AV,"NaN")="","NaN",(_xlfn.XLOOKUP($A81,TabCAT!$A:$A,TabCAT!AV:AV,"NaN")))</f>
        <v>NaN</v>
      </c>
      <c r="EL81" s="8" t="str">
        <f>IF(_xlfn.XLOOKUP($A81,TabCAT!$A:$A,TabCAT!AW:AW,"NaN")="","NaN",(_xlfn.XLOOKUP($A81,TabCAT!$A:$A,TabCAT!AW:AW,"NaN")))</f>
        <v>NaN</v>
      </c>
      <c r="EM81" s="8" t="str">
        <f>IF(_xlfn.XLOOKUP($A81,TabCAT!$A:$A,TabCAT!AX:AX,"NaN")="","NaN",(_xlfn.XLOOKUP($A81,TabCAT!$A:$A,TabCAT!AX:AX,"NaN")))</f>
        <v>NaN</v>
      </c>
      <c r="EN81" s="8" t="str">
        <f>IF(_xlfn.XLOOKUP($A81,TabCAT!$A:$A,TabCAT!AY:AY,"NaN")="","NaN",(_xlfn.XLOOKUP($A81,TabCAT!$A:$A,TabCAT!AY:AY,"NaN")))</f>
        <v>NaN</v>
      </c>
      <c r="EO81" s="8" t="str">
        <f>IF(_xlfn.XLOOKUP($A81,TabCAT!$A:$A,TabCAT!AZ:AZ,"NaN")="","NaN",(_xlfn.XLOOKUP($A81,TabCAT!$A:$A,TabCAT!AZ:AZ,"NaN")))</f>
        <v>NaN</v>
      </c>
      <c r="EP81" s="8" t="str">
        <f>IF(_xlfn.XLOOKUP($A81,TabCAT!$A:$A,TabCAT!BA:BA,"NaN")="","NaN",(_xlfn.XLOOKUP($A81,TabCAT!$A:$A,TabCAT!BA:BA,"NaN")))</f>
        <v>NaN</v>
      </c>
      <c r="EQ81" s="8" t="str">
        <f>IF(_xlfn.XLOOKUP($A81,TabCAT!$A:$A,TabCAT!BB:BB,"NaN")="","NaN",(_xlfn.XLOOKUP($A81,TabCAT!$A:$A,TabCAT!BB:BB,"NaN")))</f>
        <v>NaN</v>
      </c>
      <c r="ER81" s="8" t="str">
        <f>IF(_xlfn.XLOOKUP($A81,TabCAT!$A:$A,TabCAT!BC:BC,"NaN")="","NaN",(_xlfn.XLOOKUP($A81,TabCAT!$A:$A,TabCAT!BC:BC,"NaN")))</f>
        <v>NaN</v>
      </c>
      <c r="ES81" s="8" t="str">
        <f>IF(_xlfn.XLOOKUP($A81,TabCAT!$A:$A,TabCAT!BD:BD,"NaN")="","NaN",(_xlfn.XLOOKUP($A81,TabCAT!$A:$A,TabCAT!BD:BD,"NaN")))</f>
        <v>NaN</v>
      </c>
      <c r="ET81" s="8" t="str">
        <f>IF(_xlfn.XLOOKUP($A81,TabCAT!$A:$A,TabCAT!BE:BE,"NaN")="","NaN",(_xlfn.XLOOKUP($A81,TabCAT!$A:$A,TabCAT!BE:BE,"NaN")))</f>
        <v>NaN</v>
      </c>
      <c r="EU81" s="8" t="str">
        <f>IF(_xlfn.XLOOKUP($A81,TabCAT!$A:$A,TabCAT!BF:BF,"NaN")="","NaN",(_xlfn.XLOOKUP($A81,TabCAT!$A:$A,TabCAT!BF:BF,"NaN")))</f>
        <v>NaN</v>
      </c>
      <c r="EV81" s="8" t="str">
        <f>IF(_xlfn.XLOOKUP($A81,TabCAT!$A:$A,TabCAT!BG:BG,"NaN")="","NaN",(_xlfn.XLOOKUP($A81,TabCAT!$A:$A,TabCAT!BG:BG,"NaN")))</f>
        <v>NaN</v>
      </c>
      <c r="EW81" s="8" t="str">
        <f>IF(_xlfn.XLOOKUP($A81,TabCAT!$A:$A,TabCAT!BH:BH,"NaN")="","NaN",(_xlfn.XLOOKUP($A81,TabCAT!$A:$A,TabCAT!BH:BH,"NaN")))</f>
        <v>NaN</v>
      </c>
      <c r="EX81" s="8" t="str">
        <f>IF(_xlfn.XLOOKUP($A81,TabCAT!$A:$A,TabCAT!BI:BI,"NaN")="","NaN",(_xlfn.XLOOKUP($A81,TabCAT!$A:$A,TabCAT!BI:BI,"NaN")))</f>
        <v>NaN</v>
      </c>
      <c r="EY81" s="8" t="str">
        <f>IF(_xlfn.XLOOKUP($A81,TabCAT!$A:$A,TabCAT!BJ:BJ,"NaN")="","NaN",(_xlfn.XLOOKUP($A81,TabCAT!$A:$A,TabCAT!BJ:BJ,"NaN")))</f>
        <v>NaN</v>
      </c>
      <c r="EZ81" s="8" t="str">
        <f>IF(_xlfn.XLOOKUP($A81,TabCAT!$A:$A,TabCAT!BK:BK,"NaN")="","NaN",(_xlfn.XLOOKUP($A81,TabCAT!$A:$A,TabCAT!BK:BK,"NaN")))</f>
        <v>NaN</v>
      </c>
      <c r="FA81" s="8" t="str">
        <f>IF(_xlfn.XLOOKUP($A81,TabCAT!$A:$A,TabCAT!BL:BL,"NaN")="","NaN",(_xlfn.XLOOKUP($A81,TabCAT!$A:$A,TabCAT!BL:BL,"NaN")))</f>
        <v>NaN</v>
      </c>
      <c r="FB81" s="8" t="str">
        <f>IF(_xlfn.XLOOKUP($A81,TabCAT!$A:$A,TabCAT!BM:BM,"NaN")="","NaN",(_xlfn.XLOOKUP($A81,TabCAT!$A:$A,TabCAT!BM:BM,"NaN")))</f>
        <v>NaN</v>
      </c>
      <c r="FC81" s="8" t="str">
        <f>IF(_xlfn.XLOOKUP($A81,TabCAT!$A:$A,TabCAT!BN:BN,"NaN")="","NaN",(_xlfn.XLOOKUP($A81,TabCAT!$A:$A,TabCAT!BN:BN,"NaN")))</f>
        <v>NaN</v>
      </c>
      <c r="FD81" s="8" t="str">
        <f>IF(_xlfn.XLOOKUP($A81,TabCAT!$A:$A,TabCAT!BO:BO,"NaN")="","NaN",(_xlfn.XLOOKUP($A81,TabCAT!$A:$A,TabCAT!BO:BO,"NaN")))</f>
        <v>NaN</v>
      </c>
      <c r="FE81" s="8" t="str">
        <f>IF(_xlfn.XLOOKUP($A81,TabCAT!$A:$A,TabCAT!BP:BP,"NaN")="","NaN",(_xlfn.XLOOKUP($A81,TabCAT!$A:$A,TabCAT!BP:BP,"NaN")))</f>
        <v>NaN</v>
      </c>
      <c r="FF81" s="8" t="str">
        <f>IF(_xlfn.XLOOKUP($A81,TabCAT!$A:$A,TabCAT!BQ:BQ,"NaN")="","NaN",(_xlfn.XLOOKUP($A81,TabCAT!$A:$A,TabCAT!BQ:BQ,"NaN")))</f>
        <v>NaN</v>
      </c>
      <c r="FG81" s="8" t="str">
        <f>IF(_xlfn.XLOOKUP($A81,TabCAT!$A:$A,TabCAT!BR:BR,"NaN")="","NaN",(_xlfn.XLOOKUP($A81,TabCAT!$A:$A,TabCAT!BR:BR,"NaN")))</f>
        <v>NaN</v>
      </c>
      <c r="FH81" s="8" t="str">
        <f>IF(_xlfn.XLOOKUP($A81,TabCAT!$A:$A,TabCAT!BS:BS,"NaN")="","NaN",(_xlfn.XLOOKUP($A81,TabCAT!$A:$A,TabCAT!BS:BS,"NaN")))</f>
        <v>NaN</v>
      </c>
      <c r="FI81" s="8" t="str">
        <f>IF(_xlfn.XLOOKUP($A81,TabCAT!$A:$A,TabCAT!BT:BT,"NaN")="","NaN",(_xlfn.XLOOKUP($A81,TabCAT!$A:$A,TabCAT!BT:BT,"NaN")))</f>
        <v>NaN</v>
      </c>
      <c r="FJ81" s="8" t="str">
        <f>IF(_xlfn.XLOOKUP($A81,TabCAT!$A:$A,TabCAT!BU:BU,"NaN")="","NaN",(_xlfn.XLOOKUP($A81,TabCAT!$A:$A,TabCAT!BU:BU,"NaN")))</f>
        <v>NaN</v>
      </c>
      <c r="FK81" s="8" t="str">
        <f>IF(_xlfn.XLOOKUP($A81,TabCAT!$A:$A,TabCAT!BV:BV,"NaN")="","NaN",(_xlfn.XLOOKUP($A81,TabCAT!$A:$A,TabCAT!BV:BV,"NaN")))</f>
        <v>NaN</v>
      </c>
      <c r="FL81" s="8" t="str">
        <f>IF(_xlfn.XLOOKUP($A81,TabCAT!$A:$A,TabCAT!BW:BW,"NaN")="","NaN",(_xlfn.XLOOKUP($A81,TabCAT!$A:$A,TabCAT!BW:BW,"NaN")))</f>
        <v>NaN</v>
      </c>
      <c r="FM81" s="8" t="str">
        <f>IF(_xlfn.XLOOKUP($A81,TabCAT!$A:$A,TabCAT!BX:BX,"NaN")="","NaN",(_xlfn.XLOOKUP($A81,TabCAT!$A:$A,TabCAT!BX:BX,"NaN")))</f>
        <v>NaN</v>
      </c>
      <c r="FN81" s="8" t="str">
        <f>IF(_xlfn.XLOOKUP($A81,TabCAT!$A:$A,TabCAT!BY:BY,"NaN")="","NaN",(_xlfn.XLOOKUP($A81,TabCAT!$A:$A,TabCAT!BY:BY,"NaN")))</f>
        <v>NaN</v>
      </c>
      <c r="FO81" s="8" t="str">
        <f>IF(_xlfn.XLOOKUP($A81,TabCAT!$A:$A,TabCAT!BZ:BZ,"NaN")="","NaN",(_xlfn.XLOOKUP($A81,TabCAT!$A:$A,TabCAT!BZ:BZ,"NaN")))</f>
        <v>NaN</v>
      </c>
      <c r="FP81" s="8" t="str">
        <f>IF(_xlfn.XLOOKUP($A81,TabCAT!$A:$A,TabCAT!CA:CA,"NaN")="","NaN",(_xlfn.XLOOKUP($A81,TabCAT!$A:$A,TabCAT!CA:CA,"NaN")))</f>
        <v>NaN</v>
      </c>
      <c r="FQ81" s="8" t="str">
        <f>IF(_xlfn.XLOOKUP($A81,TabCAT!$A:$A,TabCAT!CB:CB,"NaN")="","NaN",(_xlfn.XLOOKUP($A81,TabCAT!$A:$A,TabCAT!CB:CB,"NaN")))</f>
        <v>NaN</v>
      </c>
      <c r="FR81" s="8" t="str">
        <f>IF(_xlfn.XLOOKUP($A81,TabCAT!$A:$A,TabCAT!CC:CC,"NaN")="","NaN",(_xlfn.XLOOKUP($A81,TabCAT!$A:$A,TabCAT!CC:CC,"NaN")))</f>
        <v>NaN</v>
      </c>
      <c r="FS81" s="8" t="str">
        <f>IF(_xlfn.XLOOKUP($A81,TabCAT!$A:$A,TabCAT!CD:CD,"NaN")="","NaN",(_xlfn.XLOOKUP($A81,TabCAT!$A:$A,TabCAT!CD:CD,"NaN")))</f>
        <v>NaN</v>
      </c>
      <c r="FT81" s="8" t="str">
        <f>IF(_xlfn.XLOOKUP($A81,TabCAT!$A:$A,TabCAT!CE:CE,"NaN")="","NaN",(_xlfn.XLOOKUP($A81,TabCAT!$A:$A,TabCAT!CE:CE,"NaN")))</f>
        <v>NaN</v>
      </c>
      <c r="FU81" s="8" t="str">
        <f>IF(_xlfn.XLOOKUP($A81,TabCAT!$A:$A,TabCAT!CF:CF,"NaN")="","NaN",(_xlfn.XLOOKUP($A81,TabCAT!$A:$A,TabCAT!CF:CF,"NaN")))</f>
        <v>NaN</v>
      </c>
      <c r="FV81" s="8" t="str">
        <f>IF(_xlfn.XLOOKUP($A81,TabCAT!$A:$A,TabCAT!CG:CG,"NaN")="","NaN",(_xlfn.XLOOKUP($A81,TabCAT!$A:$A,TabCAT!CG:CG,"NaN")))</f>
        <v>NaN</v>
      </c>
      <c r="FW81" s="8" t="str">
        <f>IF(_xlfn.XLOOKUP($A81,TabCAT!$A:$A,TabCAT!CH:CH,"NaN")="","NaN",(_xlfn.XLOOKUP($A81,TabCAT!$A:$A,TabCAT!CH:CH,"NaN")))</f>
        <v>NaN</v>
      </c>
      <c r="FX81" s="8" t="str">
        <f>IF(_xlfn.XLOOKUP($A81,TabCAT!$A:$A,TabCAT!CI:CI,"NaN")="","NaN",(_xlfn.XLOOKUP($A81,TabCAT!$A:$A,TabCAT!CI:CI,"NaN")))</f>
        <v>NaN</v>
      </c>
      <c r="FY81" s="8" t="str">
        <f>IF(_xlfn.XLOOKUP($A81,TabCAT!$A:$A,TabCAT!CJ:CJ,"NaN")="","NaN",(_xlfn.XLOOKUP($A81,TabCAT!$A:$A,TabCAT!CJ:CJ,"NaN")))</f>
        <v>NaN</v>
      </c>
      <c r="FZ81" s="8" t="str">
        <f>IF(_xlfn.XLOOKUP($A81,TabCAT!$A:$A,TabCAT!CK:CK,"NaN")="","NaN",(_xlfn.XLOOKUP($A81,TabCAT!$A:$A,TabCAT!CK:CK,"NaN")))</f>
        <v>NaN</v>
      </c>
      <c r="GA81" s="8" t="str">
        <f>IF(_xlfn.XLOOKUP($A81,TabCAT!$A:$A,TabCAT!CL:CL,"NaN")="","NaN",(_xlfn.XLOOKUP($A81,TabCAT!$A:$A,TabCAT!CL:CL,"NaN")))</f>
        <v>NaN</v>
      </c>
      <c r="GB81" s="8" t="str">
        <f>IF(_xlfn.XLOOKUP($A81,TabCAT!$A:$A,TabCAT!CM:CM,"NaN")="","NaN",(_xlfn.XLOOKUP($A81,TabCAT!$A:$A,TabCAT!CM:CM,"NaN")))</f>
        <v>NaN</v>
      </c>
      <c r="GC81" s="8" t="str">
        <f>IF(_xlfn.XLOOKUP($A81,TabCAT!$A:$A,TabCAT!CN:CN,"NaN")="","NaN",(_xlfn.XLOOKUP($A81,TabCAT!$A:$A,TabCAT!CN:CN,"NaN")))</f>
        <v>NaN</v>
      </c>
      <c r="GD81" s="8" t="str">
        <f>IF(_xlfn.XLOOKUP($A81,TabCAT!$A:$A,TabCAT!CO:CO,"NaN")="","NaN",(_xlfn.XLOOKUP($A81,TabCAT!$A:$A,TabCAT!CO:CO,"NaN")))</f>
        <v>NaN</v>
      </c>
      <c r="GE81" s="8" t="str">
        <f>IF(_xlfn.XLOOKUP($A81,TabCAT!$A:$A,TabCAT!CP:CP,"NaN")="","NaN",(_xlfn.XLOOKUP($A81,TabCAT!$A:$A,TabCAT!CP:CP,"NaN")))</f>
        <v>NaN</v>
      </c>
      <c r="GF81" s="8" t="str">
        <f>IF(_xlfn.XLOOKUP($A81,TabCAT!$A:$A,TabCAT!CQ:CQ,"NaN")="","NaN",(_xlfn.XLOOKUP($A81,TabCAT!$A:$A,TabCAT!CQ:CQ,"NaN")))</f>
        <v>NaN</v>
      </c>
      <c r="GG81" s="8" t="str">
        <f>IF(_xlfn.XLOOKUP($A81,TabCAT!$A:$A,TabCAT!CR:CR,"NaN")="","NaN",(_xlfn.XLOOKUP($A81,TabCAT!$A:$A,TabCAT!CR:CR,"NaN")))</f>
        <v>NaN</v>
      </c>
      <c r="GH81" s="8" t="str">
        <f>IF(_xlfn.XLOOKUP($A81,TabCAT!$A:$A,TabCAT!CS:CS,"NaN")="","NaN",(_xlfn.XLOOKUP($A81,TabCAT!$A:$A,TabCAT!CS:CS,"NaN")))</f>
        <v>NaN</v>
      </c>
    </row>
    <row r="82" spans="1:190" x14ac:dyDescent="0.2">
      <c r="A82">
        <f>trust!A82</f>
        <v>0</v>
      </c>
      <c r="B82" t="e">
        <f>_xlfn.XLOOKUP(bippity_poppity_boo!A82,rf1_data!A:A,rf1_data!B:B)</f>
        <v>#N/A</v>
      </c>
      <c r="C82" s="2" t="str">
        <f>(_xlfn.XLOOKUP($A82,trust!$A:$A,trust!B:B,"NaN"))</f>
        <v>NaN</v>
      </c>
      <c r="D82" s="2" t="str">
        <f>(_xlfn.XLOOKUP($A82,trust!$A:$A,trust!C:C,"NaN"))</f>
        <v>NaN</v>
      </c>
      <c r="E82" s="2" t="str">
        <f>(_xlfn.XLOOKUP($A82,trust!$A:$A,trust!D:D,"NaN"))</f>
        <v>NaN</v>
      </c>
      <c r="F82" s="2" t="str">
        <f>(_xlfn.XLOOKUP($A82,trust!$A:$A,trust!E:E,"NaN"))</f>
        <v>NaN</v>
      </c>
      <c r="G82" s="2" t="str">
        <f>(_xlfn.XLOOKUP($A82,trust!$A:$A,trust!F:F,"NaN"))</f>
        <v>NaN</v>
      </c>
      <c r="H82" s="2" t="str">
        <f>(_xlfn.XLOOKUP($A82,trust!$A:$A,trust!G:G,"NaN"))</f>
        <v>NaN</v>
      </c>
      <c r="I82" s="3" t="e">
        <f>IF(_xlfn.XLOOKUP($B82,island_data!$B:$B,island_data!C:C,"NaN")="","NaN",_xlfn.XLOOKUP($B82,island_data!$B:$B,island_data!C:C,"NaN"))</f>
        <v>#N/A</v>
      </c>
      <c r="J82" s="3" t="e">
        <f>IF(_xlfn.XLOOKUP($B82,island_data!$B:$B,island_data!D:D,"NaN")="","NaN",_xlfn.XLOOKUP($B82,island_data!$B:$B,island_data!D:D,"NaN"))</f>
        <v>#N/A</v>
      </c>
      <c r="K82" s="4" t="e">
        <f>IF(_xlfn.XLOOKUP($B82,island_data!$B:$B,island_data!E:E,"NaN")="","NaN",_xlfn.XLOOKUP($B82,island_data!$B:$B,island_data!E:E,"NaN"))</f>
        <v>#N/A</v>
      </c>
      <c r="L82" s="5" t="e">
        <f>IF(_xlfn.XLOOKUP($B82,rf1_data!$B:$B,rf1_data!D:D,"NaN")="","NaN",(_xlfn.XLOOKUP($B82,rf1_data!$B:$B,rf1_data!D:D,"NaN")))</f>
        <v>#N/A</v>
      </c>
      <c r="M82" s="5" t="e">
        <f>IF(_xlfn.XLOOKUP($B82,rf1_data!$B:$B,rf1_data!E:E,"NaN")="","NaN",(_xlfn.XLOOKUP($B82,rf1_data!$B:$B,rf1_data!E:E,"NaN")))</f>
        <v>#N/A</v>
      </c>
      <c r="N82" s="5" t="e">
        <f>IF(_xlfn.XLOOKUP($B82,rf1_data!$B:$B,rf1_data!F:F,"NaN")="","NaN",(_xlfn.XLOOKUP($B82,rf1_data!$B:$B,rf1_data!F:F,"NaN")))</f>
        <v>#N/A</v>
      </c>
      <c r="O82" s="5" t="e">
        <f>IF(_xlfn.XLOOKUP($B82,rf1_data!$B:$B,rf1_data!G:G,"NaN")="","NaN",(_xlfn.XLOOKUP($B82,rf1_data!$B:$B,rf1_data!G:G,"NaN")))</f>
        <v>#N/A</v>
      </c>
      <c r="P82" s="5" t="e">
        <f>IF(_xlfn.XLOOKUP($B82,rf1_data!$B:$B,rf1_data!H:H,"NaN")="","NaN",(_xlfn.XLOOKUP($B82,rf1_data!$B:$B,rf1_data!H:H,"NaN")))</f>
        <v>#N/A</v>
      </c>
      <c r="Q82" s="5" t="e">
        <f>IF(_xlfn.XLOOKUP($B82,rf1_data!$B:$B,rf1_data!I:I,"NaN")="","NaN",(_xlfn.XLOOKUP($B82,rf1_data!$B:$B,rf1_data!I:I,"NaN")))</f>
        <v>#N/A</v>
      </c>
      <c r="R82" s="5" t="e">
        <f>IF(_xlfn.XLOOKUP($B82,rf1_data!$B:$B,rf1_data!J:J,"NaN")="","NaN",(_xlfn.XLOOKUP($B82,rf1_data!$B:$B,rf1_data!J:J,"NaN")))</f>
        <v>#N/A</v>
      </c>
      <c r="S82" s="5" t="e">
        <f>IF(_xlfn.XLOOKUP($B82,rf1_data!$B:$B,rf1_data!K:K,"NaN")="","NaN",(_xlfn.XLOOKUP($B82,rf1_data!$B:$B,rf1_data!K:K,"NaN")))</f>
        <v>#N/A</v>
      </c>
      <c r="T82" s="5" t="e">
        <f>IF(_xlfn.XLOOKUP($B82,rf1_data!$B:$B,rf1_data!L:L,"NaN")="","NaN",(_xlfn.XLOOKUP($B82,rf1_data!$B:$B,rf1_data!L:L,"NaN")))</f>
        <v>#N/A</v>
      </c>
      <c r="U82" s="5" t="e">
        <f>IF(_xlfn.XLOOKUP($B82,rf1_data!$B:$B,rf1_data!M:M,"NaN")="","NaN",(_xlfn.XLOOKUP($B82,rf1_data!$B:$B,rf1_data!M:M,"NaN")))</f>
        <v>#N/A</v>
      </c>
      <c r="V82" s="5" t="e">
        <f>IF(_xlfn.XLOOKUP($B82,rf1_data!$B:$B,rf1_data!N:N,"NaN")="","NaN",(_xlfn.XLOOKUP($B82,rf1_data!$B:$B,rf1_data!N:N,"NaN")))</f>
        <v>#N/A</v>
      </c>
      <c r="W82" s="5" t="e">
        <f>IF(_xlfn.XLOOKUP($B82,rf1_data!$B:$B,rf1_data!O:O,"NaN")="","NaN",(_xlfn.XLOOKUP($B82,rf1_data!$B:$B,rf1_data!O:O,"NaN")))</f>
        <v>#N/A</v>
      </c>
      <c r="X82" s="5" t="e">
        <f>IF(_xlfn.XLOOKUP($B82,rf1_data!$B:$B,rf1_data!P:P,"NaN")="","NaN",(_xlfn.XLOOKUP($B82,rf1_data!$B:$B,rf1_data!P:P,"NaN")))</f>
        <v>#N/A</v>
      </c>
      <c r="Y82" s="5" t="e">
        <f>IF(_xlfn.XLOOKUP($B82,rf1_data!$B:$B,rf1_data!Q:Q,"NaN")="","NaN",(_xlfn.XLOOKUP($B82,rf1_data!$B:$B,rf1_data!Q:Q,"NaN")))</f>
        <v>#N/A</v>
      </c>
      <c r="Z82" s="5" t="e">
        <f>IF(_xlfn.XLOOKUP($B82,rf1_data!$B:$B,rf1_data!R:R,"NaN")="","NaN",(_xlfn.XLOOKUP($B82,rf1_data!$B:$B,rf1_data!R:R,"NaN")))</f>
        <v>#N/A</v>
      </c>
      <c r="AA82" s="5" t="e">
        <f>IF(_xlfn.XLOOKUP($B82,rf1_data!$B:$B,rf1_data!S:S,"NaN")="","NaN",(_xlfn.XLOOKUP($B82,rf1_data!$B:$B,rf1_data!S:S,"NaN")))</f>
        <v>#N/A</v>
      </c>
      <c r="AB82" s="5" t="e">
        <f>IF(_xlfn.XLOOKUP($B82,rf1_data!$B:$B,rf1_data!T:T,"NaN")="","NaN",(_xlfn.XLOOKUP($B82,rf1_data!$B:$B,rf1_data!T:T,"NaN")))</f>
        <v>#N/A</v>
      </c>
      <c r="AC82" s="5" t="e">
        <f>IF(_xlfn.XLOOKUP($B82,rf1_data!$B:$B,rf1_data!U:U,"NaN")="","NaN",(_xlfn.XLOOKUP($B82,rf1_data!$B:$B,rf1_data!U:U,"NaN")))</f>
        <v>#N/A</v>
      </c>
      <c r="AD82" s="5" t="e">
        <f>IF(_xlfn.XLOOKUP($B82,rf1_data!$B:$B,rf1_data!V:V,"NaN")="","NaN",(_xlfn.XLOOKUP($B82,rf1_data!$B:$B,rf1_data!V:V,"NaN")))</f>
        <v>#N/A</v>
      </c>
      <c r="AE82" s="5" t="e">
        <f>IF(_xlfn.XLOOKUP($B82,rf1_data!$B:$B,rf1_data!W:W,"NaN")="","NaN",(_xlfn.XLOOKUP($B82,rf1_data!$B:$B,rf1_data!W:W,"NaN")))</f>
        <v>#N/A</v>
      </c>
      <c r="AF82" s="5" t="e">
        <f>IF(_xlfn.XLOOKUP($B82,rf1_data!$B:$B,rf1_data!X:X,"NaN")="","NaN",(_xlfn.XLOOKUP($B82,rf1_data!$B:$B,rf1_data!X:X,"NaN")))</f>
        <v>#N/A</v>
      </c>
      <c r="AG82" s="5" t="e">
        <f>IF(_xlfn.XLOOKUP($B82,rf1_data!$B:$B,rf1_data!Y:Y,"NaN")="","NaN",(_xlfn.XLOOKUP($B82,rf1_data!$B:$B,rf1_data!Y:Y,"NaN")))</f>
        <v>#N/A</v>
      </c>
      <c r="AH82" s="5" t="e">
        <f>IF(_xlfn.XLOOKUP($B82,rf1_data!$B:$B,rf1_data!Z:Z,"NaN")="","NaN",(_xlfn.XLOOKUP($B82,rf1_data!$B:$B,rf1_data!Z:Z,"NaN")))</f>
        <v>#N/A</v>
      </c>
      <c r="AI82" s="5" t="e">
        <f>IF(_xlfn.XLOOKUP($B82,rf1_data!$B:$B,rf1_data!AA:AA,"NaN")="","NaN",(_xlfn.XLOOKUP($B82,rf1_data!$B:$B,rf1_data!AA:AA,"NaN")))</f>
        <v>#N/A</v>
      </c>
      <c r="AJ82" s="5" t="e">
        <f>IF(_xlfn.XLOOKUP($B82,rf1_data!$B:$B,rf1_data!AB:AB,"NaN")="","NaN",(_xlfn.XLOOKUP($B82,rf1_data!$B:$B,rf1_data!AB:AB,"NaN")))</f>
        <v>#N/A</v>
      </c>
      <c r="AK82" s="5" t="e">
        <f>IF(_xlfn.XLOOKUP($B82,rf1_data!$B:$B,rf1_data!AC:AC,"NaN")="","NaN",(_xlfn.XLOOKUP($B82,rf1_data!$B:$B,rf1_data!AC:AC,"NaN")))</f>
        <v>#N/A</v>
      </c>
      <c r="AL82" s="5" t="e">
        <f>IF(_xlfn.XLOOKUP($B82,rf1_data!$B:$B,rf1_data!AD:AD,"NaN")="","NaN",(_xlfn.XLOOKUP($B82,rf1_data!$B:$B,rf1_data!AD:AD,"NaN")))</f>
        <v>#N/A</v>
      </c>
      <c r="AM82" s="5" t="e">
        <f>IF(_xlfn.XLOOKUP($B82,rf1_data!$B:$B,rf1_data!AE:AE,"NaN")="","NaN",(_xlfn.XLOOKUP($B82,rf1_data!$B:$B,rf1_data!AE:AE,"NaN")))</f>
        <v>#N/A</v>
      </c>
      <c r="AN82" s="5" t="e">
        <f>IF(_xlfn.XLOOKUP($B82,rf1_data!$B:$B,rf1_data!AF:AF,"NaN")="","NaN",(_xlfn.XLOOKUP($B82,rf1_data!$B:$B,rf1_data!AF:AF,"NaN")))</f>
        <v>#N/A</v>
      </c>
      <c r="AO82" s="5" t="e">
        <f>IF(_xlfn.XLOOKUP($B82,rf1_data!$B:$B,rf1_data!AG:AG,"NaN")="","NaN",(_xlfn.XLOOKUP($B82,rf1_data!$B:$B,rf1_data!AG:AG,"NaN")))</f>
        <v>#N/A</v>
      </c>
      <c r="AP82" s="5" t="e">
        <f>IF(_xlfn.XLOOKUP($B82,rf1_data!$B:$B,rf1_data!AH:AH,"NaN")="","NaN",(_xlfn.XLOOKUP($B82,rf1_data!$B:$B,rf1_data!AH:AH,"NaN")))</f>
        <v>#N/A</v>
      </c>
      <c r="AQ82" s="5" t="e">
        <f>IF(_xlfn.XLOOKUP($B82,rf1_data!$B:$B,rf1_data!AI:AI,"NaN")="","NaN",(_xlfn.XLOOKUP($B82,rf1_data!$B:$B,rf1_data!AI:AI,"NaN")))</f>
        <v>#N/A</v>
      </c>
      <c r="AR82" s="5" t="e">
        <f>IF(_xlfn.XLOOKUP($B82,rf1_data!$B:$B,rf1_data!AJ:AJ,"NaN")="","NaN",(_xlfn.XLOOKUP($B82,rf1_data!$B:$B,rf1_data!AJ:AJ,"NaN")))</f>
        <v>#N/A</v>
      </c>
      <c r="AS82" s="5" t="e">
        <f>IF(_xlfn.XLOOKUP($B82,rf1_data!$B:$B,rf1_data!AK:AK,"NaN")="","NaN",(_xlfn.XLOOKUP($B82,rf1_data!$B:$B,rf1_data!AK:AK,"NaN")))</f>
        <v>#N/A</v>
      </c>
      <c r="AT82" s="5" t="e">
        <f>IF(_xlfn.XLOOKUP($B82,rf1_data!$B:$B,rf1_data!AL:AL,"NaN")="","NaN",(_xlfn.XLOOKUP($B82,rf1_data!$B:$B,rf1_data!AL:AL,"NaN")))</f>
        <v>#N/A</v>
      </c>
      <c r="AU82" s="5" t="e">
        <f>IF(_xlfn.XLOOKUP($B82,rf1_data!$B:$B,rf1_data!AM:AM,"NaN")="","NaN",(_xlfn.XLOOKUP($B82,rf1_data!$B:$B,rf1_data!AM:AM,"NaN")))</f>
        <v>#N/A</v>
      </c>
      <c r="AV82" s="5" t="e">
        <f>IF(_xlfn.XLOOKUP($B82,rf1_data!$B:$B,rf1_data!AN:AN,"NaN")="","NaN",(_xlfn.XLOOKUP($B82,rf1_data!$B:$B,rf1_data!AN:AN,"NaN")))</f>
        <v>#N/A</v>
      </c>
      <c r="AW82" s="5" t="e">
        <f>IF(_xlfn.XLOOKUP($B82,rf1_data!$B:$B,rf1_data!AO:AO,"NaN")="","NaN",(_xlfn.XLOOKUP($B82,rf1_data!$B:$B,rf1_data!AO:AO,"NaN")))</f>
        <v>#N/A</v>
      </c>
      <c r="AX82" s="5" t="e">
        <f>IF(_xlfn.XLOOKUP($B82,rf1_data!$B:$B,rf1_data!AP:AP,"NaN")="","NaN",(_xlfn.XLOOKUP($B82,rf1_data!$B:$B,rf1_data!AP:AP,"NaN")))</f>
        <v>#N/A</v>
      </c>
      <c r="AY82" s="5" t="e">
        <f>IF(_xlfn.XLOOKUP($B82,rf1_data!$B:$B,rf1_data!AQ:AQ,"NaN")="","NaN",(_xlfn.XLOOKUP($B82,rf1_data!$B:$B,rf1_data!AQ:AQ,"NaN")))</f>
        <v>#N/A</v>
      </c>
      <c r="AZ82" s="5" t="e">
        <f>IF(_xlfn.XLOOKUP($B82,rf1_data!$B:$B,rf1_data!AR:AR,"NaN")="","NaN",(_xlfn.XLOOKUP($B82,rf1_data!$B:$B,rf1_data!AR:AR,"NaN")))</f>
        <v>#N/A</v>
      </c>
      <c r="BA82" s="5" t="e">
        <f>IF(_xlfn.XLOOKUP($B82,rf1_data!$B:$B,rf1_data!AS:AS,"NaN")="","NaN",(_xlfn.XLOOKUP($B82,rf1_data!$B:$B,rf1_data!AS:AS,"NaN")))</f>
        <v>#N/A</v>
      </c>
      <c r="BB82" s="5" t="e">
        <f>IF(_xlfn.XLOOKUP($B82,rf1_data!$B:$B,rf1_data!AT:AT,"NaN")="","NaN",(_xlfn.XLOOKUP($B82,rf1_data!$B:$B,rf1_data!AT:AT,"NaN")))</f>
        <v>#N/A</v>
      </c>
      <c r="BC82" s="5" t="e">
        <f>IF(_xlfn.XLOOKUP($B82,rf1_data!$B:$B,rf1_data!AU:AU,"NaN")="","NaN",(_xlfn.XLOOKUP($B82,rf1_data!$B:$B,rf1_data!AU:AU,"NaN")))</f>
        <v>#N/A</v>
      </c>
      <c r="BD82" s="5" t="e">
        <f>IF(_xlfn.XLOOKUP($B82,rf1_data!$B:$B,rf1_data!AV:AV,"NaN")="","NaN",(_xlfn.XLOOKUP($B82,rf1_data!$B:$B,rf1_data!AV:AV,"NaN")))</f>
        <v>#N/A</v>
      </c>
      <c r="BE82" s="5" t="e">
        <f>IF(_xlfn.XLOOKUP($B82,rf1_data!$B:$B,rf1_data!AW:AW,"NaN")="","NaN",(_xlfn.XLOOKUP($B82,rf1_data!$B:$B,rf1_data!AW:AW,"NaN")))</f>
        <v>#N/A</v>
      </c>
      <c r="BF82" s="5" t="e">
        <f>IF(_xlfn.XLOOKUP($B82,rf1_data!$B:$B,rf1_data!AX:AX,"NaN")="","NaN",(_xlfn.XLOOKUP($B82,rf1_data!$B:$B,rf1_data!AX:AX,"NaN")))</f>
        <v>#N/A</v>
      </c>
      <c r="BG82" s="5" t="e">
        <f>IF(_xlfn.XLOOKUP($B82,rf1_data!$B:$B,rf1_data!AY:AY,"NaN")="","NaN",(_xlfn.XLOOKUP($B82,rf1_data!$B:$B,rf1_data!AY:AY,"NaN")))</f>
        <v>#N/A</v>
      </c>
      <c r="BH82" s="5" t="e">
        <f>IF(_xlfn.XLOOKUP($B82,rf1_data!$B:$B,rf1_data!AZ:AZ,"NaN")="","NaN",(_xlfn.XLOOKUP($B82,rf1_data!$B:$B,rf1_data!AZ:AZ,"NaN")))</f>
        <v>#N/A</v>
      </c>
      <c r="BI82" s="5" t="e">
        <f>IF(_xlfn.XLOOKUP($B82,rf1_data!$B:$B,rf1_data!BA:BA,"NaN")="","NaN",(_xlfn.XLOOKUP($B82,rf1_data!$B:$B,rf1_data!BA:BA,"NaN")))</f>
        <v>#N/A</v>
      </c>
      <c r="BJ82" s="5" t="e">
        <f>IF(_xlfn.XLOOKUP($B82,rf1_data!$B:$B,rf1_data!BB:BB,"NaN")="","NaN",(_xlfn.XLOOKUP($B82,rf1_data!$B:$B,rf1_data!BB:BB,"NaN")))</f>
        <v>#N/A</v>
      </c>
      <c r="BK82" s="5" t="e">
        <f>IF(_xlfn.XLOOKUP($B82,rf1_data!$B:$B,rf1_data!BC:BC,"NaN")="","NaN",(_xlfn.XLOOKUP($B82,rf1_data!$B:$B,rf1_data!BC:BC,"NaN")))</f>
        <v>#N/A</v>
      </c>
      <c r="BL82" s="5" t="e">
        <f>IF(_xlfn.XLOOKUP($B82,rf1_data!$B:$B,rf1_data!BD:BD,"NaN")="","NaN",(_xlfn.XLOOKUP($B82,rf1_data!$B:$B,rf1_data!BD:BD,"NaN")))</f>
        <v>#N/A</v>
      </c>
      <c r="BM82" s="5" t="e">
        <f>IF(_xlfn.XLOOKUP($B82,rf1_data!$B:$B,rf1_data!BE:BE,"NaN")="","NaN",(_xlfn.XLOOKUP($B82,rf1_data!$B:$B,rf1_data!BE:BE,"NaN")))</f>
        <v>#N/A</v>
      </c>
      <c r="BN82" s="5" t="e">
        <f>IF(_xlfn.XLOOKUP($B82,rf1_data!$B:$B,rf1_data!BF:BF,"NaN")="","NaN",(_xlfn.XLOOKUP($B82,rf1_data!$B:$B,rf1_data!BF:BF,"NaN")))</f>
        <v>#N/A</v>
      </c>
      <c r="BO82" s="5" t="e">
        <f>IF(_xlfn.XLOOKUP($B82,rf1_data!$B:$B,rf1_data!BG:BG,"NaN")="","NaN",(_xlfn.XLOOKUP($B82,rf1_data!$B:$B,rf1_data!BG:BG,"NaN")))</f>
        <v>#N/A</v>
      </c>
      <c r="BP82" s="5" t="e">
        <f>IF(_xlfn.XLOOKUP($B82,rf1_data!$B:$B,rf1_data!BH:BH,"NaN")="","NaN",(_xlfn.XLOOKUP($B82,rf1_data!$B:$B,rf1_data!BH:BH,"NaN")))</f>
        <v>#N/A</v>
      </c>
      <c r="BQ82" s="5" t="e">
        <f>IF(_xlfn.XLOOKUP($B82,rf1_data!$B:$B,rf1_data!BI:BI,"NaN")="","NaN",(_xlfn.XLOOKUP($B82,rf1_data!$B:$B,rf1_data!BI:BI,"NaN")))</f>
        <v>#N/A</v>
      </c>
      <c r="BR82" s="5" t="e">
        <f>IF(_xlfn.XLOOKUP($B82,rf1_data!$B:$B,rf1_data!BJ:BJ,"NaN")="","NaN",(_xlfn.XLOOKUP($B82,rf1_data!$B:$B,rf1_data!BJ:BJ,"NaN")))</f>
        <v>#N/A</v>
      </c>
      <c r="BS82" s="5" t="e">
        <f>IF(_xlfn.XLOOKUP($B82,rf1_data!$B:$B,rf1_data!BK:BK,"NaN")="","NaN",(_xlfn.XLOOKUP($B82,rf1_data!$B:$B,rf1_data!BK:BK,"NaN")))</f>
        <v>#N/A</v>
      </c>
      <c r="BT82" s="5" t="e">
        <f>IF(_xlfn.XLOOKUP($B82,rf1_data!$B:$B,rf1_data!BL:BL,"NaN")="","NaN",(_xlfn.XLOOKUP($B82,rf1_data!$B:$B,rf1_data!BL:BL,"NaN")))</f>
        <v>#N/A</v>
      </c>
      <c r="BU82" s="5" t="e">
        <f>IF(_xlfn.XLOOKUP($B82,rf1_data!$B:$B,rf1_data!BM:BM,"NaN")="","NaN",(_xlfn.XLOOKUP($B82,rf1_data!$B:$B,rf1_data!BM:BM,"NaN")))</f>
        <v>#N/A</v>
      </c>
      <c r="BV82" s="5" t="e">
        <f>IF(_xlfn.XLOOKUP($B82,rf1_data!$B:$B,rf1_data!BN:BN,"NaN")="","NaN",(_xlfn.XLOOKUP($B82,rf1_data!$B:$B,rf1_data!BN:BN,"NaN")))</f>
        <v>#N/A</v>
      </c>
      <c r="BW82" s="5" t="e">
        <f>IF(_xlfn.XLOOKUP($B82,rf1_data!$B:$B,rf1_data!BO:BO,"NaN")="","NaN",(_xlfn.XLOOKUP($B82,rf1_data!$B:$B,rf1_data!BO:BO,"NaN")))</f>
        <v>#N/A</v>
      </c>
      <c r="BX82" s="5" t="e">
        <f>IF(_xlfn.XLOOKUP($B82,rf1_data!$B:$B,rf1_data!BP:BP,"NaN")="","NaN",(_xlfn.XLOOKUP($B82,rf1_data!$B:$B,rf1_data!BP:BP,"NaN")))</f>
        <v>#N/A</v>
      </c>
      <c r="BY82" s="5" t="e">
        <f>IF(_xlfn.XLOOKUP($B82,rf1_data!$B:$B,rf1_data!BQ:BQ,"NaN")="","NaN",(_xlfn.XLOOKUP($B82,rf1_data!$B:$B,rf1_data!BQ:BQ,"NaN")))</f>
        <v>#N/A</v>
      </c>
      <c r="BZ82" s="5" t="e">
        <f>IF(_xlfn.XLOOKUP($B82,rf1_data!$B:$B,rf1_data!BR:BR,"NaN")="","NaN",(_xlfn.XLOOKUP($B82,rf1_data!$B:$B,rf1_data!BR:BR,"NaN")))</f>
        <v>#N/A</v>
      </c>
      <c r="CA82" s="5" t="e">
        <f>IF(_xlfn.XLOOKUP($B82,rf1_data!$B:$B,rf1_data!BS:BS,"NaN")="","NaN",(_xlfn.XLOOKUP($B82,rf1_data!$B:$B,rf1_data!BS:BS,"NaN")))</f>
        <v>#N/A</v>
      </c>
      <c r="CB82" s="5" t="e">
        <f>IF(_xlfn.XLOOKUP($B82,rf1_data!$B:$B,rf1_data!BT:BT,"NaN")="","NaN",(_xlfn.XLOOKUP($B82,rf1_data!$B:$B,rf1_data!BT:BT,"NaN")))</f>
        <v>#N/A</v>
      </c>
      <c r="CC82" s="5" t="e">
        <f>IF(_xlfn.XLOOKUP($B82,rf1_data!$B:$B,rf1_data!BU:BU,"NaN")="","NaN",(_xlfn.XLOOKUP($B82,rf1_data!$B:$B,rf1_data!BU:BU,"NaN")))</f>
        <v>#N/A</v>
      </c>
      <c r="CD82" s="5" t="e">
        <f>IF(_xlfn.XLOOKUP($B82,rf1_data!$B:$B,rf1_data!BV:BV,"NaN")="","NaN",(_xlfn.XLOOKUP($B82,rf1_data!$B:$B,rf1_data!BV:BV,"NaN")))</f>
        <v>#N/A</v>
      </c>
      <c r="CE82" s="5" t="e">
        <f>IF(_xlfn.XLOOKUP($B82,rf1_data!$B:$B,rf1_data!BW:BW,"NaN")="","NaN",(_xlfn.XLOOKUP($B82,rf1_data!$B:$B,rf1_data!BW:BW,"NaN")))</f>
        <v>#N/A</v>
      </c>
      <c r="CF82" s="5" t="e">
        <f>IF(_xlfn.XLOOKUP($B82,rf1_data!$B:$B,rf1_data!BX:BX,"NaN")="","NaN",(_xlfn.XLOOKUP($B82,rf1_data!$B:$B,rf1_data!BX:BX,"NaN")))</f>
        <v>#N/A</v>
      </c>
      <c r="CG82" s="5" t="e">
        <f>IF(_xlfn.XLOOKUP($B82,rf1_data!$B:$B,rf1_data!BY:BY,"NaN")="","NaN",(_xlfn.XLOOKUP($B82,rf1_data!$B:$B,rf1_data!BY:BY,"NaN")))</f>
        <v>#N/A</v>
      </c>
      <c r="CH82" s="5" t="e">
        <f>IF(_xlfn.XLOOKUP($B82,rf1_data!$B:$B,rf1_data!BZ:BZ,"NaN")="","NaN",(_xlfn.XLOOKUP($B82,rf1_data!$B:$B,rf1_data!BZ:BZ,"NaN")))</f>
        <v>#N/A</v>
      </c>
      <c r="CI82" s="5" t="e">
        <f>IF(_xlfn.XLOOKUP($B82,rf1_data!$B:$B,rf1_data!CA:CA,"NaN")="","NaN",(_xlfn.XLOOKUP($B82,rf1_data!$B:$B,rf1_data!CA:CA,"NaN")))</f>
        <v>#N/A</v>
      </c>
      <c r="CJ82" s="5" t="e">
        <f>IF(_xlfn.XLOOKUP($B82,rf1_data!$B:$B,rf1_data!CB:CB,"NaN")="","NaN",(_xlfn.XLOOKUP($B82,rf1_data!$B:$B,rf1_data!CB:CB,"NaN")))</f>
        <v>#N/A</v>
      </c>
      <c r="CK82" s="5" t="e">
        <f>IF(_xlfn.XLOOKUP($B82,rf1_data!$B:$B,rf1_data!CC:CC,"NaN")="","NaN",(_xlfn.XLOOKUP($B82,rf1_data!$B:$B,rf1_data!CC:CC,"NaN")))</f>
        <v>#N/A</v>
      </c>
      <c r="CL82" s="5" t="e">
        <f>IF(_xlfn.XLOOKUP($B82,rf1_data!$B:$B,rf1_data!CD:CD,"NaN")=0,"NaN",(_xlfn.XLOOKUP($B82,rf1_data!$B:$B,rf1_data!CD:CD,"NaN")))</f>
        <v>#N/A</v>
      </c>
      <c r="CM82" s="5" t="e">
        <f>IF(_xlfn.XLOOKUP($B82,rf1_data!$B:$B,rf1_data!CE:CE,"NaN")="","NaN",(_xlfn.XLOOKUP($B82,rf1_data!$B:$B,rf1_data!CE:CE,"NaN")))</f>
        <v>#N/A</v>
      </c>
      <c r="CN82" s="5" t="e">
        <f>IF(_xlfn.XLOOKUP($B82,rf1_data!$B:$B,rf1_data!CF:CF,"NaN")="","NaN",(_xlfn.XLOOKUP($B82,rf1_data!$B:$B,rf1_data!CF:CF,"NaN")))</f>
        <v>#N/A</v>
      </c>
      <c r="CO82" s="5" t="e">
        <f>IF(_xlfn.XLOOKUP($B82,rf1_data!$B:$B,rf1_data!CG:CG,"NaN")="","NaN",(_xlfn.XLOOKUP($B82,rf1_data!$B:$B,rf1_data!CG:CG,"NaN")))</f>
        <v>#N/A</v>
      </c>
      <c r="CP82" s="5" t="e">
        <f>IF(_xlfn.XLOOKUP($B82,rf1_data!$B:$B,rf1_data!CH:CH,"NaN")=0,"NaN",(_xlfn.XLOOKUP($B82,rf1_data!$B:$B,rf1_data!CH:CH,"NaN")))</f>
        <v>#N/A</v>
      </c>
      <c r="CQ82" s="5" t="e">
        <f>IF(_xlfn.XLOOKUP($B82,rf1_data!$B:$B,rf1_data!CI:CI,"NaN")="","NaN",(_xlfn.XLOOKUP($B82,rf1_data!$B:$B,rf1_data!CI:CI,"NaN")))</f>
        <v>#N/A</v>
      </c>
      <c r="CR82" s="5" t="e">
        <f>IF(_xlfn.XLOOKUP($B82,rf1_data!$B:$B,rf1_data!CJ:CJ,"NaN")="","NaN",(_xlfn.XLOOKUP($B82,rf1_data!$B:$B,rf1_data!CJ:CJ,"NaN")))</f>
        <v>#N/A</v>
      </c>
      <c r="CS82" s="5" t="e">
        <f>IF(_xlfn.XLOOKUP($B82,rf1_data!$B:$B,rf1_data!CK:CK,"NaN")="","NaN",(_xlfn.XLOOKUP($B82,rf1_data!$B:$B,rf1_data!CK:CK,"NaN")))</f>
        <v>#N/A</v>
      </c>
      <c r="CT82" s="5" t="e">
        <f>IF(_xlfn.XLOOKUP($B82,rf1_data!$B:$B,rf1_data!CL:CL,"NaN")="","NaN",(_xlfn.XLOOKUP($B82,rf1_data!$B:$B,rf1_data!CL:CL,"NaN")))</f>
        <v>#N/A</v>
      </c>
      <c r="CU82" s="5" t="e">
        <f>IF(_xlfn.XLOOKUP($B82,rf1_data!$B:$B,rf1_data!CM:CM,"NaN")="","NaN",(_xlfn.XLOOKUP($B82,rf1_data!$B:$B,rf1_data!CM:CM,"NaN")))</f>
        <v>#N/A</v>
      </c>
      <c r="CV82" s="5" t="e">
        <f>IF(_xlfn.XLOOKUP($B82,rf1_data!$B:$B,rf1_data!CN:CN,"NaN")="","NaN",(_xlfn.XLOOKUP($B82,rf1_data!$B:$B,rf1_data!CN:CN,"NaN")))</f>
        <v>#N/A</v>
      </c>
      <c r="CW82" s="5" t="e">
        <f>IF(_xlfn.XLOOKUP($B82,rf1_data!$B:$B,rf1_data!CO:CO,"NaN")="","NaN",(_xlfn.XLOOKUP($B82,rf1_data!$B:$B,rf1_data!CO:CO,"NaN")))</f>
        <v>#N/A</v>
      </c>
      <c r="CX82" s="5" t="e">
        <f>IF(_xlfn.XLOOKUP($B82,rf1_data!$B:$B,rf1_data!CP:CP,"NaN")="","NaN",(_xlfn.XLOOKUP($B82,rf1_data!$B:$B,rf1_data!CP:CP,"NaN")))</f>
        <v>#N/A</v>
      </c>
      <c r="CY82" s="5" t="e">
        <f>IF(_xlfn.XLOOKUP($B82,rf1_data!$B:$B,rf1_data!CQ:CQ,"NaN")="","NaN",(_xlfn.XLOOKUP($B82,rf1_data!$B:$B,rf1_data!CQ:CQ,"NaN")))</f>
        <v>#N/A</v>
      </c>
      <c r="CZ82" s="5" t="e">
        <f>IF(_xlfn.XLOOKUP($B82,rf1_data!$B:$B,rf1_data!CR:CR,"NaN")="","NaN",(_xlfn.XLOOKUP($B82,rf1_data!$B:$B,rf1_data!CR:CR,"NaN")))</f>
        <v>#N/A</v>
      </c>
      <c r="DA82" s="5" t="e">
        <f>IF(_xlfn.XLOOKUP($B82,rf1_data!$B:$B,rf1_data!CS:CS,"NaN")="","NaN",(_xlfn.XLOOKUP($B82,rf1_data!$B:$B,rf1_data!CS:CS,"NaN")))</f>
        <v>#N/A</v>
      </c>
      <c r="DB82" s="4" t="e">
        <f>IF(_xlfn.XLOOKUP($B82,island_data!$B:$B,island_data!H:H,"NaN")="","NaN",_xlfn.XLOOKUP($B82,island_data!$B:$B,island_data!H:H,"NaN"))</f>
        <v>#N/A</v>
      </c>
      <c r="DC82" s="4" t="e">
        <f>IF(_xlfn.XLOOKUP($B82,island_data!$B:$B,island_data!I:I,"NaN")="","NaN",_xlfn.XLOOKUP($B82,island_data!$B:$B,island_data!I:I,"NaN"))</f>
        <v>#N/A</v>
      </c>
      <c r="DD82" s="4" t="e">
        <f>IF(_xlfn.XLOOKUP($B82,island_data!$B:$B,island_data!J:J,"NaN")="","NaN",_xlfn.XLOOKUP($B82,island_data!$B:$B,island_data!J:J,"NaN"))</f>
        <v>#N/A</v>
      </c>
      <c r="DE82" s="4" t="e">
        <f>IF(_xlfn.XLOOKUP($B82,island_data!$B:$B,island_data!K:K,"NaN")="","NaN",_xlfn.XLOOKUP($B82,island_data!$B:$B,island_data!K:K,"NaN"))</f>
        <v>#N/A</v>
      </c>
      <c r="DF82" s="4" t="e">
        <f>IF(_xlfn.XLOOKUP($B82,island_data!$B:$B,island_data!L:L,"NaN")="","NaN",_xlfn.XLOOKUP($B82,island_data!$B:$B,island_data!L:L,"NaN"))</f>
        <v>#N/A</v>
      </c>
      <c r="DG82" s="4" t="e">
        <f>IF(_xlfn.XLOOKUP($B82,island_data!$B:$B,island_data!M:M,"NaN")="","NaN",_xlfn.XLOOKUP($B82,island_data!$B:$B,island_data!M:M,"NaN"))</f>
        <v>#N/A</v>
      </c>
      <c r="DH82" s="4" t="e">
        <f>IF(_xlfn.XLOOKUP($B82,island_data!$B:$B,island_data!N:N,"NaN")="","NaN",_xlfn.XLOOKUP($B82,island_data!$B:$B,island_data!N:N,"NaN"))</f>
        <v>#N/A</v>
      </c>
      <c r="DI82" s="4" t="e">
        <f>IF(_xlfn.XLOOKUP($B82,island_data!$B:$B,island_data!O:O,"NaN")=999,"NaN",_xlfn.XLOOKUP($B82,island_data!$B:$B,island_data!O:O,"NaN"))</f>
        <v>#N/A</v>
      </c>
      <c r="DJ82" s="4" t="e">
        <f>IF(_xlfn.XLOOKUP($B82,island_data!$B:$B,island_data!P:P,"NaN")="","NaN",_xlfn.XLOOKUP($B82,island_data!$B:$B,island_data!P:P,"NaN"))</f>
        <v>#N/A</v>
      </c>
      <c r="DK82" s="4" t="e">
        <f>IF(_xlfn.XLOOKUP($B82,island_data!$B:$B,island_data!Q:Q,"NaN")="","NaN",_xlfn.XLOOKUP($B82,island_data!$B:$B,island_data!Q:Q,"NaN"))</f>
        <v>#N/A</v>
      </c>
      <c r="DL82" s="4" t="e">
        <f>IF(_xlfn.XLOOKUP($B82,island_data!$B:$B,island_data!R:R,"NaN")=999,"NaN",_xlfn.XLOOKUP($B82,island_data!$B:$B,island_data!R:R,"NaN"))</f>
        <v>#N/A</v>
      </c>
      <c r="DM82" s="4" t="e">
        <f>IF(_xlfn.XLOOKUP($B82,island_data!$B:$B,island_data!S:S,"NaN")="","NaN",_xlfn.XLOOKUP($B82,island_data!$B:$B,island_data!S:S,"NaN"))</f>
        <v>#N/A</v>
      </c>
      <c r="DN82" s="4" t="e">
        <f>IF(_xlfn.XLOOKUP($B82,island_data!$B:$B,island_data!T:T,"NaN")="","NaN",_xlfn.XLOOKUP($B82,island_data!$B:$B,island_data!T:T,"NaN"))</f>
        <v>#N/A</v>
      </c>
      <c r="DO82" s="4" t="e">
        <f>IF(_xlfn.XLOOKUP($B82,island_data!$B:$B,island_data!U:U,"NaN")="","NaN",_xlfn.XLOOKUP($B82,island_data!$B:$B,island_data!U:U,"NaN"))</f>
        <v>#N/A</v>
      </c>
      <c r="DP82" s="4" t="e">
        <f>IF(_xlfn.XLOOKUP($B82,island_data!$B:$B,island_data!V:V,"NaN")="","NaN",_xlfn.XLOOKUP($B82,island_data!$B:$B,island_data!V:V,"NaN"))</f>
        <v>#N/A</v>
      </c>
      <c r="DQ82" s="4" t="e">
        <f>IF(_xlfn.XLOOKUP($B82,island_data!$B:$B,island_data!W:W,"NaN")="","NaN",_xlfn.XLOOKUP($B82,island_data!$B:$B,island_data!W:W,"NaN"))</f>
        <v>#N/A</v>
      </c>
      <c r="DR82" s="4" t="e">
        <f>IF(_xlfn.XLOOKUP($B82,island_data!$B:$B,island_data!X:X,"NaN")="","NaN",_xlfn.XLOOKUP($B82,island_data!$B:$B,island_data!X:X,"NaN"))</f>
        <v>#N/A</v>
      </c>
      <c r="DS82" s="4" t="e">
        <f>IF(_xlfn.XLOOKUP($B82,island_data!$B:$B,island_data!Y:Y,"NaN")="","NaN",_xlfn.XLOOKUP($B82,island_data!$B:$B,island_data!Y:Y,"NaN"))</f>
        <v>#N/A</v>
      </c>
      <c r="DT82" s="4" t="e">
        <f>IF(_xlfn.XLOOKUP($B82,island_data!$B:$B,island_data!Z:Z,"NaN")="","NaN",_xlfn.XLOOKUP($B82,island_data!$B:$B,island_data!Z:Z,"NaN"))</f>
        <v>#N/A</v>
      </c>
      <c r="DU82" s="4" t="e">
        <f>IF(_xlfn.XLOOKUP($B82,island_data!$B:$B,island_data!AA:AA,"NaN")="","NaN",_xlfn.XLOOKUP($B82,island_data!$B:$B,island_data!AA:AA,"NaN"))</f>
        <v>#N/A</v>
      </c>
      <c r="DV82" s="4" t="e">
        <f>IF(_xlfn.XLOOKUP($B82,island_data!$B:$B,island_data!AB:AB,"NaN")="","NaN",_xlfn.XLOOKUP($B82,island_data!$B:$B,island_data!AB:AB,"NaN"))</f>
        <v>#N/A</v>
      </c>
      <c r="DW82" s="4" t="e">
        <f>IF(_xlfn.XLOOKUP($B82,island_data!$B:$B,island_data!AC:AC,"NaN")="","NaN",_xlfn.XLOOKUP($B82,island_data!$B:$B,island_data!AC:AC,"NaN"))</f>
        <v>#N/A</v>
      </c>
      <c r="DX82" s="4" t="e">
        <f>IF(_xlfn.XLOOKUP($B82,island_data!$B:$B,island_data!AD:AD,"NaN")="","NaN",_xlfn.XLOOKUP($B82,island_data!$B:$B,island_data!AD:AD,"NaN"))</f>
        <v>#N/A</v>
      </c>
      <c r="DY82" s="4" t="e">
        <f>IF(_xlfn.XLOOKUP($B82,island_data!$B:$B,island_data!AE:AE,"NaN")="","NaN",_xlfn.XLOOKUP($B82,island_data!$B:$B,island_data!AE:AE,"NaN"))</f>
        <v>#N/A</v>
      </c>
      <c r="DZ82" s="4" t="e">
        <f>IF(_xlfn.XLOOKUP($B82,island_data!$B:$B,island_data!AF:AF,"NaN")="","NaN",_xlfn.XLOOKUP($B82,island_data!$B:$B,island_data!AF:AF,"NaN"))</f>
        <v>#N/A</v>
      </c>
      <c r="EA82" s="4" t="e">
        <f>IF(_xlfn.XLOOKUP($B82,island_data!$B:$B,island_data!AG:AG,"NaN")="","NaN",_xlfn.XLOOKUP($B82,island_data!$B:$B,island_data!AG:AG,"NaN"))</f>
        <v>#N/A</v>
      </c>
      <c r="EB82" s="4" t="e">
        <f>IF(_xlfn.XLOOKUP($B82,island_data!$B:$B,island_data!AH:AH,"NaN")="","NaN",_xlfn.XLOOKUP($B82,island_data!$B:$B,island_data!AH:AH,"NaN"))</f>
        <v>#N/A</v>
      </c>
      <c r="EC82" s="4" t="e">
        <f>IF(_xlfn.XLOOKUP($B82,island_data!$B:$B,island_data!AI:AI,"NaN")="","NaN",_xlfn.XLOOKUP($B82,island_data!$B:$B,island_data!AI:AI,"NaN"))</f>
        <v>#N/A</v>
      </c>
      <c r="ED82" s="4" t="e">
        <f>IF(_xlfn.XLOOKUP($B82,island_data!$B:$B,island_data!AJ:AJ,"NaN")="","NaN",_xlfn.XLOOKUP($B82,island_data!$B:$B,island_data!AJ:AJ,"NaN"))</f>
        <v>#N/A</v>
      </c>
      <c r="EE82" s="4" t="e">
        <f>IF(_xlfn.XLOOKUP($B82,island_data!$B:$B,island_data!AK:AK,"NaN")="","NaN",_xlfn.XLOOKUP($B82,island_data!$B:$B,island_data!AK:AK,"NaN"))</f>
        <v>#N/A</v>
      </c>
      <c r="EF82" s="4" t="e">
        <f>IF(_xlfn.XLOOKUP($B82,island_data!$B:$B,island_data!AL:AL,"NaN")="","NaN",_xlfn.XLOOKUP($B82,island_data!$B:$B,island_data!AL:AL,"NaN"))</f>
        <v>#N/A</v>
      </c>
      <c r="EG82" s="4" t="e">
        <f>IF(_xlfn.XLOOKUP($B82,island_data!$B:$B,island_data!AM:AM,"NaN")="","NaN",_xlfn.XLOOKUP($B82,island_data!$B:$B,island_data!AM:AM,"NaN"))</f>
        <v>#N/A</v>
      </c>
      <c r="EH82" s="4" t="e">
        <f>IF(_xlfn.XLOOKUP($B82,island_data!$B:$B,island_data!AN:AN,"NaN")="","NaN",_xlfn.XLOOKUP($B82,island_data!$B:$B,island_data!AN:AN,"NaN"))</f>
        <v>#N/A</v>
      </c>
      <c r="EI82" s="4" t="e">
        <f>IF(_xlfn.XLOOKUP($B82,island_data!$B:$B,island_data!AO:AO,"NaN")="","NaN",_xlfn.XLOOKUP($B82,island_data!$B:$B,island_data!AO:AO,"NaN"))</f>
        <v>#N/A</v>
      </c>
      <c r="EJ82" s="8" t="str">
        <f>IF(_xlfn.XLOOKUP($A82,TabCAT!$A:$A,TabCAT!AU:AU,"NaN")="","NaN",(_xlfn.XLOOKUP($A82,TabCAT!$A:$A,TabCAT!AU:AU,"NaN")))</f>
        <v>NaN</v>
      </c>
      <c r="EK82" s="8" t="str">
        <f>IF(_xlfn.XLOOKUP($A82,TabCAT!$A:$A,TabCAT!AV:AV,"NaN")="","NaN",(_xlfn.XLOOKUP($A82,TabCAT!$A:$A,TabCAT!AV:AV,"NaN")))</f>
        <v>NaN</v>
      </c>
      <c r="EL82" s="8" t="str">
        <f>IF(_xlfn.XLOOKUP($A82,TabCAT!$A:$A,TabCAT!AW:AW,"NaN")="","NaN",(_xlfn.XLOOKUP($A82,TabCAT!$A:$A,TabCAT!AW:AW,"NaN")))</f>
        <v>NaN</v>
      </c>
      <c r="EM82" s="8" t="str">
        <f>IF(_xlfn.XLOOKUP($A82,TabCAT!$A:$A,TabCAT!AX:AX,"NaN")="","NaN",(_xlfn.XLOOKUP($A82,TabCAT!$A:$A,TabCAT!AX:AX,"NaN")))</f>
        <v>NaN</v>
      </c>
      <c r="EN82" s="8" t="str">
        <f>IF(_xlfn.XLOOKUP($A82,TabCAT!$A:$A,TabCAT!AY:AY,"NaN")="","NaN",(_xlfn.XLOOKUP($A82,TabCAT!$A:$A,TabCAT!AY:AY,"NaN")))</f>
        <v>NaN</v>
      </c>
      <c r="EO82" s="8" t="str">
        <f>IF(_xlfn.XLOOKUP($A82,TabCAT!$A:$A,TabCAT!AZ:AZ,"NaN")="","NaN",(_xlfn.XLOOKUP($A82,TabCAT!$A:$A,TabCAT!AZ:AZ,"NaN")))</f>
        <v>NaN</v>
      </c>
      <c r="EP82" s="8" t="str">
        <f>IF(_xlfn.XLOOKUP($A82,TabCAT!$A:$A,TabCAT!BA:BA,"NaN")="","NaN",(_xlfn.XLOOKUP($A82,TabCAT!$A:$A,TabCAT!BA:BA,"NaN")))</f>
        <v>NaN</v>
      </c>
      <c r="EQ82" s="8" t="str">
        <f>IF(_xlfn.XLOOKUP($A82,TabCAT!$A:$A,TabCAT!BB:BB,"NaN")="","NaN",(_xlfn.XLOOKUP($A82,TabCAT!$A:$A,TabCAT!BB:BB,"NaN")))</f>
        <v>NaN</v>
      </c>
      <c r="ER82" s="8" t="str">
        <f>IF(_xlfn.XLOOKUP($A82,TabCAT!$A:$A,TabCAT!BC:BC,"NaN")="","NaN",(_xlfn.XLOOKUP($A82,TabCAT!$A:$A,TabCAT!BC:BC,"NaN")))</f>
        <v>NaN</v>
      </c>
      <c r="ES82" s="8" t="str">
        <f>IF(_xlfn.XLOOKUP($A82,TabCAT!$A:$A,TabCAT!BD:BD,"NaN")="","NaN",(_xlfn.XLOOKUP($A82,TabCAT!$A:$A,TabCAT!BD:BD,"NaN")))</f>
        <v>NaN</v>
      </c>
      <c r="ET82" s="8" t="str">
        <f>IF(_xlfn.XLOOKUP($A82,TabCAT!$A:$A,TabCAT!BE:BE,"NaN")="","NaN",(_xlfn.XLOOKUP($A82,TabCAT!$A:$A,TabCAT!BE:BE,"NaN")))</f>
        <v>NaN</v>
      </c>
      <c r="EU82" s="8" t="str">
        <f>IF(_xlfn.XLOOKUP($A82,TabCAT!$A:$A,TabCAT!BF:BF,"NaN")="","NaN",(_xlfn.XLOOKUP($A82,TabCAT!$A:$A,TabCAT!BF:BF,"NaN")))</f>
        <v>NaN</v>
      </c>
      <c r="EV82" s="8" t="str">
        <f>IF(_xlfn.XLOOKUP($A82,TabCAT!$A:$A,TabCAT!BG:BG,"NaN")="","NaN",(_xlfn.XLOOKUP($A82,TabCAT!$A:$A,TabCAT!BG:BG,"NaN")))</f>
        <v>NaN</v>
      </c>
      <c r="EW82" s="8" t="str">
        <f>IF(_xlfn.XLOOKUP($A82,TabCAT!$A:$A,TabCAT!BH:BH,"NaN")="","NaN",(_xlfn.XLOOKUP($A82,TabCAT!$A:$A,TabCAT!BH:BH,"NaN")))</f>
        <v>NaN</v>
      </c>
      <c r="EX82" s="8" t="str">
        <f>IF(_xlfn.XLOOKUP($A82,TabCAT!$A:$A,TabCAT!BI:BI,"NaN")="","NaN",(_xlfn.XLOOKUP($A82,TabCAT!$A:$A,TabCAT!BI:BI,"NaN")))</f>
        <v>NaN</v>
      </c>
      <c r="EY82" s="8" t="str">
        <f>IF(_xlfn.XLOOKUP($A82,TabCAT!$A:$A,TabCAT!BJ:BJ,"NaN")="","NaN",(_xlfn.XLOOKUP($A82,TabCAT!$A:$A,TabCAT!BJ:BJ,"NaN")))</f>
        <v>NaN</v>
      </c>
      <c r="EZ82" s="8" t="str">
        <f>IF(_xlfn.XLOOKUP($A82,TabCAT!$A:$A,TabCAT!BK:BK,"NaN")="","NaN",(_xlfn.XLOOKUP($A82,TabCAT!$A:$A,TabCAT!BK:BK,"NaN")))</f>
        <v>NaN</v>
      </c>
      <c r="FA82" s="8" t="str">
        <f>IF(_xlfn.XLOOKUP($A82,TabCAT!$A:$A,TabCAT!BL:BL,"NaN")="","NaN",(_xlfn.XLOOKUP($A82,TabCAT!$A:$A,TabCAT!BL:BL,"NaN")))</f>
        <v>NaN</v>
      </c>
      <c r="FB82" s="8" t="str">
        <f>IF(_xlfn.XLOOKUP($A82,TabCAT!$A:$A,TabCAT!BM:BM,"NaN")="","NaN",(_xlfn.XLOOKUP($A82,TabCAT!$A:$A,TabCAT!BM:BM,"NaN")))</f>
        <v>NaN</v>
      </c>
      <c r="FC82" s="8" t="str">
        <f>IF(_xlfn.XLOOKUP($A82,TabCAT!$A:$A,TabCAT!BN:BN,"NaN")="","NaN",(_xlfn.XLOOKUP($A82,TabCAT!$A:$A,TabCAT!BN:BN,"NaN")))</f>
        <v>NaN</v>
      </c>
      <c r="FD82" s="8" t="str">
        <f>IF(_xlfn.XLOOKUP($A82,TabCAT!$A:$A,TabCAT!BO:BO,"NaN")="","NaN",(_xlfn.XLOOKUP($A82,TabCAT!$A:$A,TabCAT!BO:BO,"NaN")))</f>
        <v>NaN</v>
      </c>
      <c r="FE82" s="8" t="str">
        <f>IF(_xlfn.XLOOKUP($A82,TabCAT!$A:$A,TabCAT!BP:BP,"NaN")="","NaN",(_xlfn.XLOOKUP($A82,TabCAT!$A:$A,TabCAT!BP:BP,"NaN")))</f>
        <v>NaN</v>
      </c>
      <c r="FF82" s="8" t="str">
        <f>IF(_xlfn.XLOOKUP($A82,TabCAT!$A:$A,TabCAT!BQ:BQ,"NaN")="","NaN",(_xlfn.XLOOKUP($A82,TabCAT!$A:$A,TabCAT!BQ:BQ,"NaN")))</f>
        <v>NaN</v>
      </c>
      <c r="FG82" s="8" t="str">
        <f>IF(_xlfn.XLOOKUP($A82,TabCAT!$A:$A,TabCAT!BR:BR,"NaN")="","NaN",(_xlfn.XLOOKUP($A82,TabCAT!$A:$A,TabCAT!BR:BR,"NaN")))</f>
        <v>NaN</v>
      </c>
      <c r="FH82" s="8" t="str">
        <f>IF(_xlfn.XLOOKUP($A82,TabCAT!$A:$A,TabCAT!BS:BS,"NaN")="","NaN",(_xlfn.XLOOKUP($A82,TabCAT!$A:$A,TabCAT!BS:BS,"NaN")))</f>
        <v>NaN</v>
      </c>
      <c r="FI82" s="8" t="str">
        <f>IF(_xlfn.XLOOKUP($A82,TabCAT!$A:$A,TabCAT!BT:BT,"NaN")="","NaN",(_xlfn.XLOOKUP($A82,TabCAT!$A:$A,TabCAT!BT:BT,"NaN")))</f>
        <v>NaN</v>
      </c>
      <c r="FJ82" s="8" t="str">
        <f>IF(_xlfn.XLOOKUP($A82,TabCAT!$A:$A,TabCAT!BU:BU,"NaN")="","NaN",(_xlfn.XLOOKUP($A82,TabCAT!$A:$A,TabCAT!BU:BU,"NaN")))</f>
        <v>NaN</v>
      </c>
      <c r="FK82" s="8" t="str">
        <f>IF(_xlfn.XLOOKUP($A82,TabCAT!$A:$A,TabCAT!BV:BV,"NaN")="","NaN",(_xlfn.XLOOKUP($A82,TabCAT!$A:$A,TabCAT!BV:BV,"NaN")))</f>
        <v>NaN</v>
      </c>
      <c r="FL82" s="8" t="str">
        <f>IF(_xlfn.XLOOKUP($A82,TabCAT!$A:$A,TabCAT!BW:BW,"NaN")="","NaN",(_xlfn.XLOOKUP($A82,TabCAT!$A:$A,TabCAT!BW:BW,"NaN")))</f>
        <v>NaN</v>
      </c>
      <c r="FM82" s="8" t="str">
        <f>IF(_xlfn.XLOOKUP($A82,TabCAT!$A:$A,TabCAT!BX:BX,"NaN")="","NaN",(_xlfn.XLOOKUP($A82,TabCAT!$A:$A,TabCAT!BX:BX,"NaN")))</f>
        <v>NaN</v>
      </c>
      <c r="FN82" s="8" t="str">
        <f>IF(_xlfn.XLOOKUP($A82,TabCAT!$A:$A,TabCAT!BY:BY,"NaN")="","NaN",(_xlfn.XLOOKUP($A82,TabCAT!$A:$A,TabCAT!BY:BY,"NaN")))</f>
        <v>NaN</v>
      </c>
      <c r="FO82" s="8" t="str">
        <f>IF(_xlfn.XLOOKUP($A82,TabCAT!$A:$A,TabCAT!BZ:BZ,"NaN")="","NaN",(_xlfn.XLOOKUP($A82,TabCAT!$A:$A,TabCAT!BZ:BZ,"NaN")))</f>
        <v>NaN</v>
      </c>
      <c r="FP82" s="8" t="str">
        <f>IF(_xlfn.XLOOKUP($A82,TabCAT!$A:$A,TabCAT!CA:CA,"NaN")="","NaN",(_xlfn.XLOOKUP($A82,TabCAT!$A:$A,TabCAT!CA:CA,"NaN")))</f>
        <v>NaN</v>
      </c>
      <c r="FQ82" s="8" t="str">
        <f>IF(_xlfn.XLOOKUP($A82,TabCAT!$A:$A,TabCAT!CB:CB,"NaN")="","NaN",(_xlfn.XLOOKUP($A82,TabCAT!$A:$A,TabCAT!CB:CB,"NaN")))</f>
        <v>NaN</v>
      </c>
      <c r="FR82" s="8" t="str">
        <f>IF(_xlfn.XLOOKUP($A82,TabCAT!$A:$A,TabCAT!CC:CC,"NaN")="","NaN",(_xlfn.XLOOKUP($A82,TabCAT!$A:$A,TabCAT!CC:CC,"NaN")))</f>
        <v>NaN</v>
      </c>
      <c r="FS82" s="8" t="str">
        <f>IF(_xlfn.XLOOKUP($A82,TabCAT!$A:$A,TabCAT!CD:CD,"NaN")="","NaN",(_xlfn.XLOOKUP($A82,TabCAT!$A:$A,TabCAT!CD:CD,"NaN")))</f>
        <v>NaN</v>
      </c>
      <c r="FT82" s="8" t="str">
        <f>IF(_xlfn.XLOOKUP($A82,TabCAT!$A:$A,TabCAT!CE:CE,"NaN")="","NaN",(_xlfn.XLOOKUP($A82,TabCAT!$A:$A,TabCAT!CE:CE,"NaN")))</f>
        <v>NaN</v>
      </c>
      <c r="FU82" s="8" t="str">
        <f>IF(_xlfn.XLOOKUP($A82,TabCAT!$A:$A,TabCAT!CF:CF,"NaN")="","NaN",(_xlfn.XLOOKUP($A82,TabCAT!$A:$A,TabCAT!CF:CF,"NaN")))</f>
        <v>NaN</v>
      </c>
      <c r="FV82" s="8" t="str">
        <f>IF(_xlfn.XLOOKUP($A82,TabCAT!$A:$A,TabCAT!CG:CG,"NaN")="","NaN",(_xlfn.XLOOKUP($A82,TabCAT!$A:$A,TabCAT!CG:CG,"NaN")))</f>
        <v>NaN</v>
      </c>
      <c r="FW82" s="8" t="str">
        <f>IF(_xlfn.XLOOKUP($A82,TabCAT!$A:$A,TabCAT!CH:CH,"NaN")="","NaN",(_xlfn.XLOOKUP($A82,TabCAT!$A:$A,TabCAT!CH:CH,"NaN")))</f>
        <v>NaN</v>
      </c>
      <c r="FX82" s="8" t="str">
        <f>IF(_xlfn.XLOOKUP($A82,TabCAT!$A:$A,TabCAT!CI:CI,"NaN")="","NaN",(_xlfn.XLOOKUP($A82,TabCAT!$A:$A,TabCAT!CI:CI,"NaN")))</f>
        <v>NaN</v>
      </c>
      <c r="FY82" s="8" t="str">
        <f>IF(_xlfn.XLOOKUP($A82,TabCAT!$A:$A,TabCAT!CJ:CJ,"NaN")="","NaN",(_xlfn.XLOOKUP($A82,TabCAT!$A:$A,TabCAT!CJ:CJ,"NaN")))</f>
        <v>NaN</v>
      </c>
      <c r="FZ82" s="8" t="str">
        <f>IF(_xlfn.XLOOKUP($A82,TabCAT!$A:$A,TabCAT!CK:CK,"NaN")="","NaN",(_xlfn.XLOOKUP($A82,TabCAT!$A:$A,TabCAT!CK:CK,"NaN")))</f>
        <v>NaN</v>
      </c>
      <c r="GA82" s="8" t="str">
        <f>IF(_xlfn.XLOOKUP($A82,TabCAT!$A:$A,TabCAT!CL:CL,"NaN")="","NaN",(_xlfn.XLOOKUP($A82,TabCAT!$A:$A,TabCAT!CL:CL,"NaN")))</f>
        <v>NaN</v>
      </c>
      <c r="GB82" s="8" t="str">
        <f>IF(_xlfn.XLOOKUP($A82,TabCAT!$A:$A,TabCAT!CM:CM,"NaN")="","NaN",(_xlfn.XLOOKUP($A82,TabCAT!$A:$A,TabCAT!CM:CM,"NaN")))</f>
        <v>NaN</v>
      </c>
      <c r="GC82" s="8" t="str">
        <f>IF(_xlfn.XLOOKUP($A82,TabCAT!$A:$A,TabCAT!CN:CN,"NaN")="","NaN",(_xlfn.XLOOKUP($A82,TabCAT!$A:$A,TabCAT!CN:CN,"NaN")))</f>
        <v>NaN</v>
      </c>
      <c r="GD82" s="8" t="str">
        <f>IF(_xlfn.XLOOKUP($A82,TabCAT!$A:$A,TabCAT!CO:CO,"NaN")="","NaN",(_xlfn.XLOOKUP($A82,TabCAT!$A:$A,TabCAT!CO:CO,"NaN")))</f>
        <v>NaN</v>
      </c>
      <c r="GE82" s="8" t="str">
        <f>IF(_xlfn.XLOOKUP($A82,TabCAT!$A:$A,TabCAT!CP:CP,"NaN")="","NaN",(_xlfn.XLOOKUP($A82,TabCAT!$A:$A,TabCAT!CP:CP,"NaN")))</f>
        <v>NaN</v>
      </c>
      <c r="GF82" s="8" t="str">
        <f>IF(_xlfn.XLOOKUP($A82,TabCAT!$A:$A,TabCAT!CQ:CQ,"NaN")="","NaN",(_xlfn.XLOOKUP($A82,TabCAT!$A:$A,TabCAT!CQ:CQ,"NaN")))</f>
        <v>NaN</v>
      </c>
      <c r="GG82" s="8" t="str">
        <f>IF(_xlfn.XLOOKUP($A82,TabCAT!$A:$A,TabCAT!CR:CR,"NaN")="","NaN",(_xlfn.XLOOKUP($A82,TabCAT!$A:$A,TabCAT!CR:CR,"NaN")))</f>
        <v>NaN</v>
      </c>
      <c r="GH82" s="8" t="str">
        <f>IF(_xlfn.XLOOKUP($A82,TabCAT!$A:$A,TabCAT!CS:CS,"NaN")="","NaN",(_xlfn.XLOOKUP($A82,TabCAT!$A:$A,TabCAT!CS:CS,"NaN")))</f>
        <v>NaN</v>
      </c>
    </row>
    <row r="83" spans="1:190" x14ac:dyDescent="0.2">
      <c r="A83">
        <f>trust!A83</f>
        <v>0</v>
      </c>
      <c r="B83" t="e">
        <f>_xlfn.XLOOKUP(bippity_poppity_boo!A83,rf1_data!A:A,rf1_data!B:B)</f>
        <v>#N/A</v>
      </c>
      <c r="C83" s="2" t="str">
        <f>(_xlfn.XLOOKUP($A83,trust!$A:$A,trust!B:B,"NaN"))</f>
        <v>NaN</v>
      </c>
      <c r="D83" s="2" t="str">
        <f>(_xlfn.XLOOKUP($A83,trust!$A:$A,trust!C:C,"NaN"))</f>
        <v>NaN</v>
      </c>
      <c r="E83" s="2" t="str">
        <f>(_xlfn.XLOOKUP($A83,trust!$A:$A,trust!D:D,"NaN"))</f>
        <v>NaN</v>
      </c>
      <c r="F83" s="2" t="str">
        <f>(_xlfn.XLOOKUP($A83,trust!$A:$A,trust!E:E,"NaN"))</f>
        <v>NaN</v>
      </c>
      <c r="G83" s="2" t="str">
        <f>(_xlfn.XLOOKUP($A83,trust!$A:$A,trust!F:F,"NaN"))</f>
        <v>NaN</v>
      </c>
      <c r="H83" s="2" t="str">
        <f>(_xlfn.XLOOKUP($A83,trust!$A:$A,trust!G:G,"NaN"))</f>
        <v>NaN</v>
      </c>
      <c r="I83" s="3" t="e">
        <f>IF(_xlfn.XLOOKUP($B83,island_data!$B:$B,island_data!C:C,"NaN")="","NaN",_xlfn.XLOOKUP($B83,island_data!$B:$B,island_data!C:C,"NaN"))</f>
        <v>#N/A</v>
      </c>
      <c r="J83" s="3" t="e">
        <f>IF(_xlfn.XLOOKUP($B83,island_data!$B:$B,island_data!D:D,"NaN")="","NaN",_xlfn.XLOOKUP($B83,island_data!$B:$B,island_data!D:D,"NaN"))</f>
        <v>#N/A</v>
      </c>
      <c r="K83" s="4" t="e">
        <f>IF(_xlfn.XLOOKUP($B83,island_data!$B:$B,island_data!E:E,"NaN")="","NaN",_xlfn.XLOOKUP($B83,island_data!$B:$B,island_data!E:E,"NaN"))</f>
        <v>#N/A</v>
      </c>
      <c r="L83" s="5" t="e">
        <f>IF(_xlfn.XLOOKUP($B83,rf1_data!$B:$B,rf1_data!D:D,"NaN")="","NaN",(_xlfn.XLOOKUP($B83,rf1_data!$B:$B,rf1_data!D:D,"NaN")))</f>
        <v>#N/A</v>
      </c>
      <c r="M83" s="5" t="e">
        <f>IF(_xlfn.XLOOKUP($B83,rf1_data!$B:$B,rf1_data!E:E,"NaN")="","NaN",(_xlfn.XLOOKUP($B83,rf1_data!$B:$B,rf1_data!E:E,"NaN")))</f>
        <v>#N/A</v>
      </c>
      <c r="N83" s="5" t="e">
        <f>IF(_xlfn.XLOOKUP($B83,rf1_data!$B:$B,rf1_data!F:F,"NaN")="","NaN",(_xlfn.XLOOKUP($B83,rf1_data!$B:$B,rf1_data!F:F,"NaN")))</f>
        <v>#N/A</v>
      </c>
      <c r="O83" s="5" t="e">
        <f>IF(_xlfn.XLOOKUP($B83,rf1_data!$B:$B,rf1_data!G:G,"NaN")="","NaN",(_xlfn.XLOOKUP($B83,rf1_data!$B:$B,rf1_data!G:G,"NaN")))</f>
        <v>#N/A</v>
      </c>
      <c r="P83" s="5" t="e">
        <f>IF(_xlfn.XLOOKUP($B83,rf1_data!$B:$B,rf1_data!H:H,"NaN")="","NaN",(_xlfn.XLOOKUP($B83,rf1_data!$B:$B,rf1_data!H:H,"NaN")))</f>
        <v>#N/A</v>
      </c>
      <c r="Q83" s="5" t="e">
        <f>IF(_xlfn.XLOOKUP($B83,rf1_data!$B:$B,rf1_data!I:I,"NaN")="","NaN",(_xlfn.XLOOKUP($B83,rf1_data!$B:$B,rf1_data!I:I,"NaN")))</f>
        <v>#N/A</v>
      </c>
      <c r="R83" s="5" t="e">
        <f>IF(_xlfn.XLOOKUP($B83,rf1_data!$B:$B,rf1_data!J:J,"NaN")="","NaN",(_xlfn.XLOOKUP($B83,rf1_data!$B:$B,rf1_data!J:J,"NaN")))</f>
        <v>#N/A</v>
      </c>
      <c r="S83" s="5" t="e">
        <f>IF(_xlfn.XLOOKUP($B83,rf1_data!$B:$B,rf1_data!K:K,"NaN")="","NaN",(_xlfn.XLOOKUP($B83,rf1_data!$B:$B,rf1_data!K:K,"NaN")))</f>
        <v>#N/A</v>
      </c>
      <c r="T83" s="5" t="e">
        <f>IF(_xlfn.XLOOKUP($B83,rf1_data!$B:$B,rf1_data!L:L,"NaN")="","NaN",(_xlfn.XLOOKUP($B83,rf1_data!$B:$B,rf1_data!L:L,"NaN")))</f>
        <v>#N/A</v>
      </c>
      <c r="U83" s="5" t="e">
        <f>IF(_xlfn.XLOOKUP($B83,rf1_data!$B:$B,rf1_data!M:M,"NaN")="","NaN",(_xlfn.XLOOKUP($B83,rf1_data!$B:$B,rf1_data!M:M,"NaN")))</f>
        <v>#N/A</v>
      </c>
      <c r="V83" s="5" t="e">
        <f>IF(_xlfn.XLOOKUP($B83,rf1_data!$B:$B,rf1_data!N:N,"NaN")="","NaN",(_xlfn.XLOOKUP($B83,rf1_data!$B:$B,rf1_data!N:N,"NaN")))</f>
        <v>#N/A</v>
      </c>
      <c r="W83" s="5" t="e">
        <f>IF(_xlfn.XLOOKUP($B83,rf1_data!$B:$B,rf1_data!O:O,"NaN")="","NaN",(_xlfn.XLOOKUP($B83,rf1_data!$B:$B,rf1_data!O:O,"NaN")))</f>
        <v>#N/A</v>
      </c>
      <c r="X83" s="5" t="e">
        <f>IF(_xlfn.XLOOKUP($B83,rf1_data!$B:$B,rf1_data!P:P,"NaN")="","NaN",(_xlfn.XLOOKUP($B83,rf1_data!$B:$B,rf1_data!P:P,"NaN")))</f>
        <v>#N/A</v>
      </c>
      <c r="Y83" s="5" t="e">
        <f>IF(_xlfn.XLOOKUP($B83,rf1_data!$B:$B,rf1_data!Q:Q,"NaN")="","NaN",(_xlfn.XLOOKUP($B83,rf1_data!$B:$B,rf1_data!Q:Q,"NaN")))</f>
        <v>#N/A</v>
      </c>
      <c r="Z83" s="5" t="e">
        <f>IF(_xlfn.XLOOKUP($B83,rf1_data!$B:$B,rf1_data!R:R,"NaN")="","NaN",(_xlfn.XLOOKUP($B83,rf1_data!$B:$B,rf1_data!R:R,"NaN")))</f>
        <v>#N/A</v>
      </c>
      <c r="AA83" s="5" t="e">
        <f>IF(_xlfn.XLOOKUP($B83,rf1_data!$B:$B,rf1_data!S:S,"NaN")="","NaN",(_xlfn.XLOOKUP($B83,rf1_data!$B:$B,rf1_data!S:S,"NaN")))</f>
        <v>#N/A</v>
      </c>
      <c r="AB83" s="5" t="e">
        <f>IF(_xlfn.XLOOKUP($B83,rf1_data!$B:$B,rf1_data!T:T,"NaN")="","NaN",(_xlfn.XLOOKUP($B83,rf1_data!$B:$B,rf1_data!T:T,"NaN")))</f>
        <v>#N/A</v>
      </c>
      <c r="AC83" s="5" t="e">
        <f>IF(_xlfn.XLOOKUP($B83,rf1_data!$B:$B,rf1_data!U:U,"NaN")="","NaN",(_xlfn.XLOOKUP($B83,rf1_data!$B:$B,rf1_data!U:U,"NaN")))</f>
        <v>#N/A</v>
      </c>
      <c r="AD83" s="5" t="e">
        <f>IF(_xlfn.XLOOKUP($B83,rf1_data!$B:$B,rf1_data!V:V,"NaN")="","NaN",(_xlfn.XLOOKUP($B83,rf1_data!$B:$B,rf1_data!V:V,"NaN")))</f>
        <v>#N/A</v>
      </c>
      <c r="AE83" s="5" t="e">
        <f>IF(_xlfn.XLOOKUP($B83,rf1_data!$B:$B,rf1_data!W:W,"NaN")="","NaN",(_xlfn.XLOOKUP($B83,rf1_data!$B:$B,rf1_data!W:W,"NaN")))</f>
        <v>#N/A</v>
      </c>
      <c r="AF83" s="5" t="e">
        <f>IF(_xlfn.XLOOKUP($B83,rf1_data!$B:$B,rf1_data!X:X,"NaN")="","NaN",(_xlfn.XLOOKUP($B83,rf1_data!$B:$B,rf1_data!X:X,"NaN")))</f>
        <v>#N/A</v>
      </c>
      <c r="AG83" s="5" t="e">
        <f>IF(_xlfn.XLOOKUP($B83,rf1_data!$B:$B,rf1_data!Y:Y,"NaN")="","NaN",(_xlfn.XLOOKUP($B83,rf1_data!$B:$B,rf1_data!Y:Y,"NaN")))</f>
        <v>#N/A</v>
      </c>
      <c r="AH83" s="5" t="e">
        <f>IF(_xlfn.XLOOKUP($B83,rf1_data!$B:$B,rf1_data!Z:Z,"NaN")="","NaN",(_xlfn.XLOOKUP($B83,rf1_data!$B:$B,rf1_data!Z:Z,"NaN")))</f>
        <v>#N/A</v>
      </c>
      <c r="AI83" s="5" t="e">
        <f>IF(_xlfn.XLOOKUP($B83,rf1_data!$B:$B,rf1_data!AA:AA,"NaN")="","NaN",(_xlfn.XLOOKUP($B83,rf1_data!$B:$B,rf1_data!AA:AA,"NaN")))</f>
        <v>#N/A</v>
      </c>
      <c r="AJ83" s="5" t="e">
        <f>IF(_xlfn.XLOOKUP($B83,rf1_data!$B:$B,rf1_data!AB:AB,"NaN")="","NaN",(_xlfn.XLOOKUP($B83,rf1_data!$B:$B,rf1_data!AB:AB,"NaN")))</f>
        <v>#N/A</v>
      </c>
      <c r="AK83" s="5" t="e">
        <f>IF(_xlfn.XLOOKUP($B83,rf1_data!$B:$B,rf1_data!AC:AC,"NaN")="","NaN",(_xlfn.XLOOKUP($B83,rf1_data!$B:$B,rf1_data!AC:AC,"NaN")))</f>
        <v>#N/A</v>
      </c>
      <c r="AL83" s="5" t="e">
        <f>IF(_xlfn.XLOOKUP($B83,rf1_data!$B:$B,rf1_data!AD:AD,"NaN")="","NaN",(_xlfn.XLOOKUP($B83,rf1_data!$B:$B,rf1_data!AD:AD,"NaN")))</f>
        <v>#N/A</v>
      </c>
      <c r="AM83" s="5" t="e">
        <f>IF(_xlfn.XLOOKUP($B83,rf1_data!$B:$B,rf1_data!AE:AE,"NaN")="","NaN",(_xlfn.XLOOKUP($B83,rf1_data!$B:$B,rf1_data!AE:AE,"NaN")))</f>
        <v>#N/A</v>
      </c>
      <c r="AN83" s="5" t="e">
        <f>IF(_xlfn.XLOOKUP($B83,rf1_data!$B:$B,rf1_data!AF:AF,"NaN")="","NaN",(_xlfn.XLOOKUP($B83,rf1_data!$B:$B,rf1_data!AF:AF,"NaN")))</f>
        <v>#N/A</v>
      </c>
      <c r="AO83" s="5" t="e">
        <f>IF(_xlfn.XLOOKUP($B83,rf1_data!$B:$B,rf1_data!AG:AG,"NaN")="","NaN",(_xlfn.XLOOKUP($B83,rf1_data!$B:$B,rf1_data!AG:AG,"NaN")))</f>
        <v>#N/A</v>
      </c>
      <c r="AP83" s="5" t="e">
        <f>IF(_xlfn.XLOOKUP($B83,rf1_data!$B:$B,rf1_data!AH:AH,"NaN")="","NaN",(_xlfn.XLOOKUP($B83,rf1_data!$B:$B,rf1_data!AH:AH,"NaN")))</f>
        <v>#N/A</v>
      </c>
      <c r="AQ83" s="5" t="e">
        <f>IF(_xlfn.XLOOKUP($B83,rf1_data!$B:$B,rf1_data!AI:AI,"NaN")="","NaN",(_xlfn.XLOOKUP($B83,rf1_data!$B:$B,rf1_data!AI:AI,"NaN")))</f>
        <v>#N/A</v>
      </c>
      <c r="AR83" s="5" t="e">
        <f>IF(_xlfn.XLOOKUP($B83,rf1_data!$B:$B,rf1_data!AJ:AJ,"NaN")="","NaN",(_xlfn.XLOOKUP($B83,rf1_data!$B:$B,rf1_data!AJ:AJ,"NaN")))</f>
        <v>#N/A</v>
      </c>
      <c r="AS83" s="5" t="e">
        <f>IF(_xlfn.XLOOKUP($B83,rf1_data!$B:$B,rf1_data!AK:AK,"NaN")="","NaN",(_xlfn.XLOOKUP($B83,rf1_data!$B:$B,rf1_data!AK:AK,"NaN")))</f>
        <v>#N/A</v>
      </c>
      <c r="AT83" s="5" t="e">
        <f>IF(_xlfn.XLOOKUP($B83,rf1_data!$B:$B,rf1_data!AL:AL,"NaN")="","NaN",(_xlfn.XLOOKUP($B83,rf1_data!$B:$B,rf1_data!AL:AL,"NaN")))</f>
        <v>#N/A</v>
      </c>
      <c r="AU83" s="5" t="e">
        <f>IF(_xlfn.XLOOKUP($B83,rf1_data!$B:$B,rf1_data!AM:AM,"NaN")="","NaN",(_xlfn.XLOOKUP($B83,rf1_data!$B:$B,rf1_data!AM:AM,"NaN")))</f>
        <v>#N/A</v>
      </c>
      <c r="AV83" s="5" t="e">
        <f>IF(_xlfn.XLOOKUP($B83,rf1_data!$B:$B,rf1_data!AN:AN,"NaN")="","NaN",(_xlfn.XLOOKUP($B83,rf1_data!$B:$B,rf1_data!AN:AN,"NaN")))</f>
        <v>#N/A</v>
      </c>
      <c r="AW83" s="5" t="e">
        <f>IF(_xlfn.XLOOKUP($B83,rf1_data!$B:$B,rf1_data!AO:AO,"NaN")="","NaN",(_xlfn.XLOOKUP($B83,rf1_data!$B:$B,rf1_data!AO:AO,"NaN")))</f>
        <v>#N/A</v>
      </c>
      <c r="AX83" s="5" t="e">
        <f>IF(_xlfn.XLOOKUP($B83,rf1_data!$B:$B,rf1_data!AP:AP,"NaN")="","NaN",(_xlfn.XLOOKUP($B83,rf1_data!$B:$B,rf1_data!AP:AP,"NaN")))</f>
        <v>#N/A</v>
      </c>
      <c r="AY83" s="5" t="e">
        <f>IF(_xlfn.XLOOKUP($B83,rf1_data!$B:$B,rf1_data!AQ:AQ,"NaN")="","NaN",(_xlfn.XLOOKUP($B83,rf1_data!$B:$B,rf1_data!AQ:AQ,"NaN")))</f>
        <v>#N/A</v>
      </c>
      <c r="AZ83" s="5" t="e">
        <f>IF(_xlfn.XLOOKUP($B83,rf1_data!$B:$B,rf1_data!AR:AR,"NaN")="","NaN",(_xlfn.XLOOKUP($B83,rf1_data!$B:$B,rf1_data!AR:AR,"NaN")))</f>
        <v>#N/A</v>
      </c>
      <c r="BA83" s="5" t="e">
        <f>IF(_xlfn.XLOOKUP($B83,rf1_data!$B:$B,rf1_data!AS:AS,"NaN")="","NaN",(_xlfn.XLOOKUP($B83,rf1_data!$B:$B,rf1_data!AS:AS,"NaN")))</f>
        <v>#N/A</v>
      </c>
      <c r="BB83" s="5" t="e">
        <f>IF(_xlfn.XLOOKUP($B83,rf1_data!$B:$B,rf1_data!AT:AT,"NaN")="","NaN",(_xlfn.XLOOKUP($B83,rf1_data!$B:$B,rf1_data!AT:AT,"NaN")))</f>
        <v>#N/A</v>
      </c>
      <c r="BC83" s="5" t="e">
        <f>IF(_xlfn.XLOOKUP($B83,rf1_data!$B:$B,rf1_data!AU:AU,"NaN")="","NaN",(_xlfn.XLOOKUP($B83,rf1_data!$B:$B,rf1_data!AU:AU,"NaN")))</f>
        <v>#N/A</v>
      </c>
      <c r="BD83" s="5" t="e">
        <f>IF(_xlfn.XLOOKUP($B83,rf1_data!$B:$B,rf1_data!AV:AV,"NaN")="","NaN",(_xlfn.XLOOKUP($B83,rf1_data!$B:$B,rf1_data!AV:AV,"NaN")))</f>
        <v>#N/A</v>
      </c>
      <c r="BE83" s="5" t="e">
        <f>IF(_xlfn.XLOOKUP($B83,rf1_data!$B:$B,rf1_data!AW:AW,"NaN")="","NaN",(_xlfn.XLOOKUP($B83,rf1_data!$B:$B,rf1_data!AW:AW,"NaN")))</f>
        <v>#N/A</v>
      </c>
      <c r="BF83" s="5" t="e">
        <f>IF(_xlfn.XLOOKUP($B83,rf1_data!$B:$B,rf1_data!AX:AX,"NaN")="","NaN",(_xlfn.XLOOKUP($B83,rf1_data!$B:$B,rf1_data!AX:AX,"NaN")))</f>
        <v>#N/A</v>
      </c>
      <c r="BG83" s="5" t="e">
        <f>IF(_xlfn.XLOOKUP($B83,rf1_data!$B:$B,rf1_data!AY:AY,"NaN")="","NaN",(_xlfn.XLOOKUP($B83,rf1_data!$B:$B,rf1_data!AY:AY,"NaN")))</f>
        <v>#N/A</v>
      </c>
      <c r="BH83" s="5" t="e">
        <f>IF(_xlfn.XLOOKUP($B83,rf1_data!$B:$B,rf1_data!AZ:AZ,"NaN")="","NaN",(_xlfn.XLOOKUP($B83,rf1_data!$B:$B,rf1_data!AZ:AZ,"NaN")))</f>
        <v>#N/A</v>
      </c>
      <c r="BI83" s="5" t="e">
        <f>IF(_xlfn.XLOOKUP($B83,rf1_data!$B:$B,rf1_data!BA:BA,"NaN")="","NaN",(_xlfn.XLOOKUP($B83,rf1_data!$B:$B,rf1_data!BA:BA,"NaN")))</f>
        <v>#N/A</v>
      </c>
      <c r="BJ83" s="5" t="e">
        <f>IF(_xlfn.XLOOKUP($B83,rf1_data!$B:$B,rf1_data!BB:BB,"NaN")="","NaN",(_xlfn.XLOOKUP($B83,rf1_data!$B:$B,rf1_data!BB:BB,"NaN")))</f>
        <v>#N/A</v>
      </c>
      <c r="BK83" s="5" t="e">
        <f>IF(_xlfn.XLOOKUP($B83,rf1_data!$B:$B,rf1_data!BC:BC,"NaN")="","NaN",(_xlfn.XLOOKUP($B83,rf1_data!$B:$B,rf1_data!BC:BC,"NaN")))</f>
        <v>#N/A</v>
      </c>
      <c r="BL83" s="5" t="e">
        <f>IF(_xlfn.XLOOKUP($B83,rf1_data!$B:$B,rf1_data!BD:BD,"NaN")="","NaN",(_xlfn.XLOOKUP($B83,rf1_data!$B:$B,rf1_data!BD:BD,"NaN")))</f>
        <v>#N/A</v>
      </c>
      <c r="BM83" s="5" t="e">
        <f>IF(_xlfn.XLOOKUP($B83,rf1_data!$B:$B,rf1_data!BE:BE,"NaN")="","NaN",(_xlfn.XLOOKUP($B83,rf1_data!$B:$B,rf1_data!BE:BE,"NaN")))</f>
        <v>#N/A</v>
      </c>
      <c r="BN83" s="5" t="e">
        <f>IF(_xlfn.XLOOKUP($B83,rf1_data!$B:$B,rf1_data!BF:BF,"NaN")="","NaN",(_xlfn.XLOOKUP($B83,rf1_data!$B:$B,rf1_data!BF:BF,"NaN")))</f>
        <v>#N/A</v>
      </c>
      <c r="BO83" s="5" t="e">
        <f>IF(_xlfn.XLOOKUP($B83,rf1_data!$B:$B,rf1_data!BG:BG,"NaN")="","NaN",(_xlfn.XLOOKUP($B83,rf1_data!$B:$B,rf1_data!BG:BG,"NaN")))</f>
        <v>#N/A</v>
      </c>
      <c r="BP83" s="5" t="e">
        <f>IF(_xlfn.XLOOKUP($B83,rf1_data!$B:$B,rf1_data!BH:BH,"NaN")="","NaN",(_xlfn.XLOOKUP($B83,rf1_data!$B:$B,rf1_data!BH:BH,"NaN")))</f>
        <v>#N/A</v>
      </c>
      <c r="BQ83" s="5" t="e">
        <f>IF(_xlfn.XLOOKUP($B83,rf1_data!$B:$B,rf1_data!BI:BI,"NaN")="","NaN",(_xlfn.XLOOKUP($B83,rf1_data!$B:$B,rf1_data!BI:BI,"NaN")))</f>
        <v>#N/A</v>
      </c>
      <c r="BR83" s="5" t="e">
        <f>IF(_xlfn.XLOOKUP($B83,rf1_data!$B:$B,rf1_data!BJ:BJ,"NaN")="","NaN",(_xlfn.XLOOKUP($B83,rf1_data!$B:$B,rf1_data!BJ:BJ,"NaN")))</f>
        <v>#N/A</v>
      </c>
      <c r="BS83" s="5" t="e">
        <f>IF(_xlfn.XLOOKUP($B83,rf1_data!$B:$B,rf1_data!BK:BK,"NaN")="","NaN",(_xlfn.XLOOKUP($B83,rf1_data!$B:$B,rf1_data!BK:BK,"NaN")))</f>
        <v>#N/A</v>
      </c>
      <c r="BT83" s="5" t="e">
        <f>IF(_xlfn.XLOOKUP($B83,rf1_data!$B:$B,rf1_data!BL:BL,"NaN")="","NaN",(_xlfn.XLOOKUP($B83,rf1_data!$B:$B,rf1_data!BL:BL,"NaN")))</f>
        <v>#N/A</v>
      </c>
      <c r="BU83" s="5" t="e">
        <f>IF(_xlfn.XLOOKUP($B83,rf1_data!$B:$B,rf1_data!BM:BM,"NaN")="","NaN",(_xlfn.XLOOKUP($B83,rf1_data!$B:$B,rf1_data!BM:BM,"NaN")))</f>
        <v>#N/A</v>
      </c>
      <c r="BV83" s="5" t="e">
        <f>IF(_xlfn.XLOOKUP($B83,rf1_data!$B:$B,rf1_data!BN:BN,"NaN")="","NaN",(_xlfn.XLOOKUP($B83,rf1_data!$B:$B,rf1_data!BN:BN,"NaN")))</f>
        <v>#N/A</v>
      </c>
      <c r="BW83" s="5" t="e">
        <f>IF(_xlfn.XLOOKUP($B83,rf1_data!$B:$B,rf1_data!BO:BO,"NaN")="","NaN",(_xlfn.XLOOKUP($B83,rf1_data!$B:$B,rf1_data!BO:BO,"NaN")))</f>
        <v>#N/A</v>
      </c>
      <c r="BX83" s="5" t="e">
        <f>IF(_xlfn.XLOOKUP($B83,rf1_data!$B:$B,rf1_data!BP:BP,"NaN")="","NaN",(_xlfn.XLOOKUP($B83,rf1_data!$B:$B,rf1_data!BP:BP,"NaN")))</f>
        <v>#N/A</v>
      </c>
      <c r="BY83" s="5" t="e">
        <f>IF(_xlfn.XLOOKUP($B83,rf1_data!$B:$B,rf1_data!BQ:BQ,"NaN")="","NaN",(_xlfn.XLOOKUP($B83,rf1_data!$B:$B,rf1_data!BQ:BQ,"NaN")))</f>
        <v>#N/A</v>
      </c>
      <c r="BZ83" s="5" t="e">
        <f>IF(_xlfn.XLOOKUP($B83,rf1_data!$B:$B,rf1_data!BR:BR,"NaN")="","NaN",(_xlfn.XLOOKUP($B83,rf1_data!$B:$B,rf1_data!BR:BR,"NaN")))</f>
        <v>#N/A</v>
      </c>
      <c r="CA83" s="5" t="e">
        <f>IF(_xlfn.XLOOKUP($B83,rf1_data!$B:$B,rf1_data!BS:BS,"NaN")="","NaN",(_xlfn.XLOOKUP($B83,rf1_data!$B:$B,rf1_data!BS:BS,"NaN")))</f>
        <v>#N/A</v>
      </c>
      <c r="CB83" s="5" t="e">
        <f>IF(_xlfn.XLOOKUP($B83,rf1_data!$B:$B,rf1_data!BT:BT,"NaN")="","NaN",(_xlfn.XLOOKUP($B83,rf1_data!$B:$B,rf1_data!BT:BT,"NaN")))</f>
        <v>#N/A</v>
      </c>
      <c r="CC83" s="5" t="e">
        <f>IF(_xlfn.XLOOKUP($B83,rf1_data!$B:$B,rf1_data!BU:BU,"NaN")="","NaN",(_xlfn.XLOOKUP($B83,rf1_data!$B:$B,rf1_data!BU:BU,"NaN")))</f>
        <v>#N/A</v>
      </c>
      <c r="CD83" s="5" t="e">
        <f>IF(_xlfn.XLOOKUP($B83,rf1_data!$B:$B,rf1_data!BV:BV,"NaN")="","NaN",(_xlfn.XLOOKUP($B83,rf1_data!$B:$B,rf1_data!BV:BV,"NaN")))</f>
        <v>#N/A</v>
      </c>
      <c r="CE83" s="5" t="e">
        <f>IF(_xlfn.XLOOKUP($B83,rf1_data!$B:$B,rf1_data!BW:BW,"NaN")="","NaN",(_xlfn.XLOOKUP($B83,rf1_data!$B:$B,rf1_data!BW:BW,"NaN")))</f>
        <v>#N/A</v>
      </c>
      <c r="CF83" s="5" t="e">
        <f>IF(_xlfn.XLOOKUP($B83,rf1_data!$B:$B,rf1_data!BX:BX,"NaN")="","NaN",(_xlfn.XLOOKUP($B83,rf1_data!$B:$B,rf1_data!BX:BX,"NaN")))</f>
        <v>#N/A</v>
      </c>
      <c r="CG83" s="5" t="e">
        <f>IF(_xlfn.XLOOKUP($B83,rf1_data!$B:$B,rf1_data!BY:BY,"NaN")="","NaN",(_xlfn.XLOOKUP($B83,rf1_data!$B:$B,rf1_data!BY:BY,"NaN")))</f>
        <v>#N/A</v>
      </c>
      <c r="CH83" s="5" t="e">
        <f>IF(_xlfn.XLOOKUP($B83,rf1_data!$B:$B,rf1_data!BZ:BZ,"NaN")="","NaN",(_xlfn.XLOOKUP($B83,rf1_data!$B:$B,rf1_data!BZ:BZ,"NaN")))</f>
        <v>#N/A</v>
      </c>
      <c r="CI83" s="5" t="e">
        <f>IF(_xlfn.XLOOKUP($B83,rf1_data!$B:$B,rf1_data!CA:CA,"NaN")="","NaN",(_xlfn.XLOOKUP($B83,rf1_data!$B:$B,rf1_data!CA:CA,"NaN")))</f>
        <v>#N/A</v>
      </c>
      <c r="CJ83" s="5" t="e">
        <f>IF(_xlfn.XLOOKUP($B83,rf1_data!$B:$B,rf1_data!CB:CB,"NaN")="","NaN",(_xlfn.XLOOKUP($B83,rf1_data!$B:$B,rf1_data!CB:CB,"NaN")))</f>
        <v>#N/A</v>
      </c>
      <c r="CK83" s="5" t="e">
        <f>IF(_xlfn.XLOOKUP($B83,rf1_data!$B:$B,rf1_data!CC:CC,"NaN")="","NaN",(_xlfn.XLOOKUP($B83,rf1_data!$B:$B,rf1_data!CC:CC,"NaN")))</f>
        <v>#N/A</v>
      </c>
      <c r="CL83" s="5" t="e">
        <f>IF(_xlfn.XLOOKUP($B83,rf1_data!$B:$B,rf1_data!CD:CD,"NaN")=0,"NaN",(_xlfn.XLOOKUP($B83,rf1_data!$B:$B,rf1_data!CD:CD,"NaN")))</f>
        <v>#N/A</v>
      </c>
      <c r="CM83" s="5" t="e">
        <f>IF(_xlfn.XLOOKUP($B83,rf1_data!$B:$B,rf1_data!CE:CE,"NaN")="","NaN",(_xlfn.XLOOKUP($B83,rf1_data!$B:$B,rf1_data!CE:CE,"NaN")))</f>
        <v>#N/A</v>
      </c>
      <c r="CN83" s="5" t="e">
        <f>IF(_xlfn.XLOOKUP($B83,rf1_data!$B:$B,rf1_data!CF:CF,"NaN")="","NaN",(_xlfn.XLOOKUP($B83,rf1_data!$B:$B,rf1_data!CF:CF,"NaN")))</f>
        <v>#N/A</v>
      </c>
      <c r="CO83" s="5" t="e">
        <f>IF(_xlfn.XLOOKUP($B83,rf1_data!$B:$B,rf1_data!CG:CG,"NaN")="","NaN",(_xlfn.XLOOKUP($B83,rf1_data!$B:$B,rf1_data!CG:CG,"NaN")))</f>
        <v>#N/A</v>
      </c>
      <c r="CP83" s="5" t="e">
        <f>IF(_xlfn.XLOOKUP($B83,rf1_data!$B:$B,rf1_data!CH:CH,"NaN")=0,"NaN",(_xlfn.XLOOKUP($B83,rf1_data!$B:$B,rf1_data!CH:CH,"NaN")))</f>
        <v>#N/A</v>
      </c>
      <c r="CQ83" s="5" t="e">
        <f>IF(_xlfn.XLOOKUP($B83,rf1_data!$B:$B,rf1_data!CI:CI,"NaN")="","NaN",(_xlfn.XLOOKUP($B83,rf1_data!$B:$B,rf1_data!CI:CI,"NaN")))</f>
        <v>#N/A</v>
      </c>
      <c r="CR83" s="5" t="e">
        <f>IF(_xlfn.XLOOKUP($B83,rf1_data!$B:$B,rf1_data!CJ:CJ,"NaN")="","NaN",(_xlfn.XLOOKUP($B83,rf1_data!$B:$B,rf1_data!CJ:CJ,"NaN")))</f>
        <v>#N/A</v>
      </c>
      <c r="CS83" s="5" t="e">
        <f>IF(_xlfn.XLOOKUP($B83,rf1_data!$B:$B,rf1_data!CK:CK,"NaN")="","NaN",(_xlfn.XLOOKUP($B83,rf1_data!$B:$B,rf1_data!CK:CK,"NaN")))</f>
        <v>#N/A</v>
      </c>
      <c r="CT83" s="5" t="e">
        <f>IF(_xlfn.XLOOKUP($B83,rf1_data!$B:$B,rf1_data!CL:CL,"NaN")="","NaN",(_xlfn.XLOOKUP($B83,rf1_data!$B:$B,rf1_data!CL:CL,"NaN")))</f>
        <v>#N/A</v>
      </c>
      <c r="CU83" s="5" t="e">
        <f>IF(_xlfn.XLOOKUP($B83,rf1_data!$B:$B,rf1_data!CM:CM,"NaN")="","NaN",(_xlfn.XLOOKUP($B83,rf1_data!$B:$B,rf1_data!CM:CM,"NaN")))</f>
        <v>#N/A</v>
      </c>
      <c r="CV83" s="5" t="e">
        <f>IF(_xlfn.XLOOKUP($B83,rf1_data!$B:$B,rf1_data!CN:CN,"NaN")="","NaN",(_xlfn.XLOOKUP($B83,rf1_data!$B:$B,rf1_data!CN:CN,"NaN")))</f>
        <v>#N/A</v>
      </c>
      <c r="CW83" s="5" t="e">
        <f>IF(_xlfn.XLOOKUP($B83,rf1_data!$B:$B,rf1_data!CO:CO,"NaN")="","NaN",(_xlfn.XLOOKUP($B83,rf1_data!$B:$B,rf1_data!CO:CO,"NaN")))</f>
        <v>#N/A</v>
      </c>
      <c r="CX83" s="5" t="e">
        <f>IF(_xlfn.XLOOKUP($B83,rf1_data!$B:$B,rf1_data!CP:CP,"NaN")="","NaN",(_xlfn.XLOOKUP($B83,rf1_data!$B:$B,rf1_data!CP:CP,"NaN")))</f>
        <v>#N/A</v>
      </c>
      <c r="CY83" s="5" t="e">
        <f>IF(_xlfn.XLOOKUP($B83,rf1_data!$B:$B,rf1_data!CQ:CQ,"NaN")="","NaN",(_xlfn.XLOOKUP($B83,rf1_data!$B:$B,rf1_data!CQ:CQ,"NaN")))</f>
        <v>#N/A</v>
      </c>
      <c r="CZ83" s="5" t="e">
        <f>IF(_xlfn.XLOOKUP($B83,rf1_data!$B:$B,rf1_data!CR:CR,"NaN")="","NaN",(_xlfn.XLOOKUP($B83,rf1_data!$B:$B,rf1_data!CR:CR,"NaN")))</f>
        <v>#N/A</v>
      </c>
      <c r="DA83" s="5" t="e">
        <f>IF(_xlfn.XLOOKUP($B83,rf1_data!$B:$B,rf1_data!CS:CS,"NaN")="","NaN",(_xlfn.XLOOKUP($B83,rf1_data!$B:$B,rf1_data!CS:CS,"NaN")))</f>
        <v>#N/A</v>
      </c>
      <c r="DB83" s="4" t="e">
        <f>IF(_xlfn.XLOOKUP($B83,island_data!$B:$B,island_data!H:H,"NaN")="","NaN",_xlfn.XLOOKUP($B83,island_data!$B:$B,island_data!H:H,"NaN"))</f>
        <v>#N/A</v>
      </c>
      <c r="DC83" s="4" t="e">
        <f>IF(_xlfn.XLOOKUP($B83,island_data!$B:$B,island_data!I:I,"NaN")="","NaN",_xlfn.XLOOKUP($B83,island_data!$B:$B,island_data!I:I,"NaN"))</f>
        <v>#N/A</v>
      </c>
      <c r="DD83" s="4" t="e">
        <f>IF(_xlfn.XLOOKUP($B83,island_data!$B:$B,island_data!J:J,"NaN")="","NaN",_xlfn.XLOOKUP($B83,island_data!$B:$B,island_data!J:J,"NaN"))</f>
        <v>#N/A</v>
      </c>
      <c r="DE83" s="4" t="e">
        <f>IF(_xlfn.XLOOKUP($B83,island_data!$B:$B,island_data!K:K,"NaN")="","NaN",_xlfn.XLOOKUP($B83,island_data!$B:$B,island_data!K:K,"NaN"))</f>
        <v>#N/A</v>
      </c>
      <c r="DF83" s="4" t="e">
        <f>IF(_xlfn.XLOOKUP($B83,island_data!$B:$B,island_data!L:L,"NaN")="","NaN",_xlfn.XLOOKUP($B83,island_data!$B:$B,island_data!L:L,"NaN"))</f>
        <v>#N/A</v>
      </c>
      <c r="DG83" s="4" t="e">
        <f>IF(_xlfn.XLOOKUP($B83,island_data!$B:$B,island_data!M:M,"NaN")="","NaN",_xlfn.XLOOKUP($B83,island_data!$B:$B,island_data!M:M,"NaN"))</f>
        <v>#N/A</v>
      </c>
      <c r="DH83" s="4" t="e">
        <f>IF(_xlfn.XLOOKUP($B83,island_data!$B:$B,island_data!N:N,"NaN")="","NaN",_xlfn.XLOOKUP($B83,island_data!$B:$B,island_data!N:N,"NaN"))</f>
        <v>#N/A</v>
      </c>
      <c r="DI83" s="4" t="e">
        <f>IF(_xlfn.XLOOKUP($B83,island_data!$B:$B,island_data!O:O,"NaN")=999,"NaN",_xlfn.XLOOKUP($B83,island_data!$B:$B,island_data!O:O,"NaN"))</f>
        <v>#N/A</v>
      </c>
      <c r="DJ83" s="4" t="e">
        <f>IF(_xlfn.XLOOKUP($B83,island_data!$B:$B,island_data!P:P,"NaN")="","NaN",_xlfn.XLOOKUP($B83,island_data!$B:$B,island_data!P:P,"NaN"))</f>
        <v>#N/A</v>
      </c>
      <c r="DK83" s="4" t="e">
        <f>IF(_xlfn.XLOOKUP($B83,island_data!$B:$B,island_data!Q:Q,"NaN")="","NaN",_xlfn.XLOOKUP($B83,island_data!$B:$B,island_data!Q:Q,"NaN"))</f>
        <v>#N/A</v>
      </c>
      <c r="DL83" s="4" t="e">
        <f>IF(_xlfn.XLOOKUP($B83,island_data!$B:$B,island_data!R:R,"NaN")=999,"NaN",_xlfn.XLOOKUP($B83,island_data!$B:$B,island_data!R:R,"NaN"))</f>
        <v>#N/A</v>
      </c>
      <c r="DM83" s="4" t="e">
        <f>IF(_xlfn.XLOOKUP($B83,island_data!$B:$B,island_data!S:S,"NaN")="","NaN",_xlfn.XLOOKUP($B83,island_data!$B:$B,island_data!S:S,"NaN"))</f>
        <v>#N/A</v>
      </c>
      <c r="DN83" s="4" t="e">
        <f>IF(_xlfn.XLOOKUP($B83,island_data!$B:$B,island_data!T:T,"NaN")="","NaN",_xlfn.XLOOKUP($B83,island_data!$B:$B,island_data!T:T,"NaN"))</f>
        <v>#N/A</v>
      </c>
      <c r="DO83" s="4" t="e">
        <f>IF(_xlfn.XLOOKUP($B83,island_data!$B:$B,island_data!U:U,"NaN")="","NaN",_xlfn.XLOOKUP($B83,island_data!$B:$B,island_data!U:U,"NaN"))</f>
        <v>#N/A</v>
      </c>
      <c r="DP83" s="4" t="e">
        <f>IF(_xlfn.XLOOKUP($B83,island_data!$B:$B,island_data!V:V,"NaN")="","NaN",_xlfn.XLOOKUP($B83,island_data!$B:$B,island_data!V:V,"NaN"))</f>
        <v>#N/A</v>
      </c>
      <c r="DQ83" s="4" t="e">
        <f>IF(_xlfn.XLOOKUP($B83,island_data!$B:$B,island_data!W:W,"NaN")="","NaN",_xlfn.XLOOKUP($B83,island_data!$B:$B,island_data!W:W,"NaN"))</f>
        <v>#N/A</v>
      </c>
      <c r="DR83" s="4" t="e">
        <f>IF(_xlfn.XLOOKUP($B83,island_data!$B:$B,island_data!X:X,"NaN")="","NaN",_xlfn.XLOOKUP($B83,island_data!$B:$B,island_data!X:X,"NaN"))</f>
        <v>#N/A</v>
      </c>
      <c r="DS83" s="4" t="e">
        <f>IF(_xlfn.XLOOKUP($B83,island_data!$B:$B,island_data!Y:Y,"NaN")="","NaN",_xlfn.XLOOKUP($B83,island_data!$B:$B,island_data!Y:Y,"NaN"))</f>
        <v>#N/A</v>
      </c>
      <c r="DT83" s="4" t="e">
        <f>IF(_xlfn.XLOOKUP($B83,island_data!$B:$B,island_data!Z:Z,"NaN")="","NaN",_xlfn.XLOOKUP($B83,island_data!$B:$B,island_data!Z:Z,"NaN"))</f>
        <v>#N/A</v>
      </c>
      <c r="DU83" s="4" t="e">
        <f>IF(_xlfn.XLOOKUP($B83,island_data!$B:$B,island_data!AA:AA,"NaN")="","NaN",_xlfn.XLOOKUP($B83,island_data!$B:$B,island_data!AA:AA,"NaN"))</f>
        <v>#N/A</v>
      </c>
      <c r="DV83" s="4" t="e">
        <f>IF(_xlfn.XLOOKUP($B83,island_data!$B:$B,island_data!AB:AB,"NaN")="","NaN",_xlfn.XLOOKUP($B83,island_data!$B:$B,island_data!AB:AB,"NaN"))</f>
        <v>#N/A</v>
      </c>
      <c r="DW83" s="4" t="e">
        <f>IF(_xlfn.XLOOKUP($B83,island_data!$B:$B,island_data!AC:AC,"NaN")="","NaN",_xlfn.XLOOKUP($B83,island_data!$B:$B,island_data!AC:AC,"NaN"))</f>
        <v>#N/A</v>
      </c>
      <c r="DX83" s="4" t="e">
        <f>IF(_xlfn.XLOOKUP($B83,island_data!$B:$B,island_data!AD:AD,"NaN")="","NaN",_xlfn.XLOOKUP($B83,island_data!$B:$B,island_data!AD:AD,"NaN"))</f>
        <v>#N/A</v>
      </c>
      <c r="DY83" s="4" t="e">
        <f>IF(_xlfn.XLOOKUP($B83,island_data!$B:$B,island_data!AE:AE,"NaN")="","NaN",_xlfn.XLOOKUP($B83,island_data!$B:$B,island_data!AE:AE,"NaN"))</f>
        <v>#N/A</v>
      </c>
      <c r="DZ83" s="4" t="e">
        <f>IF(_xlfn.XLOOKUP($B83,island_data!$B:$B,island_data!AF:AF,"NaN")="","NaN",_xlfn.XLOOKUP($B83,island_data!$B:$B,island_data!AF:AF,"NaN"))</f>
        <v>#N/A</v>
      </c>
      <c r="EA83" s="4" t="e">
        <f>IF(_xlfn.XLOOKUP($B83,island_data!$B:$B,island_data!AG:AG,"NaN")="","NaN",_xlfn.XLOOKUP($B83,island_data!$B:$B,island_data!AG:AG,"NaN"))</f>
        <v>#N/A</v>
      </c>
      <c r="EB83" s="4" t="e">
        <f>IF(_xlfn.XLOOKUP($B83,island_data!$B:$B,island_data!AH:AH,"NaN")="","NaN",_xlfn.XLOOKUP($B83,island_data!$B:$B,island_data!AH:AH,"NaN"))</f>
        <v>#N/A</v>
      </c>
      <c r="EC83" s="4" t="e">
        <f>IF(_xlfn.XLOOKUP($B83,island_data!$B:$B,island_data!AI:AI,"NaN")="","NaN",_xlfn.XLOOKUP($B83,island_data!$B:$B,island_data!AI:AI,"NaN"))</f>
        <v>#N/A</v>
      </c>
      <c r="ED83" s="4" t="e">
        <f>IF(_xlfn.XLOOKUP($B83,island_data!$B:$B,island_data!AJ:AJ,"NaN")="","NaN",_xlfn.XLOOKUP($B83,island_data!$B:$B,island_data!AJ:AJ,"NaN"))</f>
        <v>#N/A</v>
      </c>
      <c r="EE83" s="4" t="e">
        <f>IF(_xlfn.XLOOKUP($B83,island_data!$B:$B,island_data!AK:AK,"NaN")="","NaN",_xlfn.XLOOKUP($B83,island_data!$B:$B,island_data!AK:AK,"NaN"))</f>
        <v>#N/A</v>
      </c>
      <c r="EF83" s="4" t="e">
        <f>IF(_xlfn.XLOOKUP($B83,island_data!$B:$B,island_data!AL:AL,"NaN")="","NaN",_xlfn.XLOOKUP($B83,island_data!$B:$B,island_data!AL:AL,"NaN"))</f>
        <v>#N/A</v>
      </c>
      <c r="EG83" s="4" t="e">
        <f>IF(_xlfn.XLOOKUP($B83,island_data!$B:$B,island_data!AM:AM,"NaN")="","NaN",_xlfn.XLOOKUP($B83,island_data!$B:$B,island_data!AM:AM,"NaN"))</f>
        <v>#N/A</v>
      </c>
      <c r="EH83" s="4" t="e">
        <f>IF(_xlfn.XLOOKUP($B83,island_data!$B:$B,island_data!AN:AN,"NaN")="","NaN",_xlfn.XLOOKUP($B83,island_data!$B:$B,island_data!AN:AN,"NaN"))</f>
        <v>#N/A</v>
      </c>
      <c r="EI83" s="4" t="e">
        <f>IF(_xlfn.XLOOKUP($B83,island_data!$B:$B,island_data!AO:AO,"NaN")="","NaN",_xlfn.XLOOKUP($B83,island_data!$B:$B,island_data!AO:AO,"NaN"))</f>
        <v>#N/A</v>
      </c>
      <c r="EJ83" s="8" t="str">
        <f>IF(_xlfn.XLOOKUP($A83,TabCAT!$A:$A,TabCAT!AU:AU,"NaN")="","NaN",(_xlfn.XLOOKUP($A83,TabCAT!$A:$A,TabCAT!AU:AU,"NaN")))</f>
        <v>NaN</v>
      </c>
      <c r="EK83" s="8" t="str">
        <f>IF(_xlfn.XLOOKUP($A83,TabCAT!$A:$A,TabCAT!AV:AV,"NaN")="","NaN",(_xlfn.XLOOKUP($A83,TabCAT!$A:$A,TabCAT!AV:AV,"NaN")))</f>
        <v>NaN</v>
      </c>
      <c r="EL83" s="8" t="str">
        <f>IF(_xlfn.XLOOKUP($A83,TabCAT!$A:$A,TabCAT!AW:AW,"NaN")="","NaN",(_xlfn.XLOOKUP($A83,TabCAT!$A:$A,TabCAT!AW:AW,"NaN")))</f>
        <v>NaN</v>
      </c>
      <c r="EM83" s="8" t="str">
        <f>IF(_xlfn.XLOOKUP($A83,TabCAT!$A:$A,TabCAT!AX:AX,"NaN")="","NaN",(_xlfn.XLOOKUP($A83,TabCAT!$A:$A,TabCAT!AX:AX,"NaN")))</f>
        <v>NaN</v>
      </c>
      <c r="EN83" s="8" t="str">
        <f>IF(_xlfn.XLOOKUP($A83,TabCAT!$A:$A,TabCAT!AY:AY,"NaN")="","NaN",(_xlfn.XLOOKUP($A83,TabCAT!$A:$A,TabCAT!AY:AY,"NaN")))</f>
        <v>NaN</v>
      </c>
      <c r="EO83" s="8" t="str">
        <f>IF(_xlfn.XLOOKUP($A83,TabCAT!$A:$A,TabCAT!AZ:AZ,"NaN")="","NaN",(_xlfn.XLOOKUP($A83,TabCAT!$A:$A,TabCAT!AZ:AZ,"NaN")))</f>
        <v>NaN</v>
      </c>
      <c r="EP83" s="8" t="str">
        <f>IF(_xlfn.XLOOKUP($A83,TabCAT!$A:$A,TabCAT!BA:BA,"NaN")="","NaN",(_xlfn.XLOOKUP($A83,TabCAT!$A:$A,TabCAT!BA:BA,"NaN")))</f>
        <v>NaN</v>
      </c>
      <c r="EQ83" s="8" t="str">
        <f>IF(_xlfn.XLOOKUP($A83,TabCAT!$A:$A,TabCAT!BB:BB,"NaN")="","NaN",(_xlfn.XLOOKUP($A83,TabCAT!$A:$A,TabCAT!BB:BB,"NaN")))</f>
        <v>NaN</v>
      </c>
      <c r="ER83" s="8" t="str">
        <f>IF(_xlfn.XLOOKUP($A83,TabCAT!$A:$A,TabCAT!BC:BC,"NaN")="","NaN",(_xlfn.XLOOKUP($A83,TabCAT!$A:$A,TabCAT!BC:BC,"NaN")))</f>
        <v>NaN</v>
      </c>
      <c r="ES83" s="8" t="str">
        <f>IF(_xlfn.XLOOKUP($A83,TabCAT!$A:$A,TabCAT!BD:BD,"NaN")="","NaN",(_xlfn.XLOOKUP($A83,TabCAT!$A:$A,TabCAT!BD:BD,"NaN")))</f>
        <v>NaN</v>
      </c>
      <c r="ET83" s="8" t="str">
        <f>IF(_xlfn.XLOOKUP($A83,TabCAT!$A:$A,TabCAT!BE:BE,"NaN")="","NaN",(_xlfn.XLOOKUP($A83,TabCAT!$A:$A,TabCAT!BE:BE,"NaN")))</f>
        <v>NaN</v>
      </c>
      <c r="EU83" s="8" t="str">
        <f>IF(_xlfn.XLOOKUP($A83,TabCAT!$A:$A,TabCAT!BF:BF,"NaN")="","NaN",(_xlfn.XLOOKUP($A83,TabCAT!$A:$A,TabCAT!BF:BF,"NaN")))</f>
        <v>NaN</v>
      </c>
      <c r="EV83" s="8" t="str">
        <f>IF(_xlfn.XLOOKUP($A83,TabCAT!$A:$A,TabCAT!BG:BG,"NaN")="","NaN",(_xlfn.XLOOKUP($A83,TabCAT!$A:$A,TabCAT!BG:BG,"NaN")))</f>
        <v>NaN</v>
      </c>
      <c r="EW83" s="8" t="str">
        <f>IF(_xlfn.XLOOKUP($A83,TabCAT!$A:$A,TabCAT!BH:BH,"NaN")="","NaN",(_xlfn.XLOOKUP($A83,TabCAT!$A:$A,TabCAT!BH:BH,"NaN")))</f>
        <v>NaN</v>
      </c>
      <c r="EX83" s="8" t="str">
        <f>IF(_xlfn.XLOOKUP($A83,TabCAT!$A:$A,TabCAT!BI:BI,"NaN")="","NaN",(_xlfn.XLOOKUP($A83,TabCAT!$A:$A,TabCAT!BI:BI,"NaN")))</f>
        <v>NaN</v>
      </c>
      <c r="EY83" s="8" t="str">
        <f>IF(_xlfn.XLOOKUP($A83,TabCAT!$A:$A,TabCAT!BJ:BJ,"NaN")="","NaN",(_xlfn.XLOOKUP($A83,TabCAT!$A:$A,TabCAT!BJ:BJ,"NaN")))</f>
        <v>NaN</v>
      </c>
      <c r="EZ83" s="8" t="str">
        <f>IF(_xlfn.XLOOKUP($A83,TabCAT!$A:$A,TabCAT!BK:BK,"NaN")="","NaN",(_xlfn.XLOOKUP($A83,TabCAT!$A:$A,TabCAT!BK:BK,"NaN")))</f>
        <v>NaN</v>
      </c>
      <c r="FA83" s="8" t="str">
        <f>IF(_xlfn.XLOOKUP($A83,TabCAT!$A:$A,TabCAT!BL:BL,"NaN")="","NaN",(_xlfn.XLOOKUP($A83,TabCAT!$A:$A,TabCAT!BL:BL,"NaN")))</f>
        <v>NaN</v>
      </c>
      <c r="FB83" s="8" t="str">
        <f>IF(_xlfn.XLOOKUP($A83,TabCAT!$A:$A,TabCAT!BM:BM,"NaN")="","NaN",(_xlfn.XLOOKUP($A83,TabCAT!$A:$A,TabCAT!BM:BM,"NaN")))</f>
        <v>NaN</v>
      </c>
      <c r="FC83" s="8" t="str">
        <f>IF(_xlfn.XLOOKUP($A83,TabCAT!$A:$A,TabCAT!BN:BN,"NaN")="","NaN",(_xlfn.XLOOKUP($A83,TabCAT!$A:$A,TabCAT!BN:BN,"NaN")))</f>
        <v>NaN</v>
      </c>
      <c r="FD83" s="8" t="str">
        <f>IF(_xlfn.XLOOKUP($A83,TabCAT!$A:$A,TabCAT!BO:BO,"NaN")="","NaN",(_xlfn.XLOOKUP($A83,TabCAT!$A:$A,TabCAT!BO:BO,"NaN")))</f>
        <v>NaN</v>
      </c>
      <c r="FE83" s="8" t="str">
        <f>IF(_xlfn.XLOOKUP($A83,TabCAT!$A:$A,TabCAT!BP:BP,"NaN")="","NaN",(_xlfn.XLOOKUP($A83,TabCAT!$A:$A,TabCAT!BP:BP,"NaN")))</f>
        <v>NaN</v>
      </c>
      <c r="FF83" s="8" t="str">
        <f>IF(_xlfn.XLOOKUP($A83,TabCAT!$A:$A,TabCAT!BQ:BQ,"NaN")="","NaN",(_xlfn.XLOOKUP($A83,TabCAT!$A:$A,TabCAT!BQ:BQ,"NaN")))</f>
        <v>NaN</v>
      </c>
      <c r="FG83" s="8" t="str">
        <f>IF(_xlfn.XLOOKUP($A83,TabCAT!$A:$A,TabCAT!BR:BR,"NaN")="","NaN",(_xlfn.XLOOKUP($A83,TabCAT!$A:$A,TabCAT!BR:BR,"NaN")))</f>
        <v>NaN</v>
      </c>
      <c r="FH83" s="8" t="str">
        <f>IF(_xlfn.XLOOKUP($A83,TabCAT!$A:$A,TabCAT!BS:BS,"NaN")="","NaN",(_xlfn.XLOOKUP($A83,TabCAT!$A:$A,TabCAT!BS:BS,"NaN")))</f>
        <v>NaN</v>
      </c>
      <c r="FI83" s="8" t="str">
        <f>IF(_xlfn.XLOOKUP($A83,TabCAT!$A:$A,TabCAT!BT:BT,"NaN")="","NaN",(_xlfn.XLOOKUP($A83,TabCAT!$A:$A,TabCAT!BT:BT,"NaN")))</f>
        <v>NaN</v>
      </c>
      <c r="FJ83" s="8" t="str">
        <f>IF(_xlfn.XLOOKUP($A83,TabCAT!$A:$A,TabCAT!BU:BU,"NaN")="","NaN",(_xlfn.XLOOKUP($A83,TabCAT!$A:$A,TabCAT!BU:BU,"NaN")))</f>
        <v>NaN</v>
      </c>
      <c r="FK83" s="8" t="str">
        <f>IF(_xlfn.XLOOKUP($A83,TabCAT!$A:$A,TabCAT!BV:BV,"NaN")="","NaN",(_xlfn.XLOOKUP($A83,TabCAT!$A:$A,TabCAT!BV:BV,"NaN")))</f>
        <v>NaN</v>
      </c>
      <c r="FL83" s="8" t="str">
        <f>IF(_xlfn.XLOOKUP($A83,TabCAT!$A:$A,TabCAT!BW:BW,"NaN")="","NaN",(_xlfn.XLOOKUP($A83,TabCAT!$A:$A,TabCAT!BW:BW,"NaN")))</f>
        <v>NaN</v>
      </c>
      <c r="FM83" s="8" t="str">
        <f>IF(_xlfn.XLOOKUP($A83,TabCAT!$A:$A,TabCAT!BX:BX,"NaN")="","NaN",(_xlfn.XLOOKUP($A83,TabCAT!$A:$A,TabCAT!BX:BX,"NaN")))</f>
        <v>NaN</v>
      </c>
      <c r="FN83" s="8" t="str">
        <f>IF(_xlfn.XLOOKUP($A83,TabCAT!$A:$A,TabCAT!BY:BY,"NaN")="","NaN",(_xlfn.XLOOKUP($A83,TabCAT!$A:$A,TabCAT!BY:BY,"NaN")))</f>
        <v>NaN</v>
      </c>
      <c r="FO83" s="8" t="str">
        <f>IF(_xlfn.XLOOKUP($A83,TabCAT!$A:$A,TabCAT!BZ:BZ,"NaN")="","NaN",(_xlfn.XLOOKUP($A83,TabCAT!$A:$A,TabCAT!BZ:BZ,"NaN")))</f>
        <v>NaN</v>
      </c>
      <c r="FP83" s="8" t="str">
        <f>IF(_xlfn.XLOOKUP($A83,TabCAT!$A:$A,TabCAT!CA:CA,"NaN")="","NaN",(_xlfn.XLOOKUP($A83,TabCAT!$A:$A,TabCAT!CA:CA,"NaN")))</f>
        <v>NaN</v>
      </c>
      <c r="FQ83" s="8" t="str">
        <f>IF(_xlfn.XLOOKUP($A83,TabCAT!$A:$A,TabCAT!CB:CB,"NaN")="","NaN",(_xlfn.XLOOKUP($A83,TabCAT!$A:$A,TabCAT!CB:CB,"NaN")))</f>
        <v>NaN</v>
      </c>
      <c r="FR83" s="8" t="str">
        <f>IF(_xlfn.XLOOKUP($A83,TabCAT!$A:$A,TabCAT!CC:CC,"NaN")="","NaN",(_xlfn.XLOOKUP($A83,TabCAT!$A:$A,TabCAT!CC:CC,"NaN")))</f>
        <v>NaN</v>
      </c>
      <c r="FS83" s="8" t="str">
        <f>IF(_xlfn.XLOOKUP($A83,TabCAT!$A:$A,TabCAT!CD:CD,"NaN")="","NaN",(_xlfn.XLOOKUP($A83,TabCAT!$A:$A,TabCAT!CD:CD,"NaN")))</f>
        <v>NaN</v>
      </c>
      <c r="FT83" s="8" t="str">
        <f>IF(_xlfn.XLOOKUP($A83,TabCAT!$A:$A,TabCAT!CE:CE,"NaN")="","NaN",(_xlfn.XLOOKUP($A83,TabCAT!$A:$A,TabCAT!CE:CE,"NaN")))</f>
        <v>NaN</v>
      </c>
      <c r="FU83" s="8" t="str">
        <f>IF(_xlfn.XLOOKUP($A83,TabCAT!$A:$A,TabCAT!CF:CF,"NaN")="","NaN",(_xlfn.XLOOKUP($A83,TabCAT!$A:$A,TabCAT!CF:CF,"NaN")))</f>
        <v>NaN</v>
      </c>
      <c r="FV83" s="8" t="str">
        <f>IF(_xlfn.XLOOKUP($A83,TabCAT!$A:$A,TabCAT!CG:CG,"NaN")="","NaN",(_xlfn.XLOOKUP($A83,TabCAT!$A:$A,TabCAT!CG:CG,"NaN")))</f>
        <v>NaN</v>
      </c>
      <c r="FW83" s="8" t="str">
        <f>IF(_xlfn.XLOOKUP($A83,TabCAT!$A:$A,TabCAT!CH:CH,"NaN")="","NaN",(_xlfn.XLOOKUP($A83,TabCAT!$A:$A,TabCAT!CH:CH,"NaN")))</f>
        <v>NaN</v>
      </c>
      <c r="FX83" s="8" t="str">
        <f>IF(_xlfn.XLOOKUP($A83,TabCAT!$A:$A,TabCAT!CI:CI,"NaN")="","NaN",(_xlfn.XLOOKUP($A83,TabCAT!$A:$A,TabCAT!CI:CI,"NaN")))</f>
        <v>NaN</v>
      </c>
      <c r="FY83" s="8" t="str">
        <f>IF(_xlfn.XLOOKUP($A83,TabCAT!$A:$A,TabCAT!CJ:CJ,"NaN")="","NaN",(_xlfn.XLOOKUP($A83,TabCAT!$A:$A,TabCAT!CJ:CJ,"NaN")))</f>
        <v>NaN</v>
      </c>
      <c r="FZ83" s="8" t="str">
        <f>IF(_xlfn.XLOOKUP($A83,TabCAT!$A:$A,TabCAT!CK:CK,"NaN")="","NaN",(_xlfn.XLOOKUP($A83,TabCAT!$A:$A,TabCAT!CK:CK,"NaN")))</f>
        <v>NaN</v>
      </c>
      <c r="GA83" s="8" t="str">
        <f>IF(_xlfn.XLOOKUP($A83,TabCAT!$A:$A,TabCAT!CL:CL,"NaN")="","NaN",(_xlfn.XLOOKUP($A83,TabCAT!$A:$A,TabCAT!CL:CL,"NaN")))</f>
        <v>NaN</v>
      </c>
      <c r="GB83" s="8" t="str">
        <f>IF(_xlfn.XLOOKUP($A83,TabCAT!$A:$A,TabCAT!CM:CM,"NaN")="","NaN",(_xlfn.XLOOKUP($A83,TabCAT!$A:$A,TabCAT!CM:CM,"NaN")))</f>
        <v>NaN</v>
      </c>
      <c r="GC83" s="8" t="str">
        <f>IF(_xlfn.XLOOKUP($A83,TabCAT!$A:$A,TabCAT!CN:CN,"NaN")="","NaN",(_xlfn.XLOOKUP($A83,TabCAT!$A:$A,TabCAT!CN:CN,"NaN")))</f>
        <v>NaN</v>
      </c>
      <c r="GD83" s="8" t="str">
        <f>IF(_xlfn.XLOOKUP($A83,TabCAT!$A:$A,TabCAT!CO:CO,"NaN")="","NaN",(_xlfn.XLOOKUP($A83,TabCAT!$A:$A,TabCAT!CO:CO,"NaN")))</f>
        <v>NaN</v>
      </c>
      <c r="GE83" s="8" t="str">
        <f>IF(_xlfn.XLOOKUP($A83,TabCAT!$A:$A,TabCAT!CP:CP,"NaN")="","NaN",(_xlfn.XLOOKUP($A83,TabCAT!$A:$A,TabCAT!CP:CP,"NaN")))</f>
        <v>NaN</v>
      </c>
      <c r="GF83" s="8" t="str">
        <f>IF(_xlfn.XLOOKUP($A83,TabCAT!$A:$A,TabCAT!CQ:CQ,"NaN")="","NaN",(_xlfn.XLOOKUP($A83,TabCAT!$A:$A,TabCAT!CQ:CQ,"NaN")))</f>
        <v>NaN</v>
      </c>
      <c r="GG83" s="8" t="str">
        <f>IF(_xlfn.XLOOKUP($A83,TabCAT!$A:$A,TabCAT!CR:CR,"NaN")="","NaN",(_xlfn.XLOOKUP($A83,TabCAT!$A:$A,TabCAT!CR:CR,"NaN")))</f>
        <v>NaN</v>
      </c>
      <c r="GH83" s="8" t="str">
        <f>IF(_xlfn.XLOOKUP($A83,TabCAT!$A:$A,TabCAT!CS:CS,"NaN")="","NaN",(_xlfn.XLOOKUP($A83,TabCAT!$A:$A,TabCAT!CS:CS,"NaN")))</f>
        <v>NaN</v>
      </c>
    </row>
    <row r="84" spans="1:190" x14ac:dyDescent="0.2">
      <c r="A84">
        <f>trust!A84</f>
        <v>0</v>
      </c>
      <c r="B84" t="e">
        <f>_xlfn.XLOOKUP(bippity_poppity_boo!A84,rf1_data!A:A,rf1_data!B:B)</f>
        <v>#N/A</v>
      </c>
      <c r="C84" s="2" t="str">
        <f>(_xlfn.XLOOKUP($A84,trust!$A:$A,trust!B:B,"NaN"))</f>
        <v>NaN</v>
      </c>
      <c r="D84" s="2" t="str">
        <f>(_xlfn.XLOOKUP($A84,trust!$A:$A,trust!C:C,"NaN"))</f>
        <v>NaN</v>
      </c>
      <c r="E84" s="2" t="str">
        <f>(_xlfn.XLOOKUP($A84,trust!$A:$A,trust!D:D,"NaN"))</f>
        <v>NaN</v>
      </c>
      <c r="F84" s="2" t="str">
        <f>(_xlfn.XLOOKUP($A84,trust!$A:$A,trust!E:E,"NaN"))</f>
        <v>NaN</v>
      </c>
      <c r="G84" s="2" t="str">
        <f>(_xlfn.XLOOKUP($A84,trust!$A:$A,trust!F:F,"NaN"))</f>
        <v>NaN</v>
      </c>
      <c r="H84" s="2" t="str">
        <f>(_xlfn.XLOOKUP($A84,trust!$A:$A,trust!G:G,"NaN"))</f>
        <v>NaN</v>
      </c>
      <c r="I84" s="3" t="e">
        <f>IF(_xlfn.XLOOKUP($B84,island_data!$B:$B,island_data!C:C,"NaN")="","NaN",_xlfn.XLOOKUP($B84,island_data!$B:$B,island_data!C:C,"NaN"))</f>
        <v>#N/A</v>
      </c>
      <c r="J84" s="3" t="e">
        <f>IF(_xlfn.XLOOKUP($B84,island_data!$B:$B,island_data!D:D,"NaN")="","NaN",_xlfn.XLOOKUP($B84,island_data!$B:$B,island_data!D:D,"NaN"))</f>
        <v>#N/A</v>
      </c>
      <c r="K84" s="4" t="e">
        <f>IF(_xlfn.XLOOKUP($B84,island_data!$B:$B,island_data!E:E,"NaN")="","NaN",_xlfn.XLOOKUP($B84,island_data!$B:$B,island_data!E:E,"NaN"))</f>
        <v>#N/A</v>
      </c>
      <c r="L84" s="5" t="e">
        <f>IF(_xlfn.XLOOKUP($B84,rf1_data!$B:$B,rf1_data!D:D,"NaN")="","NaN",(_xlfn.XLOOKUP($B84,rf1_data!$B:$B,rf1_data!D:D,"NaN")))</f>
        <v>#N/A</v>
      </c>
      <c r="M84" s="5" t="e">
        <f>IF(_xlfn.XLOOKUP($B84,rf1_data!$B:$B,rf1_data!E:E,"NaN")="","NaN",(_xlfn.XLOOKUP($B84,rf1_data!$B:$B,rf1_data!E:E,"NaN")))</f>
        <v>#N/A</v>
      </c>
      <c r="N84" s="5" t="e">
        <f>IF(_xlfn.XLOOKUP($B84,rf1_data!$B:$B,rf1_data!F:F,"NaN")="","NaN",(_xlfn.XLOOKUP($B84,rf1_data!$B:$B,rf1_data!F:F,"NaN")))</f>
        <v>#N/A</v>
      </c>
      <c r="O84" s="5" t="e">
        <f>IF(_xlfn.XLOOKUP($B84,rf1_data!$B:$B,rf1_data!G:G,"NaN")="","NaN",(_xlfn.XLOOKUP($B84,rf1_data!$B:$B,rf1_data!G:G,"NaN")))</f>
        <v>#N/A</v>
      </c>
      <c r="P84" s="5" t="e">
        <f>IF(_xlfn.XLOOKUP($B84,rf1_data!$B:$B,rf1_data!H:H,"NaN")="","NaN",(_xlfn.XLOOKUP($B84,rf1_data!$B:$B,rf1_data!H:H,"NaN")))</f>
        <v>#N/A</v>
      </c>
      <c r="Q84" s="5" t="e">
        <f>IF(_xlfn.XLOOKUP($B84,rf1_data!$B:$B,rf1_data!I:I,"NaN")="","NaN",(_xlfn.XLOOKUP($B84,rf1_data!$B:$B,rf1_data!I:I,"NaN")))</f>
        <v>#N/A</v>
      </c>
      <c r="R84" s="5" t="e">
        <f>IF(_xlfn.XLOOKUP($B84,rf1_data!$B:$B,rf1_data!J:J,"NaN")="","NaN",(_xlfn.XLOOKUP($B84,rf1_data!$B:$B,rf1_data!J:J,"NaN")))</f>
        <v>#N/A</v>
      </c>
      <c r="S84" s="5" t="e">
        <f>IF(_xlfn.XLOOKUP($B84,rf1_data!$B:$B,rf1_data!K:K,"NaN")="","NaN",(_xlfn.XLOOKUP($B84,rf1_data!$B:$B,rf1_data!K:K,"NaN")))</f>
        <v>#N/A</v>
      </c>
      <c r="T84" s="5" t="e">
        <f>IF(_xlfn.XLOOKUP($B84,rf1_data!$B:$B,rf1_data!L:L,"NaN")="","NaN",(_xlfn.XLOOKUP($B84,rf1_data!$B:$B,rf1_data!L:L,"NaN")))</f>
        <v>#N/A</v>
      </c>
      <c r="U84" s="5" t="e">
        <f>IF(_xlfn.XLOOKUP($B84,rf1_data!$B:$B,rf1_data!M:M,"NaN")="","NaN",(_xlfn.XLOOKUP($B84,rf1_data!$B:$B,rf1_data!M:M,"NaN")))</f>
        <v>#N/A</v>
      </c>
      <c r="V84" s="5" t="e">
        <f>IF(_xlfn.XLOOKUP($B84,rf1_data!$B:$B,rf1_data!N:N,"NaN")="","NaN",(_xlfn.XLOOKUP($B84,rf1_data!$B:$B,rf1_data!N:N,"NaN")))</f>
        <v>#N/A</v>
      </c>
      <c r="W84" s="5" t="e">
        <f>IF(_xlfn.XLOOKUP($B84,rf1_data!$B:$B,rf1_data!O:O,"NaN")="","NaN",(_xlfn.XLOOKUP($B84,rf1_data!$B:$B,rf1_data!O:O,"NaN")))</f>
        <v>#N/A</v>
      </c>
      <c r="X84" s="5" t="e">
        <f>IF(_xlfn.XLOOKUP($B84,rf1_data!$B:$B,rf1_data!P:P,"NaN")="","NaN",(_xlfn.XLOOKUP($B84,rf1_data!$B:$B,rf1_data!P:P,"NaN")))</f>
        <v>#N/A</v>
      </c>
      <c r="Y84" s="5" t="e">
        <f>IF(_xlfn.XLOOKUP($B84,rf1_data!$B:$B,rf1_data!Q:Q,"NaN")="","NaN",(_xlfn.XLOOKUP($B84,rf1_data!$B:$B,rf1_data!Q:Q,"NaN")))</f>
        <v>#N/A</v>
      </c>
      <c r="Z84" s="5" t="e">
        <f>IF(_xlfn.XLOOKUP($B84,rf1_data!$B:$B,rf1_data!R:R,"NaN")="","NaN",(_xlfn.XLOOKUP($B84,rf1_data!$B:$B,rf1_data!R:R,"NaN")))</f>
        <v>#N/A</v>
      </c>
      <c r="AA84" s="5" t="e">
        <f>IF(_xlfn.XLOOKUP($B84,rf1_data!$B:$B,rf1_data!S:S,"NaN")="","NaN",(_xlfn.XLOOKUP($B84,rf1_data!$B:$B,rf1_data!S:S,"NaN")))</f>
        <v>#N/A</v>
      </c>
      <c r="AB84" s="5" t="e">
        <f>IF(_xlfn.XLOOKUP($B84,rf1_data!$B:$B,rf1_data!T:T,"NaN")="","NaN",(_xlfn.XLOOKUP($B84,rf1_data!$B:$B,rf1_data!T:T,"NaN")))</f>
        <v>#N/A</v>
      </c>
      <c r="AC84" s="5" t="e">
        <f>IF(_xlfn.XLOOKUP($B84,rf1_data!$B:$B,rf1_data!U:U,"NaN")="","NaN",(_xlfn.XLOOKUP($B84,rf1_data!$B:$B,rf1_data!U:U,"NaN")))</f>
        <v>#N/A</v>
      </c>
      <c r="AD84" s="5" t="e">
        <f>IF(_xlfn.XLOOKUP($B84,rf1_data!$B:$B,rf1_data!V:V,"NaN")="","NaN",(_xlfn.XLOOKUP($B84,rf1_data!$B:$B,rf1_data!V:V,"NaN")))</f>
        <v>#N/A</v>
      </c>
      <c r="AE84" s="5" t="e">
        <f>IF(_xlfn.XLOOKUP($B84,rf1_data!$B:$B,rf1_data!W:W,"NaN")="","NaN",(_xlfn.XLOOKUP($B84,rf1_data!$B:$B,rf1_data!W:W,"NaN")))</f>
        <v>#N/A</v>
      </c>
      <c r="AF84" s="5" t="e">
        <f>IF(_xlfn.XLOOKUP($B84,rf1_data!$B:$B,rf1_data!X:X,"NaN")="","NaN",(_xlfn.XLOOKUP($B84,rf1_data!$B:$B,rf1_data!X:X,"NaN")))</f>
        <v>#N/A</v>
      </c>
      <c r="AG84" s="5" t="e">
        <f>IF(_xlfn.XLOOKUP($B84,rf1_data!$B:$B,rf1_data!Y:Y,"NaN")="","NaN",(_xlfn.XLOOKUP($B84,rf1_data!$B:$B,rf1_data!Y:Y,"NaN")))</f>
        <v>#N/A</v>
      </c>
      <c r="AH84" s="5" t="e">
        <f>IF(_xlfn.XLOOKUP($B84,rf1_data!$B:$B,rf1_data!Z:Z,"NaN")="","NaN",(_xlfn.XLOOKUP($B84,rf1_data!$B:$B,rf1_data!Z:Z,"NaN")))</f>
        <v>#N/A</v>
      </c>
      <c r="AI84" s="5" t="e">
        <f>IF(_xlfn.XLOOKUP($B84,rf1_data!$B:$B,rf1_data!AA:AA,"NaN")="","NaN",(_xlfn.XLOOKUP($B84,rf1_data!$B:$B,rf1_data!AA:AA,"NaN")))</f>
        <v>#N/A</v>
      </c>
      <c r="AJ84" s="5" t="e">
        <f>IF(_xlfn.XLOOKUP($B84,rf1_data!$B:$B,rf1_data!AB:AB,"NaN")="","NaN",(_xlfn.XLOOKUP($B84,rf1_data!$B:$B,rf1_data!AB:AB,"NaN")))</f>
        <v>#N/A</v>
      </c>
      <c r="AK84" s="5" t="e">
        <f>IF(_xlfn.XLOOKUP($B84,rf1_data!$B:$B,rf1_data!AC:AC,"NaN")="","NaN",(_xlfn.XLOOKUP($B84,rf1_data!$B:$B,rf1_data!AC:AC,"NaN")))</f>
        <v>#N/A</v>
      </c>
      <c r="AL84" s="5" t="e">
        <f>IF(_xlfn.XLOOKUP($B84,rf1_data!$B:$B,rf1_data!AD:AD,"NaN")="","NaN",(_xlfn.XLOOKUP($B84,rf1_data!$B:$B,rf1_data!AD:AD,"NaN")))</f>
        <v>#N/A</v>
      </c>
      <c r="AM84" s="5" t="e">
        <f>IF(_xlfn.XLOOKUP($B84,rf1_data!$B:$B,rf1_data!AE:AE,"NaN")="","NaN",(_xlfn.XLOOKUP($B84,rf1_data!$B:$B,rf1_data!AE:AE,"NaN")))</f>
        <v>#N/A</v>
      </c>
      <c r="AN84" s="5" t="e">
        <f>IF(_xlfn.XLOOKUP($B84,rf1_data!$B:$B,rf1_data!AF:AF,"NaN")="","NaN",(_xlfn.XLOOKUP($B84,rf1_data!$B:$B,rf1_data!AF:AF,"NaN")))</f>
        <v>#N/A</v>
      </c>
      <c r="AO84" s="5" t="e">
        <f>IF(_xlfn.XLOOKUP($B84,rf1_data!$B:$B,rf1_data!AG:AG,"NaN")="","NaN",(_xlfn.XLOOKUP($B84,rf1_data!$B:$B,rf1_data!AG:AG,"NaN")))</f>
        <v>#N/A</v>
      </c>
      <c r="AP84" s="5" t="e">
        <f>IF(_xlfn.XLOOKUP($B84,rf1_data!$B:$B,rf1_data!AH:AH,"NaN")="","NaN",(_xlfn.XLOOKUP($B84,rf1_data!$B:$B,rf1_data!AH:AH,"NaN")))</f>
        <v>#N/A</v>
      </c>
      <c r="AQ84" s="5" t="e">
        <f>IF(_xlfn.XLOOKUP($B84,rf1_data!$B:$B,rf1_data!AI:AI,"NaN")="","NaN",(_xlfn.XLOOKUP($B84,rf1_data!$B:$B,rf1_data!AI:AI,"NaN")))</f>
        <v>#N/A</v>
      </c>
      <c r="AR84" s="5" t="e">
        <f>IF(_xlfn.XLOOKUP($B84,rf1_data!$B:$B,rf1_data!AJ:AJ,"NaN")="","NaN",(_xlfn.XLOOKUP($B84,rf1_data!$B:$B,rf1_data!AJ:AJ,"NaN")))</f>
        <v>#N/A</v>
      </c>
      <c r="AS84" s="5" t="e">
        <f>IF(_xlfn.XLOOKUP($B84,rf1_data!$B:$B,rf1_data!AK:AK,"NaN")="","NaN",(_xlfn.XLOOKUP($B84,rf1_data!$B:$B,rf1_data!AK:AK,"NaN")))</f>
        <v>#N/A</v>
      </c>
      <c r="AT84" s="5" t="e">
        <f>IF(_xlfn.XLOOKUP($B84,rf1_data!$B:$B,rf1_data!AL:AL,"NaN")="","NaN",(_xlfn.XLOOKUP($B84,rf1_data!$B:$B,rf1_data!AL:AL,"NaN")))</f>
        <v>#N/A</v>
      </c>
      <c r="AU84" s="5" t="e">
        <f>IF(_xlfn.XLOOKUP($B84,rf1_data!$B:$B,rf1_data!AM:AM,"NaN")="","NaN",(_xlfn.XLOOKUP($B84,rf1_data!$B:$B,rf1_data!AM:AM,"NaN")))</f>
        <v>#N/A</v>
      </c>
      <c r="AV84" s="5" t="e">
        <f>IF(_xlfn.XLOOKUP($B84,rf1_data!$B:$B,rf1_data!AN:AN,"NaN")="","NaN",(_xlfn.XLOOKUP($B84,rf1_data!$B:$B,rf1_data!AN:AN,"NaN")))</f>
        <v>#N/A</v>
      </c>
      <c r="AW84" s="5" t="e">
        <f>IF(_xlfn.XLOOKUP($B84,rf1_data!$B:$B,rf1_data!AO:AO,"NaN")="","NaN",(_xlfn.XLOOKUP($B84,rf1_data!$B:$B,rf1_data!AO:AO,"NaN")))</f>
        <v>#N/A</v>
      </c>
      <c r="AX84" s="5" t="e">
        <f>IF(_xlfn.XLOOKUP($B84,rf1_data!$B:$B,rf1_data!AP:AP,"NaN")="","NaN",(_xlfn.XLOOKUP($B84,rf1_data!$B:$B,rf1_data!AP:AP,"NaN")))</f>
        <v>#N/A</v>
      </c>
      <c r="AY84" s="5" t="e">
        <f>IF(_xlfn.XLOOKUP($B84,rf1_data!$B:$B,rf1_data!AQ:AQ,"NaN")="","NaN",(_xlfn.XLOOKUP($B84,rf1_data!$B:$B,rf1_data!AQ:AQ,"NaN")))</f>
        <v>#N/A</v>
      </c>
      <c r="AZ84" s="5" t="e">
        <f>IF(_xlfn.XLOOKUP($B84,rf1_data!$B:$B,rf1_data!AR:AR,"NaN")="","NaN",(_xlfn.XLOOKUP($B84,rf1_data!$B:$B,rf1_data!AR:AR,"NaN")))</f>
        <v>#N/A</v>
      </c>
      <c r="BA84" s="5" t="e">
        <f>IF(_xlfn.XLOOKUP($B84,rf1_data!$B:$B,rf1_data!AS:AS,"NaN")="","NaN",(_xlfn.XLOOKUP($B84,rf1_data!$B:$B,rf1_data!AS:AS,"NaN")))</f>
        <v>#N/A</v>
      </c>
      <c r="BB84" s="5" t="e">
        <f>IF(_xlfn.XLOOKUP($B84,rf1_data!$B:$B,rf1_data!AT:AT,"NaN")="","NaN",(_xlfn.XLOOKUP($B84,rf1_data!$B:$B,rf1_data!AT:AT,"NaN")))</f>
        <v>#N/A</v>
      </c>
      <c r="BC84" s="5" t="e">
        <f>IF(_xlfn.XLOOKUP($B84,rf1_data!$B:$B,rf1_data!AU:AU,"NaN")="","NaN",(_xlfn.XLOOKUP($B84,rf1_data!$B:$B,rf1_data!AU:AU,"NaN")))</f>
        <v>#N/A</v>
      </c>
      <c r="BD84" s="5" t="e">
        <f>IF(_xlfn.XLOOKUP($B84,rf1_data!$B:$B,rf1_data!AV:AV,"NaN")="","NaN",(_xlfn.XLOOKUP($B84,rf1_data!$B:$B,rf1_data!AV:AV,"NaN")))</f>
        <v>#N/A</v>
      </c>
      <c r="BE84" s="5" t="e">
        <f>IF(_xlfn.XLOOKUP($B84,rf1_data!$B:$B,rf1_data!AW:AW,"NaN")="","NaN",(_xlfn.XLOOKUP($B84,rf1_data!$B:$B,rf1_data!AW:AW,"NaN")))</f>
        <v>#N/A</v>
      </c>
      <c r="BF84" s="5" t="e">
        <f>IF(_xlfn.XLOOKUP($B84,rf1_data!$B:$B,rf1_data!AX:AX,"NaN")="","NaN",(_xlfn.XLOOKUP($B84,rf1_data!$B:$B,rf1_data!AX:AX,"NaN")))</f>
        <v>#N/A</v>
      </c>
      <c r="BG84" s="5" t="e">
        <f>IF(_xlfn.XLOOKUP($B84,rf1_data!$B:$B,rf1_data!AY:AY,"NaN")="","NaN",(_xlfn.XLOOKUP($B84,rf1_data!$B:$B,rf1_data!AY:AY,"NaN")))</f>
        <v>#N/A</v>
      </c>
      <c r="BH84" s="5" t="e">
        <f>IF(_xlfn.XLOOKUP($B84,rf1_data!$B:$B,rf1_data!AZ:AZ,"NaN")="","NaN",(_xlfn.XLOOKUP($B84,rf1_data!$B:$B,rf1_data!AZ:AZ,"NaN")))</f>
        <v>#N/A</v>
      </c>
      <c r="BI84" s="5" t="e">
        <f>IF(_xlfn.XLOOKUP($B84,rf1_data!$B:$B,rf1_data!BA:BA,"NaN")="","NaN",(_xlfn.XLOOKUP($B84,rf1_data!$B:$B,rf1_data!BA:BA,"NaN")))</f>
        <v>#N/A</v>
      </c>
      <c r="BJ84" s="5" t="e">
        <f>IF(_xlfn.XLOOKUP($B84,rf1_data!$B:$B,rf1_data!BB:BB,"NaN")="","NaN",(_xlfn.XLOOKUP($B84,rf1_data!$B:$B,rf1_data!BB:BB,"NaN")))</f>
        <v>#N/A</v>
      </c>
      <c r="BK84" s="5" t="e">
        <f>IF(_xlfn.XLOOKUP($B84,rf1_data!$B:$B,rf1_data!BC:BC,"NaN")="","NaN",(_xlfn.XLOOKUP($B84,rf1_data!$B:$B,rf1_data!BC:BC,"NaN")))</f>
        <v>#N/A</v>
      </c>
      <c r="BL84" s="5" t="e">
        <f>IF(_xlfn.XLOOKUP($B84,rf1_data!$B:$B,rf1_data!BD:BD,"NaN")="","NaN",(_xlfn.XLOOKUP($B84,rf1_data!$B:$B,rf1_data!BD:BD,"NaN")))</f>
        <v>#N/A</v>
      </c>
      <c r="BM84" s="5" t="e">
        <f>IF(_xlfn.XLOOKUP($B84,rf1_data!$B:$B,rf1_data!BE:BE,"NaN")="","NaN",(_xlfn.XLOOKUP($B84,rf1_data!$B:$B,rf1_data!BE:BE,"NaN")))</f>
        <v>#N/A</v>
      </c>
      <c r="BN84" s="5" t="e">
        <f>IF(_xlfn.XLOOKUP($B84,rf1_data!$B:$B,rf1_data!BF:BF,"NaN")="","NaN",(_xlfn.XLOOKUP($B84,rf1_data!$B:$B,rf1_data!BF:BF,"NaN")))</f>
        <v>#N/A</v>
      </c>
      <c r="BO84" s="5" t="e">
        <f>IF(_xlfn.XLOOKUP($B84,rf1_data!$B:$B,rf1_data!BG:BG,"NaN")="","NaN",(_xlfn.XLOOKUP($B84,rf1_data!$B:$B,rf1_data!BG:BG,"NaN")))</f>
        <v>#N/A</v>
      </c>
      <c r="BP84" s="5" t="e">
        <f>IF(_xlfn.XLOOKUP($B84,rf1_data!$B:$B,rf1_data!BH:BH,"NaN")="","NaN",(_xlfn.XLOOKUP($B84,rf1_data!$B:$B,rf1_data!BH:BH,"NaN")))</f>
        <v>#N/A</v>
      </c>
      <c r="BQ84" s="5" t="e">
        <f>IF(_xlfn.XLOOKUP($B84,rf1_data!$B:$B,rf1_data!BI:BI,"NaN")="","NaN",(_xlfn.XLOOKUP($B84,rf1_data!$B:$B,rf1_data!BI:BI,"NaN")))</f>
        <v>#N/A</v>
      </c>
      <c r="BR84" s="5" t="e">
        <f>IF(_xlfn.XLOOKUP($B84,rf1_data!$B:$B,rf1_data!BJ:BJ,"NaN")="","NaN",(_xlfn.XLOOKUP($B84,rf1_data!$B:$B,rf1_data!BJ:BJ,"NaN")))</f>
        <v>#N/A</v>
      </c>
      <c r="BS84" s="5" t="e">
        <f>IF(_xlfn.XLOOKUP($B84,rf1_data!$B:$B,rf1_data!BK:BK,"NaN")="","NaN",(_xlfn.XLOOKUP($B84,rf1_data!$B:$B,rf1_data!BK:BK,"NaN")))</f>
        <v>#N/A</v>
      </c>
      <c r="BT84" s="5" t="e">
        <f>IF(_xlfn.XLOOKUP($B84,rf1_data!$B:$B,rf1_data!BL:BL,"NaN")="","NaN",(_xlfn.XLOOKUP($B84,rf1_data!$B:$B,rf1_data!BL:BL,"NaN")))</f>
        <v>#N/A</v>
      </c>
      <c r="BU84" s="5" t="e">
        <f>IF(_xlfn.XLOOKUP($B84,rf1_data!$B:$B,rf1_data!BM:BM,"NaN")="","NaN",(_xlfn.XLOOKUP($B84,rf1_data!$B:$B,rf1_data!BM:BM,"NaN")))</f>
        <v>#N/A</v>
      </c>
      <c r="BV84" s="5" t="e">
        <f>IF(_xlfn.XLOOKUP($B84,rf1_data!$B:$B,rf1_data!BN:BN,"NaN")="","NaN",(_xlfn.XLOOKUP($B84,rf1_data!$B:$B,rf1_data!BN:BN,"NaN")))</f>
        <v>#N/A</v>
      </c>
      <c r="BW84" s="5" t="e">
        <f>IF(_xlfn.XLOOKUP($B84,rf1_data!$B:$B,rf1_data!BO:BO,"NaN")="","NaN",(_xlfn.XLOOKUP($B84,rf1_data!$B:$B,rf1_data!BO:BO,"NaN")))</f>
        <v>#N/A</v>
      </c>
      <c r="BX84" s="5" t="e">
        <f>IF(_xlfn.XLOOKUP($B84,rf1_data!$B:$B,rf1_data!BP:BP,"NaN")="","NaN",(_xlfn.XLOOKUP($B84,rf1_data!$B:$B,rf1_data!BP:BP,"NaN")))</f>
        <v>#N/A</v>
      </c>
      <c r="BY84" s="5" t="e">
        <f>IF(_xlfn.XLOOKUP($B84,rf1_data!$B:$B,rf1_data!BQ:BQ,"NaN")="","NaN",(_xlfn.XLOOKUP($B84,rf1_data!$B:$B,rf1_data!BQ:BQ,"NaN")))</f>
        <v>#N/A</v>
      </c>
      <c r="BZ84" s="5" t="e">
        <f>IF(_xlfn.XLOOKUP($B84,rf1_data!$B:$B,rf1_data!BR:BR,"NaN")="","NaN",(_xlfn.XLOOKUP($B84,rf1_data!$B:$B,rf1_data!BR:BR,"NaN")))</f>
        <v>#N/A</v>
      </c>
      <c r="CA84" s="5" t="e">
        <f>IF(_xlfn.XLOOKUP($B84,rf1_data!$B:$B,rf1_data!BS:BS,"NaN")="","NaN",(_xlfn.XLOOKUP($B84,rf1_data!$B:$B,rf1_data!BS:BS,"NaN")))</f>
        <v>#N/A</v>
      </c>
      <c r="CB84" s="5" t="e">
        <f>IF(_xlfn.XLOOKUP($B84,rf1_data!$B:$B,rf1_data!BT:BT,"NaN")="","NaN",(_xlfn.XLOOKUP($B84,rf1_data!$B:$B,rf1_data!BT:BT,"NaN")))</f>
        <v>#N/A</v>
      </c>
      <c r="CC84" s="5" t="e">
        <f>IF(_xlfn.XLOOKUP($B84,rf1_data!$B:$B,rf1_data!BU:BU,"NaN")="","NaN",(_xlfn.XLOOKUP($B84,rf1_data!$B:$B,rf1_data!BU:BU,"NaN")))</f>
        <v>#N/A</v>
      </c>
      <c r="CD84" s="5" t="e">
        <f>IF(_xlfn.XLOOKUP($B84,rf1_data!$B:$B,rf1_data!BV:BV,"NaN")="","NaN",(_xlfn.XLOOKUP($B84,rf1_data!$B:$B,rf1_data!BV:BV,"NaN")))</f>
        <v>#N/A</v>
      </c>
      <c r="CE84" s="5" t="e">
        <f>IF(_xlfn.XLOOKUP($B84,rf1_data!$B:$B,rf1_data!BW:BW,"NaN")="","NaN",(_xlfn.XLOOKUP($B84,rf1_data!$B:$B,rf1_data!BW:BW,"NaN")))</f>
        <v>#N/A</v>
      </c>
      <c r="CF84" s="5" t="e">
        <f>IF(_xlfn.XLOOKUP($B84,rf1_data!$B:$B,rf1_data!BX:BX,"NaN")="","NaN",(_xlfn.XLOOKUP($B84,rf1_data!$B:$B,rf1_data!BX:BX,"NaN")))</f>
        <v>#N/A</v>
      </c>
      <c r="CG84" s="5" t="e">
        <f>IF(_xlfn.XLOOKUP($B84,rf1_data!$B:$B,rf1_data!BY:BY,"NaN")="","NaN",(_xlfn.XLOOKUP($B84,rf1_data!$B:$B,rf1_data!BY:BY,"NaN")))</f>
        <v>#N/A</v>
      </c>
      <c r="CH84" s="5" t="e">
        <f>IF(_xlfn.XLOOKUP($B84,rf1_data!$B:$B,rf1_data!BZ:BZ,"NaN")="","NaN",(_xlfn.XLOOKUP($B84,rf1_data!$B:$B,rf1_data!BZ:BZ,"NaN")))</f>
        <v>#N/A</v>
      </c>
      <c r="CI84" s="5" t="e">
        <f>IF(_xlfn.XLOOKUP($B84,rf1_data!$B:$B,rf1_data!CA:CA,"NaN")="","NaN",(_xlfn.XLOOKUP($B84,rf1_data!$B:$B,rf1_data!CA:CA,"NaN")))</f>
        <v>#N/A</v>
      </c>
      <c r="CJ84" s="5" t="e">
        <f>IF(_xlfn.XLOOKUP($B84,rf1_data!$B:$B,rf1_data!CB:CB,"NaN")="","NaN",(_xlfn.XLOOKUP($B84,rf1_data!$B:$B,rf1_data!CB:CB,"NaN")))</f>
        <v>#N/A</v>
      </c>
      <c r="CK84" s="5" t="e">
        <f>IF(_xlfn.XLOOKUP($B84,rf1_data!$B:$B,rf1_data!CC:CC,"NaN")="","NaN",(_xlfn.XLOOKUP($B84,rf1_data!$B:$B,rf1_data!CC:CC,"NaN")))</f>
        <v>#N/A</v>
      </c>
      <c r="CL84" s="5" t="e">
        <f>IF(_xlfn.XLOOKUP($B84,rf1_data!$B:$B,rf1_data!CD:CD,"NaN")=0,"NaN",(_xlfn.XLOOKUP($B84,rf1_data!$B:$B,rf1_data!CD:CD,"NaN")))</f>
        <v>#N/A</v>
      </c>
      <c r="CM84" s="5" t="e">
        <f>IF(_xlfn.XLOOKUP($B84,rf1_data!$B:$B,rf1_data!CE:CE,"NaN")="","NaN",(_xlfn.XLOOKUP($B84,rf1_data!$B:$B,rf1_data!CE:CE,"NaN")))</f>
        <v>#N/A</v>
      </c>
      <c r="CN84" s="5" t="e">
        <f>IF(_xlfn.XLOOKUP($B84,rf1_data!$B:$B,rf1_data!CF:CF,"NaN")="","NaN",(_xlfn.XLOOKUP($B84,rf1_data!$B:$B,rf1_data!CF:CF,"NaN")))</f>
        <v>#N/A</v>
      </c>
      <c r="CO84" s="5" t="e">
        <f>IF(_xlfn.XLOOKUP($B84,rf1_data!$B:$B,rf1_data!CG:CG,"NaN")="","NaN",(_xlfn.XLOOKUP($B84,rf1_data!$B:$B,rf1_data!CG:CG,"NaN")))</f>
        <v>#N/A</v>
      </c>
      <c r="CP84" s="5" t="e">
        <f>IF(_xlfn.XLOOKUP($B84,rf1_data!$B:$B,rf1_data!CH:CH,"NaN")=0,"NaN",(_xlfn.XLOOKUP($B84,rf1_data!$B:$B,rf1_data!CH:CH,"NaN")))</f>
        <v>#N/A</v>
      </c>
      <c r="CQ84" s="5" t="e">
        <f>IF(_xlfn.XLOOKUP($B84,rf1_data!$B:$B,rf1_data!CI:CI,"NaN")="","NaN",(_xlfn.XLOOKUP($B84,rf1_data!$B:$B,rf1_data!CI:CI,"NaN")))</f>
        <v>#N/A</v>
      </c>
      <c r="CR84" s="5" t="e">
        <f>IF(_xlfn.XLOOKUP($B84,rf1_data!$B:$B,rf1_data!CJ:CJ,"NaN")="","NaN",(_xlfn.XLOOKUP($B84,rf1_data!$B:$B,rf1_data!CJ:CJ,"NaN")))</f>
        <v>#N/A</v>
      </c>
      <c r="CS84" s="5" t="e">
        <f>IF(_xlfn.XLOOKUP($B84,rf1_data!$B:$B,rf1_data!CK:CK,"NaN")="","NaN",(_xlfn.XLOOKUP($B84,rf1_data!$B:$B,rf1_data!CK:CK,"NaN")))</f>
        <v>#N/A</v>
      </c>
      <c r="CT84" s="5" t="e">
        <f>IF(_xlfn.XLOOKUP($B84,rf1_data!$B:$B,rf1_data!CL:CL,"NaN")="","NaN",(_xlfn.XLOOKUP($B84,rf1_data!$B:$B,rf1_data!CL:CL,"NaN")))</f>
        <v>#N/A</v>
      </c>
      <c r="CU84" s="5" t="e">
        <f>IF(_xlfn.XLOOKUP($B84,rf1_data!$B:$B,rf1_data!CM:CM,"NaN")="","NaN",(_xlfn.XLOOKUP($B84,rf1_data!$B:$B,rf1_data!CM:CM,"NaN")))</f>
        <v>#N/A</v>
      </c>
      <c r="CV84" s="5" t="e">
        <f>IF(_xlfn.XLOOKUP($B84,rf1_data!$B:$B,rf1_data!CN:CN,"NaN")="","NaN",(_xlfn.XLOOKUP($B84,rf1_data!$B:$B,rf1_data!CN:CN,"NaN")))</f>
        <v>#N/A</v>
      </c>
      <c r="CW84" s="5" t="e">
        <f>IF(_xlfn.XLOOKUP($B84,rf1_data!$B:$B,rf1_data!CO:CO,"NaN")="","NaN",(_xlfn.XLOOKUP($B84,rf1_data!$B:$B,rf1_data!CO:CO,"NaN")))</f>
        <v>#N/A</v>
      </c>
      <c r="CX84" s="5" t="e">
        <f>IF(_xlfn.XLOOKUP($B84,rf1_data!$B:$B,rf1_data!CP:CP,"NaN")="","NaN",(_xlfn.XLOOKUP($B84,rf1_data!$B:$B,rf1_data!CP:CP,"NaN")))</f>
        <v>#N/A</v>
      </c>
      <c r="CY84" s="5" t="e">
        <f>IF(_xlfn.XLOOKUP($B84,rf1_data!$B:$B,rf1_data!CQ:CQ,"NaN")="","NaN",(_xlfn.XLOOKUP($B84,rf1_data!$B:$B,rf1_data!CQ:CQ,"NaN")))</f>
        <v>#N/A</v>
      </c>
      <c r="CZ84" s="5" t="e">
        <f>IF(_xlfn.XLOOKUP($B84,rf1_data!$B:$B,rf1_data!CR:CR,"NaN")="","NaN",(_xlfn.XLOOKUP($B84,rf1_data!$B:$B,rf1_data!CR:CR,"NaN")))</f>
        <v>#N/A</v>
      </c>
      <c r="DA84" s="5" t="e">
        <f>IF(_xlfn.XLOOKUP($B84,rf1_data!$B:$B,rf1_data!CS:CS,"NaN")="","NaN",(_xlfn.XLOOKUP($B84,rf1_data!$B:$B,rf1_data!CS:CS,"NaN")))</f>
        <v>#N/A</v>
      </c>
      <c r="DB84" s="4" t="e">
        <f>IF(_xlfn.XLOOKUP($B84,island_data!$B:$B,island_data!H:H,"NaN")="","NaN",_xlfn.XLOOKUP($B84,island_data!$B:$B,island_data!H:H,"NaN"))</f>
        <v>#N/A</v>
      </c>
      <c r="DC84" s="4" t="e">
        <f>IF(_xlfn.XLOOKUP($B84,island_data!$B:$B,island_data!I:I,"NaN")="","NaN",_xlfn.XLOOKUP($B84,island_data!$B:$B,island_data!I:I,"NaN"))</f>
        <v>#N/A</v>
      </c>
      <c r="DD84" s="4" t="e">
        <f>IF(_xlfn.XLOOKUP($B84,island_data!$B:$B,island_data!J:J,"NaN")="","NaN",_xlfn.XLOOKUP($B84,island_data!$B:$B,island_data!J:J,"NaN"))</f>
        <v>#N/A</v>
      </c>
      <c r="DE84" s="4" t="e">
        <f>IF(_xlfn.XLOOKUP($B84,island_data!$B:$B,island_data!K:K,"NaN")="","NaN",_xlfn.XLOOKUP($B84,island_data!$B:$B,island_data!K:K,"NaN"))</f>
        <v>#N/A</v>
      </c>
      <c r="DF84" s="4" t="e">
        <f>IF(_xlfn.XLOOKUP($B84,island_data!$B:$B,island_data!L:L,"NaN")="","NaN",_xlfn.XLOOKUP($B84,island_data!$B:$B,island_data!L:L,"NaN"))</f>
        <v>#N/A</v>
      </c>
      <c r="DG84" s="4" t="e">
        <f>IF(_xlfn.XLOOKUP($B84,island_data!$B:$B,island_data!M:M,"NaN")="","NaN",_xlfn.XLOOKUP($B84,island_data!$B:$B,island_data!M:M,"NaN"))</f>
        <v>#N/A</v>
      </c>
      <c r="DH84" s="4" t="e">
        <f>IF(_xlfn.XLOOKUP($B84,island_data!$B:$B,island_data!N:N,"NaN")="","NaN",_xlfn.XLOOKUP($B84,island_data!$B:$B,island_data!N:N,"NaN"))</f>
        <v>#N/A</v>
      </c>
      <c r="DI84" s="4" t="e">
        <f>IF(_xlfn.XLOOKUP($B84,island_data!$B:$B,island_data!O:O,"NaN")=999,"NaN",_xlfn.XLOOKUP($B84,island_data!$B:$B,island_data!O:O,"NaN"))</f>
        <v>#N/A</v>
      </c>
      <c r="DJ84" s="4" t="e">
        <f>IF(_xlfn.XLOOKUP($B84,island_data!$B:$B,island_data!P:P,"NaN")="","NaN",_xlfn.XLOOKUP($B84,island_data!$B:$B,island_data!P:P,"NaN"))</f>
        <v>#N/A</v>
      </c>
      <c r="DK84" s="4" t="e">
        <f>IF(_xlfn.XLOOKUP($B84,island_data!$B:$B,island_data!Q:Q,"NaN")="","NaN",_xlfn.XLOOKUP($B84,island_data!$B:$B,island_data!Q:Q,"NaN"))</f>
        <v>#N/A</v>
      </c>
      <c r="DL84" s="4" t="e">
        <f>IF(_xlfn.XLOOKUP($B84,island_data!$B:$B,island_data!R:R,"NaN")=999,"NaN",_xlfn.XLOOKUP($B84,island_data!$B:$B,island_data!R:R,"NaN"))</f>
        <v>#N/A</v>
      </c>
      <c r="DM84" s="4" t="e">
        <f>IF(_xlfn.XLOOKUP($B84,island_data!$B:$B,island_data!S:S,"NaN")="","NaN",_xlfn.XLOOKUP($B84,island_data!$B:$B,island_data!S:S,"NaN"))</f>
        <v>#N/A</v>
      </c>
      <c r="DN84" s="4" t="e">
        <f>IF(_xlfn.XLOOKUP($B84,island_data!$B:$B,island_data!T:T,"NaN")="","NaN",_xlfn.XLOOKUP($B84,island_data!$B:$B,island_data!T:T,"NaN"))</f>
        <v>#N/A</v>
      </c>
      <c r="DO84" s="4" t="e">
        <f>IF(_xlfn.XLOOKUP($B84,island_data!$B:$B,island_data!U:U,"NaN")="","NaN",_xlfn.XLOOKUP($B84,island_data!$B:$B,island_data!U:U,"NaN"))</f>
        <v>#N/A</v>
      </c>
      <c r="DP84" s="4" t="e">
        <f>IF(_xlfn.XLOOKUP($B84,island_data!$B:$B,island_data!V:V,"NaN")="","NaN",_xlfn.XLOOKUP($B84,island_data!$B:$B,island_data!V:V,"NaN"))</f>
        <v>#N/A</v>
      </c>
      <c r="DQ84" s="4" t="e">
        <f>IF(_xlfn.XLOOKUP($B84,island_data!$B:$B,island_data!W:W,"NaN")="","NaN",_xlfn.XLOOKUP($B84,island_data!$B:$B,island_data!W:W,"NaN"))</f>
        <v>#N/A</v>
      </c>
      <c r="DR84" s="4" t="e">
        <f>IF(_xlfn.XLOOKUP($B84,island_data!$B:$B,island_data!X:X,"NaN")="","NaN",_xlfn.XLOOKUP($B84,island_data!$B:$B,island_data!X:X,"NaN"))</f>
        <v>#N/A</v>
      </c>
      <c r="DS84" s="4" t="e">
        <f>IF(_xlfn.XLOOKUP($B84,island_data!$B:$B,island_data!Y:Y,"NaN")="","NaN",_xlfn.XLOOKUP($B84,island_data!$B:$B,island_data!Y:Y,"NaN"))</f>
        <v>#N/A</v>
      </c>
      <c r="DT84" s="4" t="e">
        <f>IF(_xlfn.XLOOKUP($B84,island_data!$B:$B,island_data!Z:Z,"NaN")="","NaN",_xlfn.XLOOKUP($B84,island_data!$B:$B,island_data!Z:Z,"NaN"))</f>
        <v>#N/A</v>
      </c>
      <c r="DU84" s="4" t="e">
        <f>IF(_xlfn.XLOOKUP($B84,island_data!$B:$B,island_data!AA:AA,"NaN")="","NaN",_xlfn.XLOOKUP($B84,island_data!$B:$B,island_data!AA:AA,"NaN"))</f>
        <v>#N/A</v>
      </c>
      <c r="DV84" s="4" t="e">
        <f>IF(_xlfn.XLOOKUP($B84,island_data!$B:$B,island_data!AB:AB,"NaN")="","NaN",_xlfn.XLOOKUP($B84,island_data!$B:$B,island_data!AB:AB,"NaN"))</f>
        <v>#N/A</v>
      </c>
      <c r="DW84" s="4" t="e">
        <f>IF(_xlfn.XLOOKUP($B84,island_data!$B:$B,island_data!AC:AC,"NaN")="","NaN",_xlfn.XLOOKUP($B84,island_data!$B:$B,island_data!AC:AC,"NaN"))</f>
        <v>#N/A</v>
      </c>
      <c r="DX84" s="4" t="e">
        <f>IF(_xlfn.XLOOKUP($B84,island_data!$B:$B,island_data!AD:AD,"NaN")="","NaN",_xlfn.XLOOKUP($B84,island_data!$B:$B,island_data!AD:AD,"NaN"))</f>
        <v>#N/A</v>
      </c>
      <c r="DY84" s="4" t="e">
        <f>IF(_xlfn.XLOOKUP($B84,island_data!$B:$B,island_data!AE:AE,"NaN")="","NaN",_xlfn.XLOOKUP($B84,island_data!$B:$B,island_data!AE:AE,"NaN"))</f>
        <v>#N/A</v>
      </c>
      <c r="DZ84" s="4" t="e">
        <f>IF(_xlfn.XLOOKUP($B84,island_data!$B:$B,island_data!AF:AF,"NaN")="","NaN",_xlfn.XLOOKUP($B84,island_data!$B:$B,island_data!AF:AF,"NaN"))</f>
        <v>#N/A</v>
      </c>
      <c r="EA84" s="4" t="e">
        <f>IF(_xlfn.XLOOKUP($B84,island_data!$B:$B,island_data!AG:AG,"NaN")="","NaN",_xlfn.XLOOKUP($B84,island_data!$B:$B,island_data!AG:AG,"NaN"))</f>
        <v>#N/A</v>
      </c>
      <c r="EB84" s="4" t="e">
        <f>IF(_xlfn.XLOOKUP($B84,island_data!$B:$B,island_data!AH:AH,"NaN")="","NaN",_xlfn.XLOOKUP($B84,island_data!$B:$B,island_data!AH:AH,"NaN"))</f>
        <v>#N/A</v>
      </c>
      <c r="EC84" s="4" t="e">
        <f>IF(_xlfn.XLOOKUP($B84,island_data!$B:$B,island_data!AI:AI,"NaN")="","NaN",_xlfn.XLOOKUP($B84,island_data!$B:$B,island_data!AI:AI,"NaN"))</f>
        <v>#N/A</v>
      </c>
      <c r="ED84" s="4" t="e">
        <f>IF(_xlfn.XLOOKUP($B84,island_data!$B:$B,island_data!AJ:AJ,"NaN")="","NaN",_xlfn.XLOOKUP($B84,island_data!$B:$B,island_data!AJ:AJ,"NaN"))</f>
        <v>#N/A</v>
      </c>
      <c r="EE84" s="4" t="e">
        <f>IF(_xlfn.XLOOKUP($B84,island_data!$B:$B,island_data!AK:AK,"NaN")="","NaN",_xlfn.XLOOKUP($B84,island_data!$B:$B,island_data!AK:AK,"NaN"))</f>
        <v>#N/A</v>
      </c>
      <c r="EF84" s="4" t="e">
        <f>IF(_xlfn.XLOOKUP($B84,island_data!$B:$B,island_data!AL:AL,"NaN")="","NaN",_xlfn.XLOOKUP($B84,island_data!$B:$B,island_data!AL:AL,"NaN"))</f>
        <v>#N/A</v>
      </c>
      <c r="EG84" s="4" t="e">
        <f>IF(_xlfn.XLOOKUP($B84,island_data!$B:$B,island_data!AM:AM,"NaN")="","NaN",_xlfn.XLOOKUP($B84,island_data!$B:$B,island_data!AM:AM,"NaN"))</f>
        <v>#N/A</v>
      </c>
      <c r="EH84" s="4" t="e">
        <f>IF(_xlfn.XLOOKUP($B84,island_data!$B:$B,island_data!AN:AN,"NaN")="","NaN",_xlfn.XLOOKUP($B84,island_data!$B:$B,island_data!AN:AN,"NaN"))</f>
        <v>#N/A</v>
      </c>
      <c r="EI84" s="4" t="e">
        <f>IF(_xlfn.XLOOKUP($B84,island_data!$B:$B,island_data!AO:AO,"NaN")="","NaN",_xlfn.XLOOKUP($B84,island_data!$B:$B,island_data!AO:AO,"NaN"))</f>
        <v>#N/A</v>
      </c>
      <c r="EJ84" s="8" t="str">
        <f>IF(_xlfn.XLOOKUP($A84,TabCAT!$A:$A,TabCAT!AU:AU,"NaN")="","NaN",(_xlfn.XLOOKUP($A84,TabCAT!$A:$A,TabCAT!AU:AU,"NaN")))</f>
        <v>NaN</v>
      </c>
      <c r="EK84" s="8" t="str">
        <f>IF(_xlfn.XLOOKUP($A84,TabCAT!$A:$A,TabCAT!AV:AV,"NaN")="","NaN",(_xlfn.XLOOKUP($A84,TabCAT!$A:$A,TabCAT!AV:AV,"NaN")))</f>
        <v>NaN</v>
      </c>
      <c r="EL84" s="8" t="str">
        <f>IF(_xlfn.XLOOKUP($A84,TabCAT!$A:$A,TabCAT!AW:AW,"NaN")="","NaN",(_xlfn.XLOOKUP($A84,TabCAT!$A:$A,TabCAT!AW:AW,"NaN")))</f>
        <v>NaN</v>
      </c>
      <c r="EM84" s="8" t="str">
        <f>IF(_xlfn.XLOOKUP($A84,TabCAT!$A:$A,TabCAT!AX:AX,"NaN")="","NaN",(_xlfn.XLOOKUP($A84,TabCAT!$A:$A,TabCAT!AX:AX,"NaN")))</f>
        <v>NaN</v>
      </c>
      <c r="EN84" s="8" t="str">
        <f>IF(_xlfn.XLOOKUP($A84,TabCAT!$A:$A,TabCAT!AY:AY,"NaN")="","NaN",(_xlfn.XLOOKUP($A84,TabCAT!$A:$A,TabCAT!AY:AY,"NaN")))</f>
        <v>NaN</v>
      </c>
      <c r="EO84" s="8" t="str">
        <f>IF(_xlfn.XLOOKUP($A84,TabCAT!$A:$A,TabCAT!AZ:AZ,"NaN")="","NaN",(_xlfn.XLOOKUP($A84,TabCAT!$A:$A,TabCAT!AZ:AZ,"NaN")))</f>
        <v>NaN</v>
      </c>
      <c r="EP84" s="8" t="str">
        <f>IF(_xlfn.XLOOKUP($A84,TabCAT!$A:$A,TabCAT!BA:BA,"NaN")="","NaN",(_xlfn.XLOOKUP($A84,TabCAT!$A:$A,TabCAT!BA:BA,"NaN")))</f>
        <v>NaN</v>
      </c>
      <c r="EQ84" s="8" t="str">
        <f>IF(_xlfn.XLOOKUP($A84,TabCAT!$A:$A,TabCAT!BB:BB,"NaN")="","NaN",(_xlfn.XLOOKUP($A84,TabCAT!$A:$A,TabCAT!BB:BB,"NaN")))</f>
        <v>NaN</v>
      </c>
      <c r="ER84" s="8" t="str">
        <f>IF(_xlfn.XLOOKUP($A84,TabCAT!$A:$A,TabCAT!BC:BC,"NaN")="","NaN",(_xlfn.XLOOKUP($A84,TabCAT!$A:$A,TabCAT!BC:BC,"NaN")))</f>
        <v>NaN</v>
      </c>
      <c r="ES84" s="8" t="str">
        <f>IF(_xlfn.XLOOKUP($A84,TabCAT!$A:$A,TabCAT!BD:BD,"NaN")="","NaN",(_xlfn.XLOOKUP($A84,TabCAT!$A:$A,TabCAT!BD:BD,"NaN")))</f>
        <v>NaN</v>
      </c>
      <c r="ET84" s="8" t="str">
        <f>IF(_xlfn.XLOOKUP($A84,TabCAT!$A:$A,TabCAT!BE:BE,"NaN")="","NaN",(_xlfn.XLOOKUP($A84,TabCAT!$A:$A,TabCAT!BE:BE,"NaN")))</f>
        <v>NaN</v>
      </c>
      <c r="EU84" s="8" t="str">
        <f>IF(_xlfn.XLOOKUP($A84,TabCAT!$A:$A,TabCAT!BF:BF,"NaN")="","NaN",(_xlfn.XLOOKUP($A84,TabCAT!$A:$A,TabCAT!BF:BF,"NaN")))</f>
        <v>NaN</v>
      </c>
      <c r="EV84" s="8" t="str">
        <f>IF(_xlfn.XLOOKUP($A84,TabCAT!$A:$A,TabCAT!BG:BG,"NaN")="","NaN",(_xlfn.XLOOKUP($A84,TabCAT!$A:$A,TabCAT!BG:BG,"NaN")))</f>
        <v>NaN</v>
      </c>
      <c r="EW84" s="8" t="str">
        <f>IF(_xlfn.XLOOKUP($A84,TabCAT!$A:$A,TabCAT!BH:BH,"NaN")="","NaN",(_xlfn.XLOOKUP($A84,TabCAT!$A:$A,TabCAT!BH:BH,"NaN")))</f>
        <v>NaN</v>
      </c>
      <c r="EX84" s="8" t="str">
        <f>IF(_xlfn.XLOOKUP($A84,TabCAT!$A:$A,TabCAT!BI:BI,"NaN")="","NaN",(_xlfn.XLOOKUP($A84,TabCAT!$A:$A,TabCAT!BI:BI,"NaN")))</f>
        <v>NaN</v>
      </c>
      <c r="EY84" s="8" t="str">
        <f>IF(_xlfn.XLOOKUP($A84,TabCAT!$A:$A,TabCAT!BJ:BJ,"NaN")="","NaN",(_xlfn.XLOOKUP($A84,TabCAT!$A:$A,TabCAT!BJ:BJ,"NaN")))</f>
        <v>NaN</v>
      </c>
      <c r="EZ84" s="8" t="str">
        <f>IF(_xlfn.XLOOKUP($A84,TabCAT!$A:$A,TabCAT!BK:BK,"NaN")="","NaN",(_xlfn.XLOOKUP($A84,TabCAT!$A:$A,TabCAT!BK:BK,"NaN")))</f>
        <v>NaN</v>
      </c>
      <c r="FA84" s="8" t="str">
        <f>IF(_xlfn.XLOOKUP($A84,TabCAT!$A:$A,TabCAT!BL:BL,"NaN")="","NaN",(_xlfn.XLOOKUP($A84,TabCAT!$A:$A,TabCAT!BL:BL,"NaN")))</f>
        <v>NaN</v>
      </c>
      <c r="FB84" s="8" t="str">
        <f>IF(_xlfn.XLOOKUP($A84,TabCAT!$A:$A,TabCAT!BM:BM,"NaN")="","NaN",(_xlfn.XLOOKUP($A84,TabCAT!$A:$A,TabCAT!BM:BM,"NaN")))</f>
        <v>NaN</v>
      </c>
      <c r="FC84" s="8" t="str">
        <f>IF(_xlfn.XLOOKUP($A84,TabCAT!$A:$A,TabCAT!BN:BN,"NaN")="","NaN",(_xlfn.XLOOKUP($A84,TabCAT!$A:$A,TabCAT!BN:BN,"NaN")))</f>
        <v>NaN</v>
      </c>
      <c r="FD84" s="8" t="str">
        <f>IF(_xlfn.XLOOKUP($A84,TabCAT!$A:$A,TabCAT!BO:BO,"NaN")="","NaN",(_xlfn.XLOOKUP($A84,TabCAT!$A:$A,TabCAT!BO:BO,"NaN")))</f>
        <v>NaN</v>
      </c>
      <c r="FE84" s="8" t="str">
        <f>IF(_xlfn.XLOOKUP($A84,TabCAT!$A:$A,TabCAT!BP:BP,"NaN")="","NaN",(_xlfn.XLOOKUP($A84,TabCAT!$A:$A,TabCAT!BP:BP,"NaN")))</f>
        <v>NaN</v>
      </c>
      <c r="FF84" s="8" t="str">
        <f>IF(_xlfn.XLOOKUP($A84,TabCAT!$A:$A,TabCAT!BQ:BQ,"NaN")="","NaN",(_xlfn.XLOOKUP($A84,TabCAT!$A:$A,TabCAT!BQ:BQ,"NaN")))</f>
        <v>NaN</v>
      </c>
      <c r="FG84" s="8" t="str">
        <f>IF(_xlfn.XLOOKUP($A84,TabCAT!$A:$A,TabCAT!BR:BR,"NaN")="","NaN",(_xlfn.XLOOKUP($A84,TabCAT!$A:$A,TabCAT!BR:BR,"NaN")))</f>
        <v>NaN</v>
      </c>
      <c r="FH84" s="8" t="str">
        <f>IF(_xlfn.XLOOKUP($A84,TabCAT!$A:$A,TabCAT!BS:BS,"NaN")="","NaN",(_xlfn.XLOOKUP($A84,TabCAT!$A:$A,TabCAT!BS:BS,"NaN")))</f>
        <v>NaN</v>
      </c>
      <c r="FI84" s="8" t="str">
        <f>IF(_xlfn.XLOOKUP($A84,TabCAT!$A:$A,TabCAT!BT:BT,"NaN")="","NaN",(_xlfn.XLOOKUP($A84,TabCAT!$A:$A,TabCAT!BT:BT,"NaN")))</f>
        <v>NaN</v>
      </c>
      <c r="FJ84" s="8" t="str">
        <f>IF(_xlfn.XLOOKUP($A84,TabCAT!$A:$A,TabCAT!BU:BU,"NaN")="","NaN",(_xlfn.XLOOKUP($A84,TabCAT!$A:$A,TabCAT!BU:BU,"NaN")))</f>
        <v>NaN</v>
      </c>
      <c r="FK84" s="8" t="str">
        <f>IF(_xlfn.XLOOKUP($A84,TabCAT!$A:$A,TabCAT!BV:BV,"NaN")="","NaN",(_xlfn.XLOOKUP($A84,TabCAT!$A:$A,TabCAT!BV:BV,"NaN")))</f>
        <v>NaN</v>
      </c>
      <c r="FL84" s="8" t="str">
        <f>IF(_xlfn.XLOOKUP($A84,TabCAT!$A:$A,TabCAT!BW:BW,"NaN")="","NaN",(_xlfn.XLOOKUP($A84,TabCAT!$A:$A,TabCAT!BW:BW,"NaN")))</f>
        <v>NaN</v>
      </c>
      <c r="FM84" s="8" t="str">
        <f>IF(_xlfn.XLOOKUP($A84,TabCAT!$A:$A,TabCAT!BX:BX,"NaN")="","NaN",(_xlfn.XLOOKUP($A84,TabCAT!$A:$A,TabCAT!BX:BX,"NaN")))</f>
        <v>NaN</v>
      </c>
      <c r="FN84" s="8" t="str">
        <f>IF(_xlfn.XLOOKUP($A84,TabCAT!$A:$A,TabCAT!BY:BY,"NaN")="","NaN",(_xlfn.XLOOKUP($A84,TabCAT!$A:$A,TabCAT!BY:BY,"NaN")))</f>
        <v>NaN</v>
      </c>
      <c r="FO84" s="8" t="str">
        <f>IF(_xlfn.XLOOKUP($A84,TabCAT!$A:$A,TabCAT!BZ:BZ,"NaN")="","NaN",(_xlfn.XLOOKUP($A84,TabCAT!$A:$A,TabCAT!BZ:BZ,"NaN")))</f>
        <v>NaN</v>
      </c>
      <c r="FP84" s="8" t="str">
        <f>IF(_xlfn.XLOOKUP($A84,TabCAT!$A:$A,TabCAT!CA:CA,"NaN")="","NaN",(_xlfn.XLOOKUP($A84,TabCAT!$A:$A,TabCAT!CA:CA,"NaN")))</f>
        <v>NaN</v>
      </c>
      <c r="FQ84" s="8" t="str">
        <f>IF(_xlfn.XLOOKUP($A84,TabCAT!$A:$A,TabCAT!CB:CB,"NaN")="","NaN",(_xlfn.XLOOKUP($A84,TabCAT!$A:$A,TabCAT!CB:CB,"NaN")))</f>
        <v>NaN</v>
      </c>
      <c r="FR84" s="8" t="str">
        <f>IF(_xlfn.XLOOKUP($A84,TabCAT!$A:$A,TabCAT!CC:CC,"NaN")="","NaN",(_xlfn.XLOOKUP($A84,TabCAT!$A:$A,TabCAT!CC:CC,"NaN")))</f>
        <v>NaN</v>
      </c>
      <c r="FS84" s="8" t="str">
        <f>IF(_xlfn.XLOOKUP($A84,TabCAT!$A:$A,TabCAT!CD:CD,"NaN")="","NaN",(_xlfn.XLOOKUP($A84,TabCAT!$A:$A,TabCAT!CD:CD,"NaN")))</f>
        <v>NaN</v>
      </c>
      <c r="FT84" s="8" t="str">
        <f>IF(_xlfn.XLOOKUP($A84,TabCAT!$A:$A,TabCAT!CE:CE,"NaN")="","NaN",(_xlfn.XLOOKUP($A84,TabCAT!$A:$A,TabCAT!CE:CE,"NaN")))</f>
        <v>NaN</v>
      </c>
      <c r="FU84" s="8" t="str">
        <f>IF(_xlfn.XLOOKUP($A84,TabCAT!$A:$A,TabCAT!CF:CF,"NaN")="","NaN",(_xlfn.XLOOKUP($A84,TabCAT!$A:$A,TabCAT!CF:CF,"NaN")))</f>
        <v>NaN</v>
      </c>
      <c r="FV84" s="8" t="str">
        <f>IF(_xlfn.XLOOKUP($A84,TabCAT!$A:$A,TabCAT!CG:CG,"NaN")="","NaN",(_xlfn.XLOOKUP($A84,TabCAT!$A:$A,TabCAT!CG:CG,"NaN")))</f>
        <v>NaN</v>
      </c>
      <c r="FW84" s="8" t="str">
        <f>IF(_xlfn.XLOOKUP($A84,TabCAT!$A:$A,TabCAT!CH:CH,"NaN")="","NaN",(_xlfn.XLOOKUP($A84,TabCAT!$A:$A,TabCAT!CH:CH,"NaN")))</f>
        <v>NaN</v>
      </c>
      <c r="FX84" s="8" t="str">
        <f>IF(_xlfn.XLOOKUP($A84,TabCAT!$A:$A,TabCAT!CI:CI,"NaN")="","NaN",(_xlfn.XLOOKUP($A84,TabCAT!$A:$A,TabCAT!CI:CI,"NaN")))</f>
        <v>NaN</v>
      </c>
      <c r="FY84" s="8" t="str">
        <f>IF(_xlfn.XLOOKUP($A84,TabCAT!$A:$A,TabCAT!CJ:CJ,"NaN")="","NaN",(_xlfn.XLOOKUP($A84,TabCAT!$A:$A,TabCAT!CJ:CJ,"NaN")))</f>
        <v>NaN</v>
      </c>
      <c r="FZ84" s="8" t="str">
        <f>IF(_xlfn.XLOOKUP($A84,TabCAT!$A:$A,TabCAT!CK:CK,"NaN")="","NaN",(_xlfn.XLOOKUP($A84,TabCAT!$A:$A,TabCAT!CK:CK,"NaN")))</f>
        <v>NaN</v>
      </c>
      <c r="GA84" s="8" t="str">
        <f>IF(_xlfn.XLOOKUP($A84,TabCAT!$A:$A,TabCAT!CL:CL,"NaN")="","NaN",(_xlfn.XLOOKUP($A84,TabCAT!$A:$A,TabCAT!CL:CL,"NaN")))</f>
        <v>NaN</v>
      </c>
      <c r="GB84" s="8" t="str">
        <f>IF(_xlfn.XLOOKUP($A84,TabCAT!$A:$A,TabCAT!CM:CM,"NaN")="","NaN",(_xlfn.XLOOKUP($A84,TabCAT!$A:$A,TabCAT!CM:CM,"NaN")))</f>
        <v>NaN</v>
      </c>
      <c r="GC84" s="8" t="str">
        <f>IF(_xlfn.XLOOKUP($A84,TabCAT!$A:$A,TabCAT!CN:CN,"NaN")="","NaN",(_xlfn.XLOOKUP($A84,TabCAT!$A:$A,TabCAT!CN:CN,"NaN")))</f>
        <v>NaN</v>
      </c>
      <c r="GD84" s="8" t="str">
        <f>IF(_xlfn.XLOOKUP($A84,TabCAT!$A:$A,TabCAT!CO:CO,"NaN")="","NaN",(_xlfn.XLOOKUP($A84,TabCAT!$A:$A,TabCAT!CO:CO,"NaN")))</f>
        <v>NaN</v>
      </c>
      <c r="GE84" s="8" t="str">
        <f>IF(_xlfn.XLOOKUP($A84,TabCAT!$A:$A,TabCAT!CP:CP,"NaN")="","NaN",(_xlfn.XLOOKUP($A84,TabCAT!$A:$A,TabCAT!CP:CP,"NaN")))</f>
        <v>NaN</v>
      </c>
      <c r="GF84" s="8" t="str">
        <f>IF(_xlfn.XLOOKUP($A84,TabCAT!$A:$A,TabCAT!CQ:CQ,"NaN")="","NaN",(_xlfn.XLOOKUP($A84,TabCAT!$A:$A,TabCAT!CQ:CQ,"NaN")))</f>
        <v>NaN</v>
      </c>
      <c r="GG84" s="8" t="str">
        <f>IF(_xlfn.XLOOKUP($A84,TabCAT!$A:$A,TabCAT!CR:CR,"NaN")="","NaN",(_xlfn.XLOOKUP($A84,TabCAT!$A:$A,TabCAT!CR:CR,"NaN")))</f>
        <v>NaN</v>
      </c>
      <c r="GH84" s="8" t="str">
        <f>IF(_xlfn.XLOOKUP($A84,TabCAT!$A:$A,TabCAT!CS:CS,"NaN")="","NaN",(_xlfn.XLOOKUP($A84,TabCAT!$A:$A,TabCAT!CS:CS,"NaN")))</f>
        <v>NaN</v>
      </c>
    </row>
    <row r="85" spans="1:190" x14ac:dyDescent="0.2">
      <c r="A85">
        <f>trust!A85</f>
        <v>0</v>
      </c>
      <c r="B85" t="e">
        <f>_xlfn.XLOOKUP(bippity_poppity_boo!A85,rf1_data!A:A,rf1_data!B:B)</f>
        <v>#N/A</v>
      </c>
      <c r="C85" s="2" t="str">
        <f>(_xlfn.XLOOKUP($A85,trust!$A:$A,trust!B:B,"NaN"))</f>
        <v>NaN</v>
      </c>
      <c r="D85" s="2" t="str">
        <f>(_xlfn.XLOOKUP($A85,trust!$A:$A,trust!C:C,"NaN"))</f>
        <v>NaN</v>
      </c>
      <c r="E85" s="2" t="str">
        <f>(_xlfn.XLOOKUP($A85,trust!$A:$A,trust!D:D,"NaN"))</f>
        <v>NaN</v>
      </c>
      <c r="F85" s="2" t="str">
        <f>(_xlfn.XLOOKUP($A85,trust!$A:$A,trust!E:E,"NaN"))</f>
        <v>NaN</v>
      </c>
      <c r="G85" s="2" t="str">
        <f>(_xlfn.XLOOKUP($A85,trust!$A:$A,trust!F:F,"NaN"))</f>
        <v>NaN</v>
      </c>
      <c r="H85" s="2" t="str">
        <f>(_xlfn.XLOOKUP($A85,trust!$A:$A,trust!G:G,"NaN"))</f>
        <v>NaN</v>
      </c>
      <c r="I85" s="3" t="e">
        <f>IF(_xlfn.XLOOKUP($B85,island_data!$B:$B,island_data!C:C,"NaN")="","NaN",_xlfn.XLOOKUP($B85,island_data!$B:$B,island_data!C:C,"NaN"))</f>
        <v>#N/A</v>
      </c>
      <c r="J85" s="3" t="e">
        <f>IF(_xlfn.XLOOKUP($B85,island_data!$B:$B,island_data!D:D,"NaN")="","NaN",_xlfn.XLOOKUP($B85,island_data!$B:$B,island_data!D:D,"NaN"))</f>
        <v>#N/A</v>
      </c>
      <c r="K85" s="4" t="e">
        <f>IF(_xlfn.XLOOKUP($B85,island_data!$B:$B,island_data!E:E,"NaN")="","NaN",_xlfn.XLOOKUP($B85,island_data!$B:$B,island_data!E:E,"NaN"))</f>
        <v>#N/A</v>
      </c>
      <c r="L85" s="5" t="e">
        <f>IF(_xlfn.XLOOKUP($B85,rf1_data!$B:$B,rf1_data!D:D,"NaN")="","NaN",(_xlfn.XLOOKUP($B85,rf1_data!$B:$B,rf1_data!D:D,"NaN")))</f>
        <v>#N/A</v>
      </c>
      <c r="M85" s="5" t="e">
        <f>IF(_xlfn.XLOOKUP($B85,rf1_data!$B:$B,rf1_data!E:E,"NaN")="","NaN",(_xlfn.XLOOKUP($B85,rf1_data!$B:$B,rf1_data!E:E,"NaN")))</f>
        <v>#N/A</v>
      </c>
      <c r="N85" s="5" t="e">
        <f>IF(_xlfn.XLOOKUP($B85,rf1_data!$B:$B,rf1_data!F:F,"NaN")="","NaN",(_xlfn.XLOOKUP($B85,rf1_data!$B:$B,rf1_data!F:F,"NaN")))</f>
        <v>#N/A</v>
      </c>
      <c r="O85" s="5" t="e">
        <f>IF(_xlfn.XLOOKUP($B85,rf1_data!$B:$B,rf1_data!G:G,"NaN")="","NaN",(_xlfn.XLOOKUP($B85,rf1_data!$B:$B,rf1_data!G:G,"NaN")))</f>
        <v>#N/A</v>
      </c>
      <c r="P85" s="5" t="e">
        <f>IF(_xlfn.XLOOKUP($B85,rf1_data!$B:$B,rf1_data!H:H,"NaN")="","NaN",(_xlfn.XLOOKUP($B85,rf1_data!$B:$B,rf1_data!H:H,"NaN")))</f>
        <v>#N/A</v>
      </c>
      <c r="Q85" s="5" t="e">
        <f>IF(_xlfn.XLOOKUP($B85,rf1_data!$B:$B,rf1_data!I:I,"NaN")="","NaN",(_xlfn.XLOOKUP($B85,rf1_data!$B:$B,rf1_data!I:I,"NaN")))</f>
        <v>#N/A</v>
      </c>
      <c r="R85" s="5" t="e">
        <f>IF(_xlfn.XLOOKUP($B85,rf1_data!$B:$B,rf1_data!J:J,"NaN")="","NaN",(_xlfn.XLOOKUP($B85,rf1_data!$B:$B,rf1_data!J:J,"NaN")))</f>
        <v>#N/A</v>
      </c>
      <c r="S85" s="5" t="e">
        <f>IF(_xlfn.XLOOKUP($B85,rf1_data!$B:$B,rf1_data!K:K,"NaN")="","NaN",(_xlfn.XLOOKUP($B85,rf1_data!$B:$B,rf1_data!K:K,"NaN")))</f>
        <v>#N/A</v>
      </c>
      <c r="T85" s="5" t="e">
        <f>IF(_xlfn.XLOOKUP($B85,rf1_data!$B:$B,rf1_data!L:L,"NaN")="","NaN",(_xlfn.XLOOKUP($B85,rf1_data!$B:$B,rf1_data!L:L,"NaN")))</f>
        <v>#N/A</v>
      </c>
      <c r="U85" s="5" t="e">
        <f>IF(_xlfn.XLOOKUP($B85,rf1_data!$B:$B,rf1_data!M:M,"NaN")="","NaN",(_xlfn.XLOOKUP($B85,rf1_data!$B:$B,rf1_data!M:M,"NaN")))</f>
        <v>#N/A</v>
      </c>
      <c r="V85" s="5" t="e">
        <f>IF(_xlfn.XLOOKUP($B85,rf1_data!$B:$B,rf1_data!N:N,"NaN")="","NaN",(_xlfn.XLOOKUP($B85,rf1_data!$B:$B,rf1_data!N:N,"NaN")))</f>
        <v>#N/A</v>
      </c>
      <c r="W85" s="5" t="e">
        <f>IF(_xlfn.XLOOKUP($B85,rf1_data!$B:$B,rf1_data!O:O,"NaN")="","NaN",(_xlfn.XLOOKUP($B85,rf1_data!$B:$B,rf1_data!O:O,"NaN")))</f>
        <v>#N/A</v>
      </c>
      <c r="X85" s="5" t="e">
        <f>IF(_xlfn.XLOOKUP($B85,rf1_data!$B:$B,rf1_data!P:P,"NaN")="","NaN",(_xlfn.XLOOKUP($B85,rf1_data!$B:$B,rf1_data!P:P,"NaN")))</f>
        <v>#N/A</v>
      </c>
      <c r="Y85" s="5" t="e">
        <f>IF(_xlfn.XLOOKUP($B85,rf1_data!$B:$B,rf1_data!Q:Q,"NaN")="","NaN",(_xlfn.XLOOKUP($B85,rf1_data!$B:$B,rf1_data!Q:Q,"NaN")))</f>
        <v>#N/A</v>
      </c>
      <c r="Z85" s="5" t="e">
        <f>IF(_xlfn.XLOOKUP($B85,rf1_data!$B:$B,rf1_data!R:R,"NaN")="","NaN",(_xlfn.XLOOKUP($B85,rf1_data!$B:$B,rf1_data!R:R,"NaN")))</f>
        <v>#N/A</v>
      </c>
      <c r="AA85" s="5" t="e">
        <f>IF(_xlfn.XLOOKUP($B85,rf1_data!$B:$B,rf1_data!S:S,"NaN")="","NaN",(_xlfn.XLOOKUP($B85,rf1_data!$B:$B,rf1_data!S:S,"NaN")))</f>
        <v>#N/A</v>
      </c>
      <c r="AB85" s="5" t="e">
        <f>IF(_xlfn.XLOOKUP($B85,rf1_data!$B:$B,rf1_data!T:T,"NaN")="","NaN",(_xlfn.XLOOKUP($B85,rf1_data!$B:$B,rf1_data!T:T,"NaN")))</f>
        <v>#N/A</v>
      </c>
      <c r="AC85" s="5" t="e">
        <f>IF(_xlfn.XLOOKUP($B85,rf1_data!$B:$B,rf1_data!U:U,"NaN")="","NaN",(_xlfn.XLOOKUP($B85,rf1_data!$B:$B,rf1_data!U:U,"NaN")))</f>
        <v>#N/A</v>
      </c>
      <c r="AD85" s="5" t="e">
        <f>IF(_xlfn.XLOOKUP($B85,rf1_data!$B:$B,rf1_data!V:V,"NaN")="","NaN",(_xlfn.XLOOKUP($B85,rf1_data!$B:$B,rf1_data!V:V,"NaN")))</f>
        <v>#N/A</v>
      </c>
      <c r="AE85" s="5" t="e">
        <f>IF(_xlfn.XLOOKUP($B85,rf1_data!$B:$B,rf1_data!W:W,"NaN")="","NaN",(_xlfn.XLOOKUP($B85,rf1_data!$B:$B,rf1_data!W:W,"NaN")))</f>
        <v>#N/A</v>
      </c>
      <c r="AF85" s="5" t="e">
        <f>IF(_xlfn.XLOOKUP($B85,rf1_data!$B:$B,rf1_data!X:X,"NaN")="","NaN",(_xlfn.XLOOKUP($B85,rf1_data!$B:$B,rf1_data!X:X,"NaN")))</f>
        <v>#N/A</v>
      </c>
      <c r="AG85" s="5" t="e">
        <f>IF(_xlfn.XLOOKUP($B85,rf1_data!$B:$B,rf1_data!Y:Y,"NaN")="","NaN",(_xlfn.XLOOKUP($B85,rf1_data!$B:$B,rf1_data!Y:Y,"NaN")))</f>
        <v>#N/A</v>
      </c>
      <c r="AH85" s="5" t="e">
        <f>IF(_xlfn.XLOOKUP($B85,rf1_data!$B:$B,rf1_data!Z:Z,"NaN")="","NaN",(_xlfn.XLOOKUP($B85,rf1_data!$B:$B,rf1_data!Z:Z,"NaN")))</f>
        <v>#N/A</v>
      </c>
      <c r="AI85" s="5" t="e">
        <f>IF(_xlfn.XLOOKUP($B85,rf1_data!$B:$B,rf1_data!AA:AA,"NaN")="","NaN",(_xlfn.XLOOKUP($B85,rf1_data!$B:$B,rf1_data!AA:AA,"NaN")))</f>
        <v>#N/A</v>
      </c>
      <c r="AJ85" s="5" t="e">
        <f>IF(_xlfn.XLOOKUP($B85,rf1_data!$B:$B,rf1_data!AB:AB,"NaN")="","NaN",(_xlfn.XLOOKUP($B85,rf1_data!$B:$B,rf1_data!AB:AB,"NaN")))</f>
        <v>#N/A</v>
      </c>
      <c r="AK85" s="5" t="e">
        <f>IF(_xlfn.XLOOKUP($B85,rf1_data!$B:$B,rf1_data!AC:AC,"NaN")="","NaN",(_xlfn.XLOOKUP($B85,rf1_data!$B:$B,rf1_data!AC:AC,"NaN")))</f>
        <v>#N/A</v>
      </c>
      <c r="AL85" s="5" t="e">
        <f>IF(_xlfn.XLOOKUP($B85,rf1_data!$B:$B,rf1_data!AD:AD,"NaN")="","NaN",(_xlfn.XLOOKUP($B85,rf1_data!$B:$B,rf1_data!AD:AD,"NaN")))</f>
        <v>#N/A</v>
      </c>
      <c r="AM85" s="5" t="e">
        <f>IF(_xlfn.XLOOKUP($B85,rf1_data!$B:$B,rf1_data!AE:AE,"NaN")="","NaN",(_xlfn.XLOOKUP($B85,rf1_data!$B:$B,rf1_data!AE:AE,"NaN")))</f>
        <v>#N/A</v>
      </c>
      <c r="AN85" s="5" t="e">
        <f>IF(_xlfn.XLOOKUP($B85,rf1_data!$B:$B,rf1_data!AF:AF,"NaN")="","NaN",(_xlfn.XLOOKUP($B85,rf1_data!$B:$B,rf1_data!AF:AF,"NaN")))</f>
        <v>#N/A</v>
      </c>
      <c r="AO85" s="5" t="e">
        <f>IF(_xlfn.XLOOKUP($B85,rf1_data!$B:$B,rf1_data!AG:AG,"NaN")="","NaN",(_xlfn.XLOOKUP($B85,rf1_data!$B:$B,rf1_data!AG:AG,"NaN")))</f>
        <v>#N/A</v>
      </c>
      <c r="AP85" s="5" t="e">
        <f>IF(_xlfn.XLOOKUP($B85,rf1_data!$B:$B,rf1_data!AH:AH,"NaN")="","NaN",(_xlfn.XLOOKUP($B85,rf1_data!$B:$B,rf1_data!AH:AH,"NaN")))</f>
        <v>#N/A</v>
      </c>
      <c r="AQ85" s="5" t="e">
        <f>IF(_xlfn.XLOOKUP($B85,rf1_data!$B:$B,rf1_data!AI:AI,"NaN")="","NaN",(_xlfn.XLOOKUP($B85,rf1_data!$B:$B,rf1_data!AI:AI,"NaN")))</f>
        <v>#N/A</v>
      </c>
      <c r="AR85" s="5" t="e">
        <f>IF(_xlfn.XLOOKUP($B85,rf1_data!$B:$B,rf1_data!AJ:AJ,"NaN")="","NaN",(_xlfn.XLOOKUP($B85,rf1_data!$B:$B,rf1_data!AJ:AJ,"NaN")))</f>
        <v>#N/A</v>
      </c>
      <c r="AS85" s="5" t="e">
        <f>IF(_xlfn.XLOOKUP($B85,rf1_data!$B:$B,rf1_data!AK:AK,"NaN")="","NaN",(_xlfn.XLOOKUP($B85,rf1_data!$B:$B,rf1_data!AK:AK,"NaN")))</f>
        <v>#N/A</v>
      </c>
      <c r="AT85" s="5" t="e">
        <f>IF(_xlfn.XLOOKUP($B85,rf1_data!$B:$B,rf1_data!AL:AL,"NaN")="","NaN",(_xlfn.XLOOKUP($B85,rf1_data!$B:$B,rf1_data!AL:AL,"NaN")))</f>
        <v>#N/A</v>
      </c>
      <c r="AU85" s="5" t="e">
        <f>IF(_xlfn.XLOOKUP($B85,rf1_data!$B:$B,rf1_data!AM:AM,"NaN")="","NaN",(_xlfn.XLOOKUP($B85,rf1_data!$B:$B,rf1_data!AM:AM,"NaN")))</f>
        <v>#N/A</v>
      </c>
      <c r="AV85" s="5" t="e">
        <f>IF(_xlfn.XLOOKUP($B85,rf1_data!$B:$B,rf1_data!AN:AN,"NaN")="","NaN",(_xlfn.XLOOKUP($B85,rf1_data!$B:$B,rf1_data!AN:AN,"NaN")))</f>
        <v>#N/A</v>
      </c>
      <c r="AW85" s="5" t="e">
        <f>IF(_xlfn.XLOOKUP($B85,rf1_data!$B:$B,rf1_data!AO:AO,"NaN")="","NaN",(_xlfn.XLOOKUP($B85,rf1_data!$B:$B,rf1_data!AO:AO,"NaN")))</f>
        <v>#N/A</v>
      </c>
      <c r="AX85" s="5" t="e">
        <f>IF(_xlfn.XLOOKUP($B85,rf1_data!$B:$B,rf1_data!AP:AP,"NaN")="","NaN",(_xlfn.XLOOKUP($B85,rf1_data!$B:$B,rf1_data!AP:AP,"NaN")))</f>
        <v>#N/A</v>
      </c>
      <c r="AY85" s="5" t="e">
        <f>IF(_xlfn.XLOOKUP($B85,rf1_data!$B:$B,rf1_data!AQ:AQ,"NaN")="","NaN",(_xlfn.XLOOKUP($B85,rf1_data!$B:$B,rf1_data!AQ:AQ,"NaN")))</f>
        <v>#N/A</v>
      </c>
      <c r="AZ85" s="5" t="e">
        <f>IF(_xlfn.XLOOKUP($B85,rf1_data!$B:$B,rf1_data!AR:AR,"NaN")="","NaN",(_xlfn.XLOOKUP($B85,rf1_data!$B:$B,rf1_data!AR:AR,"NaN")))</f>
        <v>#N/A</v>
      </c>
      <c r="BA85" s="5" t="e">
        <f>IF(_xlfn.XLOOKUP($B85,rf1_data!$B:$B,rf1_data!AS:AS,"NaN")="","NaN",(_xlfn.XLOOKUP($B85,rf1_data!$B:$B,rf1_data!AS:AS,"NaN")))</f>
        <v>#N/A</v>
      </c>
      <c r="BB85" s="5" t="e">
        <f>IF(_xlfn.XLOOKUP($B85,rf1_data!$B:$B,rf1_data!AT:AT,"NaN")="","NaN",(_xlfn.XLOOKUP($B85,rf1_data!$B:$B,rf1_data!AT:AT,"NaN")))</f>
        <v>#N/A</v>
      </c>
      <c r="BC85" s="5" t="e">
        <f>IF(_xlfn.XLOOKUP($B85,rf1_data!$B:$B,rf1_data!AU:AU,"NaN")="","NaN",(_xlfn.XLOOKUP($B85,rf1_data!$B:$B,rf1_data!AU:AU,"NaN")))</f>
        <v>#N/A</v>
      </c>
      <c r="BD85" s="5" t="e">
        <f>IF(_xlfn.XLOOKUP($B85,rf1_data!$B:$B,rf1_data!AV:AV,"NaN")="","NaN",(_xlfn.XLOOKUP($B85,rf1_data!$B:$B,rf1_data!AV:AV,"NaN")))</f>
        <v>#N/A</v>
      </c>
      <c r="BE85" s="5" t="e">
        <f>IF(_xlfn.XLOOKUP($B85,rf1_data!$B:$B,rf1_data!AW:AW,"NaN")="","NaN",(_xlfn.XLOOKUP($B85,rf1_data!$B:$B,rf1_data!AW:AW,"NaN")))</f>
        <v>#N/A</v>
      </c>
      <c r="BF85" s="5" t="e">
        <f>IF(_xlfn.XLOOKUP($B85,rf1_data!$B:$B,rf1_data!AX:AX,"NaN")="","NaN",(_xlfn.XLOOKUP($B85,rf1_data!$B:$B,rf1_data!AX:AX,"NaN")))</f>
        <v>#N/A</v>
      </c>
      <c r="BG85" s="5" t="e">
        <f>IF(_xlfn.XLOOKUP($B85,rf1_data!$B:$B,rf1_data!AY:AY,"NaN")="","NaN",(_xlfn.XLOOKUP($B85,rf1_data!$B:$B,rf1_data!AY:AY,"NaN")))</f>
        <v>#N/A</v>
      </c>
      <c r="BH85" s="5" t="e">
        <f>IF(_xlfn.XLOOKUP($B85,rf1_data!$B:$B,rf1_data!AZ:AZ,"NaN")="","NaN",(_xlfn.XLOOKUP($B85,rf1_data!$B:$B,rf1_data!AZ:AZ,"NaN")))</f>
        <v>#N/A</v>
      </c>
      <c r="BI85" s="5" t="e">
        <f>IF(_xlfn.XLOOKUP($B85,rf1_data!$B:$B,rf1_data!BA:BA,"NaN")="","NaN",(_xlfn.XLOOKUP($B85,rf1_data!$B:$B,rf1_data!BA:BA,"NaN")))</f>
        <v>#N/A</v>
      </c>
      <c r="BJ85" s="5" t="e">
        <f>IF(_xlfn.XLOOKUP($B85,rf1_data!$B:$B,rf1_data!BB:BB,"NaN")="","NaN",(_xlfn.XLOOKUP($B85,rf1_data!$B:$B,rf1_data!BB:BB,"NaN")))</f>
        <v>#N/A</v>
      </c>
      <c r="BK85" s="5" t="e">
        <f>IF(_xlfn.XLOOKUP($B85,rf1_data!$B:$B,rf1_data!BC:BC,"NaN")="","NaN",(_xlfn.XLOOKUP($B85,rf1_data!$B:$B,rf1_data!BC:BC,"NaN")))</f>
        <v>#N/A</v>
      </c>
      <c r="BL85" s="5" t="e">
        <f>IF(_xlfn.XLOOKUP($B85,rf1_data!$B:$B,rf1_data!BD:BD,"NaN")="","NaN",(_xlfn.XLOOKUP($B85,rf1_data!$B:$B,rf1_data!BD:BD,"NaN")))</f>
        <v>#N/A</v>
      </c>
      <c r="BM85" s="5" t="e">
        <f>IF(_xlfn.XLOOKUP($B85,rf1_data!$B:$B,rf1_data!BE:BE,"NaN")="","NaN",(_xlfn.XLOOKUP($B85,rf1_data!$B:$B,rf1_data!BE:BE,"NaN")))</f>
        <v>#N/A</v>
      </c>
      <c r="BN85" s="5" t="e">
        <f>IF(_xlfn.XLOOKUP($B85,rf1_data!$B:$B,rf1_data!BF:BF,"NaN")="","NaN",(_xlfn.XLOOKUP($B85,rf1_data!$B:$B,rf1_data!BF:BF,"NaN")))</f>
        <v>#N/A</v>
      </c>
      <c r="BO85" s="5" t="e">
        <f>IF(_xlfn.XLOOKUP($B85,rf1_data!$B:$B,rf1_data!BG:BG,"NaN")="","NaN",(_xlfn.XLOOKUP($B85,rf1_data!$B:$B,rf1_data!BG:BG,"NaN")))</f>
        <v>#N/A</v>
      </c>
      <c r="BP85" s="5" t="e">
        <f>IF(_xlfn.XLOOKUP($B85,rf1_data!$B:$B,rf1_data!BH:BH,"NaN")="","NaN",(_xlfn.XLOOKUP($B85,rf1_data!$B:$B,rf1_data!BH:BH,"NaN")))</f>
        <v>#N/A</v>
      </c>
      <c r="BQ85" s="5" t="e">
        <f>IF(_xlfn.XLOOKUP($B85,rf1_data!$B:$B,rf1_data!BI:BI,"NaN")="","NaN",(_xlfn.XLOOKUP($B85,rf1_data!$B:$B,rf1_data!BI:BI,"NaN")))</f>
        <v>#N/A</v>
      </c>
      <c r="BR85" s="5" t="e">
        <f>IF(_xlfn.XLOOKUP($B85,rf1_data!$B:$B,rf1_data!BJ:BJ,"NaN")="","NaN",(_xlfn.XLOOKUP($B85,rf1_data!$B:$B,rf1_data!BJ:BJ,"NaN")))</f>
        <v>#N/A</v>
      </c>
      <c r="BS85" s="5" t="e">
        <f>IF(_xlfn.XLOOKUP($B85,rf1_data!$B:$B,rf1_data!BK:BK,"NaN")="","NaN",(_xlfn.XLOOKUP($B85,rf1_data!$B:$B,rf1_data!BK:BK,"NaN")))</f>
        <v>#N/A</v>
      </c>
      <c r="BT85" s="5" t="e">
        <f>IF(_xlfn.XLOOKUP($B85,rf1_data!$B:$B,rf1_data!BL:BL,"NaN")="","NaN",(_xlfn.XLOOKUP($B85,rf1_data!$B:$B,rf1_data!BL:BL,"NaN")))</f>
        <v>#N/A</v>
      </c>
      <c r="BU85" s="5" t="e">
        <f>IF(_xlfn.XLOOKUP($B85,rf1_data!$B:$B,rf1_data!BM:BM,"NaN")="","NaN",(_xlfn.XLOOKUP($B85,rf1_data!$B:$B,rf1_data!BM:BM,"NaN")))</f>
        <v>#N/A</v>
      </c>
      <c r="BV85" s="5" t="e">
        <f>IF(_xlfn.XLOOKUP($B85,rf1_data!$B:$B,rf1_data!BN:BN,"NaN")="","NaN",(_xlfn.XLOOKUP($B85,rf1_data!$B:$B,rf1_data!BN:BN,"NaN")))</f>
        <v>#N/A</v>
      </c>
      <c r="BW85" s="5" t="e">
        <f>IF(_xlfn.XLOOKUP($B85,rf1_data!$B:$B,rf1_data!BO:BO,"NaN")="","NaN",(_xlfn.XLOOKUP($B85,rf1_data!$B:$B,rf1_data!BO:BO,"NaN")))</f>
        <v>#N/A</v>
      </c>
      <c r="BX85" s="5" t="e">
        <f>IF(_xlfn.XLOOKUP($B85,rf1_data!$B:$B,rf1_data!BP:BP,"NaN")="","NaN",(_xlfn.XLOOKUP($B85,rf1_data!$B:$B,rf1_data!BP:BP,"NaN")))</f>
        <v>#N/A</v>
      </c>
      <c r="BY85" s="5" t="e">
        <f>IF(_xlfn.XLOOKUP($B85,rf1_data!$B:$B,rf1_data!BQ:BQ,"NaN")="","NaN",(_xlfn.XLOOKUP($B85,rf1_data!$B:$B,rf1_data!BQ:BQ,"NaN")))</f>
        <v>#N/A</v>
      </c>
      <c r="BZ85" s="5" t="e">
        <f>IF(_xlfn.XLOOKUP($B85,rf1_data!$B:$B,rf1_data!BR:BR,"NaN")="","NaN",(_xlfn.XLOOKUP($B85,rf1_data!$B:$B,rf1_data!BR:BR,"NaN")))</f>
        <v>#N/A</v>
      </c>
      <c r="CA85" s="5" t="e">
        <f>IF(_xlfn.XLOOKUP($B85,rf1_data!$B:$B,rf1_data!BS:BS,"NaN")="","NaN",(_xlfn.XLOOKUP($B85,rf1_data!$B:$B,rf1_data!BS:BS,"NaN")))</f>
        <v>#N/A</v>
      </c>
      <c r="CB85" s="5" t="e">
        <f>IF(_xlfn.XLOOKUP($B85,rf1_data!$B:$B,rf1_data!BT:BT,"NaN")="","NaN",(_xlfn.XLOOKUP($B85,rf1_data!$B:$B,rf1_data!BT:BT,"NaN")))</f>
        <v>#N/A</v>
      </c>
      <c r="CC85" s="5" t="e">
        <f>IF(_xlfn.XLOOKUP($B85,rf1_data!$B:$B,rf1_data!BU:BU,"NaN")="","NaN",(_xlfn.XLOOKUP($B85,rf1_data!$B:$B,rf1_data!BU:BU,"NaN")))</f>
        <v>#N/A</v>
      </c>
      <c r="CD85" s="5" t="e">
        <f>IF(_xlfn.XLOOKUP($B85,rf1_data!$B:$B,rf1_data!BV:BV,"NaN")="","NaN",(_xlfn.XLOOKUP($B85,rf1_data!$B:$B,rf1_data!BV:BV,"NaN")))</f>
        <v>#N/A</v>
      </c>
      <c r="CE85" s="5" t="e">
        <f>IF(_xlfn.XLOOKUP($B85,rf1_data!$B:$B,rf1_data!BW:BW,"NaN")="","NaN",(_xlfn.XLOOKUP($B85,rf1_data!$B:$B,rf1_data!BW:BW,"NaN")))</f>
        <v>#N/A</v>
      </c>
      <c r="CF85" s="5" t="e">
        <f>IF(_xlfn.XLOOKUP($B85,rf1_data!$B:$B,rf1_data!BX:BX,"NaN")="","NaN",(_xlfn.XLOOKUP($B85,rf1_data!$B:$B,rf1_data!BX:BX,"NaN")))</f>
        <v>#N/A</v>
      </c>
      <c r="CG85" s="5" t="e">
        <f>IF(_xlfn.XLOOKUP($B85,rf1_data!$B:$B,rf1_data!BY:BY,"NaN")="","NaN",(_xlfn.XLOOKUP($B85,rf1_data!$B:$B,rf1_data!BY:BY,"NaN")))</f>
        <v>#N/A</v>
      </c>
      <c r="CH85" s="5" t="e">
        <f>IF(_xlfn.XLOOKUP($B85,rf1_data!$B:$B,rf1_data!BZ:BZ,"NaN")="","NaN",(_xlfn.XLOOKUP($B85,rf1_data!$B:$B,rf1_data!BZ:BZ,"NaN")))</f>
        <v>#N/A</v>
      </c>
      <c r="CI85" s="5" t="e">
        <f>IF(_xlfn.XLOOKUP($B85,rf1_data!$B:$B,rf1_data!CA:CA,"NaN")="","NaN",(_xlfn.XLOOKUP($B85,rf1_data!$B:$B,rf1_data!CA:CA,"NaN")))</f>
        <v>#N/A</v>
      </c>
      <c r="CJ85" s="5" t="e">
        <f>IF(_xlfn.XLOOKUP($B85,rf1_data!$B:$B,rf1_data!CB:CB,"NaN")="","NaN",(_xlfn.XLOOKUP($B85,rf1_data!$B:$B,rf1_data!CB:CB,"NaN")))</f>
        <v>#N/A</v>
      </c>
      <c r="CK85" s="5" t="e">
        <f>IF(_xlfn.XLOOKUP($B85,rf1_data!$B:$B,rf1_data!CC:CC,"NaN")="","NaN",(_xlfn.XLOOKUP($B85,rf1_data!$B:$B,rf1_data!CC:CC,"NaN")))</f>
        <v>#N/A</v>
      </c>
      <c r="CL85" s="5" t="e">
        <f>IF(_xlfn.XLOOKUP($B85,rf1_data!$B:$B,rf1_data!CD:CD,"NaN")=0,"NaN",(_xlfn.XLOOKUP($B85,rf1_data!$B:$B,rf1_data!CD:CD,"NaN")))</f>
        <v>#N/A</v>
      </c>
      <c r="CM85" s="5" t="e">
        <f>IF(_xlfn.XLOOKUP($B85,rf1_data!$B:$B,rf1_data!CE:CE,"NaN")="","NaN",(_xlfn.XLOOKUP($B85,rf1_data!$B:$B,rf1_data!CE:CE,"NaN")))</f>
        <v>#N/A</v>
      </c>
      <c r="CN85" s="5" t="e">
        <f>IF(_xlfn.XLOOKUP($B85,rf1_data!$B:$B,rf1_data!CF:CF,"NaN")="","NaN",(_xlfn.XLOOKUP($B85,rf1_data!$B:$B,rf1_data!CF:CF,"NaN")))</f>
        <v>#N/A</v>
      </c>
      <c r="CO85" s="5" t="e">
        <f>IF(_xlfn.XLOOKUP($B85,rf1_data!$B:$B,rf1_data!CG:CG,"NaN")="","NaN",(_xlfn.XLOOKUP($B85,rf1_data!$B:$B,rf1_data!CG:CG,"NaN")))</f>
        <v>#N/A</v>
      </c>
      <c r="CP85" s="5" t="e">
        <f>IF(_xlfn.XLOOKUP($B85,rf1_data!$B:$B,rf1_data!CH:CH,"NaN")=0,"NaN",(_xlfn.XLOOKUP($B85,rf1_data!$B:$B,rf1_data!CH:CH,"NaN")))</f>
        <v>#N/A</v>
      </c>
      <c r="CQ85" s="5" t="e">
        <f>IF(_xlfn.XLOOKUP($B85,rf1_data!$B:$B,rf1_data!CI:CI,"NaN")="","NaN",(_xlfn.XLOOKUP($B85,rf1_data!$B:$B,rf1_data!CI:CI,"NaN")))</f>
        <v>#N/A</v>
      </c>
      <c r="CR85" s="5" t="e">
        <f>IF(_xlfn.XLOOKUP($B85,rf1_data!$B:$B,rf1_data!CJ:CJ,"NaN")="","NaN",(_xlfn.XLOOKUP($B85,rf1_data!$B:$B,rf1_data!CJ:CJ,"NaN")))</f>
        <v>#N/A</v>
      </c>
      <c r="CS85" s="5" t="e">
        <f>IF(_xlfn.XLOOKUP($B85,rf1_data!$B:$B,rf1_data!CK:CK,"NaN")="","NaN",(_xlfn.XLOOKUP($B85,rf1_data!$B:$B,rf1_data!CK:CK,"NaN")))</f>
        <v>#N/A</v>
      </c>
      <c r="CT85" s="5" t="e">
        <f>IF(_xlfn.XLOOKUP($B85,rf1_data!$B:$B,rf1_data!CL:CL,"NaN")="","NaN",(_xlfn.XLOOKUP($B85,rf1_data!$B:$B,rf1_data!CL:CL,"NaN")))</f>
        <v>#N/A</v>
      </c>
      <c r="CU85" s="5" t="e">
        <f>IF(_xlfn.XLOOKUP($B85,rf1_data!$B:$B,rf1_data!CM:CM,"NaN")="","NaN",(_xlfn.XLOOKUP($B85,rf1_data!$B:$B,rf1_data!CM:CM,"NaN")))</f>
        <v>#N/A</v>
      </c>
      <c r="CV85" s="5" t="e">
        <f>IF(_xlfn.XLOOKUP($B85,rf1_data!$B:$B,rf1_data!CN:CN,"NaN")="","NaN",(_xlfn.XLOOKUP($B85,rf1_data!$B:$B,rf1_data!CN:CN,"NaN")))</f>
        <v>#N/A</v>
      </c>
      <c r="CW85" s="5" t="e">
        <f>IF(_xlfn.XLOOKUP($B85,rf1_data!$B:$B,rf1_data!CO:CO,"NaN")="","NaN",(_xlfn.XLOOKUP($B85,rf1_data!$B:$B,rf1_data!CO:CO,"NaN")))</f>
        <v>#N/A</v>
      </c>
      <c r="CX85" s="5" t="e">
        <f>IF(_xlfn.XLOOKUP($B85,rf1_data!$B:$B,rf1_data!CP:CP,"NaN")="","NaN",(_xlfn.XLOOKUP($B85,rf1_data!$B:$B,rf1_data!CP:CP,"NaN")))</f>
        <v>#N/A</v>
      </c>
      <c r="CY85" s="5" t="e">
        <f>IF(_xlfn.XLOOKUP($B85,rf1_data!$B:$B,rf1_data!CQ:CQ,"NaN")="","NaN",(_xlfn.XLOOKUP($B85,rf1_data!$B:$B,rf1_data!CQ:CQ,"NaN")))</f>
        <v>#N/A</v>
      </c>
      <c r="CZ85" s="5" t="e">
        <f>IF(_xlfn.XLOOKUP($B85,rf1_data!$B:$B,rf1_data!CR:CR,"NaN")="","NaN",(_xlfn.XLOOKUP($B85,rf1_data!$B:$B,rf1_data!CR:CR,"NaN")))</f>
        <v>#N/A</v>
      </c>
      <c r="DA85" s="5" t="e">
        <f>IF(_xlfn.XLOOKUP($B85,rf1_data!$B:$B,rf1_data!CS:CS,"NaN")="","NaN",(_xlfn.XLOOKUP($B85,rf1_data!$B:$B,rf1_data!CS:CS,"NaN")))</f>
        <v>#N/A</v>
      </c>
      <c r="DB85" s="4" t="e">
        <f>IF(_xlfn.XLOOKUP($B85,island_data!$B:$B,island_data!H:H,"NaN")="","NaN",_xlfn.XLOOKUP($B85,island_data!$B:$B,island_data!H:H,"NaN"))</f>
        <v>#N/A</v>
      </c>
      <c r="DC85" s="4" t="e">
        <f>IF(_xlfn.XLOOKUP($B85,island_data!$B:$B,island_data!I:I,"NaN")="","NaN",_xlfn.XLOOKUP($B85,island_data!$B:$B,island_data!I:I,"NaN"))</f>
        <v>#N/A</v>
      </c>
      <c r="DD85" s="4" t="e">
        <f>IF(_xlfn.XLOOKUP($B85,island_data!$B:$B,island_data!J:J,"NaN")="","NaN",_xlfn.XLOOKUP($B85,island_data!$B:$B,island_data!J:J,"NaN"))</f>
        <v>#N/A</v>
      </c>
      <c r="DE85" s="4" t="e">
        <f>IF(_xlfn.XLOOKUP($B85,island_data!$B:$B,island_data!K:K,"NaN")="","NaN",_xlfn.XLOOKUP($B85,island_data!$B:$B,island_data!K:K,"NaN"))</f>
        <v>#N/A</v>
      </c>
      <c r="DF85" s="4" t="e">
        <f>IF(_xlfn.XLOOKUP($B85,island_data!$B:$B,island_data!L:L,"NaN")="","NaN",_xlfn.XLOOKUP($B85,island_data!$B:$B,island_data!L:L,"NaN"))</f>
        <v>#N/A</v>
      </c>
      <c r="DG85" s="4" t="e">
        <f>IF(_xlfn.XLOOKUP($B85,island_data!$B:$B,island_data!M:M,"NaN")="","NaN",_xlfn.XLOOKUP($B85,island_data!$B:$B,island_data!M:M,"NaN"))</f>
        <v>#N/A</v>
      </c>
      <c r="DH85" s="4" t="e">
        <f>IF(_xlfn.XLOOKUP($B85,island_data!$B:$B,island_data!N:N,"NaN")="","NaN",_xlfn.XLOOKUP($B85,island_data!$B:$B,island_data!N:N,"NaN"))</f>
        <v>#N/A</v>
      </c>
      <c r="DI85" s="4" t="e">
        <f>IF(_xlfn.XLOOKUP($B85,island_data!$B:$B,island_data!O:O,"NaN")=999,"NaN",_xlfn.XLOOKUP($B85,island_data!$B:$B,island_data!O:O,"NaN"))</f>
        <v>#N/A</v>
      </c>
      <c r="DJ85" s="4" t="e">
        <f>IF(_xlfn.XLOOKUP($B85,island_data!$B:$B,island_data!P:P,"NaN")="","NaN",_xlfn.XLOOKUP($B85,island_data!$B:$B,island_data!P:P,"NaN"))</f>
        <v>#N/A</v>
      </c>
      <c r="DK85" s="4" t="e">
        <f>IF(_xlfn.XLOOKUP($B85,island_data!$B:$B,island_data!Q:Q,"NaN")="","NaN",_xlfn.XLOOKUP($B85,island_data!$B:$B,island_data!Q:Q,"NaN"))</f>
        <v>#N/A</v>
      </c>
      <c r="DL85" s="4" t="e">
        <f>IF(_xlfn.XLOOKUP($B85,island_data!$B:$B,island_data!R:R,"NaN")=999,"NaN",_xlfn.XLOOKUP($B85,island_data!$B:$B,island_data!R:R,"NaN"))</f>
        <v>#N/A</v>
      </c>
      <c r="DM85" s="4" t="e">
        <f>IF(_xlfn.XLOOKUP($B85,island_data!$B:$B,island_data!S:S,"NaN")="","NaN",_xlfn.XLOOKUP($B85,island_data!$B:$B,island_data!S:S,"NaN"))</f>
        <v>#N/A</v>
      </c>
      <c r="DN85" s="4" t="e">
        <f>IF(_xlfn.XLOOKUP($B85,island_data!$B:$B,island_data!T:T,"NaN")="","NaN",_xlfn.XLOOKUP($B85,island_data!$B:$B,island_data!T:T,"NaN"))</f>
        <v>#N/A</v>
      </c>
      <c r="DO85" s="4" t="e">
        <f>IF(_xlfn.XLOOKUP($B85,island_data!$B:$B,island_data!U:U,"NaN")="","NaN",_xlfn.XLOOKUP($B85,island_data!$B:$B,island_data!U:U,"NaN"))</f>
        <v>#N/A</v>
      </c>
      <c r="DP85" s="4" t="e">
        <f>IF(_xlfn.XLOOKUP($B85,island_data!$B:$B,island_data!V:V,"NaN")="","NaN",_xlfn.XLOOKUP($B85,island_data!$B:$B,island_data!V:V,"NaN"))</f>
        <v>#N/A</v>
      </c>
      <c r="DQ85" s="4" t="e">
        <f>IF(_xlfn.XLOOKUP($B85,island_data!$B:$B,island_data!W:W,"NaN")="","NaN",_xlfn.XLOOKUP($B85,island_data!$B:$B,island_data!W:W,"NaN"))</f>
        <v>#N/A</v>
      </c>
      <c r="DR85" s="4" t="e">
        <f>IF(_xlfn.XLOOKUP($B85,island_data!$B:$B,island_data!X:X,"NaN")="","NaN",_xlfn.XLOOKUP($B85,island_data!$B:$B,island_data!X:X,"NaN"))</f>
        <v>#N/A</v>
      </c>
      <c r="DS85" s="4" t="e">
        <f>IF(_xlfn.XLOOKUP($B85,island_data!$B:$B,island_data!Y:Y,"NaN")="","NaN",_xlfn.XLOOKUP($B85,island_data!$B:$B,island_data!Y:Y,"NaN"))</f>
        <v>#N/A</v>
      </c>
      <c r="DT85" s="4" t="e">
        <f>IF(_xlfn.XLOOKUP($B85,island_data!$B:$B,island_data!Z:Z,"NaN")="","NaN",_xlfn.XLOOKUP($B85,island_data!$B:$B,island_data!Z:Z,"NaN"))</f>
        <v>#N/A</v>
      </c>
      <c r="DU85" s="4" t="e">
        <f>IF(_xlfn.XLOOKUP($B85,island_data!$B:$B,island_data!AA:AA,"NaN")="","NaN",_xlfn.XLOOKUP($B85,island_data!$B:$B,island_data!AA:AA,"NaN"))</f>
        <v>#N/A</v>
      </c>
      <c r="DV85" s="4" t="e">
        <f>IF(_xlfn.XLOOKUP($B85,island_data!$B:$B,island_data!AB:AB,"NaN")="","NaN",_xlfn.XLOOKUP($B85,island_data!$B:$B,island_data!AB:AB,"NaN"))</f>
        <v>#N/A</v>
      </c>
      <c r="DW85" s="4" t="e">
        <f>IF(_xlfn.XLOOKUP($B85,island_data!$B:$B,island_data!AC:AC,"NaN")="","NaN",_xlfn.XLOOKUP($B85,island_data!$B:$B,island_data!AC:AC,"NaN"))</f>
        <v>#N/A</v>
      </c>
      <c r="DX85" s="4" t="e">
        <f>IF(_xlfn.XLOOKUP($B85,island_data!$B:$B,island_data!AD:AD,"NaN")="","NaN",_xlfn.XLOOKUP($B85,island_data!$B:$B,island_data!AD:AD,"NaN"))</f>
        <v>#N/A</v>
      </c>
      <c r="DY85" s="4" t="e">
        <f>IF(_xlfn.XLOOKUP($B85,island_data!$B:$B,island_data!AE:AE,"NaN")="","NaN",_xlfn.XLOOKUP($B85,island_data!$B:$B,island_data!AE:AE,"NaN"))</f>
        <v>#N/A</v>
      </c>
      <c r="DZ85" s="4" t="e">
        <f>IF(_xlfn.XLOOKUP($B85,island_data!$B:$B,island_data!AF:AF,"NaN")="","NaN",_xlfn.XLOOKUP($B85,island_data!$B:$B,island_data!AF:AF,"NaN"))</f>
        <v>#N/A</v>
      </c>
      <c r="EA85" s="4" t="e">
        <f>IF(_xlfn.XLOOKUP($B85,island_data!$B:$B,island_data!AG:AG,"NaN")="","NaN",_xlfn.XLOOKUP($B85,island_data!$B:$B,island_data!AG:AG,"NaN"))</f>
        <v>#N/A</v>
      </c>
      <c r="EB85" s="4" t="e">
        <f>IF(_xlfn.XLOOKUP($B85,island_data!$B:$B,island_data!AH:AH,"NaN")="","NaN",_xlfn.XLOOKUP($B85,island_data!$B:$B,island_data!AH:AH,"NaN"))</f>
        <v>#N/A</v>
      </c>
      <c r="EC85" s="4" t="e">
        <f>IF(_xlfn.XLOOKUP($B85,island_data!$B:$B,island_data!AI:AI,"NaN")="","NaN",_xlfn.XLOOKUP($B85,island_data!$B:$B,island_data!AI:AI,"NaN"))</f>
        <v>#N/A</v>
      </c>
      <c r="ED85" s="4" t="e">
        <f>IF(_xlfn.XLOOKUP($B85,island_data!$B:$B,island_data!AJ:AJ,"NaN")="","NaN",_xlfn.XLOOKUP($B85,island_data!$B:$B,island_data!AJ:AJ,"NaN"))</f>
        <v>#N/A</v>
      </c>
      <c r="EE85" s="4" t="e">
        <f>IF(_xlfn.XLOOKUP($B85,island_data!$B:$B,island_data!AK:AK,"NaN")="","NaN",_xlfn.XLOOKUP($B85,island_data!$B:$B,island_data!AK:AK,"NaN"))</f>
        <v>#N/A</v>
      </c>
      <c r="EF85" s="4" t="e">
        <f>IF(_xlfn.XLOOKUP($B85,island_data!$B:$B,island_data!AL:AL,"NaN")="","NaN",_xlfn.XLOOKUP($B85,island_data!$B:$B,island_data!AL:AL,"NaN"))</f>
        <v>#N/A</v>
      </c>
      <c r="EG85" s="4" t="e">
        <f>IF(_xlfn.XLOOKUP($B85,island_data!$B:$B,island_data!AM:AM,"NaN")="","NaN",_xlfn.XLOOKUP($B85,island_data!$B:$B,island_data!AM:AM,"NaN"))</f>
        <v>#N/A</v>
      </c>
      <c r="EH85" s="4" t="e">
        <f>IF(_xlfn.XLOOKUP($B85,island_data!$B:$B,island_data!AN:AN,"NaN")="","NaN",_xlfn.XLOOKUP($B85,island_data!$B:$B,island_data!AN:AN,"NaN"))</f>
        <v>#N/A</v>
      </c>
      <c r="EI85" s="4" t="e">
        <f>IF(_xlfn.XLOOKUP($B85,island_data!$B:$B,island_data!AO:AO,"NaN")="","NaN",_xlfn.XLOOKUP($B85,island_data!$B:$B,island_data!AO:AO,"NaN"))</f>
        <v>#N/A</v>
      </c>
      <c r="EJ85" s="8" t="str">
        <f>IF(_xlfn.XLOOKUP($A85,TabCAT!$A:$A,TabCAT!AU:AU,"NaN")="","NaN",(_xlfn.XLOOKUP($A85,TabCAT!$A:$A,TabCAT!AU:AU,"NaN")))</f>
        <v>NaN</v>
      </c>
      <c r="EK85" s="8" t="str">
        <f>IF(_xlfn.XLOOKUP($A85,TabCAT!$A:$A,TabCAT!AV:AV,"NaN")="","NaN",(_xlfn.XLOOKUP($A85,TabCAT!$A:$A,TabCAT!AV:AV,"NaN")))</f>
        <v>NaN</v>
      </c>
      <c r="EL85" s="8" t="str">
        <f>IF(_xlfn.XLOOKUP($A85,TabCAT!$A:$A,TabCAT!AW:AW,"NaN")="","NaN",(_xlfn.XLOOKUP($A85,TabCAT!$A:$A,TabCAT!AW:AW,"NaN")))</f>
        <v>NaN</v>
      </c>
      <c r="EM85" s="8" t="str">
        <f>IF(_xlfn.XLOOKUP($A85,TabCAT!$A:$A,TabCAT!AX:AX,"NaN")="","NaN",(_xlfn.XLOOKUP($A85,TabCAT!$A:$A,TabCAT!AX:AX,"NaN")))</f>
        <v>NaN</v>
      </c>
      <c r="EN85" s="8" t="str">
        <f>IF(_xlfn.XLOOKUP($A85,TabCAT!$A:$A,TabCAT!AY:AY,"NaN")="","NaN",(_xlfn.XLOOKUP($A85,TabCAT!$A:$A,TabCAT!AY:AY,"NaN")))</f>
        <v>NaN</v>
      </c>
      <c r="EO85" s="8" t="str">
        <f>IF(_xlfn.XLOOKUP($A85,TabCAT!$A:$A,TabCAT!AZ:AZ,"NaN")="","NaN",(_xlfn.XLOOKUP($A85,TabCAT!$A:$A,TabCAT!AZ:AZ,"NaN")))</f>
        <v>NaN</v>
      </c>
      <c r="EP85" s="8" t="str">
        <f>IF(_xlfn.XLOOKUP($A85,TabCAT!$A:$A,TabCAT!BA:BA,"NaN")="","NaN",(_xlfn.XLOOKUP($A85,TabCAT!$A:$A,TabCAT!BA:BA,"NaN")))</f>
        <v>NaN</v>
      </c>
      <c r="EQ85" s="8" t="str">
        <f>IF(_xlfn.XLOOKUP($A85,TabCAT!$A:$A,TabCAT!BB:BB,"NaN")="","NaN",(_xlfn.XLOOKUP($A85,TabCAT!$A:$A,TabCAT!BB:BB,"NaN")))</f>
        <v>NaN</v>
      </c>
      <c r="ER85" s="8" t="str">
        <f>IF(_xlfn.XLOOKUP($A85,TabCAT!$A:$A,TabCAT!BC:BC,"NaN")="","NaN",(_xlfn.XLOOKUP($A85,TabCAT!$A:$A,TabCAT!BC:BC,"NaN")))</f>
        <v>NaN</v>
      </c>
      <c r="ES85" s="8" t="str">
        <f>IF(_xlfn.XLOOKUP($A85,TabCAT!$A:$A,TabCAT!BD:BD,"NaN")="","NaN",(_xlfn.XLOOKUP($A85,TabCAT!$A:$A,TabCAT!BD:BD,"NaN")))</f>
        <v>NaN</v>
      </c>
      <c r="ET85" s="8" t="str">
        <f>IF(_xlfn.XLOOKUP($A85,TabCAT!$A:$A,TabCAT!BE:BE,"NaN")="","NaN",(_xlfn.XLOOKUP($A85,TabCAT!$A:$A,TabCAT!BE:BE,"NaN")))</f>
        <v>NaN</v>
      </c>
      <c r="EU85" s="8" t="str">
        <f>IF(_xlfn.XLOOKUP($A85,TabCAT!$A:$A,TabCAT!BF:BF,"NaN")="","NaN",(_xlfn.XLOOKUP($A85,TabCAT!$A:$A,TabCAT!BF:BF,"NaN")))</f>
        <v>NaN</v>
      </c>
      <c r="EV85" s="8" t="str">
        <f>IF(_xlfn.XLOOKUP($A85,TabCAT!$A:$A,TabCAT!BG:BG,"NaN")="","NaN",(_xlfn.XLOOKUP($A85,TabCAT!$A:$A,TabCAT!BG:BG,"NaN")))</f>
        <v>NaN</v>
      </c>
      <c r="EW85" s="8" t="str">
        <f>IF(_xlfn.XLOOKUP($A85,TabCAT!$A:$A,TabCAT!BH:BH,"NaN")="","NaN",(_xlfn.XLOOKUP($A85,TabCAT!$A:$A,TabCAT!BH:BH,"NaN")))</f>
        <v>NaN</v>
      </c>
      <c r="EX85" s="8" t="str">
        <f>IF(_xlfn.XLOOKUP($A85,TabCAT!$A:$A,TabCAT!BI:BI,"NaN")="","NaN",(_xlfn.XLOOKUP($A85,TabCAT!$A:$A,TabCAT!BI:BI,"NaN")))</f>
        <v>NaN</v>
      </c>
      <c r="EY85" s="8" t="str">
        <f>IF(_xlfn.XLOOKUP($A85,TabCAT!$A:$A,TabCAT!BJ:BJ,"NaN")="","NaN",(_xlfn.XLOOKUP($A85,TabCAT!$A:$A,TabCAT!BJ:BJ,"NaN")))</f>
        <v>NaN</v>
      </c>
      <c r="EZ85" s="8" t="str">
        <f>IF(_xlfn.XLOOKUP($A85,TabCAT!$A:$A,TabCAT!BK:BK,"NaN")="","NaN",(_xlfn.XLOOKUP($A85,TabCAT!$A:$A,TabCAT!BK:BK,"NaN")))</f>
        <v>NaN</v>
      </c>
      <c r="FA85" s="8" t="str">
        <f>IF(_xlfn.XLOOKUP($A85,TabCAT!$A:$A,TabCAT!BL:BL,"NaN")="","NaN",(_xlfn.XLOOKUP($A85,TabCAT!$A:$A,TabCAT!BL:BL,"NaN")))</f>
        <v>NaN</v>
      </c>
      <c r="FB85" s="8" t="str">
        <f>IF(_xlfn.XLOOKUP($A85,TabCAT!$A:$A,TabCAT!BM:BM,"NaN")="","NaN",(_xlfn.XLOOKUP($A85,TabCAT!$A:$A,TabCAT!BM:BM,"NaN")))</f>
        <v>NaN</v>
      </c>
      <c r="FC85" s="8" t="str">
        <f>IF(_xlfn.XLOOKUP($A85,TabCAT!$A:$A,TabCAT!BN:BN,"NaN")="","NaN",(_xlfn.XLOOKUP($A85,TabCAT!$A:$A,TabCAT!BN:BN,"NaN")))</f>
        <v>NaN</v>
      </c>
      <c r="FD85" s="8" t="str">
        <f>IF(_xlfn.XLOOKUP($A85,TabCAT!$A:$A,TabCAT!BO:BO,"NaN")="","NaN",(_xlfn.XLOOKUP($A85,TabCAT!$A:$A,TabCAT!BO:BO,"NaN")))</f>
        <v>NaN</v>
      </c>
      <c r="FE85" s="8" t="str">
        <f>IF(_xlfn.XLOOKUP($A85,TabCAT!$A:$A,TabCAT!BP:BP,"NaN")="","NaN",(_xlfn.XLOOKUP($A85,TabCAT!$A:$A,TabCAT!BP:BP,"NaN")))</f>
        <v>NaN</v>
      </c>
      <c r="FF85" s="8" t="str">
        <f>IF(_xlfn.XLOOKUP($A85,TabCAT!$A:$A,TabCAT!BQ:BQ,"NaN")="","NaN",(_xlfn.XLOOKUP($A85,TabCAT!$A:$A,TabCAT!BQ:BQ,"NaN")))</f>
        <v>NaN</v>
      </c>
      <c r="FG85" s="8" t="str">
        <f>IF(_xlfn.XLOOKUP($A85,TabCAT!$A:$A,TabCAT!BR:BR,"NaN")="","NaN",(_xlfn.XLOOKUP($A85,TabCAT!$A:$A,TabCAT!BR:BR,"NaN")))</f>
        <v>NaN</v>
      </c>
      <c r="FH85" s="8" t="str">
        <f>IF(_xlfn.XLOOKUP($A85,TabCAT!$A:$A,TabCAT!BS:BS,"NaN")="","NaN",(_xlfn.XLOOKUP($A85,TabCAT!$A:$A,TabCAT!BS:BS,"NaN")))</f>
        <v>NaN</v>
      </c>
      <c r="FI85" s="8" t="str">
        <f>IF(_xlfn.XLOOKUP($A85,TabCAT!$A:$A,TabCAT!BT:BT,"NaN")="","NaN",(_xlfn.XLOOKUP($A85,TabCAT!$A:$A,TabCAT!BT:BT,"NaN")))</f>
        <v>NaN</v>
      </c>
      <c r="FJ85" s="8" t="str">
        <f>IF(_xlfn.XLOOKUP($A85,TabCAT!$A:$A,TabCAT!BU:BU,"NaN")="","NaN",(_xlfn.XLOOKUP($A85,TabCAT!$A:$A,TabCAT!BU:BU,"NaN")))</f>
        <v>NaN</v>
      </c>
      <c r="FK85" s="8" t="str">
        <f>IF(_xlfn.XLOOKUP($A85,TabCAT!$A:$A,TabCAT!BV:BV,"NaN")="","NaN",(_xlfn.XLOOKUP($A85,TabCAT!$A:$A,TabCAT!BV:BV,"NaN")))</f>
        <v>NaN</v>
      </c>
      <c r="FL85" s="8" t="str">
        <f>IF(_xlfn.XLOOKUP($A85,TabCAT!$A:$A,TabCAT!BW:BW,"NaN")="","NaN",(_xlfn.XLOOKUP($A85,TabCAT!$A:$A,TabCAT!BW:BW,"NaN")))</f>
        <v>NaN</v>
      </c>
      <c r="FM85" s="8" t="str">
        <f>IF(_xlfn.XLOOKUP($A85,TabCAT!$A:$A,TabCAT!BX:BX,"NaN")="","NaN",(_xlfn.XLOOKUP($A85,TabCAT!$A:$A,TabCAT!BX:BX,"NaN")))</f>
        <v>NaN</v>
      </c>
      <c r="FN85" s="8" t="str">
        <f>IF(_xlfn.XLOOKUP($A85,TabCAT!$A:$A,TabCAT!BY:BY,"NaN")="","NaN",(_xlfn.XLOOKUP($A85,TabCAT!$A:$A,TabCAT!BY:BY,"NaN")))</f>
        <v>NaN</v>
      </c>
      <c r="FO85" s="8" t="str">
        <f>IF(_xlfn.XLOOKUP($A85,TabCAT!$A:$A,TabCAT!BZ:BZ,"NaN")="","NaN",(_xlfn.XLOOKUP($A85,TabCAT!$A:$A,TabCAT!BZ:BZ,"NaN")))</f>
        <v>NaN</v>
      </c>
      <c r="FP85" s="8" t="str">
        <f>IF(_xlfn.XLOOKUP($A85,TabCAT!$A:$A,TabCAT!CA:CA,"NaN")="","NaN",(_xlfn.XLOOKUP($A85,TabCAT!$A:$A,TabCAT!CA:CA,"NaN")))</f>
        <v>NaN</v>
      </c>
      <c r="FQ85" s="8" t="str">
        <f>IF(_xlfn.XLOOKUP($A85,TabCAT!$A:$A,TabCAT!CB:CB,"NaN")="","NaN",(_xlfn.XLOOKUP($A85,TabCAT!$A:$A,TabCAT!CB:CB,"NaN")))</f>
        <v>NaN</v>
      </c>
      <c r="FR85" s="8" t="str">
        <f>IF(_xlfn.XLOOKUP($A85,TabCAT!$A:$A,TabCAT!CC:CC,"NaN")="","NaN",(_xlfn.XLOOKUP($A85,TabCAT!$A:$A,TabCAT!CC:CC,"NaN")))</f>
        <v>NaN</v>
      </c>
      <c r="FS85" s="8" t="str">
        <f>IF(_xlfn.XLOOKUP($A85,TabCAT!$A:$A,TabCAT!CD:CD,"NaN")="","NaN",(_xlfn.XLOOKUP($A85,TabCAT!$A:$A,TabCAT!CD:CD,"NaN")))</f>
        <v>NaN</v>
      </c>
      <c r="FT85" s="8" t="str">
        <f>IF(_xlfn.XLOOKUP($A85,TabCAT!$A:$A,TabCAT!CE:CE,"NaN")="","NaN",(_xlfn.XLOOKUP($A85,TabCAT!$A:$A,TabCAT!CE:CE,"NaN")))</f>
        <v>NaN</v>
      </c>
      <c r="FU85" s="8" t="str">
        <f>IF(_xlfn.XLOOKUP($A85,TabCAT!$A:$A,TabCAT!CF:CF,"NaN")="","NaN",(_xlfn.XLOOKUP($A85,TabCAT!$A:$A,TabCAT!CF:CF,"NaN")))</f>
        <v>NaN</v>
      </c>
      <c r="FV85" s="8" t="str">
        <f>IF(_xlfn.XLOOKUP($A85,TabCAT!$A:$A,TabCAT!CG:CG,"NaN")="","NaN",(_xlfn.XLOOKUP($A85,TabCAT!$A:$A,TabCAT!CG:CG,"NaN")))</f>
        <v>NaN</v>
      </c>
      <c r="FW85" s="8" t="str">
        <f>IF(_xlfn.XLOOKUP($A85,TabCAT!$A:$A,TabCAT!CH:CH,"NaN")="","NaN",(_xlfn.XLOOKUP($A85,TabCAT!$A:$A,TabCAT!CH:CH,"NaN")))</f>
        <v>NaN</v>
      </c>
      <c r="FX85" s="8" t="str">
        <f>IF(_xlfn.XLOOKUP($A85,TabCAT!$A:$A,TabCAT!CI:CI,"NaN")="","NaN",(_xlfn.XLOOKUP($A85,TabCAT!$A:$A,TabCAT!CI:CI,"NaN")))</f>
        <v>NaN</v>
      </c>
      <c r="FY85" s="8" t="str">
        <f>IF(_xlfn.XLOOKUP($A85,TabCAT!$A:$A,TabCAT!CJ:CJ,"NaN")="","NaN",(_xlfn.XLOOKUP($A85,TabCAT!$A:$A,TabCAT!CJ:CJ,"NaN")))</f>
        <v>NaN</v>
      </c>
      <c r="FZ85" s="8" t="str">
        <f>IF(_xlfn.XLOOKUP($A85,TabCAT!$A:$A,TabCAT!CK:CK,"NaN")="","NaN",(_xlfn.XLOOKUP($A85,TabCAT!$A:$A,TabCAT!CK:CK,"NaN")))</f>
        <v>NaN</v>
      </c>
      <c r="GA85" s="8" t="str">
        <f>IF(_xlfn.XLOOKUP($A85,TabCAT!$A:$A,TabCAT!CL:CL,"NaN")="","NaN",(_xlfn.XLOOKUP($A85,TabCAT!$A:$A,TabCAT!CL:CL,"NaN")))</f>
        <v>NaN</v>
      </c>
      <c r="GB85" s="8" t="str">
        <f>IF(_xlfn.XLOOKUP($A85,TabCAT!$A:$A,TabCAT!CM:CM,"NaN")="","NaN",(_xlfn.XLOOKUP($A85,TabCAT!$A:$A,TabCAT!CM:CM,"NaN")))</f>
        <v>NaN</v>
      </c>
      <c r="GC85" s="8" t="str">
        <f>IF(_xlfn.XLOOKUP($A85,TabCAT!$A:$A,TabCAT!CN:CN,"NaN")="","NaN",(_xlfn.XLOOKUP($A85,TabCAT!$A:$A,TabCAT!CN:CN,"NaN")))</f>
        <v>NaN</v>
      </c>
      <c r="GD85" s="8" t="str">
        <f>IF(_xlfn.XLOOKUP($A85,TabCAT!$A:$A,TabCAT!CO:CO,"NaN")="","NaN",(_xlfn.XLOOKUP($A85,TabCAT!$A:$A,TabCAT!CO:CO,"NaN")))</f>
        <v>NaN</v>
      </c>
      <c r="GE85" s="8" t="str">
        <f>IF(_xlfn.XLOOKUP($A85,TabCAT!$A:$A,TabCAT!CP:CP,"NaN")="","NaN",(_xlfn.XLOOKUP($A85,TabCAT!$A:$A,TabCAT!CP:CP,"NaN")))</f>
        <v>NaN</v>
      </c>
      <c r="GF85" s="8" t="str">
        <f>IF(_xlfn.XLOOKUP($A85,TabCAT!$A:$A,TabCAT!CQ:CQ,"NaN")="","NaN",(_xlfn.XLOOKUP($A85,TabCAT!$A:$A,TabCAT!CQ:CQ,"NaN")))</f>
        <v>NaN</v>
      </c>
      <c r="GG85" s="8" t="str">
        <f>IF(_xlfn.XLOOKUP($A85,TabCAT!$A:$A,TabCAT!CR:CR,"NaN")="","NaN",(_xlfn.XLOOKUP($A85,TabCAT!$A:$A,TabCAT!CR:CR,"NaN")))</f>
        <v>NaN</v>
      </c>
      <c r="GH85" s="8" t="str">
        <f>IF(_xlfn.XLOOKUP($A85,TabCAT!$A:$A,TabCAT!CS:CS,"NaN")="","NaN",(_xlfn.XLOOKUP($A85,TabCAT!$A:$A,TabCAT!CS:CS,"NaN")))</f>
        <v>NaN</v>
      </c>
    </row>
    <row r="86" spans="1:190" x14ac:dyDescent="0.2">
      <c r="A86">
        <f>trust!A86</f>
        <v>0</v>
      </c>
      <c r="B86" t="e">
        <f>_xlfn.XLOOKUP(bippity_poppity_boo!A86,rf1_data!A:A,rf1_data!B:B)</f>
        <v>#N/A</v>
      </c>
      <c r="C86" s="2" t="str">
        <f>(_xlfn.XLOOKUP($A86,trust!$A:$A,trust!B:B,"NaN"))</f>
        <v>NaN</v>
      </c>
      <c r="D86" s="2" t="str">
        <f>(_xlfn.XLOOKUP($A86,trust!$A:$A,trust!C:C,"NaN"))</f>
        <v>NaN</v>
      </c>
      <c r="E86" s="2" t="str">
        <f>(_xlfn.XLOOKUP($A86,trust!$A:$A,trust!D:D,"NaN"))</f>
        <v>NaN</v>
      </c>
      <c r="F86" s="2" t="str">
        <f>(_xlfn.XLOOKUP($A86,trust!$A:$A,trust!E:E,"NaN"))</f>
        <v>NaN</v>
      </c>
      <c r="G86" s="2" t="str">
        <f>(_xlfn.XLOOKUP($A86,trust!$A:$A,trust!F:F,"NaN"))</f>
        <v>NaN</v>
      </c>
      <c r="H86" s="2" t="str">
        <f>(_xlfn.XLOOKUP($A86,trust!$A:$A,trust!G:G,"NaN"))</f>
        <v>NaN</v>
      </c>
      <c r="I86" s="3" t="e">
        <f>IF(_xlfn.XLOOKUP($B86,island_data!$B:$B,island_data!C:C,"NaN")="","NaN",_xlfn.XLOOKUP($B86,island_data!$B:$B,island_data!C:C,"NaN"))</f>
        <v>#N/A</v>
      </c>
      <c r="J86" s="3" t="e">
        <f>IF(_xlfn.XLOOKUP($B86,island_data!$B:$B,island_data!D:D,"NaN")="","NaN",_xlfn.XLOOKUP($B86,island_data!$B:$B,island_data!D:D,"NaN"))</f>
        <v>#N/A</v>
      </c>
      <c r="K86" s="4" t="e">
        <f>IF(_xlfn.XLOOKUP($B86,island_data!$B:$B,island_data!E:E,"NaN")="","NaN",_xlfn.XLOOKUP($B86,island_data!$B:$B,island_data!E:E,"NaN"))</f>
        <v>#N/A</v>
      </c>
      <c r="L86" s="5" t="e">
        <f>IF(_xlfn.XLOOKUP($B86,rf1_data!$B:$B,rf1_data!D:D,"NaN")="","NaN",(_xlfn.XLOOKUP($B86,rf1_data!$B:$B,rf1_data!D:D,"NaN")))</f>
        <v>#N/A</v>
      </c>
      <c r="M86" s="5" t="e">
        <f>IF(_xlfn.XLOOKUP($B86,rf1_data!$B:$B,rf1_data!E:E,"NaN")="","NaN",(_xlfn.XLOOKUP($B86,rf1_data!$B:$B,rf1_data!E:E,"NaN")))</f>
        <v>#N/A</v>
      </c>
      <c r="N86" s="5" t="e">
        <f>IF(_xlfn.XLOOKUP($B86,rf1_data!$B:$B,rf1_data!F:F,"NaN")="","NaN",(_xlfn.XLOOKUP($B86,rf1_data!$B:$B,rf1_data!F:F,"NaN")))</f>
        <v>#N/A</v>
      </c>
      <c r="O86" s="5" t="e">
        <f>IF(_xlfn.XLOOKUP($B86,rf1_data!$B:$B,rf1_data!G:G,"NaN")="","NaN",(_xlfn.XLOOKUP($B86,rf1_data!$B:$B,rf1_data!G:G,"NaN")))</f>
        <v>#N/A</v>
      </c>
      <c r="P86" s="5" t="e">
        <f>IF(_xlfn.XLOOKUP($B86,rf1_data!$B:$B,rf1_data!H:H,"NaN")="","NaN",(_xlfn.XLOOKUP($B86,rf1_data!$B:$B,rf1_data!H:H,"NaN")))</f>
        <v>#N/A</v>
      </c>
      <c r="Q86" s="5" t="e">
        <f>IF(_xlfn.XLOOKUP($B86,rf1_data!$B:$B,rf1_data!I:I,"NaN")="","NaN",(_xlfn.XLOOKUP($B86,rf1_data!$B:$B,rf1_data!I:I,"NaN")))</f>
        <v>#N/A</v>
      </c>
      <c r="R86" s="5" t="e">
        <f>IF(_xlfn.XLOOKUP($B86,rf1_data!$B:$B,rf1_data!J:J,"NaN")="","NaN",(_xlfn.XLOOKUP($B86,rf1_data!$B:$B,rf1_data!J:J,"NaN")))</f>
        <v>#N/A</v>
      </c>
      <c r="S86" s="5" t="e">
        <f>IF(_xlfn.XLOOKUP($B86,rf1_data!$B:$B,rf1_data!K:K,"NaN")="","NaN",(_xlfn.XLOOKUP($B86,rf1_data!$B:$B,rf1_data!K:K,"NaN")))</f>
        <v>#N/A</v>
      </c>
      <c r="T86" s="5" t="e">
        <f>IF(_xlfn.XLOOKUP($B86,rf1_data!$B:$B,rf1_data!L:L,"NaN")="","NaN",(_xlfn.XLOOKUP($B86,rf1_data!$B:$B,rf1_data!L:L,"NaN")))</f>
        <v>#N/A</v>
      </c>
      <c r="U86" s="5" t="e">
        <f>IF(_xlfn.XLOOKUP($B86,rf1_data!$B:$B,rf1_data!M:M,"NaN")="","NaN",(_xlfn.XLOOKUP($B86,rf1_data!$B:$B,rf1_data!M:M,"NaN")))</f>
        <v>#N/A</v>
      </c>
      <c r="V86" s="5" t="e">
        <f>IF(_xlfn.XLOOKUP($B86,rf1_data!$B:$B,rf1_data!N:N,"NaN")="","NaN",(_xlfn.XLOOKUP($B86,rf1_data!$B:$B,rf1_data!N:N,"NaN")))</f>
        <v>#N/A</v>
      </c>
      <c r="W86" s="5" t="e">
        <f>IF(_xlfn.XLOOKUP($B86,rf1_data!$B:$B,rf1_data!O:O,"NaN")="","NaN",(_xlfn.XLOOKUP($B86,rf1_data!$B:$B,rf1_data!O:O,"NaN")))</f>
        <v>#N/A</v>
      </c>
      <c r="X86" s="5" t="e">
        <f>IF(_xlfn.XLOOKUP($B86,rf1_data!$B:$B,rf1_data!P:P,"NaN")="","NaN",(_xlfn.XLOOKUP($B86,rf1_data!$B:$B,rf1_data!P:P,"NaN")))</f>
        <v>#N/A</v>
      </c>
      <c r="Y86" s="5" t="e">
        <f>IF(_xlfn.XLOOKUP($B86,rf1_data!$B:$B,rf1_data!Q:Q,"NaN")="","NaN",(_xlfn.XLOOKUP($B86,rf1_data!$B:$B,rf1_data!Q:Q,"NaN")))</f>
        <v>#N/A</v>
      </c>
      <c r="Z86" s="5" t="e">
        <f>IF(_xlfn.XLOOKUP($B86,rf1_data!$B:$B,rf1_data!R:R,"NaN")="","NaN",(_xlfn.XLOOKUP($B86,rf1_data!$B:$B,rf1_data!R:R,"NaN")))</f>
        <v>#N/A</v>
      </c>
      <c r="AA86" s="5" t="e">
        <f>IF(_xlfn.XLOOKUP($B86,rf1_data!$B:$B,rf1_data!S:S,"NaN")="","NaN",(_xlfn.XLOOKUP($B86,rf1_data!$B:$B,rf1_data!S:S,"NaN")))</f>
        <v>#N/A</v>
      </c>
      <c r="AB86" s="5" t="e">
        <f>IF(_xlfn.XLOOKUP($B86,rf1_data!$B:$B,rf1_data!T:T,"NaN")="","NaN",(_xlfn.XLOOKUP($B86,rf1_data!$B:$B,rf1_data!T:T,"NaN")))</f>
        <v>#N/A</v>
      </c>
      <c r="AC86" s="5" t="e">
        <f>IF(_xlfn.XLOOKUP($B86,rf1_data!$B:$B,rf1_data!U:U,"NaN")="","NaN",(_xlfn.XLOOKUP($B86,rf1_data!$B:$B,rf1_data!U:U,"NaN")))</f>
        <v>#N/A</v>
      </c>
      <c r="AD86" s="5" t="e">
        <f>IF(_xlfn.XLOOKUP($B86,rf1_data!$B:$B,rf1_data!V:V,"NaN")="","NaN",(_xlfn.XLOOKUP($B86,rf1_data!$B:$B,rf1_data!V:V,"NaN")))</f>
        <v>#N/A</v>
      </c>
      <c r="AE86" s="5" t="e">
        <f>IF(_xlfn.XLOOKUP($B86,rf1_data!$B:$B,rf1_data!W:W,"NaN")="","NaN",(_xlfn.XLOOKUP($B86,rf1_data!$B:$B,rf1_data!W:W,"NaN")))</f>
        <v>#N/A</v>
      </c>
      <c r="AF86" s="5" t="e">
        <f>IF(_xlfn.XLOOKUP($B86,rf1_data!$B:$B,rf1_data!X:X,"NaN")="","NaN",(_xlfn.XLOOKUP($B86,rf1_data!$B:$B,rf1_data!X:X,"NaN")))</f>
        <v>#N/A</v>
      </c>
      <c r="AG86" s="5" t="e">
        <f>IF(_xlfn.XLOOKUP($B86,rf1_data!$B:$B,rf1_data!Y:Y,"NaN")="","NaN",(_xlfn.XLOOKUP($B86,rf1_data!$B:$B,rf1_data!Y:Y,"NaN")))</f>
        <v>#N/A</v>
      </c>
      <c r="AH86" s="5" t="e">
        <f>IF(_xlfn.XLOOKUP($B86,rf1_data!$B:$B,rf1_data!Z:Z,"NaN")="","NaN",(_xlfn.XLOOKUP($B86,rf1_data!$B:$B,rf1_data!Z:Z,"NaN")))</f>
        <v>#N/A</v>
      </c>
      <c r="AI86" s="5" t="e">
        <f>IF(_xlfn.XLOOKUP($B86,rf1_data!$B:$B,rf1_data!AA:AA,"NaN")="","NaN",(_xlfn.XLOOKUP($B86,rf1_data!$B:$B,rf1_data!AA:AA,"NaN")))</f>
        <v>#N/A</v>
      </c>
      <c r="AJ86" s="5" t="e">
        <f>IF(_xlfn.XLOOKUP($B86,rf1_data!$B:$B,rf1_data!AB:AB,"NaN")="","NaN",(_xlfn.XLOOKUP($B86,rf1_data!$B:$B,rf1_data!AB:AB,"NaN")))</f>
        <v>#N/A</v>
      </c>
      <c r="AK86" s="5" t="e">
        <f>IF(_xlfn.XLOOKUP($B86,rf1_data!$B:$B,rf1_data!AC:AC,"NaN")="","NaN",(_xlfn.XLOOKUP($B86,rf1_data!$B:$B,rf1_data!AC:AC,"NaN")))</f>
        <v>#N/A</v>
      </c>
      <c r="AL86" s="5" t="e">
        <f>IF(_xlfn.XLOOKUP($B86,rf1_data!$B:$B,rf1_data!AD:AD,"NaN")="","NaN",(_xlfn.XLOOKUP($B86,rf1_data!$B:$B,rf1_data!AD:AD,"NaN")))</f>
        <v>#N/A</v>
      </c>
      <c r="AM86" s="5" t="e">
        <f>IF(_xlfn.XLOOKUP($B86,rf1_data!$B:$B,rf1_data!AE:AE,"NaN")="","NaN",(_xlfn.XLOOKUP($B86,rf1_data!$B:$B,rf1_data!AE:AE,"NaN")))</f>
        <v>#N/A</v>
      </c>
      <c r="AN86" s="5" t="e">
        <f>IF(_xlfn.XLOOKUP($B86,rf1_data!$B:$B,rf1_data!AF:AF,"NaN")="","NaN",(_xlfn.XLOOKUP($B86,rf1_data!$B:$B,rf1_data!AF:AF,"NaN")))</f>
        <v>#N/A</v>
      </c>
      <c r="AO86" s="5" t="e">
        <f>IF(_xlfn.XLOOKUP($B86,rf1_data!$B:$B,rf1_data!AG:AG,"NaN")="","NaN",(_xlfn.XLOOKUP($B86,rf1_data!$B:$B,rf1_data!AG:AG,"NaN")))</f>
        <v>#N/A</v>
      </c>
      <c r="AP86" s="5" t="e">
        <f>IF(_xlfn.XLOOKUP($B86,rf1_data!$B:$B,rf1_data!AH:AH,"NaN")="","NaN",(_xlfn.XLOOKUP($B86,rf1_data!$B:$B,rf1_data!AH:AH,"NaN")))</f>
        <v>#N/A</v>
      </c>
      <c r="AQ86" s="5" t="e">
        <f>IF(_xlfn.XLOOKUP($B86,rf1_data!$B:$B,rf1_data!AI:AI,"NaN")="","NaN",(_xlfn.XLOOKUP($B86,rf1_data!$B:$B,rf1_data!AI:AI,"NaN")))</f>
        <v>#N/A</v>
      </c>
      <c r="AR86" s="5" t="e">
        <f>IF(_xlfn.XLOOKUP($B86,rf1_data!$B:$B,rf1_data!AJ:AJ,"NaN")="","NaN",(_xlfn.XLOOKUP($B86,rf1_data!$B:$B,rf1_data!AJ:AJ,"NaN")))</f>
        <v>#N/A</v>
      </c>
      <c r="AS86" s="5" t="e">
        <f>IF(_xlfn.XLOOKUP($B86,rf1_data!$B:$B,rf1_data!AK:AK,"NaN")="","NaN",(_xlfn.XLOOKUP($B86,rf1_data!$B:$B,rf1_data!AK:AK,"NaN")))</f>
        <v>#N/A</v>
      </c>
      <c r="AT86" s="5" t="e">
        <f>IF(_xlfn.XLOOKUP($B86,rf1_data!$B:$B,rf1_data!AL:AL,"NaN")="","NaN",(_xlfn.XLOOKUP($B86,rf1_data!$B:$B,rf1_data!AL:AL,"NaN")))</f>
        <v>#N/A</v>
      </c>
      <c r="AU86" s="5" t="e">
        <f>IF(_xlfn.XLOOKUP($B86,rf1_data!$B:$B,rf1_data!AM:AM,"NaN")="","NaN",(_xlfn.XLOOKUP($B86,rf1_data!$B:$B,rf1_data!AM:AM,"NaN")))</f>
        <v>#N/A</v>
      </c>
      <c r="AV86" s="5" t="e">
        <f>IF(_xlfn.XLOOKUP($B86,rf1_data!$B:$B,rf1_data!AN:AN,"NaN")="","NaN",(_xlfn.XLOOKUP($B86,rf1_data!$B:$B,rf1_data!AN:AN,"NaN")))</f>
        <v>#N/A</v>
      </c>
      <c r="AW86" s="5" t="e">
        <f>IF(_xlfn.XLOOKUP($B86,rf1_data!$B:$B,rf1_data!AO:AO,"NaN")="","NaN",(_xlfn.XLOOKUP($B86,rf1_data!$B:$B,rf1_data!AO:AO,"NaN")))</f>
        <v>#N/A</v>
      </c>
      <c r="AX86" s="5" t="e">
        <f>IF(_xlfn.XLOOKUP($B86,rf1_data!$B:$B,rf1_data!AP:AP,"NaN")="","NaN",(_xlfn.XLOOKUP($B86,rf1_data!$B:$B,rf1_data!AP:AP,"NaN")))</f>
        <v>#N/A</v>
      </c>
      <c r="AY86" s="5" t="e">
        <f>IF(_xlfn.XLOOKUP($B86,rf1_data!$B:$B,rf1_data!AQ:AQ,"NaN")="","NaN",(_xlfn.XLOOKUP($B86,rf1_data!$B:$B,rf1_data!AQ:AQ,"NaN")))</f>
        <v>#N/A</v>
      </c>
      <c r="AZ86" s="5" t="e">
        <f>IF(_xlfn.XLOOKUP($B86,rf1_data!$B:$B,rf1_data!AR:AR,"NaN")="","NaN",(_xlfn.XLOOKUP($B86,rf1_data!$B:$B,rf1_data!AR:AR,"NaN")))</f>
        <v>#N/A</v>
      </c>
      <c r="BA86" s="5" t="e">
        <f>IF(_xlfn.XLOOKUP($B86,rf1_data!$B:$B,rf1_data!AS:AS,"NaN")="","NaN",(_xlfn.XLOOKUP($B86,rf1_data!$B:$B,rf1_data!AS:AS,"NaN")))</f>
        <v>#N/A</v>
      </c>
      <c r="BB86" s="5" t="e">
        <f>IF(_xlfn.XLOOKUP($B86,rf1_data!$B:$B,rf1_data!AT:AT,"NaN")="","NaN",(_xlfn.XLOOKUP($B86,rf1_data!$B:$B,rf1_data!AT:AT,"NaN")))</f>
        <v>#N/A</v>
      </c>
      <c r="BC86" s="5" t="e">
        <f>IF(_xlfn.XLOOKUP($B86,rf1_data!$B:$B,rf1_data!AU:AU,"NaN")="","NaN",(_xlfn.XLOOKUP($B86,rf1_data!$B:$B,rf1_data!AU:AU,"NaN")))</f>
        <v>#N/A</v>
      </c>
      <c r="BD86" s="5" t="e">
        <f>IF(_xlfn.XLOOKUP($B86,rf1_data!$B:$B,rf1_data!AV:AV,"NaN")="","NaN",(_xlfn.XLOOKUP($B86,rf1_data!$B:$B,rf1_data!AV:AV,"NaN")))</f>
        <v>#N/A</v>
      </c>
      <c r="BE86" s="5" t="e">
        <f>IF(_xlfn.XLOOKUP($B86,rf1_data!$B:$B,rf1_data!AW:AW,"NaN")="","NaN",(_xlfn.XLOOKUP($B86,rf1_data!$B:$B,rf1_data!AW:AW,"NaN")))</f>
        <v>#N/A</v>
      </c>
      <c r="BF86" s="5" t="e">
        <f>IF(_xlfn.XLOOKUP($B86,rf1_data!$B:$B,rf1_data!AX:AX,"NaN")="","NaN",(_xlfn.XLOOKUP($B86,rf1_data!$B:$B,rf1_data!AX:AX,"NaN")))</f>
        <v>#N/A</v>
      </c>
      <c r="BG86" s="5" t="e">
        <f>IF(_xlfn.XLOOKUP($B86,rf1_data!$B:$B,rf1_data!AY:AY,"NaN")="","NaN",(_xlfn.XLOOKUP($B86,rf1_data!$B:$B,rf1_data!AY:AY,"NaN")))</f>
        <v>#N/A</v>
      </c>
      <c r="BH86" s="5" t="e">
        <f>IF(_xlfn.XLOOKUP($B86,rf1_data!$B:$B,rf1_data!AZ:AZ,"NaN")="","NaN",(_xlfn.XLOOKUP($B86,rf1_data!$B:$B,rf1_data!AZ:AZ,"NaN")))</f>
        <v>#N/A</v>
      </c>
      <c r="BI86" s="5" t="e">
        <f>IF(_xlfn.XLOOKUP($B86,rf1_data!$B:$B,rf1_data!BA:BA,"NaN")="","NaN",(_xlfn.XLOOKUP($B86,rf1_data!$B:$B,rf1_data!BA:BA,"NaN")))</f>
        <v>#N/A</v>
      </c>
      <c r="BJ86" s="5" t="e">
        <f>IF(_xlfn.XLOOKUP($B86,rf1_data!$B:$B,rf1_data!BB:BB,"NaN")="","NaN",(_xlfn.XLOOKUP($B86,rf1_data!$B:$B,rf1_data!BB:BB,"NaN")))</f>
        <v>#N/A</v>
      </c>
      <c r="BK86" s="5" t="e">
        <f>IF(_xlfn.XLOOKUP($B86,rf1_data!$B:$B,rf1_data!BC:BC,"NaN")="","NaN",(_xlfn.XLOOKUP($B86,rf1_data!$B:$B,rf1_data!BC:BC,"NaN")))</f>
        <v>#N/A</v>
      </c>
      <c r="BL86" s="5" t="e">
        <f>IF(_xlfn.XLOOKUP($B86,rf1_data!$B:$B,rf1_data!BD:BD,"NaN")="","NaN",(_xlfn.XLOOKUP($B86,rf1_data!$B:$B,rf1_data!BD:BD,"NaN")))</f>
        <v>#N/A</v>
      </c>
      <c r="BM86" s="5" t="e">
        <f>IF(_xlfn.XLOOKUP($B86,rf1_data!$B:$B,rf1_data!BE:BE,"NaN")="","NaN",(_xlfn.XLOOKUP($B86,rf1_data!$B:$B,rf1_data!BE:BE,"NaN")))</f>
        <v>#N/A</v>
      </c>
      <c r="BN86" s="5" t="e">
        <f>IF(_xlfn.XLOOKUP($B86,rf1_data!$B:$B,rf1_data!BF:BF,"NaN")="","NaN",(_xlfn.XLOOKUP($B86,rf1_data!$B:$B,rf1_data!BF:BF,"NaN")))</f>
        <v>#N/A</v>
      </c>
      <c r="BO86" s="5" t="e">
        <f>IF(_xlfn.XLOOKUP($B86,rf1_data!$B:$B,rf1_data!BG:BG,"NaN")="","NaN",(_xlfn.XLOOKUP($B86,rf1_data!$B:$B,rf1_data!BG:BG,"NaN")))</f>
        <v>#N/A</v>
      </c>
      <c r="BP86" s="5" t="e">
        <f>IF(_xlfn.XLOOKUP($B86,rf1_data!$B:$B,rf1_data!BH:BH,"NaN")="","NaN",(_xlfn.XLOOKUP($B86,rf1_data!$B:$B,rf1_data!BH:BH,"NaN")))</f>
        <v>#N/A</v>
      </c>
      <c r="BQ86" s="5" t="e">
        <f>IF(_xlfn.XLOOKUP($B86,rf1_data!$B:$B,rf1_data!BI:BI,"NaN")="","NaN",(_xlfn.XLOOKUP($B86,rf1_data!$B:$B,rf1_data!BI:BI,"NaN")))</f>
        <v>#N/A</v>
      </c>
      <c r="BR86" s="5" t="e">
        <f>IF(_xlfn.XLOOKUP($B86,rf1_data!$B:$B,rf1_data!BJ:BJ,"NaN")="","NaN",(_xlfn.XLOOKUP($B86,rf1_data!$B:$B,rf1_data!BJ:BJ,"NaN")))</f>
        <v>#N/A</v>
      </c>
      <c r="BS86" s="5" t="e">
        <f>IF(_xlfn.XLOOKUP($B86,rf1_data!$B:$B,rf1_data!BK:BK,"NaN")="","NaN",(_xlfn.XLOOKUP($B86,rf1_data!$B:$B,rf1_data!BK:BK,"NaN")))</f>
        <v>#N/A</v>
      </c>
      <c r="BT86" s="5" t="e">
        <f>IF(_xlfn.XLOOKUP($B86,rf1_data!$B:$B,rf1_data!BL:BL,"NaN")="","NaN",(_xlfn.XLOOKUP($B86,rf1_data!$B:$B,rf1_data!BL:BL,"NaN")))</f>
        <v>#N/A</v>
      </c>
      <c r="BU86" s="5" t="e">
        <f>IF(_xlfn.XLOOKUP($B86,rf1_data!$B:$B,rf1_data!BM:BM,"NaN")="","NaN",(_xlfn.XLOOKUP($B86,rf1_data!$B:$B,rf1_data!BM:BM,"NaN")))</f>
        <v>#N/A</v>
      </c>
      <c r="BV86" s="5" t="e">
        <f>IF(_xlfn.XLOOKUP($B86,rf1_data!$B:$B,rf1_data!BN:BN,"NaN")="","NaN",(_xlfn.XLOOKUP($B86,rf1_data!$B:$B,rf1_data!BN:BN,"NaN")))</f>
        <v>#N/A</v>
      </c>
      <c r="BW86" s="5" t="e">
        <f>IF(_xlfn.XLOOKUP($B86,rf1_data!$B:$B,rf1_data!BO:BO,"NaN")="","NaN",(_xlfn.XLOOKUP($B86,rf1_data!$B:$B,rf1_data!BO:BO,"NaN")))</f>
        <v>#N/A</v>
      </c>
      <c r="BX86" s="5" t="e">
        <f>IF(_xlfn.XLOOKUP($B86,rf1_data!$B:$B,rf1_data!BP:BP,"NaN")="","NaN",(_xlfn.XLOOKUP($B86,rf1_data!$B:$B,rf1_data!BP:BP,"NaN")))</f>
        <v>#N/A</v>
      </c>
      <c r="BY86" s="5" t="e">
        <f>IF(_xlfn.XLOOKUP($B86,rf1_data!$B:$B,rf1_data!BQ:BQ,"NaN")="","NaN",(_xlfn.XLOOKUP($B86,rf1_data!$B:$B,rf1_data!BQ:BQ,"NaN")))</f>
        <v>#N/A</v>
      </c>
      <c r="BZ86" s="5" t="e">
        <f>IF(_xlfn.XLOOKUP($B86,rf1_data!$B:$B,rf1_data!BR:BR,"NaN")="","NaN",(_xlfn.XLOOKUP($B86,rf1_data!$B:$B,rf1_data!BR:BR,"NaN")))</f>
        <v>#N/A</v>
      </c>
      <c r="CA86" s="5" t="e">
        <f>IF(_xlfn.XLOOKUP($B86,rf1_data!$B:$B,rf1_data!BS:BS,"NaN")="","NaN",(_xlfn.XLOOKUP($B86,rf1_data!$B:$B,rf1_data!BS:BS,"NaN")))</f>
        <v>#N/A</v>
      </c>
      <c r="CB86" s="5" t="e">
        <f>IF(_xlfn.XLOOKUP($B86,rf1_data!$B:$B,rf1_data!BT:BT,"NaN")="","NaN",(_xlfn.XLOOKUP($B86,rf1_data!$B:$B,rf1_data!BT:BT,"NaN")))</f>
        <v>#N/A</v>
      </c>
      <c r="CC86" s="5" t="e">
        <f>IF(_xlfn.XLOOKUP($B86,rf1_data!$B:$B,rf1_data!BU:BU,"NaN")="","NaN",(_xlfn.XLOOKUP($B86,rf1_data!$B:$B,rf1_data!BU:BU,"NaN")))</f>
        <v>#N/A</v>
      </c>
      <c r="CD86" s="5" t="e">
        <f>IF(_xlfn.XLOOKUP($B86,rf1_data!$B:$B,rf1_data!BV:BV,"NaN")="","NaN",(_xlfn.XLOOKUP($B86,rf1_data!$B:$B,rf1_data!BV:BV,"NaN")))</f>
        <v>#N/A</v>
      </c>
      <c r="CE86" s="5" t="e">
        <f>IF(_xlfn.XLOOKUP($B86,rf1_data!$B:$B,rf1_data!BW:BW,"NaN")="","NaN",(_xlfn.XLOOKUP($B86,rf1_data!$B:$B,rf1_data!BW:BW,"NaN")))</f>
        <v>#N/A</v>
      </c>
      <c r="CF86" s="5" t="e">
        <f>IF(_xlfn.XLOOKUP($B86,rf1_data!$B:$B,rf1_data!BX:BX,"NaN")="","NaN",(_xlfn.XLOOKUP($B86,rf1_data!$B:$B,rf1_data!BX:BX,"NaN")))</f>
        <v>#N/A</v>
      </c>
      <c r="CG86" s="5" t="e">
        <f>IF(_xlfn.XLOOKUP($B86,rf1_data!$B:$B,rf1_data!BY:BY,"NaN")="","NaN",(_xlfn.XLOOKUP($B86,rf1_data!$B:$B,rf1_data!BY:BY,"NaN")))</f>
        <v>#N/A</v>
      </c>
      <c r="CH86" s="5" t="e">
        <f>IF(_xlfn.XLOOKUP($B86,rf1_data!$B:$B,rf1_data!BZ:BZ,"NaN")="","NaN",(_xlfn.XLOOKUP($B86,rf1_data!$B:$B,rf1_data!BZ:BZ,"NaN")))</f>
        <v>#N/A</v>
      </c>
      <c r="CI86" s="5" t="e">
        <f>IF(_xlfn.XLOOKUP($B86,rf1_data!$B:$B,rf1_data!CA:CA,"NaN")="","NaN",(_xlfn.XLOOKUP($B86,rf1_data!$B:$B,rf1_data!CA:CA,"NaN")))</f>
        <v>#N/A</v>
      </c>
      <c r="CJ86" s="5" t="e">
        <f>IF(_xlfn.XLOOKUP($B86,rf1_data!$B:$B,rf1_data!CB:CB,"NaN")="","NaN",(_xlfn.XLOOKUP($B86,rf1_data!$B:$B,rf1_data!CB:CB,"NaN")))</f>
        <v>#N/A</v>
      </c>
      <c r="CK86" s="5" t="e">
        <f>IF(_xlfn.XLOOKUP($B86,rf1_data!$B:$B,rf1_data!CC:CC,"NaN")="","NaN",(_xlfn.XLOOKUP($B86,rf1_data!$B:$B,rf1_data!CC:CC,"NaN")))</f>
        <v>#N/A</v>
      </c>
      <c r="CL86" s="5" t="e">
        <f>IF(_xlfn.XLOOKUP($B86,rf1_data!$B:$B,rf1_data!CD:CD,"NaN")=0,"NaN",(_xlfn.XLOOKUP($B86,rf1_data!$B:$B,rf1_data!CD:CD,"NaN")))</f>
        <v>#N/A</v>
      </c>
      <c r="CM86" s="5" t="e">
        <f>IF(_xlfn.XLOOKUP($B86,rf1_data!$B:$B,rf1_data!CE:CE,"NaN")="","NaN",(_xlfn.XLOOKUP($B86,rf1_data!$B:$B,rf1_data!CE:CE,"NaN")))</f>
        <v>#N/A</v>
      </c>
      <c r="CN86" s="5" t="e">
        <f>IF(_xlfn.XLOOKUP($B86,rf1_data!$B:$B,rf1_data!CF:CF,"NaN")="","NaN",(_xlfn.XLOOKUP($B86,rf1_data!$B:$B,rf1_data!CF:CF,"NaN")))</f>
        <v>#N/A</v>
      </c>
      <c r="CO86" s="5" t="e">
        <f>IF(_xlfn.XLOOKUP($B86,rf1_data!$B:$B,rf1_data!CG:CG,"NaN")="","NaN",(_xlfn.XLOOKUP($B86,rf1_data!$B:$B,rf1_data!CG:CG,"NaN")))</f>
        <v>#N/A</v>
      </c>
      <c r="CP86" s="5" t="e">
        <f>IF(_xlfn.XLOOKUP($B86,rf1_data!$B:$B,rf1_data!CH:CH,"NaN")=0,"NaN",(_xlfn.XLOOKUP($B86,rf1_data!$B:$B,rf1_data!CH:CH,"NaN")))</f>
        <v>#N/A</v>
      </c>
      <c r="CQ86" s="5" t="e">
        <f>IF(_xlfn.XLOOKUP($B86,rf1_data!$B:$B,rf1_data!CI:CI,"NaN")="","NaN",(_xlfn.XLOOKUP($B86,rf1_data!$B:$B,rf1_data!CI:CI,"NaN")))</f>
        <v>#N/A</v>
      </c>
      <c r="CR86" s="5" t="e">
        <f>IF(_xlfn.XLOOKUP($B86,rf1_data!$B:$B,rf1_data!CJ:CJ,"NaN")="","NaN",(_xlfn.XLOOKUP($B86,rf1_data!$B:$B,rf1_data!CJ:CJ,"NaN")))</f>
        <v>#N/A</v>
      </c>
      <c r="CS86" s="5" t="e">
        <f>IF(_xlfn.XLOOKUP($B86,rf1_data!$B:$B,rf1_data!CK:CK,"NaN")="","NaN",(_xlfn.XLOOKUP($B86,rf1_data!$B:$B,rf1_data!CK:CK,"NaN")))</f>
        <v>#N/A</v>
      </c>
      <c r="CT86" s="5" t="e">
        <f>IF(_xlfn.XLOOKUP($B86,rf1_data!$B:$B,rf1_data!CL:CL,"NaN")="","NaN",(_xlfn.XLOOKUP($B86,rf1_data!$B:$B,rf1_data!CL:CL,"NaN")))</f>
        <v>#N/A</v>
      </c>
      <c r="CU86" s="5" t="e">
        <f>IF(_xlfn.XLOOKUP($B86,rf1_data!$B:$B,rf1_data!CM:CM,"NaN")="","NaN",(_xlfn.XLOOKUP($B86,rf1_data!$B:$B,rf1_data!CM:CM,"NaN")))</f>
        <v>#N/A</v>
      </c>
      <c r="CV86" s="5" t="e">
        <f>IF(_xlfn.XLOOKUP($B86,rf1_data!$B:$B,rf1_data!CN:CN,"NaN")="","NaN",(_xlfn.XLOOKUP($B86,rf1_data!$B:$B,rf1_data!CN:CN,"NaN")))</f>
        <v>#N/A</v>
      </c>
      <c r="CW86" s="5" t="e">
        <f>IF(_xlfn.XLOOKUP($B86,rf1_data!$B:$B,rf1_data!CO:CO,"NaN")="","NaN",(_xlfn.XLOOKUP($B86,rf1_data!$B:$B,rf1_data!CO:CO,"NaN")))</f>
        <v>#N/A</v>
      </c>
      <c r="CX86" s="5" t="e">
        <f>IF(_xlfn.XLOOKUP($B86,rf1_data!$B:$B,rf1_data!CP:CP,"NaN")="","NaN",(_xlfn.XLOOKUP($B86,rf1_data!$B:$B,rf1_data!CP:CP,"NaN")))</f>
        <v>#N/A</v>
      </c>
      <c r="CY86" s="5" t="e">
        <f>IF(_xlfn.XLOOKUP($B86,rf1_data!$B:$B,rf1_data!CQ:CQ,"NaN")="","NaN",(_xlfn.XLOOKUP($B86,rf1_data!$B:$B,rf1_data!CQ:CQ,"NaN")))</f>
        <v>#N/A</v>
      </c>
      <c r="CZ86" s="5" t="e">
        <f>IF(_xlfn.XLOOKUP($B86,rf1_data!$B:$B,rf1_data!CR:CR,"NaN")="","NaN",(_xlfn.XLOOKUP($B86,rf1_data!$B:$B,rf1_data!CR:CR,"NaN")))</f>
        <v>#N/A</v>
      </c>
      <c r="DA86" s="5" t="e">
        <f>IF(_xlfn.XLOOKUP($B86,rf1_data!$B:$B,rf1_data!CS:CS,"NaN")="","NaN",(_xlfn.XLOOKUP($B86,rf1_data!$B:$B,rf1_data!CS:CS,"NaN")))</f>
        <v>#N/A</v>
      </c>
      <c r="DB86" s="4" t="e">
        <f>IF(_xlfn.XLOOKUP($B86,island_data!$B:$B,island_data!H:H,"NaN")="","NaN",_xlfn.XLOOKUP($B86,island_data!$B:$B,island_data!H:H,"NaN"))</f>
        <v>#N/A</v>
      </c>
      <c r="DC86" s="4" t="e">
        <f>IF(_xlfn.XLOOKUP($B86,island_data!$B:$B,island_data!I:I,"NaN")="","NaN",_xlfn.XLOOKUP($B86,island_data!$B:$B,island_data!I:I,"NaN"))</f>
        <v>#N/A</v>
      </c>
      <c r="DD86" s="4" t="e">
        <f>IF(_xlfn.XLOOKUP($B86,island_data!$B:$B,island_data!J:J,"NaN")="","NaN",_xlfn.XLOOKUP($B86,island_data!$B:$B,island_data!J:J,"NaN"))</f>
        <v>#N/A</v>
      </c>
      <c r="DE86" s="4" t="e">
        <f>IF(_xlfn.XLOOKUP($B86,island_data!$B:$B,island_data!K:K,"NaN")="","NaN",_xlfn.XLOOKUP($B86,island_data!$B:$B,island_data!K:K,"NaN"))</f>
        <v>#N/A</v>
      </c>
      <c r="DF86" s="4" t="e">
        <f>IF(_xlfn.XLOOKUP($B86,island_data!$B:$B,island_data!L:L,"NaN")="","NaN",_xlfn.XLOOKUP($B86,island_data!$B:$B,island_data!L:L,"NaN"))</f>
        <v>#N/A</v>
      </c>
      <c r="DG86" s="4" t="e">
        <f>IF(_xlfn.XLOOKUP($B86,island_data!$B:$B,island_data!M:M,"NaN")="","NaN",_xlfn.XLOOKUP($B86,island_data!$B:$B,island_data!M:M,"NaN"))</f>
        <v>#N/A</v>
      </c>
      <c r="DH86" s="4" t="e">
        <f>IF(_xlfn.XLOOKUP($B86,island_data!$B:$B,island_data!N:N,"NaN")="","NaN",_xlfn.XLOOKUP($B86,island_data!$B:$B,island_data!N:N,"NaN"))</f>
        <v>#N/A</v>
      </c>
      <c r="DI86" s="4" t="e">
        <f>IF(_xlfn.XLOOKUP($B86,island_data!$B:$B,island_data!O:O,"NaN")=999,"NaN",_xlfn.XLOOKUP($B86,island_data!$B:$B,island_data!O:O,"NaN"))</f>
        <v>#N/A</v>
      </c>
      <c r="DJ86" s="4" t="e">
        <f>IF(_xlfn.XLOOKUP($B86,island_data!$B:$B,island_data!P:P,"NaN")="","NaN",_xlfn.XLOOKUP($B86,island_data!$B:$B,island_data!P:P,"NaN"))</f>
        <v>#N/A</v>
      </c>
      <c r="DK86" s="4" t="e">
        <f>IF(_xlfn.XLOOKUP($B86,island_data!$B:$B,island_data!Q:Q,"NaN")="","NaN",_xlfn.XLOOKUP($B86,island_data!$B:$B,island_data!Q:Q,"NaN"))</f>
        <v>#N/A</v>
      </c>
      <c r="DL86" s="4" t="e">
        <f>IF(_xlfn.XLOOKUP($B86,island_data!$B:$B,island_data!R:R,"NaN")=999,"NaN",_xlfn.XLOOKUP($B86,island_data!$B:$B,island_data!R:R,"NaN"))</f>
        <v>#N/A</v>
      </c>
      <c r="DM86" s="4" t="e">
        <f>IF(_xlfn.XLOOKUP($B86,island_data!$B:$B,island_data!S:S,"NaN")="","NaN",_xlfn.XLOOKUP($B86,island_data!$B:$B,island_data!S:S,"NaN"))</f>
        <v>#N/A</v>
      </c>
      <c r="DN86" s="4" t="e">
        <f>IF(_xlfn.XLOOKUP($B86,island_data!$B:$B,island_data!T:T,"NaN")="","NaN",_xlfn.XLOOKUP($B86,island_data!$B:$B,island_data!T:T,"NaN"))</f>
        <v>#N/A</v>
      </c>
      <c r="DO86" s="4" t="e">
        <f>IF(_xlfn.XLOOKUP($B86,island_data!$B:$B,island_data!U:U,"NaN")="","NaN",_xlfn.XLOOKUP($B86,island_data!$B:$B,island_data!U:U,"NaN"))</f>
        <v>#N/A</v>
      </c>
      <c r="DP86" s="4" t="e">
        <f>IF(_xlfn.XLOOKUP($B86,island_data!$B:$B,island_data!V:V,"NaN")="","NaN",_xlfn.XLOOKUP($B86,island_data!$B:$B,island_data!V:V,"NaN"))</f>
        <v>#N/A</v>
      </c>
      <c r="DQ86" s="4" t="e">
        <f>IF(_xlfn.XLOOKUP($B86,island_data!$B:$B,island_data!W:W,"NaN")="","NaN",_xlfn.XLOOKUP($B86,island_data!$B:$B,island_data!W:W,"NaN"))</f>
        <v>#N/A</v>
      </c>
      <c r="DR86" s="4" t="e">
        <f>IF(_xlfn.XLOOKUP($B86,island_data!$B:$B,island_data!X:X,"NaN")="","NaN",_xlfn.XLOOKUP($B86,island_data!$B:$B,island_data!X:X,"NaN"))</f>
        <v>#N/A</v>
      </c>
      <c r="DS86" s="4" t="e">
        <f>IF(_xlfn.XLOOKUP($B86,island_data!$B:$B,island_data!Y:Y,"NaN")="","NaN",_xlfn.XLOOKUP($B86,island_data!$B:$B,island_data!Y:Y,"NaN"))</f>
        <v>#N/A</v>
      </c>
      <c r="DT86" s="4" t="e">
        <f>IF(_xlfn.XLOOKUP($B86,island_data!$B:$B,island_data!Z:Z,"NaN")="","NaN",_xlfn.XLOOKUP($B86,island_data!$B:$B,island_data!Z:Z,"NaN"))</f>
        <v>#N/A</v>
      </c>
      <c r="DU86" s="4" t="e">
        <f>IF(_xlfn.XLOOKUP($B86,island_data!$B:$B,island_data!AA:AA,"NaN")="","NaN",_xlfn.XLOOKUP($B86,island_data!$B:$B,island_data!AA:AA,"NaN"))</f>
        <v>#N/A</v>
      </c>
      <c r="DV86" s="4" t="e">
        <f>IF(_xlfn.XLOOKUP($B86,island_data!$B:$B,island_data!AB:AB,"NaN")="","NaN",_xlfn.XLOOKUP($B86,island_data!$B:$B,island_data!AB:AB,"NaN"))</f>
        <v>#N/A</v>
      </c>
      <c r="DW86" s="4" t="e">
        <f>IF(_xlfn.XLOOKUP($B86,island_data!$B:$B,island_data!AC:AC,"NaN")="","NaN",_xlfn.XLOOKUP($B86,island_data!$B:$B,island_data!AC:AC,"NaN"))</f>
        <v>#N/A</v>
      </c>
      <c r="DX86" s="4" t="e">
        <f>IF(_xlfn.XLOOKUP($B86,island_data!$B:$B,island_data!AD:AD,"NaN")="","NaN",_xlfn.XLOOKUP($B86,island_data!$B:$B,island_data!AD:AD,"NaN"))</f>
        <v>#N/A</v>
      </c>
      <c r="DY86" s="4" t="e">
        <f>IF(_xlfn.XLOOKUP($B86,island_data!$B:$B,island_data!AE:AE,"NaN")="","NaN",_xlfn.XLOOKUP($B86,island_data!$B:$B,island_data!AE:AE,"NaN"))</f>
        <v>#N/A</v>
      </c>
      <c r="DZ86" s="4" t="e">
        <f>IF(_xlfn.XLOOKUP($B86,island_data!$B:$B,island_data!AF:AF,"NaN")="","NaN",_xlfn.XLOOKUP($B86,island_data!$B:$B,island_data!AF:AF,"NaN"))</f>
        <v>#N/A</v>
      </c>
      <c r="EA86" s="4" t="e">
        <f>IF(_xlfn.XLOOKUP($B86,island_data!$B:$B,island_data!AG:AG,"NaN")="","NaN",_xlfn.XLOOKUP($B86,island_data!$B:$B,island_data!AG:AG,"NaN"))</f>
        <v>#N/A</v>
      </c>
      <c r="EB86" s="4" t="e">
        <f>IF(_xlfn.XLOOKUP($B86,island_data!$B:$B,island_data!AH:AH,"NaN")="","NaN",_xlfn.XLOOKUP($B86,island_data!$B:$B,island_data!AH:AH,"NaN"))</f>
        <v>#N/A</v>
      </c>
      <c r="EC86" s="4" t="e">
        <f>IF(_xlfn.XLOOKUP($B86,island_data!$B:$B,island_data!AI:AI,"NaN")="","NaN",_xlfn.XLOOKUP($B86,island_data!$B:$B,island_data!AI:AI,"NaN"))</f>
        <v>#N/A</v>
      </c>
      <c r="ED86" s="4" t="e">
        <f>IF(_xlfn.XLOOKUP($B86,island_data!$B:$B,island_data!AJ:AJ,"NaN")="","NaN",_xlfn.XLOOKUP($B86,island_data!$B:$B,island_data!AJ:AJ,"NaN"))</f>
        <v>#N/A</v>
      </c>
      <c r="EE86" s="4" t="e">
        <f>IF(_xlfn.XLOOKUP($B86,island_data!$B:$B,island_data!AK:AK,"NaN")="","NaN",_xlfn.XLOOKUP($B86,island_data!$B:$B,island_data!AK:AK,"NaN"))</f>
        <v>#N/A</v>
      </c>
      <c r="EF86" s="4" t="e">
        <f>IF(_xlfn.XLOOKUP($B86,island_data!$B:$B,island_data!AL:AL,"NaN")="","NaN",_xlfn.XLOOKUP($B86,island_data!$B:$B,island_data!AL:AL,"NaN"))</f>
        <v>#N/A</v>
      </c>
      <c r="EG86" s="4" t="e">
        <f>IF(_xlfn.XLOOKUP($B86,island_data!$B:$B,island_data!AM:AM,"NaN")="","NaN",_xlfn.XLOOKUP($B86,island_data!$B:$B,island_data!AM:AM,"NaN"))</f>
        <v>#N/A</v>
      </c>
      <c r="EH86" s="4" t="e">
        <f>IF(_xlfn.XLOOKUP($B86,island_data!$B:$B,island_data!AN:AN,"NaN")="","NaN",_xlfn.XLOOKUP($B86,island_data!$B:$B,island_data!AN:AN,"NaN"))</f>
        <v>#N/A</v>
      </c>
      <c r="EI86" s="4" t="e">
        <f>IF(_xlfn.XLOOKUP($B86,island_data!$B:$B,island_data!AO:AO,"NaN")="","NaN",_xlfn.XLOOKUP($B86,island_data!$B:$B,island_data!AO:AO,"NaN"))</f>
        <v>#N/A</v>
      </c>
      <c r="EJ86" s="8" t="str">
        <f>IF(_xlfn.XLOOKUP($A86,TabCAT!$A:$A,TabCAT!AU:AU,"NaN")="","NaN",(_xlfn.XLOOKUP($A86,TabCAT!$A:$A,TabCAT!AU:AU,"NaN")))</f>
        <v>NaN</v>
      </c>
      <c r="EK86" s="8" t="str">
        <f>IF(_xlfn.XLOOKUP($A86,TabCAT!$A:$A,TabCAT!AV:AV,"NaN")="","NaN",(_xlfn.XLOOKUP($A86,TabCAT!$A:$A,TabCAT!AV:AV,"NaN")))</f>
        <v>NaN</v>
      </c>
      <c r="EL86" s="8" t="str">
        <f>IF(_xlfn.XLOOKUP($A86,TabCAT!$A:$A,TabCAT!AW:AW,"NaN")="","NaN",(_xlfn.XLOOKUP($A86,TabCAT!$A:$A,TabCAT!AW:AW,"NaN")))</f>
        <v>NaN</v>
      </c>
      <c r="EM86" s="8" t="str">
        <f>IF(_xlfn.XLOOKUP($A86,TabCAT!$A:$A,TabCAT!AX:AX,"NaN")="","NaN",(_xlfn.XLOOKUP($A86,TabCAT!$A:$A,TabCAT!AX:AX,"NaN")))</f>
        <v>NaN</v>
      </c>
      <c r="EN86" s="8" t="str">
        <f>IF(_xlfn.XLOOKUP($A86,TabCAT!$A:$A,TabCAT!AY:AY,"NaN")="","NaN",(_xlfn.XLOOKUP($A86,TabCAT!$A:$A,TabCAT!AY:AY,"NaN")))</f>
        <v>NaN</v>
      </c>
      <c r="EO86" s="8" t="str">
        <f>IF(_xlfn.XLOOKUP($A86,TabCAT!$A:$A,TabCAT!AZ:AZ,"NaN")="","NaN",(_xlfn.XLOOKUP($A86,TabCAT!$A:$A,TabCAT!AZ:AZ,"NaN")))</f>
        <v>NaN</v>
      </c>
      <c r="EP86" s="8" t="str">
        <f>IF(_xlfn.XLOOKUP($A86,TabCAT!$A:$A,TabCAT!BA:BA,"NaN")="","NaN",(_xlfn.XLOOKUP($A86,TabCAT!$A:$A,TabCAT!BA:BA,"NaN")))</f>
        <v>NaN</v>
      </c>
      <c r="EQ86" s="8" t="str">
        <f>IF(_xlfn.XLOOKUP($A86,TabCAT!$A:$A,TabCAT!BB:BB,"NaN")="","NaN",(_xlfn.XLOOKUP($A86,TabCAT!$A:$A,TabCAT!BB:BB,"NaN")))</f>
        <v>NaN</v>
      </c>
      <c r="ER86" s="8" t="str">
        <f>IF(_xlfn.XLOOKUP($A86,TabCAT!$A:$A,TabCAT!BC:BC,"NaN")="","NaN",(_xlfn.XLOOKUP($A86,TabCAT!$A:$A,TabCAT!BC:BC,"NaN")))</f>
        <v>NaN</v>
      </c>
      <c r="ES86" s="8" t="str">
        <f>IF(_xlfn.XLOOKUP($A86,TabCAT!$A:$A,TabCAT!BD:BD,"NaN")="","NaN",(_xlfn.XLOOKUP($A86,TabCAT!$A:$A,TabCAT!BD:BD,"NaN")))</f>
        <v>NaN</v>
      </c>
      <c r="ET86" s="8" t="str">
        <f>IF(_xlfn.XLOOKUP($A86,TabCAT!$A:$A,TabCAT!BE:BE,"NaN")="","NaN",(_xlfn.XLOOKUP($A86,TabCAT!$A:$A,TabCAT!BE:BE,"NaN")))</f>
        <v>NaN</v>
      </c>
      <c r="EU86" s="8" t="str">
        <f>IF(_xlfn.XLOOKUP($A86,TabCAT!$A:$A,TabCAT!BF:BF,"NaN")="","NaN",(_xlfn.XLOOKUP($A86,TabCAT!$A:$A,TabCAT!BF:BF,"NaN")))</f>
        <v>NaN</v>
      </c>
      <c r="EV86" s="8" t="str">
        <f>IF(_xlfn.XLOOKUP($A86,TabCAT!$A:$A,TabCAT!BG:BG,"NaN")="","NaN",(_xlfn.XLOOKUP($A86,TabCAT!$A:$A,TabCAT!BG:BG,"NaN")))</f>
        <v>NaN</v>
      </c>
      <c r="EW86" s="8" t="str">
        <f>IF(_xlfn.XLOOKUP($A86,TabCAT!$A:$A,TabCAT!BH:BH,"NaN")="","NaN",(_xlfn.XLOOKUP($A86,TabCAT!$A:$A,TabCAT!BH:BH,"NaN")))</f>
        <v>NaN</v>
      </c>
      <c r="EX86" s="8" t="str">
        <f>IF(_xlfn.XLOOKUP($A86,TabCAT!$A:$A,TabCAT!BI:BI,"NaN")="","NaN",(_xlfn.XLOOKUP($A86,TabCAT!$A:$A,TabCAT!BI:BI,"NaN")))</f>
        <v>NaN</v>
      </c>
      <c r="EY86" s="8" t="str">
        <f>IF(_xlfn.XLOOKUP($A86,TabCAT!$A:$A,TabCAT!BJ:BJ,"NaN")="","NaN",(_xlfn.XLOOKUP($A86,TabCAT!$A:$A,TabCAT!BJ:BJ,"NaN")))</f>
        <v>NaN</v>
      </c>
      <c r="EZ86" s="8" t="str">
        <f>IF(_xlfn.XLOOKUP($A86,TabCAT!$A:$A,TabCAT!BK:BK,"NaN")="","NaN",(_xlfn.XLOOKUP($A86,TabCAT!$A:$A,TabCAT!BK:BK,"NaN")))</f>
        <v>NaN</v>
      </c>
      <c r="FA86" s="8" t="str">
        <f>IF(_xlfn.XLOOKUP($A86,TabCAT!$A:$A,TabCAT!BL:BL,"NaN")="","NaN",(_xlfn.XLOOKUP($A86,TabCAT!$A:$A,TabCAT!BL:BL,"NaN")))</f>
        <v>NaN</v>
      </c>
      <c r="FB86" s="8" t="str">
        <f>IF(_xlfn.XLOOKUP($A86,TabCAT!$A:$A,TabCAT!BM:BM,"NaN")="","NaN",(_xlfn.XLOOKUP($A86,TabCAT!$A:$A,TabCAT!BM:BM,"NaN")))</f>
        <v>NaN</v>
      </c>
      <c r="FC86" s="8" t="str">
        <f>IF(_xlfn.XLOOKUP($A86,TabCAT!$A:$A,TabCAT!BN:BN,"NaN")="","NaN",(_xlfn.XLOOKUP($A86,TabCAT!$A:$A,TabCAT!BN:BN,"NaN")))</f>
        <v>NaN</v>
      </c>
      <c r="FD86" s="8" t="str">
        <f>IF(_xlfn.XLOOKUP($A86,TabCAT!$A:$A,TabCAT!BO:BO,"NaN")="","NaN",(_xlfn.XLOOKUP($A86,TabCAT!$A:$A,TabCAT!BO:BO,"NaN")))</f>
        <v>NaN</v>
      </c>
      <c r="FE86" s="8" t="str">
        <f>IF(_xlfn.XLOOKUP($A86,TabCAT!$A:$A,TabCAT!BP:BP,"NaN")="","NaN",(_xlfn.XLOOKUP($A86,TabCAT!$A:$A,TabCAT!BP:BP,"NaN")))</f>
        <v>NaN</v>
      </c>
      <c r="FF86" s="8" t="str">
        <f>IF(_xlfn.XLOOKUP($A86,TabCAT!$A:$A,TabCAT!BQ:BQ,"NaN")="","NaN",(_xlfn.XLOOKUP($A86,TabCAT!$A:$A,TabCAT!BQ:BQ,"NaN")))</f>
        <v>NaN</v>
      </c>
      <c r="FG86" s="8" t="str">
        <f>IF(_xlfn.XLOOKUP($A86,TabCAT!$A:$A,TabCAT!BR:BR,"NaN")="","NaN",(_xlfn.XLOOKUP($A86,TabCAT!$A:$A,TabCAT!BR:BR,"NaN")))</f>
        <v>NaN</v>
      </c>
      <c r="FH86" s="8" t="str">
        <f>IF(_xlfn.XLOOKUP($A86,TabCAT!$A:$A,TabCAT!BS:BS,"NaN")="","NaN",(_xlfn.XLOOKUP($A86,TabCAT!$A:$A,TabCAT!BS:BS,"NaN")))</f>
        <v>NaN</v>
      </c>
      <c r="FI86" s="8" t="str">
        <f>IF(_xlfn.XLOOKUP($A86,TabCAT!$A:$A,TabCAT!BT:BT,"NaN")="","NaN",(_xlfn.XLOOKUP($A86,TabCAT!$A:$A,TabCAT!BT:BT,"NaN")))</f>
        <v>NaN</v>
      </c>
      <c r="FJ86" s="8" t="str">
        <f>IF(_xlfn.XLOOKUP($A86,TabCAT!$A:$A,TabCAT!BU:BU,"NaN")="","NaN",(_xlfn.XLOOKUP($A86,TabCAT!$A:$A,TabCAT!BU:BU,"NaN")))</f>
        <v>NaN</v>
      </c>
      <c r="FK86" s="8" t="str">
        <f>IF(_xlfn.XLOOKUP($A86,TabCAT!$A:$A,TabCAT!BV:BV,"NaN")="","NaN",(_xlfn.XLOOKUP($A86,TabCAT!$A:$A,TabCAT!BV:BV,"NaN")))</f>
        <v>NaN</v>
      </c>
      <c r="FL86" s="8" t="str">
        <f>IF(_xlfn.XLOOKUP($A86,TabCAT!$A:$A,TabCAT!BW:BW,"NaN")="","NaN",(_xlfn.XLOOKUP($A86,TabCAT!$A:$A,TabCAT!BW:BW,"NaN")))</f>
        <v>NaN</v>
      </c>
      <c r="FM86" s="8" t="str">
        <f>IF(_xlfn.XLOOKUP($A86,TabCAT!$A:$A,TabCAT!BX:BX,"NaN")="","NaN",(_xlfn.XLOOKUP($A86,TabCAT!$A:$A,TabCAT!BX:BX,"NaN")))</f>
        <v>NaN</v>
      </c>
      <c r="FN86" s="8" t="str">
        <f>IF(_xlfn.XLOOKUP($A86,TabCAT!$A:$A,TabCAT!BY:BY,"NaN")="","NaN",(_xlfn.XLOOKUP($A86,TabCAT!$A:$A,TabCAT!BY:BY,"NaN")))</f>
        <v>NaN</v>
      </c>
      <c r="FO86" s="8" t="str">
        <f>IF(_xlfn.XLOOKUP($A86,TabCAT!$A:$A,TabCAT!BZ:BZ,"NaN")="","NaN",(_xlfn.XLOOKUP($A86,TabCAT!$A:$A,TabCAT!BZ:BZ,"NaN")))</f>
        <v>NaN</v>
      </c>
      <c r="FP86" s="8" t="str">
        <f>IF(_xlfn.XLOOKUP($A86,TabCAT!$A:$A,TabCAT!CA:CA,"NaN")="","NaN",(_xlfn.XLOOKUP($A86,TabCAT!$A:$A,TabCAT!CA:CA,"NaN")))</f>
        <v>NaN</v>
      </c>
      <c r="FQ86" s="8" t="str">
        <f>IF(_xlfn.XLOOKUP($A86,TabCAT!$A:$A,TabCAT!CB:CB,"NaN")="","NaN",(_xlfn.XLOOKUP($A86,TabCAT!$A:$A,TabCAT!CB:CB,"NaN")))</f>
        <v>NaN</v>
      </c>
      <c r="FR86" s="8" t="str">
        <f>IF(_xlfn.XLOOKUP($A86,TabCAT!$A:$A,TabCAT!CC:CC,"NaN")="","NaN",(_xlfn.XLOOKUP($A86,TabCAT!$A:$A,TabCAT!CC:CC,"NaN")))</f>
        <v>NaN</v>
      </c>
      <c r="FS86" s="8" t="str">
        <f>IF(_xlfn.XLOOKUP($A86,TabCAT!$A:$A,TabCAT!CD:CD,"NaN")="","NaN",(_xlfn.XLOOKUP($A86,TabCAT!$A:$A,TabCAT!CD:CD,"NaN")))</f>
        <v>NaN</v>
      </c>
      <c r="FT86" s="8" t="str">
        <f>IF(_xlfn.XLOOKUP($A86,TabCAT!$A:$A,TabCAT!CE:CE,"NaN")="","NaN",(_xlfn.XLOOKUP($A86,TabCAT!$A:$A,TabCAT!CE:CE,"NaN")))</f>
        <v>NaN</v>
      </c>
      <c r="FU86" s="8" t="str">
        <f>IF(_xlfn.XLOOKUP($A86,TabCAT!$A:$A,TabCAT!CF:CF,"NaN")="","NaN",(_xlfn.XLOOKUP($A86,TabCAT!$A:$A,TabCAT!CF:CF,"NaN")))</f>
        <v>NaN</v>
      </c>
      <c r="FV86" s="8" t="str">
        <f>IF(_xlfn.XLOOKUP($A86,TabCAT!$A:$A,TabCAT!CG:CG,"NaN")="","NaN",(_xlfn.XLOOKUP($A86,TabCAT!$A:$A,TabCAT!CG:CG,"NaN")))</f>
        <v>NaN</v>
      </c>
      <c r="FW86" s="8" t="str">
        <f>IF(_xlfn.XLOOKUP($A86,TabCAT!$A:$A,TabCAT!CH:CH,"NaN")="","NaN",(_xlfn.XLOOKUP($A86,TabCAT!$A:$A,TabCAT!CH:CH,"NaN")))</f>
        <v>NaN</v>
      </c>
      <c r="FX86" s="8" t="str">
        <f>IF(_xlfn.XLOOKUP($A86,TabCAT!$A:$A,TabCAT!CI:CI,"NaN")="","NaN",(_xlfn.XLOOKUP($A86,TabCAT!$A:$A,TabCAT!CI:CI,"NaN")))</f>
        <v>NaN</v>
      </c>
      <c r="FY86" s="8" t="str">
        <f>IF(_xlfn.XLOOKUP($A86,TabCAT!$A:$A,TabCAT!CJ:CJ,"NaN")="","NaN",(_xlfn.XLOOKUP($A86,TabCAT!$A:$A,TabCAT!CJ:CJ,"NaN")))</f>
        <v>NaN</v>
      </c>
      <c r="FZ86" s="8" t="str">
        <f>IF(_xlfn.XLOOKUP($A86,TabCAT!$A:$A,TabCAT!CK:CK,"NaN")="","NaN",(_xlfn.XLOOKUP($A86,TabCAT!$A:$A,TabCAT!CK:CK,"NaN")))</f>
        <v>NaN</v>
      </c>
      <c r="GA86" s="8" t="str">
        <f>IF(_xlfn.XLOOKUP($A86,TabCAT!$A:$A,TabCAT!CL:CL,"NaN")="","NaN",(_xlfn.XLOOKUP($A86,TabCAT!$A:$A,TabCAT!CL:CL,"NaN")))</f>
        <v>NaN</v>
      </c>
      <c r="GB86" s="8" t="str">
        <f>IF(_xlfn.XLOOKUP($A86,TabCAT!$A:$A,TabCAT!CM:CM,"NaN")="","NaN",(_xlfn.XLOOKUP($A86,TabCAT!$A:$A,TabCAT!CM:CM,"NaN")))</f>
        <v>NaN</v>
      </c>
      <c r="GC86" s="8" t="str">
        <f>IF(_xlfn.XLOOKUP($A86,TabCAT!$A:$A,TabCAT!CN:CN,"NaN")="","NaN",(_xlfn.XLOOKUP($A86,TabCAT!$A:$A,TabCAT!CN:CN,"NaN")))</f>
        <v>NaN</v>
      </c>
      <c r="GD86" s="8" t="str">
        <f>IF(_xlfn.XLOOKUP($A86,TabCAT!$A:$A,TabCAT!CO:CO,"NaN")="","NaN",(_xlfn.XLOOKUP($A86,TabCAT!$A:$A,TabCAT!CO:CO,"NaN")))</f>
        <v>NaN</v>
      </c>
      <c r="GE86" s="8" t="str">
        <f>IF(_xlfn.XLOOKUP($A86,TabCAT!$A:$A,TabCAT!CP:CP,"NaN")="","NaN",(_xlfn.XLOOKUP($A86,TabCAT!$A:$A,TabCAT!CP:CP,"NaN")))</f>
        <v>NaN</v>
      </c>
      <c r="GF86" s="8" t="str">
        <f>IF(_xlfn.XLOOKUP($A86,TabCAT!$A:$A,TabCAT!CQ:CQ,"NaN")="","NaN",(_xlfn.XLOOKUP($A86,TabCAT!$A:$A,TabCAT!CQ:CQ,"NaN")))</f>
        <v>NaN</v>
      </c>
      <c r="GG86" s="8" t="str">
        <f>IF(_xlfn.XLOOKUP($A86,TabCAT!$A:$A,TabCAT!CR:CR,"NaN")="","NaN",(_xlfn.XLOOKUP($A86,TabCAT!$A:$A,TabCAT!CR:CR,"NaN")))</f>
        <v>NaN</v>
      </c>
      <c r="GH86" s="8" t="str">
        <f>IF(_xlfn.XLOOKUP($A86,TabCAT!$A:$A,TabCAT!CS:CS,"NaN")="","NaN",(_xlfn.XLOOKUP($A86,TabCAT!$A:$A,TabCAT!CS:CS,"NaN")))</f>
        <v>NaN</v>
      </c>
    </row>
    <row r="87" spans="1:190" x14ac:dyDescent="0.2">
      <c r="A87">
        <f>trust!A87</f>
        <v>0</v>
      </c>
      <c r="B87" t="e">
        <f>_xlfn.XLOOKUP(bippity_poppity_boo!A87,rf1_data!A:A,rf1_data!B:B)</f>
        <v>#N/A</v>
      </c>
      <c r="C87" s="2" t="str">
        <f>(_xlfn.XLOOKUP($A87,trust!$A:$A,trust!B:B,"NaN"))</f>
        <v>NaN</v>
      </c>
      <c r="D87" s="2" t="str">
        <f>(_xlfn.XLOOKUP($A87,trust!$A:$A,trust!C:C,"NaN"))</f>
        <v>NaN</v>
      </c>
      <c r="E87" s="2" t="str">
        <f>(_xlfn.XLOOKUP($A87,trust!$A:$A,trust!D:D,"NaN"))</f>
        <v>NaN</v>
      </c>
      <c r="F87" s="2" t="str">
        <f>(_xlfn.XLOOKUP($A87,trust!$A:$A,trust!E:E,"NaN"))</f>
        <v>NaN</v>
      </c>
      <c r="G87" s="2" t="str">
        <f>(_xlfn.XLOOKUP($A87,trust!$A:$A,trust!F:F,"NaN"))</f>
        <v>NaN</v>
      </c>
      <c r="H87" s="2" t="str">
        <f>(_xlfn.XLOOKUP($A87,trust!$A:$A,trust!G:G,"NaN"))</f>
        <v>NaN</v>
      </c>
      <c r="I87" s="3" t="e">
        <f>IF(_xlfn.XLOOKUP($B87,island_data!$B:$B,island_data!C:C,"NaN")="","NaN",_xlfn.XLOOKUP($B87,island_data!$B:$B,island_data!C:C,"NaN"))</f>
        <v>#N/A</v>
      </c>
      <c r="J87" s="3" t="e">
        <f>IF(_xlfn.XLOOKUP($B87,island_data!$B:$B,island_data!D:D,"NaN")="","NaN",_xlfn.XLOOKUP($B87,island_data!$B:$B,island_data!D:D,"NaN"))</f>
        <v>#N/A</v>
      </c>
      <c r="K87" s="4" t="e">
        <f>IF(_xlfn.XLOOKUP($B87,island_data!$B:$B,island_data!E:E,"NaN")="","NaN",_xlfn.XLOOKUP($B87,island_data!$B:$B,island_data!E:E,"NaN"))</f>
        <v>#N/A</v>
      </c>
      <c r="L87" s="5" t="e">
        <f>IF(_xlfn.XLOOKUP($B87,rf1_data!$B:$B,rf1_data!D:D,"NaN")="","NaN",(_xlfn.XLOOKUP($B87,rf1_data!$B:$B,rf1_data!D:D,"NaN")))</f>
        <v>#N/A</v>
      </c>
      <c r="M87" s="5" t="e">
        <f>IF(_xlfn.XLOOKUP($B87,rf1_data!$B:$B,rf1_data!E:E,"NaN")="","NaN",(_xlfn.XLOOKUP($B87,rf1_data!$B:$B,rf1_data!E:E,"NaN")))</f>
        <v>#N/A</v>
      </c>
      <c r="N87" s="5" t="e">
        <f>IF(_xlfn.XLOOKUP($B87,rf1_data!$B:$B,rf1_data!F:F,"NaN")="","NaN",(_xlfn.XLOOKUP($B87,rf1_data!$B:$B,rf1_data!F:F,"NaN")))</f>
        <v>#N/A</v>
      </c>
      <c r="O87" s="5" t="e">
        <f>IF(_xlfn.XLOOKUP($B87,rf1_data!$B:$B,rf1_data!G:G,"NaN")="","NaN",(_xlfn.XLOOKUP($B87,rf1_data!$B:$B,rf1_data!G:G,"NaN")))</f>
        <v>#N/A</v>
      </c>
      <c r="P87" s="5" t="e">
        <f>IF(_xlfn.XLOOKUP($B87,rf1_data!$B:$B,rf1_data!H:H,"NaN")="","NaN",(_xlfn.XLOOKUP($B87,rf1_data!$B:$B,rf1_data!H:H,"NaN")))</f>
        <v>#N/A</v>
      </c>
      <c r="Q87" s="5" t="e">
        <f>IF(_xlfn.XLOOKUP($B87,rf1_data!$B:$B,rf1_data!I:I,"NaN")="","NaN",(_xlfn.XLOOKUP($B87,rf1_data!$B:$B,rf1_data!I:I,"NaN")))</f>
        <v>#N/A</v>
      </c>
      <c r="R87" s="5" t="e">
        <f>IF(_xlfn.XLOOKUP($B87,rf1_data!$B:$B,rf1_data!J:J,"NaN")="","NaN",(_xlfn.XLOOKUP($B87,rf1_data!$B:$B,rf1_data!J:J,"NaN")))</f>
        <v>#N/A</v>
      </c>
      <c r="S87" s="5" t="e">
        <f>IF(_xlfn.XLOOKUP($B87,rf1_data!$B:$B,rf1_data!K:K,"NaN")="","NaN",(_xlfn.XLOOKUP($B87,rf1_data!$B:$B,rf1_data!K:K,"NaN")))</f>
        <v>#N/A</v>
      </c>
      <c r="T87" s="5" t="e">
        <f>IF(_xlfn.XLOOKUP($B87,rf1_data!$B:$B,rf1_data!L:L,"NaN")="","NaN",(_xlfn.XLOOKUP($B87,rf1_data!$B:$B,rf1_data!L:L,"NaN")))</f>
        <v>#N/A</v>
      </c>
      <c r="U87" s="5" t="e">
        <f>IF(_xlfn.XLOOKUP($B87,rf1_data!$B:$B,rf1_data!M:M,"NaN")="","NaN",(_xlfn.XLOOKUP($B87,rf1_data!$B:$B,rf1_data!M:M,"NaN")))</f>
        <v>#N/A</v>
      </c>
      <c r="V87" s="5" t="e">
        <f>IF(_xlfn.XLOOKUP($B87,rf1_data!$B:$B,rf1_data!N:N,"NaN")="","NaN",(_xlfn.XLOOKUP($B87,rf1_data!$B:$B,rf1_data!N:N,"NaN")))</f>
        <v>#N/A</v>
      </c>
      <c r="W87" s="5" t="e">
        <f>IF(_xlfn.XLOOKUP($B87,rf1_data!$B:$B,rf1_data!O:O,"NaN")="","NaN",(_xlfn.XLOOKUP($B87,rf1_data!$B:$B,rf1_data!O:O,"NaN")))</f>
        <v>#N/A</v>
      </c>
      <c r="X87" s="5" t="e">
        <f>IF(_xlfn.XLOOKUP($B87,rf1_data!$B:$B,rf1_data!P:P,"NaN")="","NaN",(_xlfn.XLOOKUP($B87,rf1_data!$B:$B,rf1_data!P:P,"NaN")))</f>
        <v>#N/A</v>
      </c>
      <c r="Y87" s="5" t="e">
        <f>IF(_xlfn.XLOOKUP($B87,rf1_data!$B:$B,rf1_data!Q:Q,"NaN")="","NaN",(_xlfn.XLOOKUP($B87,rf1_data!$B:$B,rf1_data!Q:Q,"NaN")))</f>
        <v>#N/A</v>
      </c>
      <c r="Z87" s="5" t="e">
        <f>IF(_xlfn.XLOOKUP($B87,rf1_data!$B:$B,rf1_data!R:R,"NaN")="","NaN",(_xlfn.XLOOKUP($B87,rf1_data!$B:$B,rf1_data!R:R,"NaN")))</f>
        <v>#N/A</v>
      </c>
      <c r="AA87" s="5" t="e">
        <f>IF(_xlfn.XLOOKUP($B87,rf1_data!$B:$B,rf1_data!S:S,"NaN")="","NaN",(_xlfn.XLOOKUP($B87,rf1_data!$B:$B,rf1_data!S:S,"NaN")))</f>
        <v>#N/A</v>
      </c>
      <c r="AB87" s="5" t="e">
        <f>IF(_xlfn.XLOOKUP($B87,rf1_data!$B:$B,rf1_data!T:T,"NaN")="","NaN",(_xlfn.XLOOKUP($B87,rf1_data!$B:$B,rf1_data!T:T,"NaN")))</f>
        <v>#N/A</v>
      </c>
      <c r="AC87" s="5" t="e">
        <f>IF(_xlfn.XLOOKUP($B87,rf1_data!$B:$B,rf1_data!U:U,"NaN")="","NaN",(_xlfn.XLOOKUP($B87,rf1_data!$B:$B,rf1_data!U:U,"NaN")))</f>
        <v>#N/A</v>
      </c>
      <c r="AD87" s="5" t="e">
        <f>IF(_xlfn.XLOOKUP($B87,rf1_data!$B:$B,rf1_data!V:V,"NaN")="","NaN",(_xlfn.XLOOKUP($B87,rf1_data!$B:$B,rf1_data!V:V,"NaN")))</f>
        <v>#N/A</v>
      </c>
      <c r="AE87" s="5" t="e">
        <f>IF(_xlfn.XLOOKUP($B87,rf1_data!$B:$B,rf1_data!W:W,"NaN")="","NaN",(_xlfn.XLOOKUP($B87,rf1_data!$B:$B,rf1_data!W:W,"NaN")))</f>
        <v>#N/A</v>
      </c>
      <c r="AF87" s="5" t="e">
        <f>IF(_xlfn.XLOOKUP($B87,rf1_data!$B:$B,rf1_data!X:X,"NaN")="","NaN",(_xlfn.XLOOKUP($B87,rf1_data!$B:$B,rf1_data!X:X,"NaN")))</f>
        <v>#N/A</v>
      </c>
      <c r="AG87" s="5" t="e">
        <f>IF(_xlfn.XLOOKUP($B87,rf1_data!$B:$B,rf1_data!Y:Y,"NaN")="","NaN",(_xlfn.XLOOKUP($B87,rf1_data!$B:$B,rf1_data!Y:Y,"NaN")))</f>
        <v>#N/A</v>
      </c>
      <c r="AH87" s="5" t="e">
        <f>IF(_xlfn.XLOOKUP($B87,rf1_data!$B:$B,rf1_data!Z:Z,"NaN")="","NaN",(_xlfn.XLOOKUP($B87,rf1_data!$B:$B,rf1_data!Z:Z,"NaN")))</f>
        <v>#N/A</v>
      </c>
      <c r="AI87" s="5" t="e">
        <f>IF(_xlfn.XLOOKUP($B87,rf1_data!$B:$B,rf1_data!AA:AA,"NaN")="","NaN",(_xlfn.XLOOKUP($B87,rf1_data!$B:$B,rf1_data!AA:AA,"NaN")))</f>
        <v>#N/A</v>
      </c>
      <c r="AJ87" s="5" t="e">
        <f>IF(_xlfn.XLOOKUP($B87,rf1_data!$B:$B,rf1_data!AB:AB,"NaN")="","NaN",(_xlfn.XLOOKUP($B87,rf1_data!$B:$B,rf1_data!AB:AB,"NaN")))</f>
        <v>#N/A</v>
      </c>
      <c r="AK87" s="5" t="e">
        <f>IF(_xlfn.XLOOKUP($B87,rf1_data!$B:$B,rf1_data!AC:AC,"NaN")="","NaN",(_xlfn.XLOOKUP($B87,rf1_data!$B:$B,rf1_data!AC:AC,"NaN")))</f>
        <v>#N/A</v>
      </c>
      <c r="AL87" s="5" t="e">
        <f>IF(_xlfn.XLOOKUP($B87,rf1_data!$B:$B,rf1_data!AD:AD,"NaN")="","NaN",(_xlfn.XLOOKUP($B87,rf1_data!$B:$B,rf1_data!AD:AD,"NaN")))</f>
        <v>#N/A</v>
      </c>
      <c r="AM87" s="5" t="e">
        <f>IF(_xlfn.XLOOKUP($B87,rf1_data!$B:$B,rf1_data!AE:AE,"NaN")="","NaN",(_xlfn.XLOOKUP($B87,rf1_data!$B:$B,rf1_data!AE:AE,"NaN")))</f>
        <v>#N/A</v>
      </c>
      <c r="AN87" s="5" t="e">
        <f>IF(_xlfn.XLOOKUP($B87,rf1_data!$B:$B,rf1_data!AF:AF,"NaN")="","NaN",(_xlfn.XLOOKUP($B87,rf1_data!$B:$B,rf1_data!AF:AF,"NaN")))</f>
        <v>#N/A</v>
      </c>
      <c r="AO87" s="5" t="e">
        <f>IF(_xlfn.XLOOKUP($B87,rf1_data!$B:$B,rf1_data!AG:AG,"NaN")="","NaN",(_xlfn.XLOOKUP($B87,rf1_data!$B:$B,rf1_data!AG:AG,"NaN")))</f>
        <v>#N/A</v>
      </c>
      <c r="AP87" s="5" t="e">
        <f>IF(_xlfn.XLOOKUP($B87,rf1_data!$B:$B,rf1_data!AH:AH,"NaN")="","NaN",(_xlfn.XLOOKUP($B87,rf1_data!$B:$B,rf1_data!AH:AH,"NaN")))</f>
        <v>#N/A</v>
      </c>
      <c r="AQ87" s="5" t="e">
        <f>IF(_xlfn.XLOOKUP($B87,rf1_data!$B:$B,rf1_data!AI:AI,"NaN")="","NaN",(_xlfn.XLOOKUP($B87,rf1_data!$B:$B,rf1_data!AI:AI,"NaN")))</f>
        <v>#N/A</v>
      </c>
      <c r="AR87" s="5" t="e">
        <f>IF(_xlfn.XLOOKUP($B87,rf1_data!$B:$B,rf1_data!AJ:AJ,"NaN")="","NaN",(_xlfn.XLOOKUP($B87,rf1_data!$B:$B,rf1_data!AJ:AJ,"NaN")))</f>
        <v>#N/A</v>
      </c>
      <c r="AS87" s="5" t="e">
        <f>IF(_xlfn.XLOOKUP($B87,rf1_data!$B:$B,rf1_data!AK:AK,"NaN")="","NaN",(_xlfn.XLOOKUP($B87,rf1_data!$B:$B,rf1_data!AK:AK,"NaN")))</f>
        <v>#N/A</v>
      </c>
      <c r="AT87" s="5" t="e">
        <f>IF(_xlfn.XLOOKUP($B87,rf1_data!$B:$B,rf1_data!AL:AL,"NaN")="","NaN",(_xlfn.XLOOKUP($B87,rf1_data!$B:$B,rf1_data!AL:AL,"NaN")))</f>
        <v>#N/A</v>
      </c>
      <c r="AU87" s="5" t="e">
        <f>IF(_xlfn.XLOOKUP($B87,rf1_data!$B:$B,rf1_data!AM:AM,"NaN")="","NaN",(_xlfn.XLOOKUP($B87,rf1_data!$B:$B,rf1_data!AM:AM,"NaN")))</f>
        <v>#N/A</v>
      </c>
      <c r="AV87" s="5" t="e">
        <f>IF(_xlfn.XLOOKUP($B87,rf1_data!$B:$B,rf1_data!AN:AN,"NaN")="","NaN",(_xlfn.XLOOKUP($B87,rf1_data!$B:$B,rf1_data!AN:AN,"NaN")))</f>
        <v>#N/A</v>
      </c>
      <c r="AW87" s="5" t="e">
        <f>IF(_xlfn.XLOOKUP($B87,rf1_data!$B:$B,rf1_data!AO:AO,"NaN")="","NaN",(_xlfn.XLOOKUP($B87,rf1_data!$B:$B,rf1_data!AO:AO,"NaN")))</f>
        <v>#N/A</v>
      </c>
      <c r="AX87" s="5" t="e">
        <f>IF(_xlfn.XLOOKUP($B87,rf1_data!$B:$B,rf1_data!AP:AP,"NaN")="","NaN",(_xlfn.XLOOKUP($B87,rf1_data!$B:$B,rf1_data!AP:AP,"NaN")))</f>
        <v>#N/A</v>
      </c>
      <c r="AY87" s="5" t="e">
        <f>IF(_xlfn.XLOOKUP($B87,rf1_data!$B:$B,rf1_data!AQ:AQ,"NaN")="","NaN",(_xlfn.XLOOKUP($B87,rf1_data!$B:$B,rf1_data!AQ:AQ,"NaN")))</f>
        <v>#N/A</v>
      </c>
      <c r="AZ87" s="5" t="e">
        <f>IF(_xlfn.XLOOKUP($B87,rf1_data!$B:$B,rf1_data!AR:AR,"NaN")="","NaN",(_xlfn.XLOOKUP($B87,rf1_data!$B:$B,rf1_data!AR:AR,"NaN")))</f>
        <v>#N/A</v>
      </c>
      <c r="BA87" s="5" t="e">
        <f>IF(_xlfn.XLOOKUP($B87,rf1_data!$B:$B,rf1_data!AS:AS,"NaN")="","NaN",(_xlfn.XLOOKUP($B87,rf1_data!$B:$B,rf1_data!AS:AS,"NaN")))</f>
        <v>#N/A</v>
      </c>
      <c r="BB87" s="5" t="e">
        <f>IF(_xlfn.XLOOKUP($B87,rf1_data!$B:$B,rf1_data!AT:AT,"NaN")="","NaN",(_xlfn.XLOOKUP($B87,rf1_data!$B:$B,rf1_data!AT:AT,"NaN")))</f>
        <v>#N/A</v>
      </c>
      <c r="BC87" s="5" t="e">
        <f>IF(_xlfn.XLOOKUP($B87,rf1_data!$B:$B,rf1_data!AU:AU,"NaN")="","NaN",(_xlfn.XLOOKUP($B87,rf1_data!$B:$B,rf1_data!AU:AU,"NaN")))</f>
        <v>#N/A</v>
      </c>
      <c r="BD87" s="5" t="e">
        <f>IF(_xlfn.XLOOKUP($B87,rf1_data!$B:$B,rf1_data!AV:AV,"NaN")="","NaN",(_xlfn.XLOOKUP($B87,rf1_data!$B:$B,rf1_data!AV:AV,"NaN")))</f>
        <v>#N/A</v>
      </c>
      <c r="BE87" s="5" t="e">
        <f>IF(_xlfn.XLOOKUP($B87,rf1_data!$B:$B,rf1_data!AW:AW,"NaN")="","NaN",(_xlfn.XLOOKUP($B87,rf1_data!$B:$B,rf1_data!AW:AW,"NaN")))</f>
        <v>#N/A</v>
      </c>
      <c r="BF87" s="5" t="e">
        <f>IF(_xlfn.XLOOKUP($B87,rf1_data!$B:$B,rf1_data!AX:AX,"NaN")="","NaN",(_xlfn.XLOOKUP($B87,rf1_data!$B:$B,rf1_data!AX:AX,"NaN")))</f>
        <v>#N/A</v>
      </c>
      <c r="BG87" s="5" t="e">
        <f>IF(_xlfn.XLOOKUP($B87,rf1_data!$B:$B,rf1_data!AY:AY,"NaN")="","NaN",(_xlfn.XLOOKUP($B87,rf1_data!$B:$B,rf1_data!AY:AY,"NaN")))</f>
        <v>#N/A</v>
      </c>
      <c r="BH87" s="5" t="e">
        <f>IF(_xlfn.XLOOKUP($B87,rf1_data!$B:$B,rf1_data!AZ:AZ,"NaN")="","NaN",(_xlfn.XLOOKUP($B87,rf1_data!$B:$B,rf1_data!AZ:AZ,"NaN")))</f>
        <v>#N/A</v>
      </c>
      <c r="BI87" s="5" t="e">
        <f>IF(_xlfn.XLOOKUP($B87,rf1_data!$B:$B,rf1_data!BA:BA,"NaN")="","NaN",(_xlfn.XLOOKUP($B87,rf1_data!$B:$B,rf1_data!BA:BA,"NaN")))</f>
        <v>#N/A</v>
      </c>
      <c r="BJ87" s="5" t="e">
        <f>IF(_xlfn.XLOOKUP($B87,rf1_data!$B:$B,rf1_data!BB:BB,"NaN")="","NaN",(_xlfn.XLOOKUP($B87,rf1_data!$B:$B,rf1_data!BB:BB,"NaN")))</f>
        <v>#N/A</v>
      </c>
      <c r="BK87" s="5" t="e">
        <f>IF(_xlfn.XLOOKUP($B87,rf1_data!$B:$B,rf1_data!BC:BC,"NaN")="","NaN",(_xlfn.XLOOKUP($B87,rf1_data!$B:$B,rf1_data!BC:BC,"NaN")))</f>
        <v>#N/A</v>
      </c>
      <c r="BL87" s="5" t="e">
        <f>IF(_xlfn.XLOOKUP($B87,rf1_data!$B:$B,rf1_data!BD:BD,"NaN")="","NaN",(_xlfn.XLOOKUP($B87,rf1_data!$B:$B,rf1_data!BD:BD,"NaN")))</f>
        <v>#N/A</v>
      </c>
      <c r="BM87" s="5" t="e">
        <f>IF(_xlfn.XLOOKUP($B87,rf1_data!$B:$B,rf1_data!BE:BE,"NaN")="","NaN",(_xlfn.XLOOKUP($B87,rf1_data!$B:$B,rf1_data!BE:BE,"NaN")))</f>
        <v>#N/A</v>
      </c>
      <c r="BN87" s="5" t="e">
        <f>IF(_xlfn.XLOOKUP($B87,rf1_data!$B:$B,rf1_data!BF:BF,"NaN")="","NaN",(_xlfn.XLOOKUP($B87,rf1_data!$B:$B,rf1_data!BF:BF,"NaN")))</f>
        <v>#N/A</v>
      </c>
      <c r="BO87" s="5" t="e">
        <f>IF(_xlfn.XLOOKUP($B87,rf1_data!$B:$B,rf1_data!BG:BG,"NaN")="","NaN",(_xlfn.XLOOKUP($B87,rf1_data!$B:$B,rf1_data!BG:BG,"NaN")))</f>
        <v>#N/A</v>
      </c>
      <c r="BP87" s="5" t="e">
        <f>IF(_xlfn.XLOOKUP($B87,rf1_data!$B:$B,rf1_data!BH:BH,"NaN")="","NaN",(_xlfn.XLOOKUP($B87,rf1_data!$B:$B,rf1_data!BH:BH,"NaN")))</f>
        <v>#N/A</v>
      </c>
      <c r="BQ87" s="5" t="e">
        <f>IF(_xlfn.XLOOKUP($B87,rf1_data!$B:$B,rf1_data!BI:BI,"NaN")="","NaN",(_xlfn.XLOOKUP($B87,rf1_data!$B:$B,rf1_data!BI:BI,"NaN")))</f>
        <v>#N/A</v>
      </c>
      <c r="BR87" s="5" t="e">
        <f>IF(_xlfn.XLOOKUP($B87,rf1_data!$B:$B,rf1_data!BJ:BJ,"NaN")="","NaN",(_xlfn.XLOOKUP($B87,rf1_data!$B:$B,rf1_data!BJ:BJ,"NaN")))</f>
        <v>#N/A</v>
      </c>
      <c r="BS87" s="5" t="e">
        <f>IF(_xlfn.XLOOKUP($B87,rf1_data!$B:$B,rf1_data!BK:BK,"NaN")="","NaN",(_xlfn.XLOOKUP($B87,rf1_data!$B:$B,rf1_data!BK:BK,"NaN")))</f>
        <v>#N/A</v>
      </c>
      <c r="BT87" s="5" t="e">
        <f>IF(_xlfn.XLOOKUP($B87,rf1_data!$B:$B,rf1_data!BL:BL,"NaN")="","NaN",(_xlfn.XLOOKUP($B87,rf1_data!$B:$B,rf1_data!BL:BL,"NaN")))</f>
        <v>#N/A</v>
      </c>
      <c r="BU87" s="5" t="e">
        <f>IF(_xlfn.XLOOKUP($B87,rf1_data!$B:$B,rf1_data!BM:BM,"NaN")="","NaN",(_xlfn.XLOOKUP($B87,rf1_data!$B:$B,rf1_data!BM:BM,"NaN")))</f>
        <v>#N/A</v>
      </c>
      <c r="BV87" s="5" t="e">
        <f>IF(_xlfn.XLOOKUP($B87,rf1_data!$B:$B,rf1_data!BN:BN,"NaN")="","NaN",(_xlfn.XLOOKUP($B87,rf1_data!$B:$B,rf1_data!BN:BN,"NaN")))</f>
        <v>#N/A</v>
      </c>
      <c r="BW87" s="5" t="e">
        <f>IF(_xlfn.XLOOKUP($B87,rf1_data!$B:$B,rf1_data!BO:BO,"NaN")="","NaN",(_xlfn.XLOOKUP($B87,rf1_data!$B:$B,rf1_data!BO:BO,"NaN")))</f>
        <v>#N/A</v>
      </c>
      <c r="BX87" s="5" t="e">
        <f>IF(_xlfn.XLOOKUP($B87,rf1_data!$B:$B,rf1_data!BP:BP,"NaN")="","NaN",(_xlfn.XLOOKUP($B87,rf1_data!$B:$B,rf1_data!BP:BP,"NaN")))</f>
        <v>#N/A</v>
      </c>
      <c r="BY87" s="5" t="e">
        <f>IF(_xlfn.XLOOKUP($B87,rf1_data!$B:$B,rf1_data!BQ:BQ,"NaN")="","NaN",(_xlfn.XLOOKUP($B87,rf1_data!$B:$B,rf1_data!BQ:BQ,"NaN")))</f>
        <v>#N/A</v>
      </c>
      <c r="BZ87" s="5" t="e">
        <f>IF(_xlfn.XLOOKUP($B87,rf1_data!$B:$B,rf1_data!BR:BR,"NaN")="","NaN",(_xlfn.XLOOKUP($B87,rf1_data!$B:$B,rf1_data!BR:BR,"NaN")))</f>
        <v>#N/A</v>
      </c>
      <c r="CA87" s="5" t="e">
        <f>IF(_xlfn.XLOOKUP($B87,rf1_data!$B:$B,rf1_data!BS:BS,"NaN")="","NaN",(_xlfn.XLOOKUP($B87,rf1_data!$B:$B,rf1_data!BS:BS,"NaN")))</f>
        <v>#N/A</v>
      </c>
      <c r="CB87" s="5" t="e">
        <f>IF(_xlfn.XLOOKUP($B87,rf1_data!$B:$B,rf1_data!BT:BT,"NaN")="","NaN",(_xlfn.XLOOKUP($B87,rf1_data!$B:$B,rf1_data!BT:BT,"NaN")))</f>
        <v>#N/A</v>
      </c>
      <c r="CC87" s="5" t="e">
        <f>IF(_xlfn.XLOOKUP($B87,rf1_data!$B:$B,rf1_data!BU:BU,"NaN")="","NaN",(_xlfn.XLOOKUP($B87,rf1_data!$B:$B,rf1_data!BU:BU,"NaN")))</f>
        <v>#N/A</v>
      </c>
      <c r="CD87" s="5" t="e">
        <f>IF(_xlfn.XLOOKUP($B87,rf1_data!$B:$B,rf1_data!BV:BV,"NaN")="","NaN",(_xlfn.XLOOKUP($B87,rf1_data!$B:$B,rf1_data!BV:BV,"NaN")))</f>
        <v>#N/A</v>
      </c>
      <c r="CE87" s="5" t="e">
        <f>IF(_xlfn.XLOOKUP($B87,rf1_data!$B:$B,rf1_data!BW:BW,"NaN")="","NaN",(_xlfn.XLOOKUP($B87,rf1_data!$B:$B,rf1_data!BW:BW,"NaN")))</f>
        <v>#N/A</v>
      </c>
      <c r="CF87" s="5" t="e">
        <f>IF(_xlfn.XLOOKUP($B87,rf1_data!$B:$B,rf1_data!BX:BX,"NaN")="","NaN",(_xlfn.XLOOKUP($B87,rf1_data!$B:$B,rf1_data!BX:BX,"NaN")))</f>
        <v>#N/A</v>
      </c>
      <c r="CG87" s="5" t="e">
        <f>IF(_xlfn.XLOOKUP($B87,rf1_data!$B:$B,rf1_data!BY:BY,"NaN")="","NaN",(_xlfn.XLOOKUP($B87,rf1_data!$B:$B,rf1_data!BY:BY,"NaN")))</f>
        <v>#N/A</v>
      </c>
      <c r="CH87" s="5" t="e">
        <f>IF(_xlfn.XLOOKUP($B87,rf1_data!$B:$B,rf1_data!BZ:BZ,"NaN")="","NaN",(_xlfn.XLOOKUP($B87,rf1_data!$B:$B,rf1_data!BZ:BZ,"NaN")))</f>
        <v>#N/A</v>
      </c>
      <c r="CI87" s="5" t="e">
        <f>IF(_xlfn.XLOOKUP($B87,rf1_data!$B:$B,rf1_data!CA:CA,"NaN")="","NaN",(_xlfn.XLOOKUP($B87,rf1_data!$B:$B,rf1_data!CA:CA,"NaN")))</f>
        <v>#N/A</v>
      </c>
      <c r="CJ87" s="5" t="e">
        <f>IF(_xlfn.XLOOKUP($B87,rf1_data!$B:$B,rf1_data!CB:CB,"NaN")="","NaN",(_xlfn.XLOOKUP($B87,rf1_data!$B:$B,rf1_data!CB:CB,"NaN")))</f>
        <v>#N/A</v>
      </c>
      <c r="CK87" s="5" t="e">
        <f>IF(_xlfn.XLOOKUP($B87,rf1_data!$B:$B,rf1_data!CC:CC,"NaN")="","NaN",(_xlfn.XLOOKUP($B87,rf1_data!$B:$B,rf1_data!CC:CC,"NaN")))</f>
        <v>#N/A</v>
      </c>
      <c r="CL87" s="5" t="e">
        <f>IF(_xlfn.XLOOKUP($B87,rf1_data!$B:$B,rf1_data!CD:CD,"NaN")=0,"NaN",(_xlfn.XLOOKUP($B87,rf1_data!$B:$B,rf1_data!CD:CD,"NaN")))</f>
        <v>#N/A</v>
      </c>
      <c r="CM87" s="5" t="e">
        <f>IF(_xlfn.XLOOKUP($B87,rf1_data!$B:$B,rf1_data!CE:CE,"NaN")="","NaN",(_xlfn.XLOOKUP($B87,rf1_data!$B:$B,rf1_data!CE:CE,"NaN")))</f>
        <v>#N/A</v>
      </c>
      <c r="CN87" s="5" t="e">
        <f>IF(_xlfn.XLOOKUP($B87,rf1_data!$B:$B,rf1_data!CF:CF,"NaN")="","NaN",(_xlfn.XLOOKUP($B87,rf1_data!$B:$B,rf1_data!CF:CF,"NaN")))</f>
        <v>#N/A</v>
      </c>
      <c r="CO87" s="5" t="e">
        <f>IF(_xlfn.XLOOKUP($B87,rf1_data!$B:$B,rf1_data!CG:CG,"NaN")="","NaN",(_xlfn.XLOOKUP($B87,rf1_data!$B:$B,rf1_data!CG:CG,"NaN")))</f>
        <v>#N/A</v>
      </c>
      <c r="CP87" s="5" t="e">
        <f>IF(_xlfn.XLOOKUP($B87,rf1_data!$B:$B,rf1_data!CH:CH,"NaN")=0,"NaN",(_xlfn.XLOOKUP($B87,rf1_data!$B:$B,rf1_data!CH:CH,"NaN")))</f>
        <v>#N/A</v>
      </c>
      <c r="CQ87" s="5" t="e">
        <f>IF(_xlfn.XLOOKUP($B87,rf1_data!$B:$B,rf1_data!CI:CI,"NaN")="","NaN",(_xlfn.XLOOKUP($B87,rf1_data!$B:$B,rf1_data!CI:CI,"NaN")))</f>
        <v>#N/A</v>
      </c>
      <c r="CR87" s="5" t="e">
        <f>IF(_xlfn.XLOOKUP($B87,rf1_data!$B:$B,rf1_data!CJ:CJ,"NaN")="","NaN",(_xlfn.XLOOKUP($B87,rf1_data!$B:$B,rf1_data!CJ:CJ,"NaN")))</f>
        <v>#N/A</v>
      </c>
      <c r="CS87" s="5" t="e">
        <f>IF(_xlfn.XLOOKUP($B87,rf1_data!$B:$B,rf1_data!CK:CK,"NaN")="","NaN",(_xlfn.XLOOKUP($B87,rf1_data!$B:$B,rf1_data!CK:CK,"NaN")))</f>
        <v>#N/A</v>
      </c>
      <c r="CT87" s="5" t="e">
        <f>IF(_xlfn.XLOOKUP($B87,rf1_data!$B:$B,rf1_data!CL:CL,"NaN")="","NaN",(_xlfn.XLOOKUP($B87,rf1_data!$B:$B,rf1_data!CL:CL,"NaN")))</f>
        <v>#N/A</v>
      </c>
      <c r="CU87" s="5" t="e">
        <f>IF(_xlfn.XLOOKUP($B87,rf1_data!$B:$B,rf1_data!CM:CM,"NaN")="","NaN",(_xlfn.XLOOKUP($B87,rf1_data!$B:$B,rf1_data!CM:CM,"NaN")))</f>
        <v>#N/A</v>
      </c>
      <c r="CV87" s="5" t="e">
        <f>IF(_xlfn.XLOOKUP($B87,rf1_data!$B:$B,rf1_data!CN:CN,"NaN")="","NaN",(_xlfn.XLOOKUP($B87,rf1_data!$B:$B,rf1_data!CN:CN,"NaN")))</f>
        <v>#N/A</v>
      </c>
      <c r="CW87" s="5" t="e">
        <f>IF(_xlfn.XLOOKUP($B87,rf1_data!$B:$B,rf1_data!CO:CO,"NaN")="","NaN",(_xlfn.XLOOKUP($B87,rf1_data!$B:$B,rf1_data!CO:CO,"NaN")))</f>
        <v>#N/A</v>
      </c>
      <c r="CX87" s="5" t="e">
        <f>IF(_xlfn.XLOOKUP($B87,rf1_data!$B:$B,rf1_data!CP:CP,"NaN")="","NaN",(_xlfn.XLOOKUP($B87,rf1_data!$B:$B,rf1_data!CP:CP,"NaN")))</f>
        <v>#N/A</v>
      </c>
      <c r="CY87" s="5" t="e">
        <f>IF(_xlfn.XLOOKUP($B87,rf1_data!$B:$B,rf1_data!CQ:CQ,"NaN")="","NaN",(_xlfn.XLOOKUP($B87,rf1_data!$B:$B,rf1_data!CQ:CQ,"NaN")))</f>
        <v>#N/A</v>
      </c>
      <c r="CZ87" s="5" t="e">
        <f>IF(_xlfn.XLOOKUP($B87,rf1_data!$B:$B,rf1_data!CR:CR,"NaN")="","NaN",(_xlfn.XLOOKUP($B87,rf1_data!$B:$B,rf1_data!CR:CR,"NaN")))</f>
        <v>#N/A</v>
      </c>
      <c r="DA87" s="5" t="e">
        <f>IF(_xlfn.XLOOKUP($B87,rf1_data!$B:$B,rf1_data!CS:CS,"NaN")="","NaN",(_xlfn.XLOOKUP($B87,rf1_data!$B:$B,rf1_data!CS:CS,"NaN")))</f>
        <v>#N/A</v>
      </c>
      <c r="DB87" s="4" t="e">
        <f>IF(_xlfn.XLOOKUP($B87,island_data!$B:$B,island_data!H:H,"NaN")="","NaN",_xlfn.XLOOKUP($B87,island_data!$B:$B,island_data!H:H,"NaN"))</f>
        <v>#N/A</v>
      </c>
      <c r="DC87" s="4" t="e">
        <f>IF(_xlfn.XLOOKUP($B87,island_data!$B:$B,island_data!I:I,"NaN")="","NaN",_xlfn.XLOOKUP($B87,island_data!$B:$B,island_data!I:I,"NaN"))</f>
        <v>#N/A</v>
      </c>
      <c r="DD87" s="4" t="e">
        <f>IF(_xlfn.XLOOKUP($B87,island_data!$B:$B,island_data!J:J,"NaN")="","NaN",_xlfn.XLOOKUP($B87,island_data!$B:$B,island_data!J:J,"NaN"))</f>
        <v>#N/A</v>
      </c>
      <c r="DE87" s="4" t="e">
        <f>IF(_xlfn.XLOOKUP($B87,island_data!$B:$B,island_data!K:K,"NaN")="","NaN",_xlfn.XLOOKUP($B87,island_data!$B:$B,island_data!K:K,"NaN"))</f>
        <v>#N/A</v>
      </c>
      <c r="DF87" s="4" t="e">
        <f>IF(_xlfn.XLOOKUP($B87,island_data!$B:$B,island_data!L:L,"NaN")="","NaN",_xlfn.XLOOKUP($B87,island_data!$B:$B,island_data!L:L,"NaN"))</f>
        <v>#N/A</v>
      </c>
      <c r="DG87" s="4" t="e">
        <f>IF(_xlfn.XLOOKUP($B87,island_data!$B:$B,island_data!M:M,"NaN")="","NaN",_xlfn.XLOOKUP($B87,island_data!$B:$B,island_data!M:M,"NaN"))</f>
        <v>#N/A</v>
      </c>
      <c r="DH87" s="4" t="e">
        <f>IF(_xlfn.XLOOKUP($B87,island_data!$B:$B,island_data!N:N,"NaN")="","NaN",_xlfn.XLOOKUP($B87,island_data!$B:$B,island_data!N:N,"NaN"))</f>
        <v>#N/A</v>
      </c>
      <c r="DI87" s="4" t="e">
        <f>IF(_xlfn.XLOOKUP($B87,island_data!$B:$B,island_data!O:O,"NaN")=999,"NaN",_xlfn.XLOOKUP($B87,island_data!$B:$B,island_data!O:O,"NaN"))</f>
        <v>#N/A</v>
      </c>
      <c r="DJ87" s="4" t="e">
        <f>IF(_xlfn.XLOOKUP($B87,island_data!$B:$B,island_data!P:P,"NaN")="","NaN",_xlfn.XLOOKUP($B87,island_data!$B:$B,island_data!P:P,"NaN"))</f>
        <v>#N/A</v>
      </c>
      <c r="DK87" s="4" t="e">
        <f>IF(_xlfn.XLOOKUP($B87,island_data!$B:$B,island_data!Q:Q,"NaN")="","NaN",_xlfn.XLOOKUP($B87,island_data!$B:$B,island_data!Q:Q,"NaN"))</f>
        <v>#N/A</v>
      </c>
      <c r="DL87" s="4" t="e">
        <f>IF(_xlfn.XLOOKUP($B87,island_data!$B:$B,island_data!R:R,"NaN")=999,"NaN",_xlfn.XLOOKUP($B87,island_data!$B:$B,island_data!R:R,"NaN"))</f>
        <v>#N/A</v>
      </c>
      <c r="DM87" s="4" t="e">
        <f>IF(_xlfn.XLOOKUP($B87,island_data!$B:$B,island_data!S:S,"NaN")="","NaN",_xlfn.XLOOKUP($B87,island_data!$B:$B,island_data!S:S,"NaN"))</f>
        <v>#N/A</v>
      </c>
      <c r="DN87" s="4" t="e">
        <f>IF(_xlfn.XLOOKUP($B87,island_data!$B:$B,island_data!T:T,"NaN")="","NaN",_xlfn.XLOOKUP($B87,island_data!$B:$B,island_data!T:T,"NaN"))</f>
        <v>#N/A</v>
      </c>
      <c r="DO87" s="4" t="e">
        <f>IF(_xlfn.XLOOKUP($B87,island_data!$B:$B,island_data!U:U,"NaN")="","NaN",_xlfn.XLOOKUP($B87,island_data!$B:$B,island_data!U:U,"NaN"))</f>
        <v>#N/A</v>
      </c>
      <c r="DP87" s="4" t="e">
        <f>IF(_xlfn.XLOOKUP($B87,island_data!$B:$B,island_data!V:V,"NaN")="","NaN",_xlfn.XLOOKUP($B87,island_data!$B:$B,island_data!V:V,"NaN"))</f>
        <v>#N/A</v>
      </c>
      <c r="DQ87" s="4" t="e">
        <f>IF(_xlfn.XLOOKUP($B87,island_data!$B:$B,island_data!W:W,"NaN")="","NaN",_xlfn.XLOOKUP($B87,island_data!$B:$B,island_data!W:W,"NaN"))</f>
        <v>#N/A</v>
      </c>
      <c r="DR87" s="4" t="e">
        <f>IF(_xlfn.XLOOKUP($B87,island_data!$B:$B,island_data!X:X,"NaN")="","NaN",_xlfn.XLOOKUP($B87,island_data!$B:$B,island_data!X:X,"NaN"))</f>
        <v>#N/A</v>
      </c>
      <c r="DS87" s="4" t="e">
        <f>IF(_xlfn.XLOOKUP($B87,island_data!$B:$B,island_data!Y:Y,"NaN")="","NaN",_xlfn.XLOOKUP($B87,island_data!$B:$B,island_data!Y:Y,"NaN"))</f>
        <v>#N/A</v>
      </c>
      <c r="DT87" s="4" t="e">
        <f>IF(_xlfn.XLOOKUP($B87,island_data!$B:$B,island_data!Z:Z,"NaN")="","NaN",_xlfn.XLOOKUP($B87,island_data!$B:$B,island_data!Z:Z,"NaN"))</f>
        <v>#N/A</v>
      </c>
      <c r="DU87" s="4" t="e">
        <f>IF(_xlfn.XLOOKUP($B87,island_data!$B:$B,island_data!AA:AA,"NaN")="","NaN",_xlfn.XLOOKUP($B87,island_data!$B:$B,island_data!AA:AA,"NaN"))</f>
        <v>#N/A</v>
      </c>
      <c r="DV87" s="4" t="e">
        <f>IF(_xlfn.XLOOKUP($B87,island_data!$B:$B,island_data!AB:AB,"NaN")="","NaN",_xlfn.XLOOKUP($B87,island_data!$B:$B,island_data!AB:AB,"NaN"))</f>
        <v>#N/A</v>
      </c>
      <c r="DW87" s="4" t="e">
        <f>IF(_xlfn.XLOOKUP($B87,island_data!$B:$B,island_data!AC:AC,"NaN")="","NaN",_xlfn.XLOOKUP($B87,island_data!$B:$B,island_data!AC:AC,"NaN"))</f>
        <v>#N/A</v>
      </c>
      <c r="DX87" s="4" t="e">
        <f>IF(_xlfn.XLOOKUP($B87,island_data!$B:$B,island_data!AD:AD,"NaN")="","NaN",_xlfn.XLOOKUP($B87,island_data!$B:$B,island_data!AD:AD,"NaN"))</f>
        <v>#N/A</v>
      </c>
      <c r="DY87" s="4" t="e">
        <f>IF(_xlfn.XLOOKUP($B87,island_data!$B:$B,island_data!AE:AE,"NaN")="","NaN",_xlfn.XLOOKUP($B87,island_data!$B:$B,island_data!AE:AE,"NaN"))</f>
        <v>#N/A</v>
      </c>
      <c r="DZ87" s="4" t="e">
        <f>IF(_xlfn.XLOOKUP($B87,island_data!$B:$B,island_data!AF:AF,"NaN")="","NaN",_xlfn.XLOOKUP($B87,island_data!$B:$B,island_data!AF:AF,"NaN"))</f>
        <v>#N/A</v>
      </c>
      <c r="EA87" s="4" t="e">
        <f>IF(_xlfn.XLOOKUP($B87,island_data!$B:$B,island_data!AG:AG,"NaN")="","NaN",_xlfn.XLOOKUP($B87,island_data!$B:$B,island_data!AG:AG,"NaN"))</f>
        <v>#N/A</v>
      </c>
      <c r="EB87" s="4" t="e">
        <f>IF(_xlfn.XLOOKUP($B87,island_data!$B:$B,island_data!AH:AH,"NaN")="","NaN",_xlfn.XLOOKUP($B87,island_data!$B:$B,island_data!AH:AH,"NaN"))</f>
        <v>#N/A</v>
      </c>
      <c r="EC87" s="4" t="e">
        <f>IF(_xlfn.XLOOKUP($B87,island_data!$B:$B,island_data!AI:AI,"NaN")="","NaN",_xlfn.XLOOKUP($B87,island_data!$B:$B,island_data!AI:AI,"NaN"))</f>
        <v>#N/A</v>
      </c>
      <c r="ED87" s="4" t="e">
        <f>IF(_xlfn.XLOOKUP($B87,island_data!$B:$B,island_data!AJ:AJ,"NaN")="","NaN",_xlfn.XLOOKUP($B87,island_data!$B:$B,island_data!AJ:AJ,"NaN"))</f>
        <v>#N/A</v>
      </c>
      <c r="EE87" s="4" t="e">
        <f>IF(_xlfn.XLOOKUP($B87,island_data!$B:$B,island_data!AK:AK,"NaN")="","NaN",_xlfn.XLOOKUP($B87,island_data!$B:$B,island_data!AK:AK,"NaN"))</f>
        <v>#N/A</v>
      </c>
      <c r="EF87" s="4" t="e">
        <f>IF(_xlfn.XLOOKUP($B87,island_data!$B:$B,island_data!AL:AL,"NaN")="","NaN",_xlfn.XLOOKUP($B87,island_data!$B:$B,island_data!AL:AL,"NaN"))</f>
        <v>#N/A</v>
      </c>
      <c r="EG87" s="4" t="e">
        <f>IF(_xlfn.XLOOKUP($B87,island_data!$B:$B,island_data!AM:AM,"NaN")="","NaN",_xlfn.XLOOKUP($B87,island_data!$B:$B,island_data!AM:AM,"NaN"))</f>
        <v>#N/A</v>
      </c>
      <c r="EH87" s="4" t="e">
        <f>IF(_xlfn.XLOOKUP($B87,island_data!$B:$B,island_data!AN:AN,"NaN")="","NaN",_xlfn.XLOOKUP($B87,island_data!$B:$B,island_data!AN:AN,"NaN"))</f>
        <v>#N/A</v>
      </c>
      <c r="EI87" s="4" t="e">
        <f>IF(_xlfn.XLOOKUP($B87,island_data!$B:$B,island_data!AO:AO,"NaN")="","NaN",_xlfn.XLOOKUP($B87,island_data!$B:$B,island_data!AO:AO,"NaN"))</f>
        <v>#N/A</v>
      </c>
      <c r="EJ87" s="8" t="str">
        <f>IF(_xlfn.XLOOKUP($A87,TabCAT!$A:$A,TabCAT!AU:AU,"NaN")="","NaN",(_xlfn.XLOOKUP($A87,TabCAT!$A:$A,TabCAT!AU:AU,"NaN")))</f>
        <v>NaN</v>
      </c>
      <c r="EK87" s="8" t="str">
        <f>IF(_xlfn.XLOOKUP($A87,TabCAT!$A:$A,TabCAT!AV:AV,"NaN")="","NaN",(_xlfn.XLOOKUP($A87,TabCAT!$A:$A,TabCAT!AV:AV,"NaN")))</f>
        <v>NaN</v>
      </c>
      <c r="EL87" s="8" t="str">
        <f>IF(_xlfn.XLOOKUP($A87,TabCAT!$A:$A,TabCAT!AW:AW,"NaN")="","NaN",(_xlfn.XLOOKUP($A87,TabCAT!$A:$A,TabCAT!AW:AW,"NaN")))</f>
        <v>NaN</v>
      </c>
      <c r="EM87" s="8" t="str">
        <f>IF(_xlfn.XLOOKUP($A87,TabCAT!$A:$A,TabCAT!AX:AX,"NaN")="","NaN",(_xlfn.XLOOKUP($A87,TabCAT!$A:$A,TabCAT!AX:AX,"NaN")))</f>
        <v>NaN</v>
      </c>
      <c r="EN87" s="8" t="str">
        <f>IF(_xlfn.XLOOKUP($A87,TabCAT!$A:$A,TabCAT!AY:AY,"NaN")="","NaN",(_xlfn.XLOOKUP($A87,TabCAT!$A:$A,TabCAT!AY:AY,"NaN")))</f>
        <v>NaN</v>
      </c>
      <c r="EO87" s="8" t="str">
        <f>IF(_xlfn.XLOOKUP($A87,TabCAT!$A:$A,TabCAT!AZ:AZ,"NaN")="","NaN",(_xlfn.XLOOKUP($A87,TabCAT!$A:$A,TabCAT!AZ:AZ,"NaN")))</f>
        <v>NaN</v>
      </c>
      <c r="EP87" s="8" t="str">
        <f>IF(_xlfn.XLOOKUP($A87,TabCAT!$A:$A,TabCAT!BA:BA,"NaN")="","NaN",(_xlfn.XLOOKUP($A87,TabCAT!$A:$A,TabCAT!BA:BA,"NaN")))</f>
        <v>NaN</v>
      </c>
      <c r="EQ87" s="8" t="str">
        <f>IF(_xlfn.XLOOKUP($A87,TabCAT!$A:$A,TabCAT!BB:BB,"NaN")="","NaN",(_xlfn.XLOOKUP($A87,TabCAT!$A:$A,TabCAT!BB:BB,"NaN")))</f>
        <v>NaN</v>
      </c>
      <c r="ER87" s="8" t="str">
        <f>IF(_xlfn.XLOOKUP($A87,TabCAT!$A:$A,TabCAT!BC:BC,"NaN")="","NaN",(_xlfn.XLOOKUP($A87,TabCAT!$A:$A,TabCAT!BC:BC,"NaN")))</f>
        <v>NaN</v>
      </c>
      <c r="ES87" s="8" t="str">
        <f>IF(_xlfn.XLOOKUP($A87,TabCAT!$A:$A,TabCAT!BD:BD,"NaN")="","NaN",(_xlfn.XLOOKUP($A87,TabCAT!$A:$A,TabCAT!BD:BD,"NaN")))</f>
        <v>NaN</v>
      </c>
      <c r="ET87" s="8" t="str">
        <f>IF(_xlfn.XLOOKUP($A87,TabCAT!$A:$A,TabCAT!BE:BE,"NaN")="","NaN",(_xlfn.XLOOKUP($A87,TabCAT!$A:$A,TabCAT!BE:BE,"NaN")))</f>
        <v>NaN</v>
      </c>
      <c r="EU87" s="8" t="str">
        <f>IF(_xlfn.XLOOKUP($A87,TabCAT!$A:$A,TabCAT!BF:BF,"NaN")="","NaN",(_xlfn.XLOOKUP($A87,TabCAT!$A:$A,TabCAT!BF:BF,"NaN")))</f>
        <v>NaN</v>
      </c>
      <c r="EV87" s="8" t="str">
        <f>IF(_xlfn.XLOOKUP($A87,TabCAT!$A:$A,TabCAT!BG:BG,"NaN")="","NaN",(_xlfn.XLOOKUP($A87,TabCAT!$A:$A,TabCAT!BG:BG,"NaN")))</f>
        <v>NaN</v>
      </c>
      <c r="EW87" s="8" t="str">
        <f>IF(_xlfn.XLOOKUP($A87,TabCAT!$A:$A,TabCAT!BH:BH,"NaN")="","NaN",(_xlfn.XLOOKUP($A87,TabCAT!$A:$A,TabCAT!BH:BH,"NaN")))</f>
        <v>NaN</v>
      </c>
      <c r="EX87" s="8" t="str">
        <f>IF(_xlfn.XLOOKUP($A87,TabCAT!$A:$A,TabCAT!BI:BI,"NaN")="","NaN",(_xlfn.XLOOKUP($A87,TabCAT!$A:$A,TabCAT!BI:BI,"NaN")))</f>
        <v>NaN</v>
      </c>
      <c r="EY87" s="8" t="str">
        <f>IF(_xlfn.XLOOKUP($A87,TabCAT!$A:$A,TabCAT!BJ:BJ,"NaN")="","NaN",(_xlfn.XLOOKUP($A87,TabCAT!$A:$A,TabCAT!BJ:BJ,"NaN")))</f>
        <v>NaN</v>
      </c>
      <c r="EZ87" s="8" t="str">
        <f>IF(_xlfn.XLOOKUP($A87,TabCAT!$A:$A,TabCAT!BK:BK,"NaN")="","NaN",(_xlfn.XLOOKUP($A87,TabCAT!$A:$A,TabCAT!BK:BK,"NaN")))</f>
        <v>NaN</v>
      </c>
      <c r="FA87" s="8" t="str">
        <f>IF(_xlfn.XLOOKUP($A87,TabCAT!$A:$A,TabCAT!BL:BL,"NaN")="","NaN",(_xlfn.XLOOKUP($A87,TabCAT!$A:$A,TabCAT!BL:BL,"NaN")))</f>
        <v>NaN</v>
      </c>
      <c r="FB87" s="8" t="str">
        <f>IF(_xlfn.XLOOKUP($A87,TabCAT!$A:$A,TabCAT!BM:BM,"NaN")="","NaN",(_xlfn.XLOOKUP($A87,TabCAT!$A:$A,TabCAT!BM:BM,"NaN")))</f>
        <v>NaN</v>
      </c>
      <c r="FC87" s="8" t="str">
        <f>IF(_xlfn.XLOOKUP($A87,TabCAT!$A:$A,TabCAT!BN:BN,"NaN")="","NaN",(_xlfn.XLOOKUP($A87,TabCAT!$A:$A,TabCAT!BN:BN,"NaN")))</f>
        <v>NaN</v>
      </c>
      <c r="FD87" s="8" t="str">
        <f>IF(_xlfn.XLOOKUP($A87,TabCAT!$A:$A,TabCAT!BO:BO,"NaN")="","NaN",(_xlfn.XLOOKUP($A87,TabCAT!$A:$A,TabCAT!BO:BO,"NaN")))</f>
        <v>NaN</v>
      </c>
      <c r="FE87" s="8" t="str">
        <f>IF(_xlfn.XLOOKUP($A87,TabCAT!$A:$A,TabCAT!BP:BP,"NaN")="","NaN",(_xlfn.XLOOKUP($A87,TabCAT!$A:$A,TabCAT!BP:BP,"NaN")))</f>
        <v>NaN</v>
      </c>
      <c r="FF87" s="8" t="str">
        <f>IF(_xlfn.XLOOKUP($A87,TabCAT!$A:$A,TabCAT!BQ:BQ,"NaN")="","NaN",(_xlfn.XLOOKUP($A87,TabCAT!$A:$A,TabCAT!BQ:BQ,"NaN")))</f>
        <v>NaN</v>
      </c>
      <c r="FG87" s="8" t="str">
        <f>IF(_xlfn.XLOOKUP($A87,TabCAT!$A:$A,TabCAT!BR:BR,"NaN")="","NaN",(_xlfn.XLOOKUP($A87,TabCAT!$A:$A,TabCAT!BR:BR,"NaN")))</f>
        <v>NaN</v>
      </c>
      <c r="FH87" s="8" t="str">
        <f>IF(_xlfn.XLOOKUP($A87,TabCAT!$A:$A,TabCAT!BS:BS,"NaN")="","NaN",(_xlfn.XLOOKUP($A87,TabCAT!$A:$A,TabCAT!BS:BS,"NaN")))</f>
        <v>NaN</v>
      </c>
      <c r="FI87" s="8" t="str">
        <f>IF(_xlfn.XLOOKUP($A87,TabCAT!$A:$A,TabCAT!BT:BT,"NaN")="","NaN",(_xlfn.XLOOKUP($A87,TabCAT!$A:$A,TabCAT!BT:BT,"NaN")))</f>
        <v>NaN</v>
      </c>
      <c r="FJ87" s="8" t="str">
        <f>IF(_xlfn.XLOOKUP($A87,TabCAT!$A:$A,TabCAT!BU:BU,"NaN")="","NaN",(_xlfn.XLOOKUP($A87,TabCAT!$A:$A,TabCAT!BU:BU,"NaN")))</f>
        <v>NaN</v>
      </c>
      <c r="FK87" s="8" t="str">
        <f>IF(_xlfn.XLOOKUP($A87,TabCAT!$A:$A,TabCAT!BV:BV,"NaN")="","NaN",(_xlfn.XLOOKUP($A87,TabCAT!$A:$A,TabCAT!BV:BV,"NaN")))</f>
        <v>NaN</v>
      </c>
      <c r="FL87" s="8" t="str">
        <f>IF(_xlfn.XLOOKUP($A87,TabCAT!$A:$A,TabCAT!BW:BW,"NaN")="","NaN",(_xlfn.XLOOKUP($A87,TabCAT!$A:$A,TabCAT!BW:BW,"NaN")))</f>
        <v>NaN</v>
      </c>
      <c r="FM87" s="8" t="str">
        <f>IF(_xlfn.XLOOKUP($A87,TabCAT!$A:$A,TabCAT!BX:BX,"NaN")="","NaN",(_xlfn.XLOOKUP($A87,TabCAT!$A:$A,TabCAT!BX:BX,"NaN")))</f>
        <v>NaN</v>
      </c>
      <c r="FN87" s="8" t="str">
        <f>IF(_xlfn.XLOOKUP($A87,TabCAT!$A:$A,TabCAT!BY:BY,"NaN")="","NaN",(_xlfn.XLOOKUP($A87,TabCAT!$A:$A,TabCAT!BY:BY,"NaN")))</f>
        <v>NaN</v>
      </c>
      <c r="FO87" s="8" t="str">
        <f>IF(_xlfn.XLOOKUP($A87,TabCAT!$A:$A,TabCAT!BZ:BZ,"NaN")="","NaN",(_xlfn.XLOOKUP($A87,TabCAT!$A:$A,TabCAT!BZ:BZ,"NaN")))</f>
        <v>NaN</v>
      </c>
      <c r="FP87" s="8" t="str">
        <f>IF(_xlfn.XLOOKUP($A87,TabCAT!$A:$A,TabCAT!CA:CA,"NaN")="","NaN",(_xlfn.XLOOKUP($A87,TabCAT!$A:$A,TabCAT!CA:CA,"NaN")))</f>
        <v>NaN</v>
      </c>
      <c r="FQ87" s="8" t="str">
        <f>IF(_xlfn.XLOOKUP($A87,TabCAT!$A:$A,TabCAT!CB:CB,"NaN")="","NaN",(_xlfn.XLOOKUP($A87,TabCAT!$A:$A,TabCAT!CB:CB,"NaN")))</f>
        <v>NaN</v>
      </c>
      <c r="FR87" s="8" t="str">
        <f>IF(_xlfn.XLOOKUP($A87,TabCAT!$A:$A,TabCAT!CC:CC,"NaN")="","NaN",(_xlfn.XLOOKUP($A87,TabCAT!$A:$A,TabCAT!CC:CC,"NaN")))</f>
        <v>NaN</v>
      </c>
      <c r="FS87" s="8" t="str">
        <f>IF(_xlfn.XLOOKUP($A87,TabCAT!$A:$A,TabCAT!CD:CD,"NaN")="","NaN",(_xlfn.XLOOKUP($A87,TabCAT!$A:$A,TabCAT!CD:CD,"NaN")))</f>
        <v>NaN</v>
      </c>
      <c r="FT87" s="8" t="str">
        <f>IF(_xlfn.XLOOKUP($A87,TabCAT!$A:$A,TabCAT!CE:CE,"NaN")="","NaN",(_xlfn.XLOOKUP($A87,TabCAT!$A:$A,TabCAT!CE:CE,"NaN")))</f>
        <v>NaN</v>
      </c>
      <c r="FU87" s="8" t="str">
        <f>IF(_xlfn.XLOOKUP($A87,TabCAT!$A:$A,TabCAT!CF:CF,"NaN")="","NaN",(_xlfn.XLOOKUP($A87,TabCAT!$A:$A,TabCAT!CF:CF,"NaN")))</f>
        <v>NaN</v>
      </c>
      <c r="FV87" s="8" t="str">
        <f>IF(_xlfn.XLOOKUP($A87,TabCAT!$A:$A,TabCAT!CG:CG,"NaN")="","NaN",(_xlfn.XLOOKUP($A87,TabCAT!$A:$A,TabCAT!CG:CG,"NaN")))</f>
        <v>NaN</v>
      </c>
      <c r="FW87" s="8" t="str">
        <f>IF(_xlfn.XLOOKUP($A87,TabCAT!$A:$A,TabCAT!CH:CH,"NaN")="","NaN",(_xlfn.XLOOKUP($A87,TabCAT!$A:$A,TabCAT!CH:CH,"NaN")))</f>
        <v>NaN</v>
      </c>
      <c r="FX87" s="8" t="str">
        <f>IF(_xlfn.XLOOKUP($A87,TabCAT!$A:$A,TabCAT!CI:CI,"NaN")="","NaN",(_xlfn.XLOOKUP($A87,TabCAT!$A:$A,TabCAT!CI:CI,"NaN")))</f>
        <v>NaN</v>
      </c>
      <c r="FY87" s="8" t="str">
        <f>IF(_xlfn.XLOOKUP($A87,TabCAT!$A:$A,TabCAT!CJ:CJ,"NaN")="","NaN",(_xlfn.XLOOKUP($A87,TabCAT!$A:$A,TabCAT!CJ:CJ,"NaN")))</f>
        <v>NaN</v>
      </c>
      <c r="FZ87" s="8" t="str">
        <f>IF(_xlfn.XLOOKUP($A87,TabCAT!$A:$A,TabCAT!CK:CK,"NaN")="","NaN",(_xlfn.XLOOKUP($A87,TabCAT!$A:$A,TabCAT!CK:CK,"NaN")))</f>
        <v>NaN</v>
      </c>
      <c r="GA87" s="8" t="str">
        <f>IF(_xlfn.XLOOKUP($A87,TabCAT!$A:$A,TabCAT!CL:CL,"NaN")="","NaN",(_xlfn.XLOOKUP($A87,TabCAT!$A:$A,TabCAT!CL:CL,"NaN")))</f>
        <v>NaN</v>
      </c>
      <c r="GB87" s="8" t="str">
        <f>IF(_xlfn.XLOOKUP($A87,TabCAT!$A:$A,TabCAT!CM:CM,"NaN")="","NaN",(_xlfn.XLOOKUP($A87,TabCAT!$A:$A,TabCAT!CM:CM,"NaN")))</f>
        <v>NaN</v>
      </c>
      <c r="GC87" s="8" t="str">
        <f>IF(_xlfn.XLOOKUP($A87,TabCAT!$A:$A,TabCAT!CN:CN,"NaN")="","NaN",(_xlfn.XLOOKUP($A87,TabCAT!$A:$A,TabCAT!CN:CN,"NaN")))</f>
        <v>NaN</v>
      </c>
      <c r="GD87" s="8" t="str">
        <f>IF(_xlfn.XLOOKUP($A87,TabCAT!$A:$A,TabCAT!CO:CO,"NaN")="","NaN",(_xlfn.XLOOKUP($A87,TabCAT!$A:$A,TabCAT!CO:CO,"NaN")))</f>
        <v>NaN</v>
      </c>
      <c r="GE87" s="8" t="str">
        <f>IF(_xlfn.XLOOKUP($A87,TabCAT!$A:$A,TabCAT!CP:CP,"NaN")="","NaN",(_xlfn.XLOOKUP($A87,TabCAT!$A:$A,TabCAT!CP:CP,"NaN")))</f>
        <v>NaN</v>
      </c>
      <c r="GF87" s="8" t="str">
        <f>IF(_xlfn.XLOOKUP($A87,TabCAT!$A:$A,TabCAT!CQ:CQ,"NaN")="","NaN",(_xlfn.XLOOKUP($A87,TabCAT!$A:$A,TabCAT!CQ:CQ,"NaN")))</f>
        <v>NaN</v>
      </c>
      <c r="GG87" s="8" t="str">
        <f>IF(_xlfn.XLOOKUP($A87,TabCAT!$A:$A,TabCAT!CR:CR,"NaN")="","NaN",(_xlfn.XLOOKUP($A87,TabCAT!$A:$A,TabCAT!CR:CR,"NaN")))</f>
        <v>NaN</v>
      </c>
      <c r="GH87" s="8" t="str">
        <f>IF(_xlfn.XLOOKUP($A87,TabCAT!$A:$A,TabCAT!CS:CS,"NaN")="","NaN",(_xlfn.XLOOKUP($A87,TabCAT!$A:$A,TabCAT!CS:CS,"NaN")))</f>
        <v>NaN</v>
      </c>
    </row>
    <row r="88" spans="1:190" x14ac:dyDescent="0.2">
      <c r="A88">
        <f>trust!A88</f>
        <v>0</v>
      </c>
      <c r="B88" t="e">
        <f>_xlfn.XLOOKUP(bippity_poppity_boo!A88,rf1_data!A:A,rf1_data!B:B)</f>
        <v>#N/A</v>
      </c>
      <c r="C88" s="2" t="str">
        <f>(_xlfn.XLOOKUP($A88,trust!$A:$A,trust!B:B,"NaN"))</f>
        <v>NaN</v>
      </c>
      <c r="D88" s="2" t="str">
        <f>(_xlfn.XLOOKUP($A88,trust!$A:$A,trust!C:C,"NaN"))</f>
        <v>NaN</v>
      </c>
      <c r="E88" s="2" t="str">
        <f>(_xlfn.XLOOKUP($A88,trust!$A:$A,trust!D:D,"NaN"))</f>
        <v>NaN</v>
      </c>
      <c r="F88" s="2" t="str">
        <f>(_xlfn.XLOOKUP($A88,trust!$A:$A,trust!E:E,"NaN"))</f>
        <v>NaN</v>
      </c>
      <c r="G88" s="2" t="str">
        <f>(_xlfn.XLOOKUP($A88,trust!$A:$A,trust!F:F,"NaN"))</f>
        <v>NaN</v>
      </c>
      <c r="H88" s="2" t="str">
        <f>(_xlfn.XLOOKUP($A88,trust!$A:$A,trust!G:G,"NaN"))</f>
        <v>NaN</v>
      </c>
      <c r="I88" s="3" t="e">
        <f>IF(_xlfn.XLOOKUP($B88,island_data!$B:$B,island_data!C:C,"NaN")="","NaN",_xlfn.XLOOKUP($B88,island_data!$B:$B,island_data!C:C,"NaN"))</f>
        <v>#N/A</v>
      </c>
      <c r="J88" s="3" t="e">
        <f>IF(_xlfn.XLOOKUP($B88,island_data!$B:$B,island_data!D:D,"NaN")="","NaN",_xlfn.XLOOKUP($B88,island_data!$B:$B,island_data!D:D,"NaN"))</f>
        <v>#N/A</v>
      </c>
      <c r="K88" s="4" t="e">
        <f>IF(_xlfn.XLOOKUP($B88,island_data!$B:$B,island_data!E:E,"NaN")="","NaN",_xlfn.XLOOKUP($B88,island_data!$B:$B,island_data!E:E,"NaN"))</f>
        <v>#N/A</v>
      </c>
      <c r="L88" s="5" t="e">
        <f>IF(_xlfn.XLOOKUP($B88,rf1_data!$B:$B,rf1_data!D:D,"NaN")="","NaN",(_xlfn.XLOOKUP($B88,rf1_data!$B:$B,rf1_data!D:D,"NaN")))</f>
        <v>#N/A</v>
      </c>
      <c r="M88" s="5" t="e">
        <f>IF(_xlfn.XLOOKUP($B88,rf1_data!$B:$B,rf1_data!E:E,"NaN")="","NaN",(_xlfn.XLOOKUP($B88,rf1_data!$B:$B,rf1_data!E:E,"NaN")))</f>
        <v>#N/A</v>
      </c>
      <c r="N88" s="5" t="e">
        <f>IF(_xlfn.XLOOKUP($B88,rf1_data!$B:$B,rf1_data!F:F,"NaN")="","NaN",(_xlfn.XLOOKUP($B88,rf1_data!$B:$B,rf1_data!F:F,"NaN")))</f>
        <v>#N/A</v>
      </c>
      <c r="O88" s="5" t="e">
        <f>IF(_xlfn.XLOOKUP($B88,rf1_data!$B:$B,rf1_data!G:G,"NaN")="","NaN",(_xlfn.XLOOKUP($B88,rf1_data!$B:$B,rf1_data!G:G,"NaN")))</f>
        <v>#N/A</v>
      </c>
      <c r="P88" s="5" t="e">
        <f>IF(_xlfn.XLOOKUP($B88,rf1_data!$B:$B,rf1_data!H:H,"NaN")="","NaN",(_xlfn.XLOOKUP($B88,rf1_data!$B:$B,rf1_data!H:H,"NaN")))</f>
        <v>#N/A</v>
      </c>
      <c r="Q88" s="5" t="e">
        <f>IF(_xlfn.XLOOKUP($B88,rf1_data!$B:$B,rf1_data!I:I,"NaN")="","NaN",(_xlfn.XLOOKUP($B88,rf1_data!$B:$B,rf1_data!I:I,"NaN")))</f>
        <v>#N/A</v>
      </c>
      <c r="R88" s="5" t="e">
        <f>IF(_xlfn.XLOOKUP($B88,rf1_data!$B:$B,rf1_data!J:J,"NaN")="","NaN",(_xlfn.XLOOKUP($B88,rf1_data!$B:$B,rf1_data!J:J,"NaN")))</f>
        <v>#N/A</v>
      </c>
      <c r="S88" s="5" t="e">
        <f>IF(_xlfn.XLOOKUP($B88,rf1_data!$B:$B,rf1_data!K:K,"NaN")="","NaN",(_xlfn.XLOOKUP($B88,rf1_data!$B:$B,rf1_data!K:K,"NaN")))</f>
        <v>#N/A</v>
      </c>
      <c r="T88" s="5" t="e">
        <f>IF(_xlfn.XLOOKUP($B88,rf1_data!$B:$B,rf1_data!L:L,"NaN")="","NaN",(_xlfn.XLOOKUP($B88,rf1_data!$B:$B,rf1_data!L:L,"NaN")))</f>
        <v>#N/A</v>
      </c>
      <c r="U88" s="5" t="e">
        <f>IF(_xlfn.XLOOKUP($B88,rf1_data!$B:$B,rf1_data!M:M,"NaN")="","NaN",(_xlfn.XLOOKUP($B88,rf1_data!$B:$B,rf1_data!M:M,"NaN")))</f>
        <v>#N/A</v>
      </c>
      <c r="V88" s="5" t="e">
        <f>IF(_xlfn.XLOOKUP($B88,rf1_data!$B:$B,rf1_data!N:N,"NaN")="","NaN",(_xlfn.XLOOKUP($B88,rf1_data!$B:$B,rf1_data!N:N,"NaN")))</f>
        <v>#N/A</v>
      </c>
      <c r="W88" s="5" t="e">
        <f>IF(_xlfn.XLOOKUP($B88,rf1_data!$B:$B,rf1_data!O:O,"NaN")="","NaN",(_xlfn.XLOOKUP($B88,rf1_data!$B:$B,rf1_data!O:O,"NaN")))</f>
        <v>#N/A</v>
      </c>
      <c r="X88" s="5" t="e">
        <f>IF(_xlfn.XLOOKUP($B88,rf1_data!$B:$B,rf1_data!P:P,"NaN")="","NaN",(_xlfn.XLOOKUP($B88,rf1_data!$B:$B,rf1_data!P:P,"NaN")))</f>
        <v>#N/A</v>
      </c>
      <c r="Y88" s="5" t="e">
        <f>IF(_xlfn.XLOOKUP($B88,rf1_data!$B:$B,rf1_data!Q:Q,"NaN")="","NaN",(_xlfn.XLOOKUP($B88,rf1_data!$B:$B,rf1_data!Q:Q,"NaN")))</f>
        <v>#N/A</v>
      </c>
      <c r="Z88" s="5" t="e">
        <f>IF(_xlfn.XLOOKUP($B88,rf1_data!$B:$B,rf1_data!R:R,"NaN")="","NaN",(_xlfn.XLOOKUP($B88,rf1_data!$B:$B,rf1_data!R:R,"NaN")))</f>
        <v>#N/A</v>
      </c>
      <c r="AA88" s="5" t="e">
        <f>IF(_xlfn.XLOOKUP($B88,rf1_data!$B:$B,rf1_data!S:S,"NaN")="","NaN",(_xlfn.XLOOKUP($B88,rf1_data!$B:$B,rf1_data!S:S,"NaN")))</f>
        <v>#N/A</v>
      </c>
      <c r="AB88" s="5" t="e">
        <f>IF(_xlfn.XLOOKUP($B88,rf1_data!$B:$B,rf1_data!T:T,"NaN")="","NaN",(_xlfn.XLOOKUP($B88,rf1_data!$B:$B,rf1_data!T:T,"NaN")))</f>
        <v>#N/A</v>
      </c>
      <c r="AC88" s="5" t="e">
        <f>IF(_xlfn.XLOOKUP($B88,rf1_data!$B:$B,rf1_data!U:U,"NaN")="","NaN",(_xlfn.XLOOKUP($B88,rf1_data!$B:$B,rf1_data!U:U,"NaN")))</f>
        <v>#N/A</v>
      </c>
      <c r="AD88" s="5" t="e">
        <f>IF(_xlfn.XLOOKUP($B88,rf1_data!$B:$B,rf1_data!V:V,"NaN")="","NaN",(_xlfn.XLOOKUP($B88,rf1_data!$B:$B,rf1_data!V:V,"NaN")))</f>
        <v>#N/A</v>
      </c>
      <c r="AE88" s="5" t="e">
        <f>IF(_xlfn.XLOOKUP($B88,rf1_data!$B:$B,rf1_data!W:W,"NaN")="","NaN",(_xlfn.XLOOKUP($B88,rf1_data!$B:$B,rf1_data!W:W,"NaN")))</f>
        <v>#N/A</v>
      </c>
      <c r="AF88" s="5" t="e">
        <f>IF(_xlfn.XLOOKUP($B88,rf1_data!$B:$B,rf1_data!X:X,"NaN")="","NaN",(_xlfn.XLOOKUP($B88,rf1_data!$B:$B,rf1_data!X:X,"NaN")))</f>
        <v>#N/A</v>
      </c>
      <c r="AG88" s="5" t="e">
        <f>IF(_xlfn.XLOOKUP($B88,rf1_data!$B:$B,rf1_data!Y:Y,"NaN")="","NaN",(_xlfn.XLOOKUP($B88,rf1_data!$B:$B,rf1_data!Y:Y,"NaN")))</f>
        <v>#N/A</v>
      </c>
      <c r="AH88" s="5" t="e">
        <f>IF(_xlfn.XLOOKUP($B88,rf1_data!$B:$B,rf1_data!Z:Z,"NaN")="","NaN",(_xlfn.XLOOKUP($B88,rf1_data!$B:$B,rf1_data!Z:Z,"NaN")))</f>
        <v>#N/A</v>
      </c>
      <c r="AI88" s="5" t="e">
        <f>IF(_xlfn.XLOOKUP($B88,rf1_data!$B:$B,rf1_data!AA:AA,"NaN")="","NaN",(_xlfn.XLOOKUP($B88,rf1_data!$B:$B,rf1_data!AA:AA,"NaN")))</f>
        <v>#N/A</v>
      </c>
      <c r="AJ88" s="5" t="e">
        <f>IF(_xlfn.XLOOKUP($B88,rf1_data!$B:$B,rf1_data!AB:AB,"NaN")="","NaN",(_xlfn.XLOOKUP($B88,rf1_data!$B:$B,rf1_data!AB:AB,"NaN")))</f>
        <v>#N/A</v>
      </c>
      <c r="AK88" s="5" t="e">
        <f>IF(_xlfn.XLOOKUP($B88,rf1_data!$B:$B,rf1_data!AC:AC,"NaN")="","NaN",(_xlfn.XLOOKUP($B88,rf1_data!$B:$B,rf1_data!AC:AC,"NaN")))</f>
        <v>#N/A</v>
      </c>
      <c r="AL88" s="5" t="e">
        <f>IF(_xlfn.XLOOKUP($B88,rf1_data!$B:$B,rf1_data!AD:AD,"NaN")="","NaN",(_xlfn.XLOOKUP($B88,rf1_data!$B:$B,rf1_data!AD:AD,"NaN")))</f>
        <v>#N/A</v>
      </c>
      <c r="AM88" s="5" t="e">
        <f>IF(_xlfn.XLOOKUP($B88,rf1_data!$B:$B,rf1_data!AE:AE,"NaN")="","NaN",(_xlfn.XLOOKUP($B88,rf1_data!$B:$B,rf1_data!AE:AE,"NaN")))</f>
        <v>#N/A</v>
      </c>
      <c r="AN88" s="5" t="e">
        <f>IF(_xlfn.XLOOKUP($B88,rf1_data!$B:$B,rf1_data!AF:AF,"NaN")="","NaN",(_xlfn.XLOOKUP($B88,rf1_data!$B:$B,rf1_data!AF:AF,"NaN")))</f>
        <v>#N/A</v>
      </c>
      <c r="AO88" s="5" t="e">
        <f>IF(_xlfn.XLOOKUP($B88,rf1_data!$B:$B,rf1_data!AG:AG,"NaN")="","NaN",(_xlfn.XLOOKUP($B88,rf1_data!$B:$B,rf1_data!AG:AG,"NaN")))</f>
        <v>#N/A</v>
      </c>
      <c r="AP88" s="5" t="e">
        <f>IF(_xlfn.XLOOKUP($B88,rf1_data!$B:$B,rf1_data!AH:AH,"NaN")="","NaN",(_xlfn.XLOOKUP($B88,rf1_data!$B:$B,rf1_data!AH:AH,"NaN")))</f>
        <v>#N/A</v>
      </c>
      <c r="AQ88" s="5" t="e">
        <f>IF(_xlfn.XLOOKUP($B88,rf1_data!$B:$B,rf1_data!AI:AI,"NaN")="","NaN",(_xlfn.XLOOKUP($B88,rf1_data!$B:$B,rf1_data!AI:AI,"NaN")))</f>
        <v>#N/A</v>
      </c>
      <c r="AR88" s="5" t="e">
        <f>IF(_xlfn.XLOOKUP($B88,rf1_data!$B:$B,rf1_data!AJ:AJ,"NaN")="","NaN",(_xlfn.XLOOKUP($B88,rf1_data!$B:$B,rf1_data!AJ:AJ,"NaN")))</f>
        <v>#N/A</v>
      </c>
      <c r="AS88" s="5" t="e">
        <f>IF(_xlfn.XLOOKUP($B88,rf1_data!$B:$B,rf1_data!AK:AK,"NaN")="","NaN",(_xlfn.XLOOKUP($B88,rf1_data!$B:$B,rf1_data!AK:AK,"NaN")))</f>
        <v>#N/A</v>
      </c>
      <c r="AT88" s="5" t="e">
        <f>IF(_xlfn.XLOOKUP($B88,rf1_data!$B:$B,rf1_data!AL:AL,"NaN")="","NaN",(_xlfn.XLOOKUP($B88,rf1_data!$B:$B,rf1_data!AL:AL,"NaN")))</f>
        <v>#N/A</v>
      </c>
      <c r="AU88" s="5" t="e">
        <f>IF(_xlfn.XLOOKUP($B88,rf1_data!$B:$B,rf1_data!AM:AM,"NaN")="","NaN",(_xlfn.XLOOKUP($B88,rf1_data!$B:$B,rf1_data!AM:AM,"NaN")))</f>
        <v>#N/A</v>
      </c>
      <c r="AV88" s="5" t="e">
        <f>IF(_xlfn.XLOOKUP($B88,rf1_data!$B:$B,rf1_data!AN:AN,"NaN")="","NaN",(_xlfn.XLOOKUP($B88,rf1_data!$B:$B,rf1_data!AN:AN,"NaN")))</f>
        <v>#N/A</v>
      </c>
      <c r="AW88" s="5" t="e">
        <f>IF(_xlfn.XLOOKUP($B88,rf1_data!$B:$B,rf1_data!AO:AO,"NaN")="","NaN",(_xlfn.XLOOKUP($B88,rf1_data!$B:$B,rf1_data!AO:AO,"NaN")))</f>
        <v>#N/A</v>
      </c>
      <c r="AX88" s="5" t="e">
        <f>IF(_xlfn.XLOOKUP($B88,rf1_data!$B:$B,rf1_data!AP:AP,"NaN")="","NaN",(_xlfn.XLOOKUP($B88,rf1_data!$B:$B,rf1_data!AP:AP,"NaN")))</f>
        <v>#N/A</v>
      </c>
      <c r="AY88" s="5" t="e">
        <f>IF(_xlfn.XLOOKUP($B88,rf1_data!$B:$B,rf1_data!AQ:AQ,"NaN")="","NaN",(_xlfn.XLOOKUP($B88,rf1_data!$B:$B,rf1_data!AQ:AQ,"NaN")))</f>
        <v>#N/A</v>
      </c>
      <c r="AZ88" s="5" t="e">
        <f>IF(_xlfn.XLOOKUP($B88,rf1_data!$B:$B,rf1_data!AR:AR,"NaN")="","NaN",(_xlfn.XLOOKUP($B88,rf1_data!$B:$B,rf1_data!AR:AR,"NaN")))</f>
        <v>#N/A</v>
      </c>
      <c r="BA88" s="5" t="e">
        <f>IF(_xlfn.XLOOKUP($B88,rf1_data!$B:$B,rf1_data!AS:AS,"NaN")="","NaN",(_xlfn.XLOOKUP($B88,rf1_data!$B:$B,rf1_data!AS:AS,"NaN")))</f>
        <v>#N/A</v>
      </c>
      <c r="BB88" s="5" t="e">
        <f>IF(_xlfn.XLOOKUP($B88,rf1_data!$B:$B,rf1_data!AT:AT,"NaN")="","NaN",(_xlfn.XLOOKUP($B88,rf1_data!$B:$B,rf1_data!AT:AT,"NaN")))</f>
        <v>#N/A</v>
      </c>
      <c r="BC88" s="5" t="e">
        <f>IF(_xlfn.XLOOKUP($B88,rf1_data!$B:$B,rf1_data!AU:AU,"NaN")="","NaN",(_xlfn.XLOOKUP($B88,rf1_data!$B:$B,rf1_data!AU:AU,"NaN")))</f>
        <v>#N/A</v>
      </c>
      <c r="BD88" s="5" t="e">
        <f>IF(_xlfn.XLOOKUP($B88,rf1_data!$B:$B,rf1_data!AV:AV,"NaN")="","NaN",(_xlfn.XLOOKUP($B88,rf1_data!$B:$B,rf1_data!AV:AV,"NaN")))</f>
        <v>#N/A</v>
      </c>
      <c r="BE88" s="5" t="e">
        <f>IF(_xlfn.XLOOKUP($B88,rf1_data!$B:$B,rf1_data!AW:AW,"NaN")="","NaN",(_xlfn.XLOOKUP($B88,rf1_data!$B:$B,rf1_data!AW:AW,"NaN")))</f>
        <v>#N/A</v>
      </c>
      <c r="BF88" s="5" t="e">
        <f>IF(_xlfn.XLOOKUP($B88,rf1_data!$B:$B,rf1_data!AX:AX,"NaN")="","NaN",(_xlfn.XLOOKUP($B88,rf1_data!$B:$B,rf1_data!AX:AX,"NaN")))</f>
        <v>#N/A</v>
      </c>
      <c r="BG88" s="5" t="e">
        <f>IF(_xlfn.XLOOKUP($B88,rf1_data!$B:$B,rf1_data!AY:AY,"NaN")="","NaN",(_xlfn.XLOOKUP($B88,rf1_data!$B:$B,rf1_data!AY:AY,"NaN")))</f>
        <v>#N/A</v>
      </c>
      <c r="BH88" s="5" t="e">
        <f>IF(_xlfn.XLOOKUP($B88,rf1_data!$B:$B,rf1_data!AZ:AZ,"NaN")="","NaN",(_xlfn.XLOOKUP($B88,rf1_data!$B:$B,rf1_data!AZ:AZ,"NaN")))</f>
        <v>#N/A</v>
      </c>
      <c r="BI88" s="5" t="e">
        <f>IF(_xlfn.XLOOKUP($B88,rf1_data!$B:$B,rf1_data!BA:BA,"NaN")="","NaN",(_xlfn.XLOOKUP($B88,rf1_data!$B:$B,rf1_data!BA:BA,"NaN")))</f>
        <v>#N/A</v>
      </c>
      <c r="BJ88" s="5" t="e">
        <f>IF(_xlfn.XLOOKUP($B88,rf1_data!$B:$B,rf1_data!BB:BB,"NaN")="","NaN",(_xlfn.XLOOKUP($B88,rf1_data!$B:$B,rf1_data!BB:BB,"NaN")))</f>
        <v>#N/A</v>
      </c>
      <c r="BK88" s="5" t="e">
        <f>IF(_xlfn.XLOOKUP($B88,rf1_data!$B:$B,rf1_data!BC:BC,"NaN")="","NaN",(_xlfn.XLOOKUP($B88,rf1_data!$B:$B,rf1_data!BC:BC,"NaN")))</f>
        <v>#N/A</v>
      </c>
      <c r="BL88" s="5" t="e">
        <f>IF(_xlfn.XLOOKUP($B88,rf1_data!$B:$B,rf1_data!BD:BD,"NaN")="","NaN",(_xlfn.XLOOKUP($B88,rf1_data!$B:$B,rf1_data!BD:BD,"NaN")))</f>
        <v>#N/A</v>
      </c>
      <c r="BM88" s="5" t="e">
        <f>IF(_xlfn.XLOOKUP($B88,rf1_data!$B:$B,rf1_data!BE:BE,"NaN")="","NaN",(_xlfn.XLOOKUP($B88,rf1_data!$B:$B,rf1_data!BE:BE,"NaN")))</f>
        <v>#N/A</v>
      </c>
      <c r="BN88" s="5" t="e">
        <f>IF(_xlfn.XLOOKUP($B88,rf1_data!$B:$B,rf1_data!BF:BF,"NaN")="","NaN",(_xlfn.XLOOKUP($B88,rf1_data!$B:$B,rf1_data!BF:BF,"NaN")))</f>
        <v>#N/A</v>
      </c>
      <c r="BO88" s="5" t="e">
        <f>IF(_xlfn.XLOOKUP($B88,rf1_data!$B:$B,rf1_data!BG:BG,"NaN")="","NaN",(_xlfn.XLOOKUP($B88,rf1_data!$B:$B,rf1_data!BG:BG,"NaN")))</f>
        <v>#N/A</v>
      </c>
      <c r="BP88" s="5" t="e">
        <f>IF(_xlfn.XLOOKUP($B88,rf1_data!$B:$B,rf1_data!BH:BH,"NaN")="","NaN",(_xlfn.XLOOKUP($B88,rf1_data!$B:$B,rf1_data!BH:BH,"NaN")))</f>
        <v>#N/A</v>
      </c>
      <c r="BQ88" s="5" t="e">
        <f>IF(_xlfn.XLOOKUP($B88,rf1_data!$B:$B,rf1_data!BI:BI,"NaN")="","NaN",(_xlfn.XLOOKUP($B88,rf1_data!$B:$B,rf1_data!BI:BI,"NaN")))</f>
        <v>#N/A</v>
      </c>
      <c r="BR88" s="5" t="e">
        <f>IF(_xlfn.XLOOKUP($B88,rf1_data!$B:$B,rf1_data!BJ:BJ,"NaN")="","NaN",(_xlfn.XLOOKUP($B88,rf1_data!$B:$B,rf1_data!BJ:BJ,"NaN")))</f>
        <v>#N/A</v>
      </c>
      <c r="BS88" s="5" t="e">
        <f>IF(_xlfn.XLOOKUP($B88,rf1_data!$B:$B,rf1_data!BK:BK,"NaN")="","NaN",(_xlfn.XLOOKUP($B88,rf1_data!$B:$B,rf1_data!BK:BK,"NaN")))</f>
        <v>#N/A</v>
      </c>
      <c r="BT88" s="5" t="e">
        <f>IF(_xlfn.XLOOKUP($B88,rf1_data!$B:$B,rf1_data!BL:BL,"NaN")="","NaN",(_xlfn.XLOOKUP($B88,rf1_data!$B:$B,rf1_data!BL:BL,"NaN")))</f>
        <v>#N/A</v>
      </c>
      <c r="BU88" s="5" t="e">
        <f>IF(_xlfn.XLOOKUP($B88,rf1_data!$B:$B,rf1_data!BM:BM,"NaN")="","NaN",(_xlfn.XLOOKUP($B88,rf1_data!$B:$B,rf1_data!BM:BM,"NaN")))</f>
        <v>#N/A</v>
      </c>
      <c r="BV88" s="5" t="e">
        <f>IF(_xlfn.XLOOKUP($B88,rf1_data!$B:$B,rf1_data!BN:BN,"NaN")="","NaN",(_xlfn.XLOOKUP($B88,rf1_data!$B:$B,rf1_data!BN:BN,"NaN")))</f>
        <v>#N/A</v>
      </c>
      <c r="BW88" s="5" t="e">
        <f>IF(_xlfn.XLOOKUP($B88,rf1_data!$B:$B,rf1_data!BO:BO,"NaN")="","NaN",(_xlfn.XLOOKUP($B88,rf1_data!$B:$B,rf1_data!BO:BO,"NaN")))</f>
        <v>#N/A</v>
      </c>
      <c r="BX88" s="5" t="e">
        <f>IF(_xlfn.XLOOKUP($B88,rf1_data!$B:$B,rf1_data!BP:BP,"NaN")="","NaN",(_xlfn.XLOOKUP($B88,rf1_data!$B:$B,rf1_data!BP:BP,"NaN")))</f>
        <v>#N/A</v>
      </c>
      <c r="BY88" s="5" t="e">
        <f>IF(_xlfn.XLOOKUP($B88,rf1_data!$B:$B,rf1_data!BQ:BQ,"NaN")="","NaN",(_xlfn.XLOOKUP($B88,rf1_data!$B:$B,rf1_data!BQ:BQ,"NaN")))</f>
        <v>#N/A</v>
      </c>
      <c r="BZ88" s="5" t="e">
        <f>IF(_xlfn.XLOOKUP($B88,rf1_data!$B:$B,rf1_data!BR:BR,"NaN")="","NaN",(_xlfn.XLOOKUP($B88,rf1_data!$B:$B,rf1_data!BR:BR,"NaN")))</f>
        <v>#N/A</v>
      </c>
      <c r="CA88" s="5" t="e">
        <f>IF(_xlfn.XLOOKUP($B88,rf1_data!$B:$B,rf1_data!BS:BS,"NaN")="","NaN",(_xlfn.XLOOKUP($B88,rf1_data!$B:$B,rf1_data!BS:BS,"NaN")))</f>
        <v>#N/A</v>
      </c>
      <c r="CB88" s="5" t="e">
        <f>IF(_xlfn.XLOOKUP($B88,rf1_data!$B:$B,rf1_data!BT:BT,"NaN")="","NaN",(_xlfn.XLOOKUP($B88,rf1_data!$B:$B,rf1_data!BT:BT,"NaN")))</f>
        <v>#N/A</v>
      </c>
      <c r="CC88" s="5" t="e">
        <f>IF(_xlfn.XLOOKUP($B88,rf1_data!$B:$B,rf1_data!BU:BU,"NaN")="","NaN",(_xlfn.XLOOKUP($B88,rf1_data!$B:$B,rf1_data!BU:BU,"NaN")))</f>
        <v>#N/A</v>
      </c>
      <c r="CD88" s="5" t="e">
        <f>IF(_xlfn.XLOOKUP($B88,rf1_data!$B:$B,rf1_data!BV:BV,"NaN")="","NaN",(_xlfn.XLOOKUP($B88,rf1_data!$B:$B,rf1_data!BV:BV,"NaN")))</f>
        <v>#N/A</v>
      </c>
      <c r="CE88" s="5" t="e">
        <f>IF(_xlfn.XLOOKUP($B88,rf1_data!$B:$B,rf1_data!BW:BW,"NaN")="","NaN",(_xlfn.XLOOKUP($B88,rf1_data!$B:$B,rf1_data!BW:BW,"NaN")))</f>
        <v>#N/A</v>
      </c>
      <c r="CF88" s="5" t="e">
        <f>IF(_xlfn.XLOOKUP($B88,rf1_data!$B:$B,rf1_data!BX:BX,"NaN")="","NaN",(_xlfn.XLOOKUP($B88,rf1_data!$B:$B,rf1_data!BX:BX,"NaN")))</f>
        <v>#N/A</v>
      </c>
      <c r="CG88" s="5" t="e">
        <f>IF(_xlfn.XLOOKUP($B88,rf1_data!$B:$B,rf1_data!BY:BY,"NaN")="","NaN",(_xlfn.XLOOKUP($B88,rf1_data!$B:$B,rf1_data!BY:BY,"NaN")))</f>
        <v>#N/A</v>
      </c>
      <c r="CH88" s="5" t="e">
        <f>IF(_xlfn.XLOOKUP($B88,rf1_data!$B:$B,rf1_data!BZ:BZ,"NaN")="","NaN",(_xlfn.XLOOKUP($B88,rf1_data!$B:$B,rf1_data!BZ:BZ,"NaN")))</f>
        <v>#N/A</v>
      </c>
      <c r="CI88" s="5" t="e">
        <f>IF(_xlfn.XLOOKUP($B88,rf1_data!$B:$B,rf1_data!CA:CA,"NaN")="","NaN",(_xlfn.XLOOKUP($B88,rf1_data!$B:$B,rf1_data!CA:CA,"NaN")))</f>
        <v>#N/A</v>
      </c>
      <c r="CJ88" s="5" t="e">
        <f>IF(_xlfn.XLOOKUP($B88,rf1_data!$B:$B,rf1_data!CB:CB,"NaN")="","NaN",(_xlfn.XLOOKUP($B88,rf1_data!$B:$B,rf1_data!CB:CB,"NaN")))</f>
        <v>#N/A</v>
      </c>
      <c r="CK88" s="5" t="e">
        <f>IF(_xlfn.XLOOKUP($B88,rf1_data!$B:$B,rf1_data!CC:CC,"NaN")="","NaN",(_xlfn.XLOOKUP($B88,rf1_data!$B:$B,rf1_data!CC:CC,"NaN")))</f>
        <v>#N/A</v>
      </c>
      <c r="CL88" s="5" t="e">
        <f>IF(_xlfn.XLOOKUP($B88,rf1_data!$B:$B,rf1_data!CD:CD,"NaN")=0,"NaN",(_xlfn.XLOOKUP($B88,rf1_data!$B:$B,rf1_data!CD:CD,"NaN")))</f>
        <v>#N/A</v>
      </c>
      <c r="CM88" s="5" t="e">
        <f>IF(_xlfn.XLOOKUP($B88,rf1_data!$B:$B,rf1_data!CE:CE,"NaN")="","NaN",(_xlfn.XLOOKUP($B88,rf1_data!$B:$B,rf1_data!CE:CE,"NaN")))</f>
        <v>#N/A</v>
      </c>
      <c r="CN88" s="5" t="e">
        <f>IF(_xlfn.XLOOKUP($B88,rf1_data!$B:$B,rf1_data!CF:CF,"NaN")="","NaN",(_xlfn.XLOOKUP($B88,rf1_data!$B:$B,rf1_data!CF:CF,"NaN")))</f>
        <v>#N/A</v>
      </c>
      <c r="CO88" s="5" t="e">
        <f>IF(_xlfn.XLOOKUP($B88,rf1_data!$B:$B,rf1_data!CG:CG,"NaN")="","NaN",(_xlfn.XLOOKUP($B88,rf1_data!$B:$B,rf1_data!CG:CG,"NaN")))</f>
        <v>#N/A</v>
      </c>
      <c r="CP88" s="5" t="e">
        <f>IF(_xlfn.XLOOKUP($B88,rf1_data!$B:$B,rf1_data!CH:CH,"NaN")=0,"NaN",(_xlfn.XLOOKUP($B88,rf1_data!$B:$B,rf1_data!CH:CH,"NaN")))</f>
        <v>#N/A</v>
      </c>
      <c r="CQ88" s="5" t="e">
        <f>IF(_xlfn.XLOOKUP($B88,rf1_data!$B:$B,rf1_data!CI:CI,"NaN")="","NaN",(_xlfn.XLOOKUP($B88,rf1_data!$B:$B,rf1_data!CI:CI,"NaN")))</f>
        <v>#N/A</v>
      </c>
      <c r="CR88" s="5" t="e">
        <f>IF(_xlfn.XLOOKUP($B88,rf1_data!$B:$B,rf1_data!CJ:CJ,"NaN")="","NaN",(_xlfn.XLOOKUP($B88,rf1_data!$B:$B,rf1_data!CJ:CJ,"NaN")))</f>
        <v>#N/A</v>
      </c>
      <c r="CS88" s="5" t="e">
        <f>IF(_xlfn.XLOOKUP($B88,rf1_data!$B:$B,rf1_data!CK:CK,"NaN")="","NaN",(_xlfn.XLOOKUP($B88,rf1_data!$B:$B,rf1_data!CK:CK,"NaN")))</f>
        <v>#N/A</v>
      </c>
      <c r="CT88" s="5" t="e">
        <f>IF(_xlfn.XLOOKUP($B88,rf1_data!$B:$B,rf1_data!CL:CL,"NaN")="","NaN",(_xlfn.XLOOKUP($B88,rf1_data!$B:$B,rf1_data!CL:CL,"NaN")))</f>
        <v>#N/A</v>
      </c>
      <c r="CU88" s="5" t="e">
        <f>IF(_xlfn.XLOOKUP($B88,rf1_data!$B:$B,rf1_data!CM:CM,"NaN")="","NaN",(_xlfn.XLOOKUP($B88,rf1_data!$B:$B,rf1_data!CM:CM,"NaN")))</f>
        <v>#N/A</v>
      </c>
      <c r="CV88" s="5" t="e">
        <f>IF(_xlfn.XLOOKUP($B88,rf1_data!$B:$B,rf1_data!CN:CN,"NaN")="","NaN",(_xlfn.XLOOKUP($B88,rf1_data!$B:$B,rf1_data!CN:CN,"NaN")))</f>
        <v>#N/A</v>
      </c>
      <c r="CW88" s="5" t="e">
        <f>IF(_xlfn.XLOOKUP($B88,rf1_data!$B:$B,rf1_data!CO:CO,"NaN")="","NaN",(_xlfn.XLOOKUP($B88,rf1_data!$B:$B,rf1_data!CO:CO,"NaN")))</f>
        <v>#N/A</v>
      </c>
      <c r="CX88" s="5" t="e">
        <f>IF(_xlfn.XLOOKUP($B88,rf1_data!$B:$B,rf1_data!CP:CP,"NaN")="","NaN",(_xlfn.XLOOKUP($B88,rf1_data!$B:$B,rf1_data!CP:CP,"NaN")))</f>
        <v>#N/A</v>
      </c>
      <c r="CY88" s="5" t="e">
        <f>IF(_xlfn.XLOOKUP($B88,rf1_data!$B:$B,rf1_data!CQ:CQ,"NaN")="","NaN",(_xlfn.XLOOKUP($B88,rf1_data!$B:$B,rf1_data!CQ:CQ,"NaN")))</f>
        <v>#N/A</v>
      </c>
      <c r="CZ88" s="5" t="e">
        <f>IF(_xlfn.XLOOKUP($B88,rf1_data!$B:$B,rf1_data!CR:CR,"NaN")="","NaN",(_xlfn.XLOOKUP($B88,rf1_data!$B:$B,rf1_data!CR:CR,"NaN")))</f>
        <v>#N/A</v>
      </c>
      <c r="DA88" s="5" t="e">
        <f>IF(_xlfn.XLOOKUP($B88,rf1_data!$B:$B,rf1_data!CS:CS,"NaN")="","NaN",(_xlfn.XLOOKUP($B88,rf1_data!$B:$B,rf1_data!CS:CS,"NaN")))</f>
        <v>#N/A</v>
      </c>
      <c r="DB88" s="4" t="e">
        <f>IF(_xlfn.XLOOKUP($B88,island_data!$B:$B,island_data!H:H,"NaN")="","NaN",_xlfn.XLOOKUP($B88,island_data!$B:$B,island_data!H:H,"NaN"))</f>
        <v>#N/A</v>
      </c>
      <c r="DC88" s="4" t="e">
        <f>IF(_xlfn.XLOOKUP($B88,island_data!$B:$B,island_data!I:I,"NaN")="","NaN",_xlfn.XLOOKUP($B88,island_data!$B:$B,island_data!I:I,"NaN"))</f>
        <v>#N/A</v>
      </c>
      <c r="DD88" s="4" t="e">
        <f>IF(_xlfn.XLOOKUP($B88,island_data!$B:$B,island_data!J:J,"NaN")="","NaN",_xlfn.XLOOKUP($B88,island_data!$B:$B,island_data!J:J,"NaN"))</f>
        <v>#N/A</v>
      </c>
      <c r="DE88" s="4" t="e">
        <f>IF(_xlfn.XLOOKUP($B88,island_data!$B:$B,island_data!K:K,"NaN")="","NaN",_xlfn.XLOOKUP($B88,island_data!$B:$B,island_data!K:K,"NaN"))</f>
        <v>#N/A</v>
      </c>
      <c r="DF88" s="4" t="e">
        <f>IF(_xlfn.XLOOKUP($B88,island_data!$B:$B,island_data!L:L,"NaN")="","NaN",_xlfn.XLOOKUP($B88,island_data!$B:$B,island_data!L:L,"NaN"))</f>
        <v>#N/A</v>
      </c>
      <c r="DG88" s="4" t="e">
        <f>IF(_xlfn.XLOOKUP($B88,island_data!$B:$B,island_data!M:M,"NaN")="","NaN",_xlfn.XLOOKUP($B88,island_data!$B:$B,island_data!M:M,"NaN"))</f>
        <v>#N/A</v>
      </c>
      <c r="DH88" s="4" t="e">
        <f>IF(_xlfn.XLOOKUP($B88,island_data!$B:$B,island_data!N:N,"NaN")="","NaN",_xlfn.XLOOKUP($B88,island_data!$B:$B,island_data!N:N,"NaN"))</f>
        <v>#N/A</v>
      </c>
      <c r="DI88" s="4" t="e">
        <f>IF(_xlfn.XLOOKUP($B88,island_data!$B:$B,island_data!O:O,"NaN")=999,"NaN",_xlfn.XLOOKUP($B88,island_data!$B:$B,island_data!O:O,"NaN"))</f>
        <v>#N/A</v>
      </c>
      <c r="DJ88" s="4" t="e">
        <f>IF(_xlfn.XLOOKUP($B88,island_data!$B:$B,island_data!P:P,"NaN")="","NaN",_xlfn.XLOOKUP($B88,island_data!$B:$B,island_data!P:P,"NaN"))</f>
        <v>#N/A</v>
      </c>
      <c r="DK88" s="4" t="e">
        <f>IF(_xlfn.XLOOKUP($B88,island_data!$B:$B,island_data!Q:Q,"NaN")="","NaN",_xlfn.XLOOKUP($B88,island_data!$B:$B,island_data!Q:Q,"NaN"))</f>
        <v>#N/A</v>
      </c>
      <c r="DL88" s="4" t="e">
        <f>IF(_xlfn.XLOOKUP($B88,island_data!$B:$B,island_data!R:R,"NaN")=999,"NaN",_xlfn.XLOOKUP($B88,island_data!$B:$B,island_data!R:R,"NaN"))</f>
        <v>#N/A</v>
      </c>
      <c r="DM88" s="4" t="e">
        <f>IF(_xlfn.XLOOKUP($B88,island_data!$B:$B,island_data!S:S,"NaN")="","NaN",_xlfn.XLOOKUP($B88,island_data!$B:$B,island_data!S:S,"NaN"))</f>
        <v>#N/A</v>
      </c>
      <c r="DN88" s="4" t="e">
        <f>IF(_xlfn.XLOOKUP($B88,island_data!$B:$B,island_data!T:T,"NaN")="","NaN",_xlfn.XLOOKUP($B88,island_data!$B:$B,island_data!T:T,"NaN"))</f>
        <v>#N/A</v>
      </c>
      <c r="DO88" s="4" t="e">
        <f>IF(_xlfn.XLOOKUP($B88,island_data!$B:$B,island_data!U:U,"NaN")="","NaN",_xlfn.XLOOKUP($B88,island_data!$B:$B,island_data!U:U,"NaN"))</f>
        <v>#N/A</v>
      </c>
      <c r="DP88" s="4" t="e">
        <f>IF(_xlfn.XLOOKUP($B88,island_data!$B:$B,island_data!V:V,"NaN")="","NaN",_xlfn.XLOOKUP($B88,island_data!$B:$B,island_data!V:V,"NaN"))</f>
        <v>#N/A</v>
      </c>
      <c r="DQ88" s="4" t="e">
        <f>IF(_xlfn.XLOOKUP($B88,island_data!$B:$B,island_data!W:W,"NaN")="","NaN",_xlfn.XLOOKUP($B88,island_data!$B:$B,island_data!W:W,"NaN"))</f>
        <v>#N/A</v>
      </c>
      <c r="DR88" s="4" t="e">
        <f>IF(_xlfn.XLOOKUP($B88,island_data!$B:$B,island_data!X:X,"NaN")="","NaN",_xlfn.XLOOKUP($B88,island_data!$B:$B,island_data!X:X,"NaN"))</f>
        <v>#N/A</v>
      </c>
      <c r="DS88" s="4" t="e">
        <f>IF(_xlfn.XLOOKUP($B88,island_data!$B:$B,island_data!Y:Y,"NaN")="","NaN",_xlfn.XLOOKUP($B88,island_data!$B:$B,island_data!Y:Y,"NaN"))</f>
        <v>#N/A</v>
      </c>
      <c r="DT88" s="4" t="e">
        <f>IF(_xlfn.XLOOKUP($B88,island_data!$B:$B,island_data!Z:Z,"NaN")="","NaN",_xlfn.XLOOKUP($B88,island_data!$B:$B,island_data!Z:Z,"NaN"))</f>
        <v>#N/A</v>
      </c>
      <c r="DU88" s="4" t="e">
        <f>IF(_xlfn.XLOOKUP($B88,island_data!$B:$B,island_data!AA:AA,"NaN")="","NaN",_xlfn.XLOOKUP($B88,island_data!$B:$B,island_data!AA:AA,"NaN"))</f>
        <v>#N/A</v>
      </c>
      <c r="DV88" s="4" t="e">
        <f>IF(_xlfn.XLOOKUP($B88,island_data!$B:$B,island_data!AB:AB,"NaN")="","NaN",_xlfn.XLOOKUP($B88,island_data!$B:$B,island_data!AB:AB,"NaN"))</f>
        <v>#N/A</v>
      </c>
      <c r="DW88" s="4" t="e">
        <f>IF(_xlfn.XLOOKUP($B88,island_data!$B:$B,island_data!AC:AC,"NaN")="","NaN",_xlfn.XLOOKUP($B88,island_data!$B:$B,island_data!AC:AC,"NaN"))</f>
        <v>#N/A</v>
      </c>
      <c r="DX88" s="4" t="e">
        <f>IF(_xlfn.XLOOKUP($B88,island_data!$B:$B,island_data!AD:AD,"NaN")="","NaN",_xlfn.XLOOKUP($B88,island_data!$B:$B,island_data!AD:AD,"NaN"))</f>
        <v>#N/A</v>
      </c>
      <c r="DY88" s="4" t="e">
        <f>IF(_xlfn.XLOOKUP($B88,island_data!$B:$B,island_data!AE:AE,"NaN")="","NaN",_xlfn.XLOOKUP($B88,island_data!$B:$B,island_data!AE:AE,"NaN"))</f>
        <v>#N/A</v>
      </c>
      <c r="DZ88" s="4" t="e">
        <f>IF(_xlfn.XLOOKUP($B88,island_data!$B:$B,island_data!AF:AF,"NaN")="","NaN",_xlfn.XLOOKUP($B88,island_data!$B:$B,island_data!AF:AF,"NaN"))</f>
        <v>#N/A</v>
      </c>
      <c r="EA88" s="4" t="e">
        <f>IF(_xlfn.XLOOKUP($B88,island_data!$B:$B,island_data!AG:AG,"NaN")="","NaN",_xlfn.XLOOKUP($B88,island_data!$B:$B,island_data!AG:AG,"NaN"))</f>
        <v>#N/A</v>
      </c>
      <c r="EB88" s="4" t="e">
        <f>IF(_xlfn.XLOOKUP($B88,island_data!$B:$B,island_data!AH:AH,"NaN")="","NaN",_xlfn.XLOOKUP($B88,island_data!$B:$B,island_data!AH:AH,"NaN"))</f>
        <v>#N/A</v>
      </c>
      <c r="EC88" s="4" t="e">
        <f>IF(_xlfn.XLOOKUP($B88,island_data!$B:$B,island_data!AI:AI,"NaN")="","NaN",_xlfn.XLOOKUP($B88,island_data!$B:$B,island_data!AI:AI,"NaN"))</f>
        <v>#N/A</v>
      </c>
      <c r="ED88" s="4" t="e">
        <f>IF(_xlfn.XLOOKUP($B88,island_data!$B:$B,island_data!AJ:AJ,"NaN")="","NaN",_xlfn.XLOOKUP($B88,island_data!$B:$B,island_data!AJ:AJ,"NaN"))</f>
        <v>#N/A</v>
      </c>
      <c r="EE88" s="4" t="e">
        <f>IF(_xlfn.XLOOKUP($B88,island_data!$B:$B,island_data!AK:AK,"NaN")="","NaN",_xlfn.XLOOKUP($B88,island_data!$B:$B,island_data!AK:AK,"NaN"))</f>
        <v>#N/A</v>
      </c>
      <c r="EF88" s="4" t="e">
        <f>IF(_xlfn.XLOOKUP($B88,island_data!$B:$B,island_data!AL:AL,"NaN")="","NaN",_xlfn.XLOOKUP($B88,island_data!$B:$B,island_data!AL:AL,"NaN"))</f>
        <v>#N/A</v>
      </c>
      <c r="EG88" s="4" t="e">
        <f>IF(_xlfn.XLOOKUP($B88,island_data!$B:$B,island_data!AM:AM,"NaN")="","NaN",_xlfn.XLOOKUP($B88,island_data!$B:$B,island_data!AM:AM,"NaN"))</f>
        <v>#N/A</v>
      </c>
      <c r="EH88" s="4" t="e">
        <f>IF(_xlfn.XLOOKUP($B88,island_data!$B:$B,island_data!AN:AN,"NaN")="","NaN",_xlfn.XLOOKUP($B88,island_data!$B:$B,island_data!AN:AN,"NaN"))</f>
        <v>#N/A</v>
      </c>
      <c r="EI88" s="4" t="e">
        <f>IF(_xlfn.XLOOKUP($B88,island_data!$B:$B,island_data!AO:AO,"NaN")="","NaN",_xlfn.XLOOKUP($B88,island_data!$B:$B,island_data!AO:AO,"NaN"))</f>
        <v>#N/A</v>
      </c>
      <c r="EJ88" s="8" t="str">
        <f>IF(_xlfn.XLOOKUP($A88,TabCAT!$A:$A,TabCAT!AU:AU,"NaN")="","NaN",(_xlfn.XLOOKUP($A88,TabCAT!$A:$A,TabCAT!AU:AU,"NaN")))</f>
        <v>NaN</v>
      </c>
      <c r="EK88" s="8" t="str">
        <f>IF(_xlfn.XLOOKUP($A88,TabCAT!$A:$A,TabCAT!AV:AV,"NaN")="","NaN",(_xlfn.XLOOKUP($A88,TabCAT!$A:$A,TabCAT!AV:AV,"NaN")))</f>
        <v>NaN</v>
      </c>
      <c r="EL88" s="8" t="str">
        <f>IF(_xlfn.XLOOKUP($A88,TabCAT!$A:$A,TabCAT!AW:AW,"NaN")="","NaN",(_xlfn.XLOOKUP($A88,TabCAT!$A:$A,TabCAT!AW:AW,"NaN")))</f>
        <v>NaN</v>
      </c>
      <c r="EM88" s="8" t="str">
        <f>IF(_xlfn.XLOOKUP($A88,TabCAT!$A:$A,TabCAT!AX:AX,"NaN")="","NaN",(_xlfn.XLOOKUP($A88,TabCAT!$A:$A,TabCAT!AX:AX,"NaN")))</f>
        <v>NaN</v>
      </c>
      <c r="EN88" s="8" t="str">
        <f>IF(_xlfn.XLOOKUP($A88,TabCAT!$A:$A,TabCAT!AY:AY,"NaN")="","NaN",(_xlfn.XLOOKUP($A88,TabCAT!$A:$A,TabCAT!AY:AY,"NaN")))</f>
        <v>NaN</v>
      </c>
      <c r="EO88" s="8" t="str">
        <f>IF(_xlfn.XLOOKUP($A88,TabCAT!$A:$A,TabCAT!AZ:AZ,"NaN")="","NaN",(_xlfn.XLOOKUP($A88,TabCAT!$A:$A,TabCAT!AZ:AZ,"NaN")))</f>
        <v>NaN</v>
      </c>
      <c r="EP88" s="8" t="str">
        <f>IF(_xlfn.XLOOKUP($A88,TabCAT!$A:$A,TabCAT!BA:BA,"NaN")="","NaN",(_xlfn.XLOOKUP($A88,TabCAT!$A:$A,TabCAT!BA:BA,"NaN")))</f>
        <v>NaN</v>
      </c>
      <c r="EQ88" s="8" t="str">
        <f>IF(_xlfn.XLOOKUP($A88,TabCAT!$A:$A,TabCAT!BB:BB,"NaN")="","NaN",(_xlfn.XLOOKUP($A88,TabCAT!$A:$A,TabCAT!BB:BB,"NaN")))</f>
        <v>NaN</v>
      </c>
      <c r="ER88" s="8" t="str">
        <f>IF(_xlfn.XLOOKUP($A88,TabCAT!$A:$A,TabCAT!BC:BC,"NaN")="","NaN",(_xlfn.XLOOKUP($A88,TabCAT!$A:$A,TabCAT!BC:BC,"NaN")))</f>
        <v>NaN</v>
      </c>
      <c r="ES88" s="8" t="str">
        <f>IF(_xlfn.XLOOKUP($A88,TabCAT!$A:$A,TabCAT!BD:BD,"NaN")="","NaN",(_xlfn.XLOOKUP($A88,TabCAT!$A:$A,TabCAT!BD:BD,"NaN")))</f>
        <v>NaN</v>
      </c>
      <c r="ET88" s="8" t="str">
        <f>IF(_xlfn.XLOOKUP($A88,TabCAT!$A:$A,TabCAT!BE:BE,"NaN")="","NaN",(_xlfn.XLOOKUP($A88,TabCAT!$A:$A,TabCAT!BE:BE,"NaN")))</f>
        <v>NaN</v>
      </c>
      <c r="EU88" s="8" t="str">
        <f>IF(_xlfn.XLOOKUP($A88,TabCAT!$A:$A,TabCAT!BF:BF,"NaN")="","NaN",(_xlfn.XLOOKUP($A88,TabCAT!$A:$A,TabCAT!BF:BF,"NaN")))</f>
        <v>NaN</v>
      </c>
      <c r="EV88" s="8" t="str">
        <f>IF(_xlfn.XLOOKUP($A88,TabCAT!$A:$A,TabCAT!BG:BG,"NaN")="","NaN",(_xlfn.XLOOKUP($A88,TabCAT!$A:$A,TabCAT!BG:BG,"NaN")))</f>
        <v>NaN</v>
      </c>
      <c r="EW88" s="8" t="str">
        <f>IF(_xlfn.XLOOKUP($A88,TabCAT!$A:$A,TabCAT!BH:BH,"NaN")="","NaN",(_xlfn.XLOOKUP($A88,TabCAT!$A:$A,TabCAT!BH:BH,"NaN")))</f>
        <v>NaN</v>
      </c>
      <c r="EX88" s="8" t="str">
        <f>IF(_xlfn.XLOOKUP($A88,TabCAT!$A:$A,TabCAT!BI:BI,"NaN")="","NaN",(_xlfn.XLOOKUP($A88,TabCAT!$A:$A,TabCAT!BI:BI,"NaN")))</f>
        <v>NaN</v>
      </c>
      <c r="EY88" s="8" t="str">
        <f>IF(_xlfn.XLOOKUP($A88,TabCAT!$A:$A,TabCAT!BJ:BJ,"NaN")="","NaN",(_xlfn.XLOOKUP($A88,TabCAT!$A:$A,TabCAT!BJ:BJ,"NaN")))</f>
        <v>NaN</v>
      </c>
      <c r="EZ88" s="8" t="str">
        <f>IF(_xlfn.XLOOKUP($A88,TabCAT!$A:$A,TabCAT!BK:BK,"NaN")="","NaN",(_xlfn.XLOOKUP($A88,TabCAT!$A:$A,TabCAT!BK:BK,"NaN")))</f>
        <v>NaN</v>
      </c>
      <c r="FA88" s="8" t="str">
        <f>IF(_xlfn.XLOOKUP($A88,TabCAT!$A:$A,TabCAT!BL:BL,"NaN")="","NaN",(_xlfn.XLOOKUP($A88,TabCAT!$A:$A,TabCAT!BL:BL,"NaN")))</f>
        <v>NaN</v>
      </c>
      <c r="FB88" s="8" t="str">
        <f>IF(_xlfn.XLOOKUP($A88,TabCAT!$A:$A,TabCAT!BM:BM,"NaN")="","NaN",(_xlfn.XLOOKUP($A88,TabCAT!$A:$A,TabCAT!BM:BM,"NaN")))</f>
        <v>NaN</v>
      </c>
      <c r="FC88" s="8" t="str">
        <f>IF(_xlfn.XLOOKUP($A88,TabCAT!$A:$A,TabCAT!BN:BN,"NaN")="","NaN",(_xlfn.XLOOKUP($A88,TabCAT!$A:$A,TabCAT!BN:BN,"NaN")))</f>
        <v>NaN</v>
      </c>
      <c r="FD88" s="8" t="str">
        <f>IF(_xlfn.XLOOKUP($A88,TabCAT!$A:$A,TabCAT!BO:BO,"NaN")="","NaN",(_xlfn.XLOOKUP($A88,TabCAT!$A:$A,TabCAT!BO:BO,"NaN")))</f>
        <v>NaN</v>
      </c>
      <c r="FE88" s="8" t="str">
        <f>IF(_xlfn.XLOOKUP($A88,TabCAT!$A:$A,TabCAT!BP:BP,"NaN")="","NaN",(_xlfn.XLOOKUP($A88,TabCAT!$A:$A,TabCAT!BP:BP,"NaN")))</f>
        <v>NaN</v>
      </c>
      <c r="FF88" s="8" t="str">
        <f>IF(_xlfn.XLOOKUP($A88,TabCAT!$A:$A,TabCAT!BQ:BQ,"NaN")="","NaN",(_xlfn.XLOOKUP($A88,TabCAT!$A:$A,TabCAT!BQ:BQ,"NaN")))</f>
        <v>NaN</v>
      </c>
      <c r="FG88" s="8" t="str">
        <f>IF(_xlfn.XLOOKUP($A88,TabCAT!$A:$A,TabCAT!BR:BR,"NaN")="","NaN",(_xlfn.XLOOKUP($A88,TabCAT!$A:$A,TabCAT!BR:BR,"NaN")))</f>
        <v>NaN</v>
      </c>
      <c r="FH88" s="8" t="str">
        <f>IF(_xlfn.XLOOKUP($A88,TabCAT!$A:$A,TabCAT!BS:BS,"NaN")="","NaN",(_xlfn.XLOOKUP($A88,TabCAT!$A:$A,TabCAT!BS:BS,"NaN")))</f>
        <v>NaN</v>
      </c>
      <c r="FI88" s="8" t="str">
        <f>IF(_xlfn.XLOOKUP($A88,TabCAT!$A:$A,TabCAT!BT:BT,"NaN")="","NaN",(_xlfn.XLOOKUP($A88,TabCAT!$A:$A,TabCAT!BT:BT,"NaN")))</f>
        <v>NaN</v>
      </c>
      <c r="FJ88" s="8" t="str">
        <f>IF(_xlfn.XLOOKUP($A88,TabCAT!$A:$A,TabCAT!BU:BU,"NaN")="","NaN",(_xlfn.XLOOKUP($A88,TabCAT!$A:$A,TabCAT!BU:BU,"NaN")))</f>
        <v>NaN</v>
      </c>
      <c r="FK88" s="8" t="str">
        <f>IF(_xlfn.XLOOKUP($A88,TabCAT!$A:$A,TabCAT!BV:BV,"NaN")="","NaN",(_xlfn.XLOOKUP($A88,TabCAT!$A:$A,TabCAT!BV:BV,"NaN")))</f>
        <v>NaN</v>
      </c>
      <c r="FL88" s="8" t="str">
        <f>IF(_xlfn.XLOOKUP($A88,TabCAT!$A:$A,TabCAT!BW:BW,"NaN")="","NaN",(_xlfn.XLOOKUP($A88,TabCAT!$A:$A,TabCAT!BW:BW,"NaN")))</f>
        <v>NaN</v>
      </c>
      <c r="FM88" s="8" t="str">
        <f>IF(_xlfn.XLOOKUP($A88,TabCAT!$A:$A,TabCAT!BX:BX,"NaN")="","NaN",(_xlfn.XLOOKUP($A88,TabCAT!$A:$A,TabCAT!BX:BX,"NaN")))</f>
        <v>NaN</v>
      </c>
      <c r="FN88" s="8" t="str">
        <f>IF(_xlfn.XLOOKUP($A88,TabCAT!$A:$A,TabCAT!BY:BY,"NaN")="","NaN",(_xlfn.XLOOKUP($A88,TabCAT!$A:$A,TabCAT!BY:BY,"NaN")))</f>
        <v>NaN</v>
      </c>
      <c r="FO88" s="8" t="str">
        <f>IF(_xlfn.XLOOKUP($A88,TabCAT!$A:$A,TabCAT!BZ:BZ,"NaN")="","NaN",(_xlfn.XLOOKUP($A88,TabCAT!$A:$A,TabCAT!BZ:BZ,"NaN")))</f>
        <v>NaN</v>
      </c>
      <c r="FP88" s="8" t="str">
        <f>IF(_xlfn.XLOOKUP($A88,TabCAT!$A:$A,TabCAT!CA:CA,"NaN")="","NaN",(_xlfn.XLOOKUP($A88,TabCAT!$A:$A,TabCAT!CA:CA,"NaN")))</f>
        <v>NaN</v>
      </c>
      <c r="FQ88" s="8" t="str">
        <f>IF(_xlfn.XLOOKUP($A88,TabCAT!$A:$A,TabCAT!CB:CB,"NaN")="","NaN",(_xlfn.XLOOKUP($A88,TabCAT!$A:$A,TabCAT!CB:CB,"NaN")))</f>
        <v>NaN</v>
      </c>
      <c r="FR88" s="8" t="str">
        <f>IF(_xlfn.XLOOKUP($A88,TabCAT!$A:$A,TabCAT!CC:CC,"NaN")="","NaN",(_xlfn.XLOOKUP($A88,TabCAT!$A:$A,TabCAT!CC:CC,"NaN")))</f>
        <v>NaN</v>
      </c>
      <c r="FS88" s="8" t="str">
        <f>IF(_xlfn.XLOOKUP($A88,TabCAT!$A:$A,TabCAT!CD:CD,"NaN")="","NaN",(_xlfn.XLOOKUP($A88,TabCAT!$A:$A,TabCAT!CD:CD,"NaN")))</f>
        <v>NaN</v>
      </c>
      <c r="FT88" s="8" t="str">
        <f>IF(_xlfn.XLOOKUP($A88,TabCAT!$A:$A,TabCAT!CE:CE,"NaN")="","NaN",(_xlfn.XLOOKUP($A88,TabCAT!$A:$A,TabCAT!CE:CE,"NaN")))</f>
        <v>NaN</v>
      </c>
      <c r="FU88" s="8" t="str">
        <f>IF(_xlfn.XLOOKUP($A88,TabCAT!$A:$A,TabCAT!CF:CF,"NaN")="","NaN",(_xlfn.XLOOKUP($A88,TabCAT!$A:$A,TabCAT!CF:CF,"NaN")))</f>
        <v>NaN</v>
      </c>
      <c r="FV88" s="8" t="str">
        <f>IF(_xlfn.XLOOKUP($A88,TabCAT!$A:$A,TabCAT!CG:CG,"NaN")="","NaN",(_xlfn.XLOOKUP($A88,TabCAT!$A:$A,TabCAT!CG:CG,"NaN")))</f>
        <v>NaN</v>
      </c>
      <c r="FW88" s="8" t="str">
        <f>IF(_xlfn.XLOOKUP($A88,TabCAT!$A:$A,TabCAT!CH:CH,"NaN")="","NaN",(_xlfn.XLOOKUP($A88,TabCAT!$A:$A,TabCAT!CH:CH,"NaN")))</f>
        <v>NaN</v>
      </c>
      <c r="FX88" s="8" t="str">
        <f>IF(_xlfn.XLOOKUP($A88,TabCAT!$A:$A,TabCAT!CI:CI,"NaN")="","NaN",(_xlfn.XLOOKUP($A88,TabCAT!$A:$A,TabCAT!CI:CI,"NaN")))</f>
        <v>NaN</v>
      </c>
      <c r="FY88" s="8" t="str">
        <f>IF(_xlfn.XLOOKUP($A88,TabCAT!$A:$A,TabCAT!CJ:CJ,"NaN")="","NaN",(_xlfn.XLOOKUP($A88,TabCAT!$A:$A,TabCAT!CJ:CJ,"NaN")))</f>
        <v>NaN</v>
      </c>
      <c r="FZ88" s="8" t="str">
        <f>IF(_xlfn.XLOOKUP($A88,TabCAT!$A:$A,TabCAT!CK:CK,"NaN")="","NaN",(_xlfn.XLOOKUP($A88,TabCAT!$A:$A,TabCAT!CK:CK,"NaN")))</f>
        <v>NaN</v>
      </c>
      <c r="GA88" s="8" t="str">
        <f>IF(_xlfn.XLOOKUP($A88,TabCAT!$A:$A,TabCAT!CL:CL,"NaN")="","NaN",(_xlfn.XLOOKUP($A88,TabCAT!$A:$A,TabCAT!CL:CL,"NaN")))</f>
        <v>NaN</v>
      </c>
      <c r="GB88" s="8" t="str">
        <f>IF(_xlfn.XLOOKUP($A88,TabCAT!$A:$A,TabCAT!CM:CM,"NaN")="","NaN",(_xlfn.XLOOKUP($A88,TabCAT!$A:$A,TabCAT!CM:CM,"NaN")))</f>
        <v>NaN</v>
      </c>
      <c r="GC88" s="8" t="str">
        <f>IF(_xlfn.XLOOKUP($A88,TabCAT!$A:$A,TabCAT!CN:CN,"NaN")="","NaN",(_xlfn.XLOOKUP($A88,TabCAT!$A:$A,TabCAT!CN:CN,"NaN")))</f>
        <v>NaN</v>
      </c>
      <c r="GD88" s="8" t="str">
        <f>IF(_xlfn.XLOOKUP($A88,TabCAT!$A:$A,TabCAT!CO:CO,"NaN")="","NaN",(_xlfn.XLOOKUP($A88,TabCAT!$A:$A,TabCAT!CO:CO,"NaN")))</f>
        <v>NaN</v>
      </c>
      <c r="GE88" s="8" t="str">
        <f>IF(_xlfn.XLOOKUP($A88,TabCAT!$A:$A,TabCAT!CP:CP,"NaN")="","NaN",(_xlfn.XLOOKUP($A88,TabCAT!$A:$A,TabCAT!CP:CP,"NaN")))</f>
        <v>NaN</v>
      </c>
      <c r="GF88" s="8" t="str">
        <f>IF(_xlfn.XLOOKUP($A88,TabCAT!$A:$A,TabCAT!CQ:CQ,"NaN")="","NaN",(_xlfn.XLOOKUP($A88,TabCAT!$A:$A,TabCAT!CQ:CQ,"NaN")))</f>
        <v>NaN</v>
      </c>
      <c r="GG88" s="8" t="str">
        <f>IF(_xlfn.XLOOKUP($A88,TabCAT!$A:$A,TabCAT!CR:CR,"NaN")="","NaN",(_xlfn.XLOOKUP($A88,TabCAT!$A:$A,TabCAT!CR:CR,"NaN")))</f>
        <v>NaN</v>
      </c>
      <c r="GH88" s="8" t="str">
        <f>IF(_xlfn.XLOOKUP($A88,TabCAT!$A:$A,TabCAT!CS:CS,"NaN")="","NaN",(_xlfn.XLOOKUP($A88,TabCAT!$A:$A,TabCAT!CS:CS,"NaN")))</f>
        <v>NaN</v>
      </c>
    </row>
    <row r="89" spans="1:190" x14ac:dyDescent="0.2">
      <c r="A89">
        <f>trust!A89</f>
        <v>0</v>
      </c>
      <c r="B89" t="e">
        <f>_xlfn.XLOOKUP(bippity_poppity_boo!A89,rf1_data!A:A,rf1_data!B:B)</f>
        <v>#N/A</v>
      </c>
      <c r="C89" s="2" t="str">
        <f>(_xlfn.XLOOKUP($A89,trust!$A:$A,trust!B:B,"NaN"))</f>
        <v>NaN</v>
      </c>
      <c r="D89" s="2" t="str">
        <f>(_xlfn.XLOOKUP($A89,trust!$A:$A,trust!C:C,"NaN"))</f>
        <v>NaN</v>
      </c>
      <c r="E89" s="2" t="str">
        <f>(_xlfn.XLOOKUP($A89,trust!$A:$A,trust!D:D,"NaN"))</f>
        <v>NaN</v>
      </c>
      <c r="F89" s="2" t="str">
        <f>(_xlfn.XLOOKUP($A89,trust!$A:$A,trust!E:E,"NaN"))</f>
        <v>NaN</v>
      </c>
      <c r="G89" s="2" t="str">
        <f>(_xlfn.XLOOKUP($A89,trust!$A:$A,trust!F:F,"NaN"))</f>
        <v>NaN</v>
      </c>
      <c r="H89" s="2" t="str">
        <f>(_xlfn.XLOOKUP($A89,trust!$A:$A,trust!G:G,"NaN"))</f>
        <v>NaN</v>
      </c>
      <c r="I89" s="3" t="e">
        <f>IF(_xlfn.XLOOKUP($B89,island_data!$B:$B,island_data!C:C,"NaN")="","NaN",_xlfn.XLOOKUP($B89,island_data!$B:$B,island_data!C:C,"NaN"))</f>
        <v>#N/A</v>
      </c>
      <c r="J89" s="3" t="e">
        <f>IF(_xlfn.XLOOKUP($B89,island_data!$B:$B,island_data!D:D,"NaN")="","NaN",_xlfn.XLOOKUP($B89,island_data!$B:$B,island_data!D:D,"NaN"))</f>
        <v>#N/A</v>
      </c>
      <c r="K89" s="4" t="e">
        <f>IF(_xlfn.XLOOKUP($B89,island_data!$B:$B,island_data!E:E,"NaN")="","NaN",_xlfn.XLOOKUP($B89,island_data!$B:$B,island_data!E:E,"NaN"))</f>
        <v>#N/A</v>
      </c>
      <c r="L89" s="5" t="e">
        <f>IF(_xlfn.XLOOKUP($B89,rf1_data!$B:$B,rf1_data!D:D,"NaN")="","NaN",(_xlfn.XLOOKUP($B89,rf1_data!$B:$B,rf1_data!D:D,"NaN")))</f>
        <v>#N/A</v>
      </c>
      <c r="M89" s="5" t="e">
        <f>IF(_xlfn.XLOOKUP($B89,rf1_data!$B:$B,rf1_data!E:E,"NaN")="","NaN",(_xlfn.XLOOKUP($B89,rf1_data!$B:$B,rf1_data!E:E,"NaN")))</f>
        <v>#N/A</v>
      </c>
      <c r="N89" s="5" t="e">
        <f>IF(_xlfn.XLOOKUP($B89,rf1_data!$B:$B,rf1_data!F:F,"NaN")="","NaN",(_xlfn.XLOOKUP($B89,rf1_data!$B:$B,rf1_data!F:F,"NaN")))</f>
        <v>#N/A</v>
      </c>
      <c r="O89" s="5" t="e">
        <f>IF(_xlfn.XLOOKUP($B89,rf1_data!$B:$B,rf1_data!G:G,"NaN")="","NaN",(_xlfn.XLOOKUP($B89,rf1_data!$B:$B,rf1_data!G:G,"NaN")))</f>
        <v>#N/A</v>
      </c>
      <c r="P89" s="5" t="e">
        <f>IF(_xlfn.XLOOKUP($B89,rf1_data!$B:$B,rf1_data!H:H,"NaN")="","NaN",(_xlfn.XLOOKUP($B89,rf1_data!$B:$B,rf1_data!H:H,"NaN")))</f>
        <v>#N/A</v>
      </c>
      <c r="Q89" s="5" t="e">
        <f>IF(_xlfn.XLOOKUP($B89,rf1_data!$B:$B,rf1_data!I:I,"NaN")="","NaN",(_xlfn.XLOOKUP($B89,rf1_data!$B:$B,rf1_data!I:I,"NaN")))</f>
        <v>#N/A</v>
      </c>
      <c r="R89" s="5" t="e">
        <f>IF(_xlfn.XLOOKUP($B89,rf1_data!$B:$B,rf1_data!J:J,"NaN")="","NaN",(_xlfn.XLOOKUP($B89,rf1_data!$B:$B,rf1_data!J:J,"NaN")))</f>
        <v>#N/A</v>
      </c>
      <c r="S89" s="5" t="e">
        <f>IF(_xlfn.XLOOKUP($B89,rf1_data!$B:$B,rf1_data!K:K,"NaN")="","NaN",(_xlfn.XLOOKUP($B89,rf1_data!$B:$B,rf1_data!K:K,"NaN")))</f>
        <v>#N/A</v>
      </c>
      <c r="T89" s="5" t="e">
        <f>IF(_xlfn.XLOOKUP($B89,rf1_data!$B:$B,rf1_data!L:L,"NaN")="","NaN",(_xlfn.XLOOKUP($B89,rf1_data!$B:$B,rf1_data!L:L,"NaN")))</f>
        <v>#N/A</v>
      </c>
      <c r="U89" s="5" t="e">
        <f>IF(_xlfn.XLOOKUP($B89,rf1_data!$B:$B,rf1_data!M:M,"NaN")="","NaN",(_xlfn.XLOOKUP($B89,rf1_data!$B:$B,rf1_data!M:M,"NaN")))</f>
        <v>#N/A</v>
      </c>
      <c r="V89" s="5" t="e">
        <f>IF(_xlfn.XLOOKUP($B89,rf1_data!$B:$B,rf1_data!N:N,"NaN")="","NaN",(_xlfn.XLOOKUP($B89,rf1_data!$B:$B,rf1_data!N:N,"NaN")))</f>
        <v>#N/A</v>
      </c>
      <c r="W89" s="5" t="e">
        <f>IF(_xlfn.XLOOKUP($B89,rf1_data!$B:$B,rf1_data!O:O,"NaN")="","NaN",(_xlfn.XLOOKUP($B89,rf1_data!$B:$B,rf1_data!O:O,"NaN")))</f>
        <v>#N/A</v>
      </c>
      <c r="X89" s="5" t="e">
        <f>IF(_xlfn.XLOOKUP($B89,rf1_data!$B:$B,rf1_data!P:P,"NaN")="","NaN",(_xlfn.XLOOKUP($B89,rf1_data!$B:$B,rf1_data!P:P,"NaN")))</f>
        <v>#N/A</v>
      </c>
      <c r="Y89" s="5" t="e">
        <f>IF(_xlfn.XLOOKUP($B89,rf1_data!$B:$B,rf1_data!Q:Q,"NaN")="","NaN",(_xlfn.XLOOKUP($B89,rf1_data!$B:$B,rf1_data!Q:Q,"NaN")))</f>
        <v>#N/A</v>
      </c>
      <c r="Z89" s="5" t="e">
        <f>IF(_xlfn.XLOOKUP($B89,rf1_data!$B:$B,rf1_data!R:R,"NaN")="","NaN",(_xlfn.XLOOKUP($B89,rf1_data!$B:$B,rf1_data!R:R,"NaN")))</f>
        <v>#N/A</v>
      </c>
      <c r="AA89" s="5" t="e">
        <f>IF(_xlfn.XLOOKUP($B89,rf1_data!$B:$B,rf1_data!S:S,"NaN")="","NaN",(_xlfn.XLOOKUP($B89,rf1_data!$B:$B,rf1_data!S:S,"NaN")))</f>
        <v>#N/A</v>
      </c>
      <c r="AB89" s="5" t="e">
        <f>IF(_xlfn.XLOOKUP($B89,rf1_data!$B:$B,rf1_data!T:T,"NaN")="","NaN",(_xlfn.XLOOKUP($B89,rf1_data!$B:$B,rf1_data!T:T,"NaN")))</f>
        <v>#N/A</v>
      </c>
      <c r="AC89" s="5" t="e">
        <f>IF(_xlfn.XLOOKUP($B89,rf1_data!$B:$B,rf1_data!U:U,"NaN")="","NaN",(_xlfn.XLOOKUP($B89,rf1_data!$B:$B,rf1_data!U:U,"NaN")))</f>
        <v>#N/A</v>
      </c>
      <c r="AD89" s="5" t="e">
        <f>IF(_xlfn.XLOOKUP($B89,rf1_data!$B:$B,rf1_data!V:V,"NaN")="","NaN",(_xlfn.XLOOKUP($B89,rf1_data!$B:$B,rf1_data!V:V,"NaN")))</f>
        <v>#N/A</v>
      </c>
      <c r="AE89" s="5" t="e">
        <f>IF(_xlfn.XLOOKUP($B89,rf1_data!$B:$B,rf1_data!W:W,"NaN")="","NaN",(_xlfn.XLOOKUP($B89,rf1_data!$B:$B,rf1_data!W:W,"NaN")))</f>
        <v>#N/A</v>
      </c>
      <c r="AF89" s="5" t="e">
        <f>IF(_xlfn.XLOOKUP($B89,rf1_data!$B:$B,rf1_data!X:X,"NaN")="","NaN",(_xlfn.XLOOKUP($B89,rf1_data!$B:$B,rf1_data!X:X,"NaN")))</f>
        <v>#N/A</v>
      </c>
      <c r="AG89" s="5" t="e">
        <f>IF(_xlfn.XLOOKUP($B89,rf1_data!$B:$B,rf1_data!Y:Y,"NaN")="","NaN",(_xlfn.XLOOKUP($B89,rf1_data!$B:$B,rf1_data!Y:Y,"NaN")))</f>
        <v>#N/A</v>
      </c>
      <c r="AH89" s="5" t="e">
        <f>IF(_xlfn.XLOOKUP($B89,rf1_data!$B:$B,rf1_data!Z:Z,"NaN")="","NaN",(_xlfn.XLOOKUP($B89,rf1_data!$B:$B,rf1_data!Z:Z,"NaN")))</f>
        <v>#N/A</v>
      </c>
      <c r="AI89" s="5" t="e">
        <f>IF(_xlfn.XLOOKUP($B89,rf1_data!$B:$B,rf1_data!AA:AA,"NaN")="","NaN",(_xlfn.XLOOKUP($B89,rf1_data!$B:$B,rf1_data!AA:AA,"NaN")))</f>
        <v>#N/A</v>
      </c>
      <c r="AJ89" s="5" t="e">
        <f>IF(_xlfn.XLOOKUP($B89,rf1_data!$B:$B,rf1_data!AB:AB,"NaN")="","NaN",(_xlfn.XLOOKUP($B89,rf1_data!$B:$B,rf1_data!AB:AB,"NaN")))</f>
        <v>#N/A</v>
      </c>
      <c r="AK89" s="5" t="e">
        <f>IF(_xlfn.XLOOKUP($B89,rf1_data!$B:$B,rf1_data!AC:AC,"NaN")="","NaN",(_xlfn.XLOOKUP($B89,rf1_data!$B:$B,rf1_data!AC:AC,"NaN")))</f>
        <v>#N/A</v>
      </c>
      <c r="AL89" s="5" t="e">
        <f>IF(_xlfn.XLOOKUP($B89,rf1_data!$B:$B,rf1_data!AD:AD,"NaN")="","NaN",(_xlfn.XLOOKUP($B89,rf1_data!$B:$B,rf1_data!AD:AD,"NaN")))</f>
        <v>#N/A</v>
      </c>
      <c r="AM89" s="5" t="e">
        <f>IF(_xlfn.XLOOKUP($B89,rf1_data!$B:$B,rf1_data!AE:AE,"NaN")="","NaN",(_xlfn.XLOOKUP($B89,rf1_data!$B:$B,rf1_data!AE:AE,"NaN")))</f>
        <v>#N/A</v>
      </c>
      <c r="AN89" s="5" t="e">
        <f>IF(_xlfn.XLOOKUP($B89,rf1_data!$B:$B,rf1_data!AF:AF,"NaN")="","NaN",(_xlfn.XLOOKUP($B89,rf1_data!$B:$B,rf1_data!AF:AF,"NaN")))</f>
        <v>#N/A</v>
      </c>
      <c r="AO89" s="5" t="e">
        <f>IF(_xlfn.XLOOKUP($B89,rf1_data!$B:$B,rf1_data!AG:AG,"NaN")="","NaN",(_xlfn.XLOOKUP($B89,rf1_data!$B:$B,rf1_data!AG:AG,"NaN")))</f>
        <v>#N/A</v>
      </c>
      <c r="AP89" s="5" t="e">
        <f>IF(_xlfn.XLOOKUP($B89,rf1_data!$B:$B,rf1_data!AH:AH,"NaN")="","NaN",(_xlfn.XLOOKUP($B89,rf1_data!$B:$B,rf1_data!AH:AH,"NaN")))</f>
        <v>#N/A</v>
      </c>
      <c r="AQ89" s="5" t="e">
        <f>IF(_xlfn.XLOOKUP($B89,rf1_data!$B:$B,rf1_data!AI:AI,"NaN")="","NaN",(_xlfn.XLOOKUP($B89,rf1_data!$B:$B,rf1_data!AI:AI,"NaN")))</f>
        <v>#N/A</v>
      </c>
      <c r="AR89" s="5" t="e">
        <f>IF(_xlfn.XLOOKUP($B89,rf1_data!$B:$B,rf1_data!AJ:AJ,"NaN")="","NaN",(_xlfn.XLOOKUP($B89,rf1_data!$B:$B,rf1_data!AJ:AJ,"NaN")))</f>
        <v>#N/A</v>
      </c>
      <c r="AS89" s="5" t="e">
        <f>IF(_xlfn.XLOOKUP($B89,rf1_data!$B:$B,rf1_data!AK:AK,"NaN")="","NaN",(_xlfn.XLOOKUP($B89,rf1_data!$B:$B,rf1_data!AK:AK,"NaN")))</f>
        <v>#N/A</v>
      </c>
      <c r="AT89" s="5" t="e">
        <f>IF(_xlfn.XLOOKUP($B89,rf1_data!$B:$B,rf1_data!AL:AL,"NaN")="","NaN",(_xlfn.XLOOKUP($B89,rf1_data!$B:$B,rf1_data!AL:AL,"NaN")))</f>
        <v>#N/A</v>
      </c>
      <c r="AU89" s="5" t="e">
        <f>IF(_xlfn.XLOOKUP($B89,rf1_data!$B:$B,rf1_data!AM:AM,"NaN")="","NaN",(_xlfn.XLOOKUP($B89,rf1_data!$B:$B,rf1_data!AM:AM,"NaN")))</f>
        <v>#N/A</v>
      </c>
      <c r="AV89" s="5" t="e">
        <f>IF(_xlfn.XLOOKUP($B89,rf1_data!$B:$B,rf1_data!AN:AN,"NaN")="","NaN",(_xlfn.XLOOKUP($B89,rf1_data!$B:$B,rf1_data!AN:AN,"NaN")))</f>
        <v>#N/A</v>
      </c>
      <c r="AW89" s="5" t="e">
        <f>IF(_xlfn.XLOOKUP($B89,rf1_data!$B:$B,rf1_data!AO:AO,"NaN")="","NaN",(_xlfn.XLOOKUP($B89,rf1_data!$B:$B,rf1_data!AO:AO,"NaN")))</f>
        <v>#N/A</v>
      </c>
      <c r="AX89" s="5" t="e">
        <f>IF(_xlfn.XLOOKUP($B89,rf1_data!$B:$B,rf1_data!AP:AP,"NaN")="","NaN",(_xlfn.XLOOKUP($B89,rf1_data!$B:$B,rf1_data!AP:AP,"NaN")))</f>
        <v>#N/A</v>
      </c>
      <c r="AY89" s="5" t="e">
        <f>IF(_xlfn.XLOOKUP($B89,rf1_data!$B:$B,rf1_data!AQ:AQ,"NaN")="","NaN",(_xlfn.XLOOKUP($B89,rf1_data!$B:$B,rf1_data!AQ:AQ,"NaN")))</f>
        <v>#N/A</v>
      </c>
      <c r="AZ89" s="5" t="e">
        <f>IF(_xlfn.XLOOKUP($B89,rf1_data!$B:$B,rf1_data!AR:AR,"NaN")="","NaN",(_xlfn.XLOOKUP($B89,rf1_data!$B:$B,rf1_data!AR:AR,"NaN")))</f>
        <v>#N/A</v>
      </c>
      <c r="BA89" s="5" t="e">
        <f>IF(_xlfn.XLOOKUP($B89,rf1_data!$B:$B,rf1_data!AS:AS,"NaN")="","NaN",(_xlfn.XLOOKUP($B89,rf1_data!$B:$B,rf1_data!AS:AS,"NaN")))</f>
        <v>#N/A</v>
      </c>
      <c r="BB89" s="5" t="e">
        <f>IF(_xlfn.XLOOKUP($B89,rf1_data!$B:$B,rf1_data!AT:AT,"NaN")="","NaN",(_xlfn.XLOOKUP($B89,rf1_data!$B:$B,rf1_data!AT:AT,"NaN")))</f>
        <v>#N/A</v>
      </c>
      <c r="BC89" s="5" t="e">
        <f>IF(_xlfn.XLOOKUP($B89,rf1_data!$B:$B,rf1_data!AU:AU,"NaN")="","NaN",(_xlfn.XLOOKUP($B89,rf1_data!$B:$B,rf1_data!AU:AU,"NaN")))</f>
        <v>#N/A</v>
      </c>
      <c r="BD89" s="5" t="e">
        <f>IF(_xlfn.XLOOKUP($B89,rf1_data!$B:$B,rf1_data!AV:AV,"NaN")="","NaN",(_xlfn.XLOOKUP($B89,rf1_data!$B:$B,rf1_data!AV:AV,"NaN")))</f>
        <v>#N/A</v>
      </c>
      <c r="BE89" s="5" t="e">
        <f>IF(_xlfn.XLOOKUP($B89,rf1_data!$B:$B,rf1_data!AW:AW,"NaN")="","NaN",(_xlfn.XLOOKUP($B89,rf1_data!$B:$B,rf1_data!AW:AW,"NaN")))</f>
        <v>#N/A</v>
      </c>
      <c r="BF89" s="5" t="e">
        <f>IF(_xlfn.XLOOKUP($B89,rf1_data!$B:$B,rf1_data!AX:AX,"NaN")="","NaN",(_xlfn.XLOOKUP($B89,rf1_data!$B:$B,rf1_data!AX:AX,"NaN")))</f>
        <v>#N/A</v>
      </c>
      <c r="BG89" s="5" t="e">
        <f>IF(_xlfn.XLOOKUP($B89,rf1_data!$B:$B,rf1_data!AY:AY,"NaN")="","NaN",(_xlfn.XLOOKUP($B89,rf1_data!$B:$B,rf1_data!AY:AY,"NaN")))</f>
        <v>#N/A</v>
      </c>
      <c r="BH89" s="5" t="e">
        <f>IF(_xlfn.XLOOKUP($B89,rf1_data!$B:$B,rf1_data!AZ:AZ,"NaN")="","NaN",(_xlfn.XLOOKUP($B89,rf1_data!$B:$B,rf1_data!AZ:AZ,"NaN")))</f>
        <v>#N/A</v>
      </c>
      <c r="BI89" s="5" t="e">
        <f>IF(_xlfn.XLOOKUP($B89,rf1_data!$B:$B,rf1_data!BA:BA,"NaN")="","NaN",(_xlfn.XLOOKUP($B89,rf1_data!$B:$B,rf1_data!BA:BA,"NaN")))</f>
        <v>#N/A</v>
      </c>
      <c r="BJ89" s="5" t="e">
        <f>IF(_xlfn.XLOOKUP($B89,rf1_data!$B:$B,rf1_data!BB:BB,"NaN")="","NaN",(_xlfn.XLOOKUP($B89,rf1_data!$B:$B,rf1_data!BB:BB,"NaN")))</f>
        <v>#N/A</v>
      </c>
      <c r="BK89" s="5" t="e">
        <f>IF(_xlfn.XLOOKUP($B89,rf1_data!$B:$B,rf1_data!BC:BC,"NaN")="","NaN",(_xlfn.XLOOKUP($B89,rf1_data!$B:$B,rf1_data!BC:BC,"NaN")))</f>
        <v>#N/A</v>
      </c>
      <c r="BL89" s="5" t="e">
        <f>IF(_xlfn.XLOOKUP($B89,rf1_data!$B:$B,rf1_data!BD:BD,"NaN")="","NaN",(_xlfn.XLOOKUP($B89,rf1_data!$B:$B,rf1_data!BD:BD,"NaN")))</f>
        <v>#N/A</v>
      </c>
      <c r="BM89" s="5" t="e">
        <f>IF(_xlfn.XLOOKUP($B89,rf1_data!$B:$B,rf1_data!BE:BE,"NaN")="","NaN",(_xlfn.XLOOKUP($B89,rf1_data!$B:$B,rf1_data!BE:BE,"NaN")))</f>
        <v>#N/A</v>
      </c>
      <c r="BN89" s="5" t="e">
        <f>IF(_xlfn.XLOOKUP($B89,rf1_data!$B:$B,rf1_data!BF:BF,"NaN")="","NaN",(_xlfn.XLOOKUP($B89,rf1_data!$B:$B,rf1_data!BF:BF,"NaN")))</f>
        <v>#N/A</v>
      </c>
      <c r="BO89" s="5" t="e">
        <f>IF(_xlfn.XLOOKUP($B89,rf1_data!$B:$B,rf1_data!BG:BG,"NaN")="","NaN",(_xlfn.XLOOKUP($B89,rf1_data!$B:$B,rf1_data!BG:BG,"NaN")))</f>
        <v>#N/A</v>
      </c>
      <c r="BP89" s="5" t="e">
        <f>IF(_xlfn.XLOOKUP($B89,rf1_data!$B:$B,rf1_data!BH:BH,"NaN")="","NaN",(_xlfn.XLOOKUP($B89,rf1_data!$B:$B,rf1_data!BH:BH,"NaN")))</f>
        <v>#N/A</v>
      </c>
      <c r="BQ89" s="5" t="e">
        <f>IF(_xlfn.XLOOKUP($B89,rf1_data!$B:$B,rf1_data!BI:BI,"NaN")="","NaN",(_xlfn.XLOOKUP($B89,rf1_data!$B:$B,rf1_data!BI:BI,"NaN")))</f>
        <v>#N/A</v>
      </c>
      <c r="BR89" s="5" t="e">
        <f>IF(_xlfn.XLOOKUP($B89,rf1_data!$B:$B,rf1_data!BJ:BJ,"NaN")="","NaN",(_xlfn.XLOOKUP($B89,rf1_data!$B:$B,rf1_data!BJ:BJ,"NaN")))</f>
        <v>#N/A</v>
      </c>
      <c r="BS89" s="5" t="e">
        <f>IF(_xlfn.XLOOKUP($B89,rf1_data!$B:$B,rf1_data!BK:BK,"NaN")="","NaN",(_xlfn.XLOOKUP($B89,rf1_data!$B:$B,rf1_data!BK:BK,"NaN")))</f>
        <v>#N/A</v>
      </c>
      <c r="BT89" s="5" t="e">
        <f>IF(_xlfn.XLOOKUP($B89,rf1_data!$B:$B,rf1_data!BL:BL,"NaN")="","NaN",(_xlfn.XLOOKUP($B89,rf1_data!$B:$B,rf1_data!BL:BL,"NaN")))</f>
        <v>#N/A</v>
      </c>
      <c r="BU89" s="5" t="e">
        <f>IF(_xlfn.XLOOKUP($B89,rf1_data!$B:$B,rf1_data!BM:BM,"NaN")="","NaN",(_xlfn.XLOOKUP($B89,rf1_data!$B:$B,rf1_data!BM:BM,"NaN")))</f>
        <v>#N/A</v>
      </c>
      <c r="BV89" s="5" t="e">
        <f>IF(_xlfn.XLOOKUP($B89,rf1_data!$B:$B,rf1_data!BN:BN,"NaN")="","NaN",(_xlfn.XLOOKUP($B89,rf1_data!$B:$B,rf1_data!BN:BN,"NaN")))</f>
        <v>#N/A</v>
      </c>
      <c r="BW89" s="5" t="e">
        <f>IF(_xlfn.XLOOKUP($B89,rf1_data!$B:$B,rf1_data!BO:BO,"NaN")="","NaN",(_xlfn.XLOOKUP($B89,rf1_data!$B:$B,rf1_data!BO:BO,"NaN")))</f>
        <v>#N/A</v>
      </c>
      <c r="BX89" s="5" t="e">
        <f>IF(_xlfn.XLOOKUP($B89,rf1_data!$B:$B,rf1_data!BP:BP,"NaN")="","NaN",(_xlfn.XLOOKUP($B89,rf1_data!$B:$B,rf1_data!BP:BP,"NaN")))</f>
        <v>#N/A</v>
      </c>
      <c r="BY89" s="5" t="e">
        <f>IF(_xlfn.XLOOKUP($B89,rf1_data!$B:$B,rf1_data!BQ:BQ,"NaN")="","NaN",(_xlfn.XLOOKUP($B89,rf1_data!$B:$B,rf1_data!BQ:BQ,"NaN")))</f>
        <v>#N/A</v>
      </c>
      <c r="BZ89" s="5" t="e">
        <f>IF(_xlfn.XLOOKUP($B89,rf1_data!$B:$B,rf1_data!BR:BR,"NaN")="","NaN",(_xlfn.XLOOKUP($B89,rf1_data!$B:$B,rf1_data!BR:BR,"NaN")))</f>
        <v>#N/A</v>
      </c>
      <c r="CA89" s="5" t="e">
        <f>IF(_xlfn.XLOOKUP($B89,rf1_data!$B:$B,rf1_data!BS:BS,"NaN")="","NaN",(_xlfn.XLOOKUP($B89,rf1_data!$B:$B,rf1_data!BS:BS,"NaN")))</f>
        <v>#N/A</v>
      </c>
      <c r="CB89" s="5" t="e">
        <f>IF(_xlfn.XLOOKUP($B89,rf1_data!$B:$B,rf1_data!BT:BT,"NaN")="","NaN",(_xlfn.XLOOKUP($B89,rf1_data!$B:$B,rf1_data!BT:BT,"NaN")))</f>
        <v>#N/A</v>
      </c>
      <c r="CC89" s="5" t="e">
        <f>IF(_xlfn.XLOOKUP($B89,rf1_data!$B:$B,rf1_data!BU:BU,"NaN")="","NaN",(_xlfn.XLOOKUP($B89,rf1_data!$B:$B,rf1_data!BU:BU,"NaN")))</f>
        <v>#N/A</v>
      </c>
      <c r="CD89" s="5" t="e">
        <f>IF(_xlfn.XLOOKUP($B89,rf1_data!$B:$B,rf1_data!BV:BV,"NaN")="","NaN",(_xlfn.XLOOKUP($B89,rf1_data!$B:$B,rf1_data!BV:BV,"NaN")))</f>
        <v>#N/A</v>
      </c>
      <c r="CE89" s="5" t="e">
        <f>IF(_xlfn.XLOOKUP($B89,rf1_data!$B:$B,rf1_data!BW:BW,"NaN")="","NaN",(_xlfn.XLOOKUP($B89,rf1_data!$B:$B,rf1_data!BW:BW,"NaN")))</f>
        <v>#N/A</v>
      </c>
      <c r="CF89" s="5" t="e">
        <f>IF(_xlfn.XLOOKUP($B89,rf1_data!$B:$B,rf1_data!BX:BX,"NaN")="","NaN",(_xlfn.XLOOKUP($B89,rf1_data!$B:$B,rf1_data!BX:BX,"NaN")))</f>
        <v>#N/A</v>
      </c>
      <c r="CG89" s="5" t="e">
        <f>IF(_xlfn.XLOOKUP($B89,rf1_data!$B:$B,rf1_data!BY:BY,"NaN")="","NaN",(_xlfn.XLOOKUP($B89,rf1_data!$B:$B,rf1_data!BY:BY,"NaN")))</f>
        <v>#N/A</v>
      </c>
      <c r="CH89" s="5" t="e">
        <f>IF(_xlfn.XLOOKUP($B89,rf1_data!$B:$B,rf1_data!BZ:BZ,"NaN")="","NaN",(_xlfn.XLOOKUP($B89,rf1_data!$B:$B,rf1_data!BZ:BZ,"NaN")))</f>
        <v>#N/A</v>
      </c>
      <c r="CI89" s="5" t="e">
        <f>IF(_xlfn.XLOOKUP($B89,rf1_data!$B:$B,rf1_data!CA:CA,"NaN")="","NaN",(_xlfn.XLOOKUP($B89,rf1_data!$B:$B,rf1_data!CA:CA,"NaN")))</f>
        <v>#N/A</v>
      </c>
      <c r="CJ89" s="5" t="e">
        <f>IF(_xlfn.XLOOKUP($B89,rf1_data!$B:$B,rf1_data!CB:CB,"NaN")="","NaN",(_xlfn.XLOOKUP($B89,rf1_data!$B:$B,rf1_data!CB:CB,"NaN")))</f>
        <v>#N/A</v>
      </c>
      <c r="CK89" s="5" t="e">
        <f>IF(_xlfn.XLOOKUP($B89,rf1_data!$B:$B,rf1_data!CC:CC,"NaN")="","NaN",(_xlfn.XLOOKUP($B89,rf1_data!$B:$B,rf1_data!CC:CC,"NaN")))</f>
        <v>#N/A</v>
      </c>
      <c r="CL89" s="5" t="e">
        <f>IF(_xlfn.XLOOKUP($B89,rf1_data!$B:$B,rf1_data!CD:CD,"NaN")=0,"NaN",(_xlfn.XLOOKUP($B89,rf1_data!$B:$B,rf1_data!CD:CD,"NaN")))</f>
        <v>#N/A</v>
      </c>
      <c r="CM89" s="5" t="e">
        <f>IF(_xlfn.XLOOKUP($B89,rf1_data!$B:$B,rf1_data!CE:CE,"NaN")="","NaN",(_xlfn.XLOOKUP($B89,rf1_data!$B:$B,rf1_data!CE:CE,"NaN")))</f>
        <v>#N/A</v>
      </c>
      <c r="CN89" s="5" t="e">
        <f>IF(_xlfn.XLOOKUP($B89,rf1_data!$B:$B,rf1_data!CF:CF,"NaN")="","NaN",(_xlfn.XLOOKUP($B89,rf1_data!$B:$B,rf1_data!CF:CF,"NaN")))</f>
        <v>#N/A</v>
      </c>
      <c r="CO89" s="5" t="e">
        <f>IF(_xlfn.XLOOKUP($B89,rf1_data!$B:$B,rf1_data!CG:CG,"NaN")="","NaN",(_xlfn.XLOOKUP($B89,rf1_data!$B:$B,rf1_data!CG:CG,"NaN")))</f>
        <v>#N/A</v>
      </c>
      <c r="CP89" s="5" t="e">
        <f>IF(_xlfn.XLOOKUP($B89,rf1_data!$B:$B,rf1_data!CH:CH,"NaN")=0,"NaN",(_xlfn.XLOOKUP($B89,rf1_data!$B:$B,rf1_data!CH:CH,"NaN")))</f>
        <v>#N/A</v>
      </c>
      <c r="CQ89" s="5" t="e">
        <f>IF(_xlfn.XLOOKUP($B89,rf1_data!$B:$B,rf1_data!CI:CI,"NaN")="","NaN",(_xlfn.XLOOKUP($B89,rf1_data!$B:$B,rf1_data!CI:CI,"NaN")))</f>
        <v>#N/A</v>
      </c>
      <c r="CR89" s="5" t="e">
        <f>IF(_xlfn.XLOOKUP($B89,rf1_data!$B:$B,rf1_data!CJ:CJ,"NaN")="","NaN",(_xlfn.XLOOKUP($B89,rf1_data!$B:$B,rf1_data!CJ:CJ,"NaN")))</f>
        <v>#N/A</v>
      </c>
      <c r="CS89" s="5" t="e">
        <f>IF(_xlfn.XLOOKUP($B89,rf1_data!$B:$B,rf1_data!CK:CK,"NaN")="","NaN",(_xlfn.XLOOKUP($B89,rf1_data!$B:$B,rf1_data!CK:CK,"NaN")))</f>
        <v>#N/A</v>
      </c>
      <c r="CT89" s="5" t="e">
        <f>IF(_xlfn.XLOOKUP($B89,rf1_data!$B:$B,rf1_data!CL:CL,"NaN")="","NaN",(_xlfn.XLOOKUP($B89,rf1_data!$B:$B,rf1_data!CL:CL,"NaN")))</f>
        <v>#N/A</v>
      </c>
      <c r="CU89" s="5" t="e">
        <f>IF(_xlfn.XLOOKUP($B89,rf1_data!$B:$B,rf1_data!CM:CM,"NaN")="","NaN",(_xlfn.XLOOKUP($B89,rf1_data!$B:$B,rf1_data!CM:CM,"NaN")))</f>
        <v>#N/A</v>
      </c>
      <c r="CV89" s="5" t="e">
        <f>IF(_xlfn.XLOOKUP($B89,rf1_data!$B:$B,rf1_data!CN:CN,"NaN")="","NaN",(_xlfn.XLOOKUP($B89,rf1_data!$B:$B,rf1_data!CN:CN,"NaN")))</f>
        <v>#N/A</v>
      </c>
      <c r="CW89" s="5" t="e">
        <f>IF(_xlfn.XLOOKUP($B89,rf1_data!$B:$B,rf1_data!CO:CO,"NaN")="","NaN",(_xlfn.XLOOKUP($B89,rf1_data!$B:$B,rf1_data!CO:CO,"NaN")))</f>
        <v>#N/A</v>
      </c>
      <c r="CX89" s="5" t="e">
        <f>IF(_xlfn.XLOOKUP($B89,rf1_data!$B:$B,rf1_data!CP:CP,"NaN")="","NaN",(_xlfn.XLOOKUP($B89,rf1_data!$B:$B,rf1_data!CP:CP,"NaN")))</f>
        <v>#N/A</v>
      </c>
      <c r="CY89" s="5" t="e">
        <f>IF(_xlfn.XLOOKUP($B89,rf1_data!$B:$B,rf1_data!CQ:CQ,"NaN")="","NaN",(_xlfn.XLOOKUP($B89,rf1_data!$B:$B,rf1_data!CQ:CQ,"NaN")))</f>
        <v>#N/A</v>
      </c>
      <c r="CZ89" s="5" t="e">
        <f>IF(_xlfn.XLOOKUP($B89,rf1_data!$B:$B,rf1_data!CR:CR,"NaN")="","NaN",(_xlfn.XLOOKUP($B89,rf1_data!$B:$B,rf1_data!CR:CR,"NaN")))</f>
        <v>#N/A</v>
      </c>
      <c r="DA89" s="5" t="e">
        <f>IF(_xlfn.XLOOKUP($B89,rf1_data!$B:$B,rf1_data!CS:CS,"NaN")="","NaN",(_xlfn.XLOOKUP($B89,rf1_data!$B:$B,rf1_data!CS:CS,"NaN")))</f>
        <v>#N/A</v>
      </c>
      <c r="DB89" s="4" t="e">
        <f>IF(_xlfn.XLOOKUP($B89,island_data!$B:$B,island_data!H:H,"NaN")="","NaN",_xlfn.XLOOKUP($B89,island_data!$B:$B,island_data!H:H,"NaN"))</f>
        <v>#N/A</v>
      </c>
      <c r="DC89" s="4" t="e">
        <f>IF(_xlfn.XLOOKUP($B89,island_data!$B:$B,island_data!I:I,"NaN")="","NaN",_xlfn.XLOOKUP($B89,island_data!$B:$B,island_data!I:I,"NaN"))</f>
        <v>#N/A</v>
      </c>
      <c r="DD89" s="4" t="e">
        <f>IF(_xlfn.XLOOKUP($B89,island_data!$B:$B,island_data!J:J,"NaN")="","NaN",_xlfn.XLOOKUP($B89,island_data!$B:$B,island_data!J:J,"NaN"))</f>
        <v>#N/A</v>
      </c>
      <c r="DE89" s="4" t="e">
        <f>IF(_xlfn.XLOOKUP($B89,island_data!$B:$B,island_data!K:K,"NaN")="","NaN",_xlfn.XLOOKUP($B89,island_data!$B:$B,island_data!K:K,"NaN"))</f>
        <v>#N/A</v>
      </c>
      <c r="DF89" s="4" t="e">
        <f>IF(_xlfn.XLOOKUP($B89,island_data!$B:$B,island_data!L:L,"NaN")="","NaN",_xlfn.XLOOKUP($B89,island_data!$B:$B,island_data!L:L,"NaN"))</f>
        <v>#N/A</v>
      </c>
      <c r="DG89" s="4" t="e">
        <f>IF(_xlfn.XLOOKUP($B89,island_data!$B:$B,island_data!M:M,"NaN")="","NaN",_xlfn.XLOOKUP($B89,island_data!$B:$B,island_data!M:M,"NaN"))</f>
        <v>#N/A</v>
      </c>
      <c r="DH89" s="4" t="e">
        <f>IF(_xlfn.XLOOKUP($B89,island_data!$B:$B,island_data!N:N,"NaN")="","NaN",_xlfn.XLOOKUP($B89,island_data!$B:$B,island_data!N:N,"NaN"))</f>
        <v>#N/A</v>
      </c>
      <c r="DI89" s="4" t="e">
        <f>IF(_xlfn.XLOOKUP($B89,island_data!$B:$B,island_data!O:O,"NaN")=999,"NaN",_xlfn.XLOOKUP($B89,island_data!$B:$B,island_data!O:O,"NaN"))</f>
        <v>#N/A</v>
      </c>
      <c r="DJ89" s="4" t="e">
        <f>IF(_xlfn.XLOOKUP($B89,island_data!$B:$B,island_data!P:P,"NaN")="","NaN",_xlfn.XLOOKUP($B89,island_data!$B:$B,island_data!P:P,"NaN"))</f>
        <v>#N/A</v>
      </c>
      <c r="DK89" s="4" t="e">
        <f>IF(_xlfn.XLOOKUP($B89,island_data!$B:$B,island_data!Q:Q,"NaN")="","NaN",_xlfn.XLOOKUP($B89,island_data!$B:$B,island_data!Q:Q,"NaN"))</f>
        <v>#N/A</v>
      </c>
      <c r="DL89" s="4" t="e">
        <f>IF(_xlfn.XLOOKUP($B89,island_data!$B:$B,island_data!R:R,"NaN")=999,"NaN",_xlfn.XLOOKUP($B89,island_data!$B:$B,island_data!R:R,"NaN"))</f>
        <v>#N/A</v>
      </c>
      <c r="DM89" s="4" t="e">
        <f>IF(_xlfn.XLOOKUP($B89,island_data!$B:$B,island_data!S:S,"NaN")="","NaN",_xlfn.XLOOKUP($B89,island_data!$B:$B,island_data!S:S,"NaN"))</f>
        <v>#N/A</v>
      </c>
      <c r="DN89" s="4" t="e">
        <f>IF(_xlfn.XLOOKUP($B89,island_data!$B:$B,island_data!T:T,"NaN")="","NaN",_xlfn.XLOOKUP($B89,island_data!$B:$B,island_data!T:T,"NaN"))</f>
        <v>#N/A</v>
      </c>
      <c r="DO89" s="4" t="e">
        <f>IF(_xlfn.XLOOKUP($B89,island_data!$B:$B,island_data!U:U,"NaN")="","NaN",_xlfn.XLOOKUP($B89,island_data!$B:$B,island_data!U:U,"NaN"))</f>
        <v>#N/A</v>
      </c>
      <c r="DP89" s="4" t="e">
        <f>IF(_xlfn.XLOOKUP($B89,island_data!$B:$B,island_data!V:V,"NaN")="","NaN",_xlfn.XLOOKUP($B89,island_data!$B:$B,island_data!V:V,"NaN"))</f>
        <v>#N/A</v>
      </c>
      <c r="DQ89" s="4" t="e">
        <f>IF(_xlfn.XLOOKUP($B89,island_data!$B:$B,island_data!W:W,"NaN")="","NaN",_xlfn.XLOOKUP($B89,island_data!$B:$B,island_data!W:W,"NaN"))</f>
        <v>#N/A</v>
      </c>
      <c r="DR89" s="4" t="e">
        <f>IF(_xlfn.XLOOKUP($B89,island_data!$B:$B,island_data!X:X,"NaN")="","NaN",_xlfn.XLOOKUP($B89,island_data!$B:$B,island_data!X:X,"NaN"))</f>
        <v>#N/A</v>
      </c>
      <c r="DS89" s="4" t="e">
        <f>IF(_xlfn.XLOOKUP($B89,island_data!$B:$B,island_data!Y:Y,"NaN")="","NaN",_xlfn.XLOOKUP($B89,island_data!$B:$B,island_data!Y:Y,"NaN"))</f>
        <v>#N/A</v>
      </c>
      <c r="DT89" s="4" t="e">
        <f>IF(_xlfn.XLOOKUP($B89,island_data!$B:$B,island_data!Z:Z,"NaN")="","NaN",_xlfn.XLOOKUP($B89,island_data!$B:$B,island_data!Z:Z,"NaN"))</f>
        <v>#N/A</v>
      </c>
      <c r="DU89" s="4" t="e">
        <f>IF(_xlfn.XLOOKUP($B89,island_data!$B:$B,island_data!AA:AA,"NaN")="","NaN",_xlfn.XLOOKUP($B89,island_data!$B:$B,island_data!AA:AA,"NaN"))</f>
        <v>#N/A</v>
      </c>
      <c r="DV89" s="4" t="e">
        <f>IF(_xlfn.XLOOKUP($B89,island_data!$B:$B,island_data!AB:AB,"NaN")="","NaN",_xlfn.XLOOKUP($B89,island_data!$B:$B,island_data!AB:AB,"NaN"))</f>
        <v>#N/A</v>
      </c>
      <c r="DW89" s="4" t="e">
        <f>IF(_xlfn.XLOOKUP($B89,island_data!$B:$B,island_data!AC:AC,"NaN")="","NaN",_xlfn.XLOOKUP($B89,island_data!$B:$B,island_data!AC:AC,"NaN"))</f>
        <v>#N/A</v>
      </c>
      <c r="DX89" s="4" t="e">
        <f>IF(_xlfn.XLOOKUP($B89,island_data!$B:$B,island_data!AD:AD,"NaN")="","NaN",_xlfn.XLOOKUP($B89,island_data!$B:$B,island_data!AD:AD,"NaN"))</f>
        <v>#N/A</v>
      </c>
      <c r="DY89" s="4" t="e">
        <f>IF(_xlfn.XLOOKUP($B89,island_data!$B:$B,island_data!AE:AE,"NaN")="","NaN",_xlfn.XLOOKUP($B89,island_data!$B:$B,island_data!AE:AE,"NaN"))</f>
        <v>#N/A</v>
      </c>
      <c r="DZ89" s="4" t="e">
        <f>IF(_xlfn.XLOOKUP($B89,island_data!$B:$B,island_data!AF:AF,"NaN")="","NaN",_xlfn.XLOOKUP($B89,island_data!$B:$B,island_data!AF:AF,"NaN"))</f>
        <v>#N/A</v>
      </c>
      <c r="EA89" s="4" t="e">
        <f>IF(_xlfn.XLOOKUP($B89,island_data!$B:$B,island_data!AG:AG,"NaN")="","NaN",_xlfn.XLOOKUP($B89,island_data!$B:$B,island_data!AG:AG,"NaN"))</f>
        <v>#N/A</v>
      </c>
      <c r="EB89" s="4" t="e">
        <f>IF(_xlfn.XLOOKUP($B89,island_data!$B:$B,island_data!AH:AH,"NaN")="","NaN",_xlfn.XLOOKUP($B89,island_data!$B:$B,island_data!AH:AH,"NaN"))</f>
        <v>#N/A</v>
      </c>
      <c r="EC89" s="4" t="e">
        <f>IF(_xlfn.XLOOKUP($B89,island_data!$B:$B,island_data!AI:AI,"NaN")="","NaN",_xlfn.XLOOKUP($B89,island_data!$B:$B,island_data!AI:AI,"NaN"))</f>
        <v>#N/A</v>
      </c>
      <c r="ED89" s="4" t="e">
        <f>IF(_xlfn.XLOOKUP($B89,island_data!$B:$B,island_data!AJ:AJ,"NaN")="","NaN",_xlfn.XLOOKUP($B89,island_data!$B:$B,island_data!AJ:AJ,"NaN"))</f>
        <v>#N/A</v>
      </c>
      <c r="EE89" s="4" t="e">
        <f>IF(_xlfn.XLOOKUP($B89,island_data!$B:$B,island_data!AK:AK,"NaN")="","NaN",_xlfn.XLOOKUP($B89,island_data!$B:$B,island_data!AK:AK,"NaN"))</f>
        <v>#N/A</v>
      </c>
      <c r="EF89" s="4" t="e">
        <f>IF(_xlfn.XLOOKUP($B89,island_data!$B:$B,island_data!AL:AL,"NaN")="","NaN",_xlfn.XLOOKUP($B89,island_data!$B:$B,island_data!AL:AL,"NaN"))</f>
        <v>#N/A</v>
      </c>
      <c r="EG89" s="4" t="e">
        <f>IF(_xlfn.XLOOKUP($B89,island_data!$B:$B,island_data!AM:AM,"NaN")="","NaN",_xlfn.XLOOKUP($B89,island_data!$B:$B,island_data!AM:AM,"NaN"))</f>
        <v>#N/A</v>
      </c>
      <c r="EH89" s="4" t="e">
        <f>IF(_xlfn.XLOOKUP($B89,island_data!$B:$B,island_data!AN:AN,"NaN")="","NaN",_xlfn.XLOOKUP($B89,island_data!$B:$B,island_data!AN:AN,"NaN"))</f>
        <v>#N/A</v>
      </c>
      <c r="EI89" s="4" t="e">
        <f>IF(_xlfn.XLOOKUP($B89,island_data!$B:$B,island_data!AO:AO,"NaN")="","NaN",_xlfn.XLOOKUP($B89,island_data!$B:$B,island_data!AO:AO,"NaN"))</f>
        <v>#N/A</v>
      </c>
      <c r="EJ89" s="8" t="str">
        <f>IF(_xlfn.XLOOKUP($A89,TabCAT!$A:$A,TabCAT!AU:AU,"NaN")="","NaN",(_xlfn.XLOOKUP($A89,TabCAT!$A:$A,TabCAT!AU:AU,"NaN")))</f>
        <v>NaN</v>
      </c>
      <c r="EK89" s="8" t="str">
        <f>IF(_xlfn.XLOOKUP($A89,TabCAT!$A:$A,TabCAT!AV:AV,"NaN")="","NaN",(_xlfn.XLOOKUP($A89,TabCAT!$A:$A,TabCAT!AV:AV,"NaN")))</f>
        <v>NaN</v>
      </c>
      <c r="EL89" s="8" t="str">
        <f>IF(_xlfn.XLOOKUP($A89,TabCAT!$A:$A,TabCAT!AW:AW,"NaN")="","NaN",(_xlfn.XLOOKUP($A89,TabCAT!$A:$A,TabCAT!AW:AW,"NaN")))</f>
        <v>NaN</v>
      </c>
      <c r="EM89" s="8" t="str">
        <f>IF(_xlfn.XLOOKUP($A89,TabCAT!$A:$A,TabCAT!AX:AX,"NaN")="","NaN",(_xlfn.XLOOKUP($A89,TabCAT!$A:$A,TabCAT!AX:AX,"NaN")))</f>
        <v>NaN</v>
      </c>
      <c r="EN89" s="8" t="str">
        <f>IF(_xlfn.XLOOKUP($A89,TabCAT!$A:$A,TabCAT!AY:AY,"NaN")="","NaN",(_xlfn.XLOOKUP($A89,TabCAT!$A:$A,TabCAT!AY:AY,"NaN")))</f>
        <v>NaN</v>
      </c>
      <c r="EO89" s="8" t="str">
        <f>IF(_xlfn.XLOOKUP($A89,TabCAT!$A:$A,TabCAT!AZ:AZ,"NaN")="","NaN",(_xlfn.XLOOKUP($A89,TabCAT!$A:$A,TabCAT!AZ:AZ,"NaN")))</f>
        <v>NaN</v>
      </c>
      <c r="EP89" s="8" t="str">
        <f>IF(_xlfn.XLOOKUP($A89,TabCAT!$A:$A,TabCAT!BA:BA,"NaN")="","NaN",(_xlfn.XLOOKUP($A89,TabCAT!$A:$A,TabCAT!BA:BA,"NaN")))</f>
        <v>NaN</v>
      </c>
      <c r="EQ89" s="8" t="str">
        <f>IF(_xlfn.XLOOKUP($A89,TabCAT!$A:$A,TabCAT!BB:BB,"NaN")="","NaN",(_xlfn.XLOOKUP($A89,TabCAT!$A:$A,TabCAT!BB:BB,"NaN")))</f>
        <v>NaN</v>
      </c>
      <c r="ER89" s="8" t="str">
        <f>IF(_xlfn.XLOOKUP($A89,TabCAT!$A:$A,TabCAT!BC:BC,"NaN")="","NaN",(_xlfn.XLOOKUP($A89,TabCAT!$A:$A,TabCAT!BC:BC,"NaN")))</f>
        <v>NaN</v>
      </c>
      <c r="ES89" s="8" t="str">
        <f>IF(_xlfn.XLOOKUP($A89,TabCAT!$A:$A,TabCAT!BD:BD,"NaN")="","NaN",(_xlfn.XLOOKUP($A89,TabCAT!$A:$A,TabCAT!BD:BD,"NaN")))</f>
        <v>NaN</v>
      </c>
      <c r="ET89" s="8" t="str">
        <f>IF(_xlfn.XLOOKUP($A89,TabCAT!$A:$A,TabCAT!BE:BE,"NaN")="","NaN",(_xlfn.XLOOKUP($A89,TabCAT!$A:$A,TabCAT!BE:BE,"NaN")))</f>
        <v>NaN</v>
      </c>
      <c r="EU89" s="8" t="str">
        <f>IF(_xlfn.XLOOKUP($A89,TabCAT!$A:$A,TabCAT!BF:BF,"NaN")="","NaN",(_xlfn.XLOOKUP($A89,TabCAT!$A:$A,TabCAT!BF:BF,"NaN")))</f>
        <v>NaN</v>
      </c>
      <c r="EV89" s="8" t="str">
        <f>IF(_xlfn.XLOOKUP($A89,TabCAT!$A:$A,TabCAT!BG:BG,"NaN")="","NaN",(_xlfn.XLOOKUP($A89,TabCAT!$A:$A,TabCAT!BG:BG,"NaN")))</f>
        <v>NaN</v>
      </c>
      <c r="EW89" s="8" t="str">
        <f>IF(_xlfn.XLOOKUP($A89,TabCAT!$A:$A,TabCAT!BH:BH,"NaN")="","NaN",(_xlfn.XLOOKUP($A89,TabCAT!$A:$A,TabCAT!BH:BH,"NaN")))</f>
        <v>NaN</v>
      </c>
      <c r="EX89" s="8" t="str">
        <f>IF(_xlfn.XLOOKUP($A89,TabCAT!$A:$A,TabCAT!BI:BI,"NaN")="","NaN",(_xlfn.XLOOKUP($A89,TabCAT!$A:$A,TabCAT!BI:BI,"NaN")))</f>
        <v>NaN</v>
      </c>
      <c r="EY89" s="8" t="str">
        <f>IF(_xlfn.XLOOKUP($A89,TabCAT!$A:$A,TabCAT!BJ:BJ,"NaN")="","NaN",(_xlfn.XLOOKUP($A89,TabCAT!$A:$A,TabCAT!BJ:BJ,"NaN")))</f>
        <v>NaN</v>
      </c>
      <c r="EZ89" s="8" t="str">
        <f>IF(_xlfn.XLOOKUP($A89,TabCAT!$A:$A,TabCAT!BK:BK,"NaN")="","NaN",(_xlfn.XLOOKUP($A89,TabCAT!$A:$A,TabCAT!BK:BK,"NaN")))</f>
        <v>NaN</v>
      </c>
      <c r="FA89" s="8" t="str">
        <f>IF(_xlfn.XLOOKUP($A89,TabCAT!$A:$A,TabCAT!BL:BL,"NaN")="","NaN",(_xlfn.XLOOKUP($A89,TabCAT!$A:$A,TabCAT!BL:BL,"NaN")))</f>
        <v>NaN</v>
      </c>
      <c r="FB89" s="8" t="str">
        <f>IF(_xlfn.XLOOKUP($A89,TabCAT!$A:$A,TabCAT!BM:BM,"NaN")="","NaN",(_xlfn.XLOOKUP($A89,TabCAT!$A:$A,TabCAT!BM:BM,"NaN")))</f>
        <v>NaN</v>
      </c>
      <c r="FC89" s="8" t="str">
        <f>IF(_xlfn.XLOOKUP($A89,TabCAT!$A:$A,TabCAT!BN:BN,"NaN")="","NaN",(_xlfn.XLOOKUP($A89,TabCAT!$A:$A,TabCAT!BN:BN,"NaN")))</f>
        <v>NaN</v>
      </c>
      <c r="FD89" s="8" t="str">
        <f>IF(_xlfn.XLOOKUP($A89,TabCAT!$A:$A,TabCAT!BO:BO,"NaN")="","NaN",(_xlfn.XLOOKUP($A89,TabCAT!$A:$A,TabCAT!BO:BO,"NaN")))</f>
        <v>NaN</v>
      </c>
      <c r="FE89" s="8" t="str">
        <f>IF(_xlfn.XLOOKUP($A89,TabCAT!$A:$A,TabCAT!BP:BP,"NaN")="","NaN",(_xlfn.XLOOKUP($A89,TabCAT!$A:$A,TabCAT!BP:BP,"NaN")))</f>
        <v>NaN</v>
      </c>
      <c r="FF89" s="8" t="str">
        <f>IF(_xlfn.XLOOKUP($A89,TabCAT!$A:$A,TabCAT!BQ:BQ,"NaN")="","NaN",(_xlfn.XLOOKUP($A89,TabCAT!$A:$A,TabCAT!BQ:BQ,"NaN")))</f>
        <v>NaN</v>
      </c>
      <c r="FG89" s="8" t="str">
        <f>IF(_xlfn.XLOOKUP($A89,TabCAT!$A:$A,TabCAT!BR:BR,"NaN")="","NaN",(_xlfn.XLOOKUP($A89,TabCAT!$A:$A,TabCAT!BR:BR,"NaN")))</f>
        <v>NaN</v>
      </c>
      <c r="FH89" s="8" t="str">
        <f>IF(_xlfn.XLOOKUP($A89,TabCAT!$A:$A,TabCAT!BS:BS,"NaN")="","NaN",(_xlfn.XLOOKUP($A89,TabCAT!$A:$A,TabCAT!BS:BS,"NaN")))</f>
        <v>NaN</v>
      </c>
      <c r="FI89" s="8" t="str">
        <f>IF(_xlfn.XLOOKUP($A89,TabCAT!$A:$A,TabCAT!BT:BT,"NaN")="","NaN",(_xlfn.XLOOKUP($A89,TabCAT!$A:$A,TabCAT!BT:BT,"NaN")))</f>
        <v>NaN</v>
      </c>
      <c r="FJ89" s="8" t="str">
        <f>IF(_xlfn.XLOOKUP($A89,TabCAT!$A:$A,TabCAT!BU:BU,"NaN")="","NaN",(_xlfn.XLOOKUP($A89,TabCAT!$A:$A,TabCAT!BU:BU,"NaN")))</f>
        <v>NaN</v>
      </c>
      <c r="FK89" s="8" t="str">
        <f>IF(_xlfn.XLOOKUP($A89,TabCAT!$A:$A,TabCAT!BV:BV,"NaN")="","NaN",(_xlfn.XLOOKUP($A89,TabCAT!$A:$A,TabCAT!BV:BV,"NaN")))</f>
        <v>NaN</v>
      </c>
      <c r="FL89" s="8" t="str">
        <f>IF(_xlfn.XLOOKUP($A89,TabCAT!$A:$A,TabCAT!BW:BW,"NaN")="","NaN",(_xlfn.XLOOKUP($A89,TabCAT!$A:$A,TabCAT!BW:BW,"NaN")))</f>
        <v>NaN</v>
      </c>
      <c r="FM89" s="8" t="str">
        <f>IF(_xlfn.XLOOKUP($A89,TabCAT!$A:$A,TabCAT!BX:BX,"NaN")="","NaN",(_xlfn.XLOOKUP($A89,TabCAT!$A:$A,TabCAT!BX:BX,"NaN")))</f>
        <v>NaN</v>
      </c>
      <c r="FN89" s="8" t="str">
        <f>IF(_xlfn.XLOOKUP($A89,TabCAT!$A:$A,TabCAT!BY:BY,"NaN")="","NaN",(_xlfn.XLOOKUP($A89,TabCAT!$A:$A,TabCAT!BY:BY,"NaN")))</f>
        <v>NaN</v>
      </c>
      <c r="FO89" s="8" t="str">
        <f>IF(_xlfn.XLOOKUP($A89,TabCAT!$A:$A,TabCAT!BZ:BZ,"NaN")="","NaN",(_xlfn.XLOOKUP($A89,TabCAT!$A:$A,TabCAT!BZ:BZ,"NaN")))</f>
        <v>NaN</v>
      </c>
      <c r="FP89" s="8" t="str">
        <f>IF(_xlfn.XLOOKUP($A89,TabCAT!$A:$A,TabCAT!CA:CA,"NaN")="","NaN",(_xlfn.XLOOKUP($A89,TabCAT!$A:$A,TabCAT!CA:CA,"NaN")))</f>
        <v>NaN</v>
      </c>
      <c r="FQ89" s="8" t="str">
        <f>IF(_xlfn.XLOOKUP($A89,TabCAT!$A:$A,TabCAT!CB:CB,"NaN")="","NaN",(_xlfn.XLOOKUP($A89,TabCAT!$A:$A,TabCAT!CB:CB,"NaN")))</f>
        <v>NaN</v>
      </c>
      <c r="FR89" s="8" t="str">
        <f>IF(_xlfn.XLOOKUP($A89,TabCAT!$A:$A,TabCAT!CC:CC,"NaN")="","NaN",(_xlfn.XLOOKUP($A89,TabCAT!$A:$A,TabCAT!CC:CC,"NaN")))</f>
        <v>NaN</v>
      </c>
      <c r="FS89" s="8" t="str">
        <f>IF(_xlfn.XLOOKUP($A89,TabCAT!$A:$A,TabCAT!CD:CD,"NaN")="","NaN",(_xlfn.XLOOKUP($A89,TabCAT!$A:$A,TabCAT!CD:CD,"NaN")))</f>
        <v>NaN</v>
      </c>
      <c r="FT89" s="8" t="str">
        <f>IF(_xlfn.XLOOKUP($A89,TabCAT!$A:$A,TabCAT!CE:CE,"NaN")="","NaN",(_xlfn.XLOOKUP($A89,TabCAT!$A:$A,TabCAT!CE:CE,"NaN")))</f>
        <v>NaN</v>
      </c>
      <c r="FU89" s="8" t="str">
        <f>IF(_xlfn.XLOOKUP($A89,TabCAT!$A:$A,TabCAT!CF:CF,"NaN")="","NaN",(_xlfn.XLOOKUP($A89,TabCAT!$A:$A,TabCAT!CF:CF,"NaN")))</f>
        <v>NaN</v>
      </c>
      <c r="FV89" s="8" t="str">
        <f>IF(_xlfn.XLOOKUP($A89,TabCAT!$A:$A,TabCAT!CG:CG,"NaN")="","NaN",(_xlfn.XLOOKUP($A89,TabCAT!$A:$A,TabCAT!CG:CG,"NaN")))</f>
        <v>NaN</v>
      </c>
      <c r="FW89" s="8" t="str">
        <f>IF(_xlfn.XLOOKUP($A89,TabCAT!$A:$A,TabCAT!CH:CH,"NaN")="","NaN",(_xlfn.XLOOKUP($A89,TabCAT!$A:$A,TabCAT!CH:CH,"NaN")))</f>
        <v>NaN</v>
      </c>
      <c r="FX89" s="8" t="str">
        <f>IF(_xlfn.XLOOKUP($A89,TabCAT!$A:$A,TabCAT!CI:CI,"NaN")="","NaN",(_xlfn.XLOOKUP($A89,TabCAT!$A:$A,TabCAT!CI:CI,"NaN")))</f>
        <v>NaN</v>
      </c>
      <c r="FY89" s="8" t="str">
        <f>IF(_xlfn.XLOOKUP($A89,TabCAT!$A:$A,TabCAT!CJ:CJ,"NaN")="","NaN",(_xlfn.XLOOKUP($A89,TabCAT!$A:$A,TabCAT!CJ:CJ,"NaN")))</f>
        <v>NaN</v>
      </c>
      <c r="FZ89" s="8" t="str">
        <f>IF(_xlfn.XLOOKUP($A89,TabCAT!$A:$A,TabCAT!CK:CK,"NaN")="","NaN",(_xlfn.XLOOKUP($A89,TabCAT!$A:$A,TabCAT!CK:CK,"NaN")))</f>
        <v>NaN</v>
      </c>
      <c r="GA89" s="8" t="str">
        <f>IF(_xlfn.XLOOKUP($A89,TabCAT!$A:$A,TabCAT!CL:CL,"NaN")="","NaN",(_xlfn.XLOOKUP($A89,TabCAT!$A:$A,TabCAT!CL:CL,"NaN")))</f>
        <v>NaN</v>
      </c>
      <c r="GB89" s="8" t="str">
        <f>IF(_xlfn.XLOOKUP($A89,TabCAT!$A:$A,TabCAT!CM:CM,"NaN")="","NaN",(_xlfn.XLOOKUP($A89,TabCAT!$A:$A,TabCAT!CM:CM,"NaN")))</f>
        <v>NaN</v>
      </c>
      <c r="GC89" s="8" t="str">
        <f>IF(_xlfn.XLOOKUP($A89,TabCAT!$A:$A,TabCAT!CN:CN,"NaN")="","NaN",(_xlfn.XLOOKUP($A89,TabCAT!$A:$A,TabCAT!CN:CN,"NaN")))</f>
        <v>NaN</v>
      </c>
      <c r="GD89" s="8" t="str">
        <f>IF(_xlfn.XLOOKUP($A89,TabCAT!$A:$A,TabCAT!CO:CO,"NaN")="","NaN",(_xlfn.XLOOKUP($A89,TabCAT!$A:$A,TabCAT!CO:CO,"NaN")))</f>
        <v>NaN</v>
      </c>
      <c r="GE89" s="8" t="str">
        <f>IF(_xlfn.XLOOKUP($A89,TabCAT!$A:$A,TabCAT!CP:CP,"NaN")="","NaN",(_xlfn.XLOOKUP($A89,TabCAT!$A:$A,TabCAT!CP:CP,"NaN")))</f>
        <v>NaN</v>
      </c>
      <c r="GF89" s="8" t="str">
        <f>IF(_xlfn.XLOOKUP($A89,TabCAT!$A:$A,TabCAT!CQ:CQ,"NaN")="","NaN",(_xlfn.XLOOKUP($A89,TabCAT!$A:$A,TabCAT!CQ:CQ,"NaN")))</f>
        <v>NaN</v>
      </c>
      <c r="GG89" s="8" t="str">
        <f>IF(_xlfn.XLOOKUP($A89,TabCAT!$A:$A,TabCAT!CR:CR,"NaN")="","NaN",(_xlfn.XLOOKUP($A89,TabCAT!$A:$A,TabCAT!CR:CR,"NaN")))</f>
        <v>NaN</v>
      </c>
      <c r="GH89" s="8" t="str">
        <f>IF(_xlfn.XLOOKUP($A89,TabCAT!$A:$A,TabCAT!CS:CS,"NaN")="","NaN",(_xlfn.XLOOKUP($A89,TabCAT!$A:$A,TabCAT!CS:CS,"NaN")))</f>
        <v>NaN</v>
      </c>
    </row>
    <row r="90" spans="1:190" x14ac:dyDescent="0.2">
      <c r="A90">
        <f>trust!A90</f>
        <v>0</v>
      </c>
      <c r="B90" t="e">
        <f>_xlfn.XLOOKUP(bippity_poppity_boo!A90,rf1_data!A:A,rf1_data!B:B)</f>
        <v>#N/A</v>
      </c>
      <c r="C90" s="2" t="str">
        <f>(_xlfn.XLOOKUP($A90,trust!$A:$A,trust!B:B,"NaN"))</f>
        <v>NaN</v>
      </c>
      <c r="D90" s="2" t="str">
        <f>(_xlfn.XLOOKUP($A90,trust!$A:$A,trust!C:C,"NaN"))</f>
        <v>NaN</v>
      </c>
      <c r="E90" s="2" t="str">
        <f>(_xlfn.XLOOKUP($A90,trust!$A:$A,trust!D:D,"NaN"))</f>
        <v>NaN</v>
      </c>
      <c r="F90" s="2" t="str">
        <f>(_xlfn.XLOOKUP($A90,trust!$A:$A,trust!E:E,"NaN"))</f>
        <v>NaN</v>
      </c>
      <c r="G90" s="2" t="str">
        <f>(_xlfn.XLOOKUP($A90,trust!$A:$A,trust!F:F,"NaN"))</f>
        <v>NaN</v>
      </c>
      <c r="H90" s="2" t="str">
        <f>(_xlfn.XLOOKUP($A90,trust!$A:$A,trust!G:G,"NaN"))</f>
        <v>NaN</v>
      </c>
      <c r="I90" s="3" t="e">
        <f>IF(_xlfn.XLOOKUP($B90,island_data!$B:$B,island_data!C:C,"NaN")="","NaN",_xlfn.XLOOKUP($B90,island_data!$B:$B,island_data!C:C,"NaN"))</f>
        <v>#N/A</v>
      </c>
      <c r="J90" s="3" t="e">
        <f>IF(_xlfn.XLOOKUP($B90,island_data!$B:$B,island_data!D:D,"NaN")="","NaN",_xlfn.XLOOKUP($B90,island_data!$B:$B,island_data!D:D,"NaN"))</f>
        <v>#N/A</v>
      </c>
      <c r="K90" s="4" t="e">
        <f>IF(_xlfn.XLOOKUP($B90,island_data!$B:$B,island_data!E:E,"NaN")="","NaN",_xlfn.XLOOKUP($B90,island_data!$B:$B,island_data!E:E,"NaN"))</f>
        <v>#N/A</v>
      </c>
      <c r="L90" s="5" t="e">
        <f>IF(_xlfn.XLOOKUP($B90,rf1_data!$B:$B,rf1_data!D:D,"NaN")="","NaN",(_xlfn.XLOOKUP($B90,rf1_data!$B:$B,rf1_data!D:D,"NaN")))</f>
        <v>#N/A</v>
      </c>
      <c r="M90" s="5" t="e">
        <f>IF(_xlfn.XLOOKUP($B90,rf1_data!$B:$B,rf1_data!E:E,"NaN")="","NaN",(_xlfn.XLOOKUP($B90,rf1_data!$B:$B,rf1_data!E:E,"NaN")))</f>
        <v>#N/A</v>
      </c>
      <c r="N90" s="5" t="e">
        <f>IF(_xlfn.XLOOKUP($B90,rf1_data!$B:$B,rf1_data!F:F,"NaN")="","NaN",(_xlfn.XLOOKUP($B90,rf1_data!$B:$B,rf1_data!F:F,"NaN")))</f>
        <v>#N/A</v>
      </c>
      <c r="O90" s="5" t="e">
        <f>IF(_xlfn.XLOOKUP($B90,rf1_data!$B:$B,rf1_data!G:G,"NaN")="","NaN",(_xlfn.XLOOKUP($B90,rf1_data!$B:$B,rf1_data!G:G,"NaN")))</f>
        <v>#N/A</v>
      </c>
      <c r="P90" s="5" t="e">
        <f>IF(_xlfn.XLOOKUP($B90,rf1_data!$B:$B,rf1_data!H:H,"NaN")="","NaN",(_xlfn.XLOOKUP($B90,rf1_data!$B:$B,rf1_data!H:H,"NaN")))</f>
        <v>#N/A</v>
      </c>
      <c r="Q90" s="5" t="e">
        <f>IF(_xlfn.XLOOKUP($B90,rf1_data!$B:$B,rf1_data!I:I,"NaN")="","NaN",(_xlfn.XLOOKUP($B90,rf1_data!$B:$B,rf1_data!I:I,"NaN")))</f>
        <v>#N/A</v>
      </c>
      <c r="R90" s="5" t="e">
        <f>IF(_xlfn.XLOOKUP($B90,rf1_data!$B:$B,rf1_data!J:J,"NaN")="","NaN",(_xlfn.XLOOKUP($B90,rf1_data!$B:$B,rf1_data!J:J,"NaN")))</f>
        <v>#N/A</v>
      </c>
      <c r="S90" s="5" t="e">
        <f>IF(_xlfn.XLOOKUP($B90,rf1_data!$B:$B,rf1_data!K:K,"NaN")="","NaN",(_xlfn.XLOOKUP($B90,rf1_data!$B:$B,rf1_data!K:K,"NaN")))</f>
        <v>#N/A</v>
      </c>
      <c r="T90" s="5" t="e">
        <f>IF(_xlfn.XLOOKUP($B90,rf1_data!$B:$B,rf1_data!L:L,"NaN")="","NaN",(_xlfn.XLOOKUP($B90,rf1_data!$B:$B,rf1_data!L:L,"NaN")))</f>
        <v>#N/A</v>
      </c>
      <c r="U90" s="5" t="e">
        <f>IF(_xlfn.XLOOKUP($B90,rf1_data!$B:$B,rf1_data!M:M,"NaN")="","NaN",(_xlfn.XLOOKUP($B90,rf1_data!$B:$B,rf1_data!M:M,"NaN")))</f>
        <v>#N/A</v>
      </c>
      <c r="V90" s="5" t="e">
        <f>IF(_xlfn.XLOOKUP($B90,rf1_data!$B:$B,rf1_data!N:N,"NaN")="","NaN",(_xlfn.XLOOKUP($B90,rf1_data!$B:$B,rf1_data!N:N,"NaN")))</f>
        <v>#N/A</v>
      </c>
      <c r="W90" s="5" t="e">
        <f>IF(_xlfn.XLOOKUP($B90,rf1_data!$B:$B,rf1_data!O:O,"NaN")="","NaN",(_xlfn.XLOOKUP($B90,rf1_data!$B:$B,rf1_data!O:O,"NaN")))</f>
        <v>#N/A</v>
      </c>
      <c r="X90" s="5" t="e">
        <f>IF(_xlfn.XLOOKUP($B90,rf1_data!$B:$B,rf1_data!P:P,"NaN")="","NaN",(_xlfn.XLOOKUP($B90,rf1_data!$B:$B,rf1_data!P:P,"NaN")))</f>
        <v>#N/A</v>
      </c>
      <c r="Y90" s="5" t="e">
        <f>IF(_xlfn.XLOOKUP($B90,rf1_data!$B:$B,rf1_data!Q:Q,"NaN")="","NaN",(_xlfn.XLOOKUP($B90,rf1_data!$B:$B,rf1_data!Q:Q,"NaN")))</f>
        <v>#N/A</v>
      </c>
      <c r="Z90" s="5" t="e">
        <f>IF(_xlfn.XLOOKUP($B90,rf1_data!$B:$B,rf1_data!R:R,"NaN")="","NaN",(_xlfn.XLOOKUP($B90,rf1_data!$B:$B,rf1_data!R:R,"NaN")))</f>
        <v>#N/A</v>
      </c>
      <c r="AA90" s="5" t="e">
        <f>IF(_xlfn.XLOOKUP($B90,rf1_data!$B:$B,rf1_data!S:S,"NaN")="","NaN",(_xlfn.XLOOKUP($B90,rf1_data!$B:$B,rf1_data!S:S,"NaN")))</f>
        <v>#N/A</v>
      </c>
      <c r="AB90" s="5" t="e">
        <f>IF(_xlfn.XLOOKUP($B90,rf1_data!$B:$B,rf1_data!T:T,"NaN")="","NaN",(_xlfn.XLOOKUP($B90,rf1_data!$B:$B,rf1_data!T:T,"NaN")))</f>
        <v>#N/A</v>
      </c>
      <c r="AC90" s="5" t="e">
        <f>IF(_xlfn.XLOOKUP($B90,rf1_data!$B:$B,rf1_data!U:U,"NaN")="","NaN",(_xlfn.XLOOKUP($B90,rf1_data!$B:$B,rf1_data!U:U,"NaN")))</f>
        <v>#N/A</v>
      </c>
      <c r="AD90" s="5" t="e">
        <f>IF(_xlfn.XLOOKUP($B90,rf1_data!$B:$B,rf1_data!V:V,"NaN")="","NaN",(_xlfn.XLOOKUP($B90,rf1_data!$B:$B,rf1_data!V:V,"NaN")))</f>
        <v>#N/A</v>
      </c>
      <c r="AE90" s="5" t="e">
        <f>IF(_xlfn.XLOOKUP($B90,rf1_data!$B:$B,rf1_data!W:W,"NaN")="","NaN",(_xlfn.XLOOKUP($B90,rf1_data!$B:$B,rf1_data!W:W,"NaN")))</f>
        <v>#N/A</v>
      </c>
      <c r="AF90" s="5" t="e">
        <f>IF(_xlfn.XLOOKUP($B90,rf1_data!$B:$B,rf1_data!X:X,"NaN")="","NaN",(_xlfn.XLOOKUP($B90,rf1_data!$B:$B,rf1_data!X:X,"NaN")))</f>
        <v>#N/A</v>
      </c>
      <c r="AG90" s="5" t="e">
        <f>IF(_xlfn.XLOOKUP($B90,rf1_data!$B:$B,rf1_data!Y:Y,"NaN")="","NaN",(_xlfn.XLOOKUP($B90,rf1_data!$B:$B,rf1_data!Y:Y,"NaN")))</f>
        <v>#N/A</v>
      </c>
      <c r="AH90" s="5" t="e">
        <f>IF(_xlfn.XLOOKUP($B90,rf1_data!$B:$B,rf1_data!Z:Z,"NaN")="","NaN",(_xlfn.XLOOKUP($B90,rf1_data!$B:$B,rf1_data!Z:Z,"NaN")))</f>
        <v>#N/A</v>
      </c>
      <c r="AI90" s="5" t="e">
        <f>IF(_xlfn.XLOOKUP($B90,rf1_data!$B:$B,rf1_data!AA:AA,"NaN")="","NaN",(_xlfn.XLOOKUP($B90,rf1_data!$B:$B,rf1_data!AA:AA,"NaN")))</f>
        <v>#N/A</v>
      </c>
      <c r="AJ90" s="5" t="e">
        <f>IF(_xlfn.XLOOKUP($B90,rf1_data!$B:$B,rf1_data!AB:AB,"NaN")="","NaN",(_xlfn.XLOOKUP($B90,rf1_data!$B:$B,rf1_data!AB:AB,"NaN")))</f>
        <v>#N/A</v>
      </c>
      <c r="AK90" s="5" t="e">
        <f>IF(_xlfn.XLOOKUP($B90,rf1_data!$B:$B,rf1_data!AC:AC,"NaN")="","NaN",(_xlfn.XLOOKUP($B90,rf1_data!$B:$B,rf1_data!AC:AC,"NaN")))</f>
        <v>#N/A</v>
      </c>
      <c r="AL90" s="5" t="e">
        <f>IF(_xlfn.XLOOKUP($B90,rf1_data!$B:$B,rf1_data!AD:AD,"NaN")="","NaN",(_xlfn.XLOOKUP($B90,rf1_data!$B:$B,rf1_data!AD:AD,"NaN")))</f>
        <v>#N/A</v>
      </c>
      <c r="AM90" s="5" t="e">
        <f>IF(_xlfn.XLOOKUP($B90,rf1_data!$B:$B,rf1_data!AE:AE,"NaN")="","NaN",(_xlfn.XLOOKUP($B90,rf1_data!$B:$B,rf1_data!AE:AE,"NaN")))</f>
        <v>#N/A</v>
      </c>
      <c r="AN90" s="5" t="e">
        <f>IF(_xlfn.XLOOKUP($B90,rf1_data!$B:$B,rf1_data!AF:AF,"NaN")="","NaN",(_xlfn.XLOOKUP($B90,rf1_data!$B:$B,rf1_data!AF:AF,"NaN")))</f>
        <v>#N/A</v>
      </c>
      <c r="AO90" s="5" t="e">
        <f>IF(_xlfn.XLOOKUP($B90,rf1_data!$B:$B,rf1_data!AG:AG,"NaN")="","NaN",(_xlfn.XLOOKUP($B90,rf1_data!$B:$B,rf1_data!AG:AG,"NaN")))</f>
        <v>#N/A</v>
      </c>
      <c r="AP90" s="5" t="e">
        <f>IF(_xlfn.XLOOKUP($B90,rf1_data!$B:$B,rf1_data!AH:AH,"NaN")="","NaN",(_xlfn.XLOOKUP($B90,rf1_data!$B:$B,rf1_data!AH:AH,"NaN")))</f>
        <v>#N/A</v>
      </c>
      <c r="AQ90" s="5" t="e">
        <f>IF(_xlfn.XLOOKUP($B90,rf1_data!$B:$B,rf1_data!AI:AI,"NaN")="","NaN",(_xlfn.XLOOKUP($B90,rf1_data!$B:$B,rf1_data!AI:AI,"NaN")))</f>
        <v>#N/A</v>
      </c>
      <c r="AR90" s="5" t="e">
        <f>IF(_xlfn.XLOOKUP($B90,rf1_data!$B:$B,rf1_data!AJ:AJ,"NaN")="","NaN",(_xlfn.XLOOKUP($B90,rf1_data!$B:$B,rf1_data!AJ:AJ,"NaN")))</f>
        <v>#N/A</v>
      </c>
      <c r="AS90" s="5" t="e">
        <f>IF(_xlfn.XLOOKUP($B90,rf1_data!$B:$B,rf1_data!AK:AK,"NaN")="","NaN",(_xlfn.XLOOKUP($B90,rf1_data!$B:$B,rf1_data!AK:AK,"NaN")))</f>
        <v>#N/A</v>
      </c>
      <c r="AT90" s="5" t="e">
        <f>IF(_xlfn.XLOOKUP($B90,rf1_data!$B:$B,rf1_data!AL:AL,"NaN")="","NaN",(_xlfn.XLOOKUP($B90,rf1_data!$B:$B,rf1_data!AL:AL,"NaN")))</f>
        <v>#N/A</v>
      </c>
      <c r="AU90" s="5" t="e">
        <f>IF(_xlfn.XLOOKUP($B90,rf1_data!$B:$B,rf1_data!AM:AM,"NaN")="","NaN",(_xlfn.XLOOKUP($B90,rf1_data!$B:$B,rf1_data!AM:AM,"NaN")))</f>
        <v>#N/A</v>
      </c>
      <c r="AV90" s="5" t="e">
        <f>IF(_xlfn.XLOOKUP($B90,rf1_data!$B:$B,rf1_data!AN:AN,"NaN")="","NaN",(_xlfn.XLOOKUP($B90,rf1_data!$B:$B,rf1_data!AN:AN,"NaN")))</f>
        <v>#N/A</v>
      </c>
      <c r="AW90" s="5" t="e">
        <f>IF(_xlfn.XLOOKUP($B90,rf1_data!$B:$B,rf1_data!AO:AO,"NaN")="","NaN",(_xlfn.XLOOKUP($B90,rf1_data!$B:$B,rf1_data!AO:AO,"NaN")))</f>
        <v>#N/A</v>
      </c>
      <c r="AX90" s="5" t="e">
        <f>IF(_xlfn.XLOOKUP($B90,rf1_data!$B:$B,rf1_data!AP:AP,"NaN")="","NaN",(_xlfn.XLOOKUP($B90,rf1_data!$B:$B,rf1_data!AP:AP,"NaN")))</f>
        <v>#N/A</v>
      </c>
      <c r="AY90" s="5" t="e">
        <f>IF(_xlfn.XLOOKUP($B90,rf1_data!$B:$B,rf1_data!AQ:AQ,"NaN")="","NaN",(_xlfn.XLOOKUP($B90,rf1_data!$B:$B,rf1_data!AQ:AQ,"NaN")))</f>
        <v>#N/A</v>
      </c>
      <c r="AZ90" s="5" t="e">
        <f>IF(_xlfn.XLOOKUP($B90,rf1_data!$B:$B,rf1_data!AR:AR,"NaN")="","NaN",(_xlfn.XLOOKUP($B90,rf1_data!$B:$B,rf1_data!AR:AR,"NaN")))</f>
        <v>#N/A</v>
      </c>
      <c r="BA90" s="5" t="e">
        <f>IF(_xlfn.XLOOKUP($B90,rf1_data!$B:$B,rf1_data!AS:AS,"NaN")="","NaN",(_xlfn.XLOOKUP($B90,rf1_data!$B:$B,rf1_data!AS:AS,"NaN")))</f>
        <v>#N/A</v>
      </c>
      <c r="BB90" s="5" t="e">
        <f>IF(_xlfn.XLOOKUP($B90,rf1_data!$B:$B,rf1_data!AT:AT,"NaN")="","NaN",(_xlfn.XLOOKUP($B90,rf1_data!$B:$B,rf1_data!AT:AT,"NaN")))</f>
        <v>#N/A</v>
      </c>
      <c r="BC90" s="5" t="e">
        <f>IF(_xlfn.XLOOKUP($B90,rf1_data!$B:$B,rf1_data!AU:AU,"NaN")="","NaN",(_xlfn.XLOOKUP($B90,rf1_data!$B:$B,rf1_data!AU:AU,"NaN")))</f>
        <v>#N/A</v>
      </c>
      <c r="BD90" s="5" t="e">
        <f>IF(_xlfn.XLOOKUP($B90,rf1_data!$B:$B,rf1_data!AV:AV,"NaN")="","NaN",(_xlfn.XLOOKUP($B90,rf1_data!$B:$B,rf1_data!AV:AV,"NaN")))</f>
        <v>#N/A</v>
      </c>
      <c r="BE90" s="5" t="e">
        <f>IF(_xlfn.XLOOKUP($B90,rf1_data!$B:$B,rf1_data!AW:AW,"NaN")="","NaN",(_xlfn.XLOOKUP($B90,rf1_data!$B:$B,rf1_data!AW:AW,"NaN")))</f>
        <v>#N/A</v>
      </c>
      <c r="BF90" s="5" t="e">
        <f>IF(_xlfn.XLOOKUP($B90,rf1_data!$B:$B,rf1_data!AX:AX,"NaN")="","NaN",(_xlfn.XLOOKUP($B90,rf1_data!$B:$B,rf1_data!AX:AX,"NaN")))</f>
        <v>#N/A</v>
      </c>
      <c r="BG90" s="5" t="e">
        <f>IF(_xlfn.XLOOKUP($B90,rf1_data!$B:$B,rf1_data!AY:AY,"NaN")="","NaN",(_xlfn.XLOOKUP($B90,rf1_data!$B:$B,rf1_data!AY:AY,"NaN")))</f>
        <v>#N/A</v>
      </c>
      <c r="BH90" s="5" t="e">
        <f>IF(_xlfn.XLOOKUP($B90,rf1_data!$B:$B,rf1_data!AZ:AZ,"NaN")="","NaN",(_xlfn.XLOOKUP($B90,rf1_data!$B:$B,rf1_data!AZ:AZ,"NaN")))</f>
        <v>#N/A</v>
      </c>
      <c r="BI90" s="5" t="e">
        <f>IF(_xlfn.XLOOKUP($B90,rf1_data!$B:$B,rf1_data!BA:BA,"NaN")="","NaN",(_xlfn.XLOOKUP($B90,rf1_data!$B:$B,rf1_data!BA:BA,"NaN")))</f>
        <v>#N/A</v>
      </c>
      <c r="BJ90" s="5" t="e">
        <f>IF(_xlfn.XLOOKUP($B90,rf1_data!$B:$B,rf1_data!BB:BB,"NaN")="","NaN",(_xlfn.XLOOKUP($B90,rf1_data!$B:$B,rf1_data!BB:BB,"NaN")))</f>
        <v>#N/A</v>
      </c>
      <c r="BK90" s="5" t="e">
        <f>IF(_xlfn.XLOOKUP($B90,rf1_data!$B:$B,rf1_data!BC:BC,"NaN")="","NaN",(_xlfn.XLOOKUP($B90,rf1_data!$B:$B,rf1_data!BC:BC,"NaN")))</f>
        <v>#N/A</v>
      </c>
      <c r="BL90" s="5" t="e">
        <f>IF(_xlfn.XLOOKUP($B90,rf1_data!$B:$B,rf1_data!BD:BD,"NaN")="","NaN",(_xlfn.XLOOKUP($B90,rf1_data!$B:$B,rf1_data!BD:BD,"NaN")))</f>
        <v>#N/A</v>
      </c>
      <c r="BM90" s="5" t="e">
        <f>IF(_xlfn.XLOOKUP($B90,rf1_data!$B:$B,rf1_data!BE:BE,"NaN")="","NaN",(_xlfn.XLOOKUP($B90,rf1_data!$B:$B,rf1_data!BE:BE,"NaN")))</f>
        <v>#N/A</v>
      </c>
      <c r="BN90" s="5" t="e">
        <f>IF(_xlfn.XLOOKUP($B90,rf1_data!$B:$B,rf1_data!BF:BF,"NaN")="","NaN",(_xlfn.XLOOKUP($B90,rf1_data!$B:$B,rf1_data!BF:BF,"NaN")))</f>
        <v>#N/A</v>
      </c>
      <c r="BO90" s="5" t="e">
        <f>IF(_xlfn.XLOOKUP($B90,rf1_data!$B:$B,rf1_data!BG:BG,"NaN")="","NaN",(_xlfn.XLOOKUP($B90,rf1_data!$B:$B,rf1_data!BG:BG,"NaN")))</f>
        <v>#N/A</v>
      </c>
      <c r="BP90" s="5" t="e">
        <f>IF(_xlfn.XLOOKUP($B90,rf1_data!$B:$B,rf1_data!BH:BH,"NaN")="","NaN",(_xlfn.XLOOKUP($B90,rf1_data!$B:$B,rf1_data!BH:BH,"NaN")))</f>
        <v>#N/A</v>
      </c>
      <c r="BQ90" s="5" t="e">
        <f>IF(_xlfn.XLOOKUP($B90,rf1_data!$B:$B,rf1_data!BI:BI,"NaN")="","NaN",(_xlfn.XLOOKUP($B90,rf1_data!$B:$B,rf1_data!BI:BI,"NaN")))</f>
        <v>#N/A</v>
      </c>
      <c r="BR90" s="5" t="e">
        <f>IF(_xlfn.XLOOKUP($B90,rf1_data!$B:$B,rf1_data!BJ:BJ,"NaN")="","NaN",(_xlfn.XLOOKUP($B90,rf1_data!$B:$B,rf1_data!BJ:BJ,"NaN")))</f>
        <v>#N/A</v>
      </c>
      <c r="BS90" s="5" t="e">
        <f>IF(_xlfn.XLOOKUP($B90,rf1_data!$B:$B,rf1_data!BK:BK,"NaN")="","NaN",(_xlfn.XLOOKUP($B90,rf1_data!$B:$B,rf1_data!BK:BK,"NaN")))</f>
        <v>#N/A</v>
      </c>
      <c r="BT90" s="5" t="e">
        <f>IF(_xlfn.XLOOKUP($B90,rf1_data!$B:$B,rf1_data!BL:BL,"NaN")="","NaN",(_xlfn.XLOOKUP($B90,rf1_data!$B:$B,rf1_data!BL:BL,"NaN")))</f>
        <v>#N/A</v>
      </c>
      <c r="BU90" s="5" t="e">
        <f>IF(_xlfn.XLOOKUP($B90,rf1_data!$B:$B,rf1_data!BM:BM,"NaN")="","NaN",(_xlfn.XLOOKUP($B90,rf1_data!$B:$B,rf1_data!BM:BM,"NaN")))</f>
        <v>#N/A</v>
      </c>
      <c r="BV90" s="5" t="e">
        <f>IF(_xlfn.XLOOKUP($B90,rf1_data!$B:$B,rf1_data!BN:BN,"NaN")="","NaN",(_xlfn.XLOOKUP($B90,rf1_data!$B:$B,rf1_data!BN:BN,"NaN")))</f>
        <v>#N/A</v>
      </c>
      <c r="BW90" s="5" t="e">
        <f>IF(_xlfn.XLOOKUP($B90,rf1_data!$B:$B,rf1_data!BO:BO,"NaN")="","NaN",(_xlfn.XLOOKUP($B90,rf1_data!$B:$B,rf1_data!BO:BO,"NaN")))</f>
        <v>#N/A</v>
      </c>
      <c r="BX90" s="5" t="e">
        <f>IF(_xlfn.XLOOKUP($B90,rf1_data!$B:$B,rf1_data!BP:BP,"NaN")="","NaN",(_xlfn.XLOOKUP($B90,rf1_data!$B:$B,rf1_data!BP:BP,"NaN")))</f>
        <v>#N/A</v>
      </c>
      <c r="BY90" s="5" t="e">
        <f>IF(_xlfn.XLOOKUP($B90,rf1_data!$B:$B,rf1_data!BQ:BQ,"NaN")="","NaN",(_xlfn.XLOOKUP($B90,rf1_data!$B:$B,rf1_data!BQ:BQ,"NaN")))</f>
        <v>#N/A</v>
      </c>
      <c r="BZ90" s="5" t="e">
        <f>IF(_xlfn.XLOOKUP($B90,rf1_data!$B:$B,rf1_data!BR:BR,"NaN")="","NaN",(_xlfn.XLOOKUP($B90,rf1_data!$B:$B,rf1_data!BR:BR,"NaN")))</f>
        <v>#N/A</v>
      </c>
      <c r="CA90" s="5" t="e">
        <f>IF(_xlfn.XLOOKUP($B90,rf1_data!$B:$B,rf1_data!BS:BS,"NaN")="","NaN",(_xlfn.XLOOKUP($B90,rf1_data!$B:$B,rf1_data!BS:BS,"NaN")))</f>
        <v>#N/A</v>
      </c>
      <c r="CB90" s="5" t="e">
        <f>IF(_xlfn.XLOOKUP($B90,rf1_data!$B:$B,rf1_data!BT:BT,"NaN")="","NaN",(_xlfn.XLOOKUP($B90,rf1_data!$B:$B,rf1_data!BT:BT,"NaN")))</f>
        <v>#N/A</v>
      </c>
      <c r="CC90" s="5" t="e">
        <f>IF(_xlfn.XLOOKUP($B90,rf1_data!$B:$B,rf1_data!BU:BU,"NaN")="","NaN",(_xlfn.XLOOKUP($B90,rf1_data!$B:$B,rf1_data!BU:BU,"NaN")))</f>
        <v>#N/A</v>
      </c>
      <c r="CD90" s="5" t="e">
        <f>IF(_xlfn.XLOOKUP($B90,rf1_data!$B:$B,rf1_data!BV:BV,"NaN")="","NaN",(_xlfn.XLOOKUP($B90,rf1_data!$B:$B,rf1_data!BV:BV,"NaN")))</f>
        <v>#N/A</v>
      </c>
      <c r="CE90" s="5" t="e">
        <f>IF(_xlfn.XLOOKUP($B90,rf1_data!$B:$B,rf1_data!BW:BW,"NaN")="","NaN",(_xlfn.XLOOKUP($B90,rf1_data!$B:$B,rf1_data!BW:BW,"NaN")))</f>
        <v>#N/A</v>
      </c>
      <c r="CF90" s="5" t="e">
        <f>IF(_xlfn.XLOOKUP($B90,rf1_data!$B:$B,rf1_data!BX:BX,"NaN")="","NaN",(_xlfn.XLOOKUP($B90,rf1_data!$B:$B,rf1_data!BX:BX,"NaN")))</f>
        <v>#N/A</v>
      </c>
      <c r="CG90" s="5" t="e">
        <f>IF(_xlfn.XLOOKUP($B90,rf1_data!$B:$B,rf1_data!BY:BY,"NaN")="","NaN",(_xlfn.XLOOKUP($B90,rf1_data!$B:$B,rf1_data!BY:BY,"NaN")))</f>
        <v>#N/A</v>
      </c>
      <c r="CH90" s="5" t="e">
        <f>IF(_xlfn.XLOOKUP($B90,rf1_data!$B:$B,rf1_data!BZ:BZ,"NaN")="","NaN",(_xlfn.XLOOKUP($B90,rf1_data!$B:$B,rf1_data!BZ:BZ,"NaN")))</f>
        <v>#N/A</v>
      </c>
      <c r="CI90" s="5" t="e">
        <f>IF(_xlfn.XLOOKUP($B90,rf1_data!$B:$B,rf1_data!CA:CA,"NaN")="","NaN",(_xlfn.XLOOKUP($B90,rf1_data!$B:$B,rf1_data!CA:CA,"NaN")))</f>
        <v>#N/A</v>
      </c>
      <c r="CJ90" s="5" t="e">
        <f>IF(_xlfn.XLOOKUP($B90,rf1_data!$B:$B,rf1_data!CB:CB,"NaN")="","NaN",(_xlfn.XLOOKUP($B90,rf1_data!$B:$B,rf1_data!CB:CB,"NaN")))</f>
        <v>#N/A</v>
      </c>
      <c r="CK90" s="5" t="e">
        <f>IF(_xlfn.XLOOKUP($B90,rf1_data!$B:$B,rf1_data!CC:CC,"NaN")="","NaN",(_xlfn.XLOOKUP($B90,rf1_data!$B:$B,rf1_data!CC:CC,"NaN")))</f>
        <v>#N/A</v>
      </c>
      <c r="CL90" s="5" t="e">
        <f>IF(_xlfn.XLOOKUP($B90,rf1_data!$B:$B,rf1_data!CD:CD,"NaN")=0,"NaN",(_xlfn.XLOOKUP($B90,rf1_data!$B:$B,rf1_data!CD:CD,"NaN")))</f>
        <v>#N/A</v>
      </c>
      <c r="CM90" s="5" t="e">
        <f>IF(_xlfn.XLOOKUP($B90,rf1_data!$B:$B,rf1_data!CE:CE,"NaN")="","NaN",(_xlfn.XLOOKUP($B90,rf1_data!$B:$B,rf1_data!CE:CE,"NaN")))</f>
        <v>#N/A</v>
      </c>
      <c r="CN90" s="5" t="e">
        <f>IF(_xlfn.XLOOKUP($B90,rf1_data!$B:$B,rf1_data!CF:CF,"NaN")="","NaN",(_xlfn.XLOOKUP($B90,rf1_data!$B:$B,rf1_data!CF:CF,"NaN")))</f>
        <v>#N/A</v>
      </c>
      <c r="CO90" s="5" t="e">
        <f>IF(_xlfn.XLOOKUP($B90,rf1_data!$B:$B,rf1_data!CG:CG,"NaN")="","NaN",(_xlfn.XLOOKUP($B90,rf1_data!$B:$B,rf1_data!CG:CG,"NaN")))</f>
        <v>#N/A</v>
      </c>
      <c r="CP90" s="5" t="e">
        <f>IF(_xlfn.XLOOKUP($B90,rf1_data!$B:$B,rf1_data!CH:CH,"NaN")=0,"NaN",(_xlfn.XLOOKUP($B90,rf1_data!$B:$B,rf1_data!CH:CH,"NaN")))</f>
        <v>#N/A</v>
      </c>
      <c r="CQ90" s="5" t="e">
        <f>IF(_xlfn.XLOOKUP($B90,rf1_data!$B:$B,rf1_data!CI:CI,"NaN")="","NaN",(_xlfn.XLOOKUP($B90,rf1_data!$B:$B,rf1_data!CI:CI,"NaN")))</f>
        <v>#N/A</v>
      </c>
      <c r="CR90" s="5" t="e">
        <f>IF(_xlfn.XLOOKUP($B90,rf1_data!$B:$B,rf1_data!CJ:CJ,"NaN")="","NaN",(_xlfn.XLOOKUP($B90,rf1_data!$B:$B,rf1_data!CJ:CJ,"NaN")))</f>
        <v>#N/A</v>
      </c>
      <c r="CS90" s="5" t="e">
        <f>IF(_xlfn.XLOOKUP($B90,rf1_data!$B:$B,rf1_data!CK:CK,"NaN")="","NaN",(_xlfn.XLOOKUP($B90,rf1_data!$B:$B,rf1_data!CK:CK,"NaN")))</f>
        <v>#N/A</v>
      </c>
      <c r="CT90" s="5" t="e">
        <f>IF(_xlfn.XLOOKUP($B90,rf1_data!$B:$B,rf1_data!CL:CL,"NaN")="","NaN",(_xlfn.XLOOKUP($B90,rf1_data!$B:$B,rf1_data!CL:CL,"NaN")))</f>
        <v>#N/A</v>
      </c>
      <c r="CU90" s="5" t="e">
        <f>IF(_xlfn.XLOOKUP($B90,rf1_data!$B:$B,rf1_data!CM:CM,"NaN")="","NaN",(_xlfn.XLOOKUP($B90,rf1_data!$B:$B,rf1_data!CM:CM,"NaN")))</f>
        <v>#N/A</v>
      </c>
      <c r="CV90" s="5" t="e">
        <f>IF(_xlfn.XLOOKUP($B90,rf1_data!$B:$B,rf1_data!CN:CN,"NaN")="","NaN",(_xlfn.XLOOKUP($B90,rf1_data!$B:$B,rf1_data!CN:CN,"NaN")))</f>
        <v>#N/A</v>
      </c>
      <c r="CW90" s="5" t="e">
        <f>IF(_xlfn.XLOOKUP($B90,rf1_data!$B:$B,rf1_data!CO:CO,"NaN")="","NaN",(_xlfn.XLOOKUP($B90,rf1_data!$B:$B,rf1_data!CO:CO,"NaN")))</f>
        <v>#N/A</v>
      </c>
      <c r="CX90" s="5" t="e">
        <f>IF(_xlfn.XLOOKUP($B90,rf1_data!$B:$B,rf1_data!CP:CP,"NaN")="","NaN",(_xlfn.XLOOKUP($B90,rf1_data!$B:$B,rf1_data!CP:CP,"NaN")))</f>
        <v>#N/A</v>
      </c>
      <c r="CY90" s="5" t="e">
        <f>IF(_xlfn.XLOOKUP($B90,rf1_data!$B:$B,rf1_data!CQ:CQ,"NaN")="","NaN",(_xlfn.XLOOKUP($B90,rf1_data!$B:$B,rf1_data!CQ:CQ,"NaN")))</f>
        <v>#N/A</v>
      </c>
      <c r="CZ90" s="5" t="e">
        <f>IF(_xlfn.XLOOKUP($B90,rf1_data!$B:$B,rf1_data!CR:CR,"NaN")="","NaN",(_xlfn.XLOOKUP($B90,rf1_data!$B:$B,rf1_data!CR:CR,"NaN")))</f>
        <v>#N/A</v>
      </c>
      <c r="DA90" s="5" t="e">
        <f>IF(_xlfn.XLOOKUP($B90,rf1_data!$B:$B,rf1_data!CS:CS,"NaN")="","NaN",(_xlfn.XLOOKUP($B90,rf1_data!$B:$B,rf1_data!CS:CS,"NaN")))</f>
        <v>#N/A</v>
      </c>
      <c r="DB90" s="4" t="e">
        <f>IF(_xlfn.XLOOKUP($B90,island_data!$B:$B,island_data!H:H,"NaN")="","NaN",_xlfn.XLOOKUP($B90,island_data!$B:$B,island_data!H:H,"NaN"))</f>
        <v>#N/A</v>
      </c>
      <c r="DC90" s="4" t="e">
        <f>IF(_xlfn.XLOOKUP($B90,island_data!$B:$B,island_data!I:I,"NaN")="","NaN",_xlfn.XLOOKUP($B90,island_data!$B:$B,island_data!I:I,"NaN"))</f>
        <v>#N/A</v>
      </c>
      <c r="DD90" s="4" t="e">
        <f>IF(_xlfn.XLOOKUP($B90,island_data!$B:$B,island_data!J:J,"NaN")="","NaN",_xlfn.XLOOKUP($B90,island_data!$B:$B,island_data!J:J,"NaN"))</f>
        <v>#N/A</v>
      </c>
      <c r="DE90" s="4" t="e">
        <f>IF(_xlfn.XLOOKUP($B90,island_data!$B:$B,island_data!K:K,"NaN")="","NaN",_xlfn.XLOOKUP($B90,island_data!$B:$B,island_data!K:K,"NaN"))</f>
        <v>#N/A</v>
      </c>
      <c r="DF90" s="4" t="e">
        <f>IF(_xlfn.XLOOKUP($B90,island_data!$B:$B,island_data!L:L,"NaN")="","NaN",_xlfn.XLOOKUP($B90,island_data!$B:$B,island_data!L:L,"NaN"))</f>
        <v>#N/A</v>
      </c>
      <c r="DG90" s="4" t="e">
        <f>IF(_xlfn.XLOOKUP($B90,island_data!$B:$B,island_data!M:M,"NaN")="","NaN",_xlfn.XLOOKUP($B90,island_data!$B:$B,island_data!M:M,"NaN"))</f>
        <v>#N/A</v>
      </c>
      <c r="DH90" s="4" t="e">
        <f>IF(_xlfn.XLOOKUP($B90,island_data!$B:$B,island_data!N:N,"NaN")="","NaN",_xlfn.XLOOKUP($B90,island_data!$B:$B,island_data!N:N,"NaN"))</f>
        <v>#N/A</v>
      </c>
      <c r="DI90" s="4" t="e">
        <f>IF(_xlfn.XLOOKUP($B90,island_data!$B:$B,island_data!O:O,"NaN")=999,"NaN",_xlfn.XLOOKUP($B90,island_data!$B:$B,island_data!O:O,"NaN"))</f>
        <v>#N/A</v>
      </c>
      <c r="DJ90" s="4" t="e">
        <f>IF(_xlfn.XLOOKUP($B90,island_data!$B:$B,island_data!P:P,"NaN")="","NaN",_xlfn.XLOOKUP($B90,island_data!$B:$B,island_data!P:P,"NaN"))</f>
        <v>#N/A</v>
      </c>
      <c r="DK90" s="4" t="e">
        <f>IF(_xlfn.XLOOKUP($B90,island_data!$B:$B,island_data!Q:Q,"NaN")="","NaN",_xlfn.XLOOKUP($B90,island_data!$B:$B,island_data!Q:Q,"NaN"))</f>
        <v>#N/A</v>
      </c>
      <c r="DL90" s="4" t="e">
        <f>IF(_xlfn.XLOOKUP($B90,island_data!$B:$B,island_data!R:R,"NaN")=999,"NaN",_xlfn.XLOOKUP($B90,island_data!$B:$B,island_data!R:R,"NaN"))</f>
        <v>#N/A</v>
      </c>
      <c r="DM90" s="4" t="e">
        <f>IF(_xlfn.XLOOKUP($B90,island_data!$B:$B,island_data!S:S,"NaN")="","NaN",_xlfn.XLOOKUP($B90,island_data!$B:$B,island_data!S:S,"NaN"))</f>
        <v>#N/A</v>
      </c>
      <c r="DN90" s="4" t="e">
        <f>IF(_xlfn.XLOOKUP($B90,island_data!$B:$B,island_data!T:T,"NaN")="","NaN",_xlfn.XLOOKUP($B90,island_data!$B:$B,island_data!T:T,"NaN"))</f>
        <v>#N/A</v>
      </c>
      <c r="DO90" s="4" t="e">
        <f>IF(_xlfn.XLOOKUP($B90,island_data!$B:$B,island_data!U:U,"NaN")="","NaN",_xlfn.XLOOKUP($B90,island_data!$B:$B,island_data!U:U,"NaN"))</f>
        <v>#N/A</v>
      </c>
      <c r="DP90" s="4" t="e">
        <f>IF(_xlfn.XLOOKUP($B90,island_data!$B:$B,island_data!V:V,"NaN")="","NaN",_xlfn.XLOOKUP($B90,island_data!$B:$B,island_data!V:V,"NaN"))</f>
        <v>#N/A</v>
      </c>
      <c r="DQ90" s="4" t="e">
        <f>IF(_xlfn.XLOOKUP($B90,island_data!$B:$B,island_data!W:W,"NaN")="","NaN",_xlfn.XLOOKUP($B90,island_data!$B:$B,island_data!W:W,"NaN"))</f>
        <v>#N/A</v>
      </c>
      <c r="DR90" s="4" t="e">
        <f>IF(_xlfn.XLOOKUP($B90,island_data!$B:$B,island_data!X:X,"NaN")="","NaN",_xlfn.XLOOKUP($B90,island_data!$B:$B,island_data!X:X,"NaN"))</f>
        <v>#N/A</v>
      </c>
      <c r="DS90" s="4" t="e">
        <f>IF(_xlfn.XLOOKUP($B90,island_data!$B:$B,island_data!Y:Y,"NaN")="","NaN",_xlfn.XLOOKUP($B90,island_data!$B:$B,island_data!Y:Y,"NaN"))</f>
        <v>#N/A</v>
      </c>
      <c r="DT90" s="4" t="e">
        <f>IF(_xlfn.XLOOKUP($B90,island_data!$B:$B,island_data!Z:Z,"NaN")="","NaN",_xlfn.XLOOKUP($B90,island_data!$B:$B,island_data!Z:Z,"NaN"))</f>
        <v>#N/A</v>
      </c>
      <c r="DU90" s="4" t="e">
        <f>IF(_xlfn.XLOOKUP($B90,island_data!$B:$B,island_data!AA:AA,"NaN")="","NaN",_xlfn.XLOOKUP($B90,island_data!$B:$B,island_data!AA:AA,"NaN"))</f>
        <v>#N/A</v>
      </c>
      <c r="DV90" s="4" t="e">
        <f>IF(_xlfn.XLOOKUP($B90,island_data!$B:$B,island_data!AB:AB,"NaN")="","NaN",_xlfn.XLOOKUP($B90,island_data!$B:$B,island_data!AB:AB,"NaN"))</f>
        <v>#N/A</v>
      </c>
      <c r="DW90" s="4" t="e">
        <f>IF(_xlfn.XLOOKUP($B90,island_data!$B:$B,island_data!AC:AC,"NaN")="","NaN",_xlfn.XLOOKUP($B90,island_data!$B:$B,island_data!AC:AC,"NaN"))</f>
        <v>#N/A</v>
      </c>
      <c r="DX90" s="4" t="e">
        <f>IF(_xlfn.XLOOKUP($B90,island_data!$B:$B,island_data!AD:AD,"NaN")="","NaN",_xlfn.XLOOKUP($B90,island_data!$B:$B,island_data!AD:AD,"NaN"))</f>
        <v>#N/A</v>
      </c>
      <c r="DY90" s="4" t="e">
        <f>IF(_xlfn.XLOOKUP($B90,island_data!$B:$B,island_data!AE:AE,"NaN")="","NaN",_xlfn.XLOOKUP($B90,island_data!$B:$B,island_data!AE:AE,"NaN"))</f>
        <v>#N/A</v>
      </c>
      <c r="DZ90" s="4" t="e">
        <f>IF(_xlfn.XLOOKUP($B90,island_data!$B:$B,island_data!AF:AF,"NaN")="","NaN",_xlfn.XLOOKUP($B90,island_data!$B:$B,island_data!AF:AF,"NaN"))</f>
        <v>#N/A</v>
      </c>
      <c r="EA90" s="4" t="e">
        <f>IF(_xlfn.XLOOKUP($B90,island_data!$B:$B,island_data!AG:AG,"NaN")="","NaN",_xlfn.XLOOKUP($B90,island_data!$B:$B,island_data!AG:AG,"NaN"))</f>
        <v>#N/A</v>
      </c>
      <c r="EB90" s="4" t="e">
        <f>IF(_xlfn.XLOOKUP($B90,island_data!$B:$B,island_data!AH:AH,"NaN")="","NaN",_xlfn.XLOOKUP($B90,island_data!$B:$B,island_data!AH:AH,"NaN"))</f>
        <v>#N/A</v>
      </c>
      <c r="EC90" s="4" t="e">
        <f>IF(_xlfn.XLOOKUP($B90,island_data!$B:$B,island_data!AI:AI,"NaN")="","NaN",_xlfn.XLOOKUP($B90,island_data!$B:$B,island_data!AI:AI,"NaN"))</f>
        <v>#N/A</v>
      </c>
      <c r="ED90" s="4" t="e">
        <f>IF(_xlfn.XLOOKUP($B90,island_data!$B:$B,island_data!AJ:AJ,"NaN")="","NaN",_xlfn.XLOOKUP($B90,island_data!$B:$B,island_data!AJ:AJ,"NaN"))</f>
        <v>#N/A</v>
      </c>
      <c r="EE90" s="4" t="e">
        <f>IF(_xlfn.XLOOKUP($B90,island_data!$B:$B,island_data!AK:AK,"NaN")="","NaN",_xlfn.XLOOKUP($B90,island_data!$B:$B,island_data!AK:AK,"NaN"))</f>
        <v>#N/A</v>
      </c>
      <c r="EF90" s="4" t="e">
        <f>IF(_xlfn.XLOOKUP($B90,island_data!$B:$B,island_data!AL:AL,"NaN")="","NaN",_xlfn.XLOOKUP($B90,island_data!$B:$B,island_data!AL:AL,"NaN"))</f>
        <v>#N/A</v>
      </c>
      <c r="EG90" s="4" t="e">
        <f>IF(_xlfn.XLOOKUP($B90,island_data!$B:$B,island_data!AM:AM,"NaN")="","NaN",_xlfn.XLOOKUP($B90,island_data!$B:$B,island_data!AM:AM,"NaN"))</f>
        <v>#N/A</v>
      </c>
      <c r="EH90" s="4" t="e">
        <f>IF(_xlfn.XLOOKUP($B90,island_data!$B:$B,island_data!AN:AN,"NaN")="","NaN",_xlfn.XLOOKUP($B90,island_data!$B:$B,island_data!AN:AN,"NaN"))</f>
        <v>#N/A</v>
      </c>
      <c r="EI90" s="4" t="e">
        <f>IF(_xlfn.XLOOKUP($B90,island_data!$B:$B,island_data!AO:AO,"NaN")="","NaN",_xlfn.XLOOKUP($B90,island_data!$B:$B,island_data!AO:AO,"NaN"))</f>
        <v>#N/A</v>
      </c>
      <c r="EJ90" s="8" t="str">
        <f>IF(_xlfn.XLOOKUP($A90,TabCAT!$A:$A,TabCAT!AU:AU,"NaN")="","NaN",(_xlfn.XLOOKUP($A90,TabCAT!$A:$A,TabCAT!AU:AU,"NaN")))</f>
        <v>NaN</v>
      </c>
      <c r="EK90" s="8" t="str">
        <f>IF(_xlfn.XLOOKUP($A90,TabCAT!$A:$A,TabCAT!AV:AV,"NaN")="","NaN",(_xlfn.XLOOKUP($A90,TabCAT!$A:$A,TabCAT!AV:AV,"NaN")))</f>
        <v>NaN</v>
      </c>
      <c r="EL90" s="8" t="str">
        <f>IF(_xlfn.XLOOKUP($A90,TabCAT!$A:$A,TabCAT!AW:AW,"NaN")="","NaN",(_xlfn.XLOOKUP($A90,TabCAT!$A:$A,TabCAT!AW:AW,"NaN")))</f>
        <v>NaN</v>
      </c>
      <c r="EM90" s="8" t="str">
        <f>IF(_xlfn.XLOOKUP($A90,TabCAT!$A:$A,TabCAT!AX:AX,"NaN")="","NaN",(_xlfn.XLOOKUP($A90,TabCAT!$A:$A,TabCAT!AX:AX,"NaN")))</f>
        <v>NaN</v>
      </c>
      <c r="EN90" s="8" t="str">
        <f>IF(_xlfn.XLOOKUP($A90,TabCAT!$A:$A,TabCAT!AY:AY,"NaN")="","NaN",(_xlfn.XLOOKUP($A90,TabCAT!$A:$A,TabCAT!AY:AY,"NaN")))</f>
        <v>NaN</v>
      </c>
      <c r="EO90" s="8" t="str">
        <f>IF(_xlfn.XLOOKUP($A90,TabCAT!$A:$A,TabCAT!AZ:AZ,"NaN")="","NaN",(_xlfn.XLOOKUP($A90,TabCAT!$A:$A,TabCAT!AZ:AZ,"NaN")))</f>
        <v>NaN</v>
      </c>
      <c r="EP90" s="8" t="str">
        <f>IF(_xlfn.XLOOKUP($A90,TabCAT!$A:$A,TabCAT!BA:BA,"NaN")="","NaN",(_xlfn.XLOOKUP($A90,TabCAT!$A:$A,TabCAT!BA:BA,"NaN")))</f>
        <v>NaN</v>
      </c>
      <c r="EQ90" s="8" t="str">
        <f>IF(_xlfn.XLOOKUP($A90,TabCAT!$A:$A,TabCAT!BB:BB,"NaN")="","NaN",(_xlfn.XLOOKUP($A90,TabCAT!$A:$A,TabCAT!BB:BB,"NaN")))</f>
        <v>NaN</v>
      </c>
      <c r="ER90" s="8" t="str">
        <f>IF(_xlfn.XLOOKUP($A90,TabCAT!$A:$A,TabCAT!BC:BC,"NaN")="","NaN",(_xlfn.XLOOKUP($A90,TabCAT!$A:$A,TabCAT!BC:BC,"NaN")))</f>
        <v>NaN</v>
      </c>
      <c r="ES90" s="8" t="str">
        <f>IF(_xlfn.XLOOKUP($A90,TabCAT!$A:$A,TabCAT!BD:BD,"NaN")="","NaN",(_xlfn.XLOOKUP($A90,TabCAT!$A:$A,TabCAT!BD:BD,"NaN")))</f>
        <v>NaN</v>
      </c>
      <c r="ET90" s="8" t="str">
        <f>IF(_xlfn.XLOOKUP($A90,TabCAT!$A:$A,TabCAT!BE:BE,"NaN")="","NaN",(_xlfn.XLOOKUP($A90,TabCAT!$A:$A,TabCAT!BE:BE,"NaN")))</f>
        <v>NaN</v>
      </c>
      <c r="EU90" s="8" t="str">
        <f>IF(_xlfn.XLOOKUP($A90,TabCAT!$A:$A,TabCAT!BF:BF,"NaN")="","NaN",(_xlfn.XLOOKUP($A90,TabCAT!$A:$A,TabCAT!BF:BF,"NaN")))</f>
        <v>NaN</v>
      </c>
      <c r="EV90" s="8" t="str">
        <f>IF(_xlfn.XLOOKUP($A90,TabCAT!$A:$A,TabCAT!BG:BG,"NaN")="","NaN",(_xlfn.XLOOKUP($A90,TabCAT!$A:$A,TabCAT!BG:BG,"NaN")))</f>
        <v>NaN</v>
      </c>
      <c r="EW90" s="8" t="str">
        <f>IF(_xlfn.XLOOKUP($A90,TabCAT!$A:$A,TabCAT!BH:BH,"NaN")="","NaN",(_xlfn.XLOOKUP($A90,TabCAT!$A:$A,TabCAT!BH:BH,"NaN")))</f>
        <v>NaN</v>
      </c>
      <c r="EX90" s="8" t="str">
        <f>IF(_xlfn.XLOOKUP($A90,TabCAT!$A:$A,TabCAT!BI:BI,"NaN")="","NaN",(_xlfn.XLOOKUP($A90,TabCAT!$A:$A,TabCAT!BI:BI,"NaN")))</f>
        <v>NaN</v>
      </c>
      <c r="EY90" s="8" t="str">
        <f>IF(_xlfn.XLOOKUP($A90,TabCAT!$A:$A,TabCAT!BJ:BJ,"NaN")="","NaN",(_xlfn.XLOOKUP($A90,TabCAT!$A:$A,TabCAT!BJ:BJ,"NaN")))</f>
        <v>NaN</v>
      </c>
      <c r="EZ90" s="8" t="str">
        <f>IF(_xlfn.XLOOKUP($A90,TabCAT!$A:$A,TabCAT!BK:BK,"NaN")="","NaN",(_xlfn.XLOOKUP($A90,TabCAT!$A:$A,TabCAT!BK:BK,"NaN")))</f>
        <v>NaN</v>
      </c>
      <c r="FA90" s="8" t="str">
        <f>IF(_xlfn.XLOOKUP($A90,TabCAT!$A:$A,TabCAT!BL:BL,"NaN")="","NaN",(_xlfn.XLOOKUP($A90,TabCAT!$A:$A,TabCAT!BL:BL,"NaN")))</f>
        <v>NaN</v>
      </c>
      <c r="FB90" s="8" t="str">
        <f>IF(_xlfn.XLOOKUP($A90,TabCAT!$A:$A,TabCAT!BM:BM,"NaN")="","NaN",(_xlfn.XLOOKUP($A90,TabCAT!$A:$A,TabCAT!BM:BM,"NaN")))</f>
        <v>NaN</v>
      </c>
      <c r="FC90" s="8" t="str">
        <f>IF(_xlfn.XLOOKUP($A90,TabCAT!$A:$A,TabCAT!BN:BN,"NaN")="","NaN",(_xlfn.XLOOKUP($A90,TabCAT!$A:$A,TabCAT!BN:BN,"NaN")))</f>
        <v>NaN</v>
      </c>
      <c r="FD90" s="8" t="str">
        <f>IF(_xlfn.XLOOKUP($A90,TabCAT!$A:$A,TabCAT!BO:BO,"NaN")="","NaN",(_xlfn.XLOOKUP($A90,TabCAT!$A:$A,TabCAT!BO:BO,"NaN")))</f>
        <v>NaN</v>
      </c>
      <c r="FE90" s="8" t="str">
        <f>IF(_xlfn.XLOOKUP($A90,TabCAT!$A:$A,TabCAT!BP:BP,"NaN")="","NaN",(_xlfn.XLOOKUP($A90,TabCAT!$A:$A,TabCAT!BP:BP,"NaN")))</f>
        <v>NaN</v>
      </c>
      <c r="FF90" s="8" t="str">
        <f>IF(_xlfn.XLOOKUP($A90,TabCAT!$A:$A,TabCAT!BQ:BQ,"NaN")="","NaN",(_xlfn.XLOOKUP($A90,TabCAT!$A:$A,TabCAT!BQ:BQ,"NaN")))</f>
        <v>NaN</v>
      </c>
      <c r="FG90" s="8" t="str">
        <f>IF(_xlfn.XLOOKUP($A90,TabCAT!$A:$A,TabCAT!BR:BR,"NaN")="","NaN",(_xlfn.XLOOKUP($A90,TabCAT!$A:$A,TabCAT!BR:BR,"NaN")))</f>
        <v>NaN</v>
      </c>
      <c r="FH90" s="8" t="str">
        <f>IF(_xlfn.XLOOKUP($A90,TabCAT!$A:$A,TabCAT!BS:BS,"NaN")="","NaN",(_xlfn.XLOOKUP($A90,TabCAT!$A:$A,TabCAT!BS:BS,"NaN")))</f>
        <v>NaN</v>
      </c>
      <c r="FI90" s="8" t="str">
        <f>IF(_xlfn.XLOOKUP($A90,TabCAT!$A:$A,TabCAT!BT:BT,"NaN")="","NaN",(_xlfn.XLOOKUP($A90,TabCAT!$A:$A,TabCAT!BT:BT,"NaN")))</f>
        <v>NaN</v>
      </c>
      <c r="FJ90" s="8" t="str">
        <f>IF(_xlfn.XLOOKUP($A90,TabCAT!$A:$A,TabCAT!BU:BU,"NaN")="","NaN",(_xlfn.XLOOKUP($A90,TabCAT!$A:$A,TabCAT!BU:BU,"NaN")))</f>
        <v>NaN</v>
      </c>
      <c r="FK90" s="8" t="str">
        <f>IF(_xlfn.XLOOKUP($A90,TabCAT!$A:$A,TabCAT!BV:BV,"NaN")="","NaN",(_xlfn.XLOOKUP($A90,TabCAT!$A:$A,TabCAT!BV:BV,"NaN")))</f>
        <v>NaN</v>
      </c>
      <c r="FL90" s="8" t="str">
        <f>IF(_xlfn.XLOOKUP($A90,TabCAT!$A:$A,TabCAT!BW:BW,"NaN")="","NaN",(_xlfn.XLOOKUP($A90,TabCAT!$A:$A,TabCAT!BW:BW,"NaN")))</f>
        <v>NaN</v>
      </c>
      <c r="FM90" s="8" t="str">
        <f>IF(_xlfn.XLOOKUP($A90,TabCAT!$A:$A,TabCAT!BX:BX,"NaN")="","NaN",(_xlfn.XLOOKUP($A90,TabCAT!$A:$A,TabCAT!BX:BX,"NaN")))</f>
        <v>NaN</v>
      </c>
      <c r="FN90" s="8" t="str">
        <f>IF(_xlfn.XLOOKUP($A90,TabCAT!$A:$A,TabCAT!BY:BY,"NaN")="","NaN",(_xlfn.XLOOKUP($A90,TabCAT!$A:$A,TabCAT!BY:BY,"NaN")))</f>
        <v>NaN</v>
      </c>
      <c r="FO90" s="8" t="str">
        <f>IF(_xlfn.XLOOKUP($A90,TabCAT!$A:$A,TabCAT!BZ:BZ,"NaN")="","NaN",(_xlfn.XLOOKUP($A90,TabCAT!$A:$A,TabCAT!BZ:BZ,"NaN")))</f>
        <v>NaN</v>
      </c>
      <c r="FP90" s="8" t="str">
        <f>IF(_xlfn.XLOOKUP($A90,TabCAT!$A:$A,TabCAT!CA:CA,"NaN")="","NaN",(_xlfn.XLOOKUP($A90,TabCAT!$A:$A,TabCAT!CA:CA,"NaN")))</f>
        <v>NaN</v>
      </c>
      <c r="FQ90" s="8" t="str">
        <f>IF(_xlfn.XLOOKUP($A90,TabCAT!$A:$A,TabCAT!CB:CB,"NaN")="","NaN",(_xlfn.XLOOKUP($A90,TabCAT!$A:$A,TabCAT!CB:CB,"NaN")))</f>
        <v>NaN</v>
      </c>
      <c r="FR90" s="8" t="str">
        <f>IF(_xlfn.XLOOKUP($A90,TabCAT!$A:$A,TabCAT!CC:CC,"NaN")="","NaN",(_xlfn.XLOOKUP($A90,TabCAT!$A:$A,TabCAT!CC:CC,"NaN")))</f>
        <v>NaN</v>
      </c>
      <c r="FS90" s="8" t="str">
        <f>IF(_xlfn.XLOOKUP($A90,TabCAT!$A:$A,TabCAT!CD:CD,"NaN")="","NaN",(_xlfn.XLOOKUP($A90,TabCAT!$A:$A,TabCAT!CD:CD,"NaN")))</f>
        <v>NaN</v>
      </c>
      <c r="FT90" s="8" t="str">
        <f>IF(_xlfn.XLOOKUP($A90,TabCAT!$A:$A,TabCAT!CE:CE,"NaN")="","NaN",(_xlfn.XLOOKUP($A90,TabCAT!$A:$A,TabCAT!CE:CE,"NaN")))</f>
        <v>NaN</v>
      </c>
      <c r="FU90" s="8" t="str">
        <f>IF(_xlfn.XLOOKUP($A90,TabCAT!$A:$A,TabCAT!CF:CF,"NaN")="","NaN",(_xlfn.XLOOKUP($A90,TabCAT!$A:$A,TabCAT!CF:CF,"NaN")))</f>
        <v>NaN</v>
      </c>
      <c r="FV90" s="8" t="str">
        <f>IF(_xlfn.XLOOKUP($A90,TabCAT!$A:$A,TabCAT!CG:CG,"NaN")="","NaN",(_xlfn.XLOOKUP($A90,TabCAT!$A:$A,TabCAT!CG:CG,"NaN")))</f>
        <v>NaN</v>
      </c>
      <c r="FW90" s="8" t="str">
        <f>IF(_xlfn.XLOOKUP($A90,TabCAT!$A:$A,TabCAT!CH:CH,"NaN")="","NaN",(_xlfn.XLOOKUP($A90,TabCAT!$A:$A,TabCAT!CH:CH,"NaN")))</f>
        <v>NaN</v>
      </c>
      <c r="FX90" s="8" t="str">
        <f>IF(_xlfn.XLOOKUP($A90,TabCAT!$A:$A,TabCAT!CI:CI,"NaN")="","NaN",(_xlfn.XLOOKUP($A90,TabCAT!$A:$A,TabCAT!CI:CI,"NaN")))</f>
        <v>NaN</v>
      </c>
      <c r="FY90" s="8" t="str">
        <f>IF(_xlfn.XLOOKUP($A90,TabCAT!$A:$A,TabCAT!CJ:CJ,"NaN")="","NaN",(_xlfn.XLOOKUP($A90,TabCAT!$A:$A,TabCAT!CJ:CJ,"NaN")))</f>
        <v>NaN</v>
      </c>
      <c r="FZ90" s="8" t="str">
        <f>IF(_xlfn.XLOOKUP($A90,TabCAT!$A:$A,TabCAT!CK:CK,"NaN")="","NaN",(_xlfn.XLOOKUP($A90,TabCAT!$A:$A,TabCAT!CK:CK,"NaN")))</f>
        <v>NaN</v>
      </c>
      <c r="GA90" s="8" t="str">
        <f>IF(_xlfn.XLOOKUP($A90,TabCAT!$A:$A,TabCAT!CL:CL,"NaN")="","NaN",(_xlfn.XLOOKUP($A90,TabCAT!$A:$A,TabCAT!CL:CL,"NaN")))</f>
        <v>NaN</v>
      </c>
      <c r="GB90" s="8" t="str">
        <f>IF(_xlfn.XLOOKUP($A90,TabCAT!$A:$A,TabCAT!CM:CM,"NaN")="","NaN",(_xlfn.XLOOKUP($A90,TabCAT!$A:$A,TabCAT!CM:CM,"NaN")))</f>
        <v>NaN</v>
      </c>
      <c r="GC90" s="8" t="str">
        <f>IF(_xlfn.XLOOKUP($A90,TabCAT!$A:$A,TabCAT!CN:CN,"NaN")="","NaN",(_xlfn.XLOOKUP($A90,TabCAT!$A:$A,TabCAT!CN:CN,"NaN")))</f>
        <v>NaN</v>
      </c>
      <c r="GD90" s="8" t="str">
        <f>IF(_xlfn.XLOOKUP($A90,TabCAT!$A:$A,TabCAT!CO:CO,"NaN")="","NaN",(_xlfn.XLOOKUP($A90,TabCAT!$A:$A,TabCAT!CO:CO,"NaN")))</f>
        <v>NaN</v>
      </c>
      <c r="GE90" s="8" t="str">
        <f>IF(_xlfn.XLOOKUP($A90,TabCAT!$A:$A,TabCAT!CP:CP,"NaN")="","NaN",(_xlfn.XLOOKUP($A90,TabCAT!$A:$A,TabCAT!CP:CP,"NaN")))</f>
        <v>NaN</v>
      </c>
      <c r="GF90" s="8" t="str">
        <f>IF(_xlfn.XLOOKUP($A90,TabCAT!$A:$A,TabCAT!CQ:CQ,"NaN")="","NaN",(_xlfn.XLOOKUP($A90,TabCAT!$A:$A,TabCAT!CQ:CQ,"NaN")))</f>
        <v>NaN</v>
      </c>
      <c r="GG90" s="8" t="str">
        <f>IF(_xlfn.XLOOKUP($A90,TabCAT!$A:$A,TabCAT!CR:CR,"NaN")="","NaN",(_xlfn.XLOOKUP($A90,TabCAT!$A:$A,TabCAT!CR:CR,"NaN")))</f>
        <v>NaN</v>
      </c>
      <c r="GH90" s="8" t="str">
        <f>IF(_xlfn.XLOOKUP($A90,TabCAT!$A:$A,TabCAT!CS:CS,"NaN")="","NaN",(_xlfn.XLOOKUP($A90,TabCAT!$A:$A,TabCAT!CS:CS,"NaN")))</f>
        <v>NaN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C70C-CCF1-C44C-B46F-CDFDE1EEA8B5}">
  <sheetPr>
    <tabColor theme="9"/>
  </sheetPr>
  <dimension ref="A1:G64"/>
  <sheetViews>
    <sheetView workbookViewId="0">
      <selection sqref="A1:A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10317</v>
      </c>
      <c r="B2">
        <v>2.8</v>
      </c>
      <c r="C2">
        <v>4</v>
      </c>
      <c r="D2">
        <v>2.8</v>
      </c>
      <c r="E2">
        <v>5.2</v>
      </c>
      <c r="F2">
        <v>6.8571429999999998</v>
      </c>
      <c r="G2">
        <v>4.6666670000000003</v>
      </c>
    </row>
    <row r="3" spans="1:7" x14ac:dyDescent="0.2">
      <c r="A3">
        <v>10369</v>
      </c>
      <c r="B3">
        <v>4.5</v>
      </c>
      <c r="C3">
        <v>4.2857139999999996</v>
      </c>
      <c r="D3">
        <v>3</v>
      </c>
      <c r="E3">
        <v>4.8</v>
      </c>
      <c r="F3">
        <v>5.4285709999999998</v>
      </c>
      <c r="G3">
        <v>4.6666670000000003</v>
      </c>
    </row>
    <row r="4" spans="1:7" x14ac:dyDescent="0.2">
      <c r="A4">
        <v>10402</v>
      </c>
      <c r="B4">
        <v>3.714286</v>
      </c>
      <c r="C4">
        <v>3.1666669999999999</v>
      </c>
      <c r="D4">
        <v>4.1538459999999997</v>
      </c>
      <c r="E4">
        <v>4.8571429999999998</v>
      </c>
      <c r="F4">
        <v>4</v>
      </c>
      <c r="G4">
        <v>5.3846150000000002</v>
      </c>
    </row>
    <row r="5" spans="1:7" x14ac:dyDescent="0.2">
      <c r="A5">
        <v>10418</v>
      </c>
      <c r="B5">
        <v>4.6666670000000003</v>
      </c>
      <c r="C5">
        <v>3.538462</v>
      </c>
      <c r="D5">
        <v>4.3333329999999997</v>
      </c>
      <c r="E5">
        <v>3.3846150000000002</v>
      </c>
      <c r="F5">
        <v>5.6923079999999997</v>
      </c>
      <c r="G5">
        <v>6.1428570000000002</v>
      </c>
    </row>
    <row r="6" spans="1:7" x14ac:dyDescent="0.2">
      <c r="A6">
        <v>10462</v>
      </c>
      <c r="B6">
        <v>2</v>
      </c>
      <c r="C6">
        <v>3</v>
      </c>
      <c r="D6">
        <v>2.8571430000000002</v>
      </c>
      <c r="E6">
        <v>3.5</v>
      </c>
      <c r="F6">
        <v>3.6666669999999999</v>
      </c>
      <c r="G6">
        <v>5.2</v>
      </c>
    </row>
    <row r="7" spans="1:7" x14ac:dyDescent="0.2">
      <c r="A7">
        <v>10478</v>
      </c>
      <c r="B7">
        <v>4.4000000000000004</v>
      </c>
      <c r="C7">
        <v>4.8333329999999997</v>
      </c>
      <c r="D7">
        <v>5</v>
      </c>
      <c r="E7">
        <v>4.3076920000000003</v>
      </c>
      <c r="F7">
        <v>5.5714290000000002</v>
      </c>
      <c r="G7">
        <v>6.3076920000000003</v>
      </c>
    </row>
    <row r="8" spans="1:7" x14ac:dyDescent="0.2">
      <c r="A8">
        <v>10486</v>
      </c>
      <c r="B8">
        <v>5.6666670000000003</v>
      </c>
      <c r="C8">
        <v>6</v>
      </c>
      <c r="D8">
        <v>5</v>
      </c>
      <c r="E8">
        <v>6.5714290000000002</v>
      </c>
      <c r="F8">
        <v>6.8571429999999998</v>
      </c>
      <c r="G8">
        <v>4.6666670000000003</v>
      </c>
    </row>
    <row r="9" spans="1:7" x14ac:dyDescent="0.2">
      <c r="A9">
        <v>10529</v>
      </c>
      <c r="B9">
        <v>4.1428570000000002</v>
      </c>
      <c r="C9">
        <v>4.7272730000000003</v>
      </c>
      <c r="D9">
        <v>3.8181820000000002</v>
      </c>
      <c r="E9">
        <v>4.8571429999999998</v>
      </c>
      <c r="F9">
        <v>5.3846150000000002</v>
      </c>
      <c r="G9">
        <v>4.461538</v>
      </c>
    </row>
    <row r="10" spans="1:7" x14ac:dyDescent="0.2">
      <c r="A10">
        <v>10541</v>
      </c>
      <c r="B10">
        <v>5.3846150000000002</v>
      </c>
      <c r="C10">
        <v>5.1428570000000002</v>
      </c>
      <c r="D10">
        <v>3.8333330000000001</v>
      </c>
      <c r="E10">
        <v>4.5</v>
      </c>
      <c r="F10">
        <v>6</v>
      </c>
      <c r="G10">
        <v>4.1666670000000003</v>
      </c>
    </row>
    <row r="11" spans="1:7" x14ac:dyDescent="0.2">
      <c r="A11">
        <v>10572</v>
      </c>
      <c r="B11">
        <v>3</v>
      </c>
      <c r="C11">
        <v>3.0909089999999999</v>
      </c>
      <c r="D11">
        <v>3.5</v>
      </c>
      <c r="E11">
        <v>3.454545</v>
      </c>
      <c r="F11">
        <v>4.5454549999999996</v>
      </c>
      <c r="G11">
        <v>3.1666669999999999</v>
      </c>
    </row>
    <row r="12" spans="1:7" x14ac:dyDescent="0.2">
      <c r="A12">
        <v>10581</v>
      </c>
      <c r="B12">
        <v>3.4</v>
      </c>
      <c r="C12">
        <v>2.25</v>
      </c>
      <c r="D12">
        <v>4.5454549999999996</v>
      </c>
      <c r="E12">
        <v>3</v>
      </c>
      <c r="F12">
        <v>6.5454549999999996</v>
      </c>
      <c r="G12">
        <v>5.5714290000000002</v>
      </c>
    </row>
    <row r="13" spans="1:7" x14ac:dyDescent="0.2">
      <c r="A13">
        <v>10584</v>
      </c>
      <c r="B13">
        <v>3.5714290000000002</v>
      </c>
      <c r="C13">
        <v>3.8</v>
      </c>
      <c r="D13">
        <v>2.8333330000000001</v>
      </c>
      <c r="E13">
        <v>5.0909089999999999</v>
      </c>
      <c r="F13">
        <v>3.0909089999999999</v>
      </c>
      <c r="G13">
        <v>2.25</v>
      </c>
    </row>
    <row r="14" spans="1:7" x14ac:dyDescent="0.2">
      <c r="A14">
        <v>10585</v>
      </c>
      <c r="B14">
        <v>4.6666670000000003</v>
      </c>
      <c r="C14">
        <v>4.3636359999999996</v>
      </c>
      <c r="D14">
        <v>4.9230770000000001</v>
      </c>
      <c r="E14">
        <v>4.7692310000000004</v>
      </c>
      <c r="F14">
        <v>5.7142860000000004</v>
      </c>
      <c r="G14">
        <v>5.8333329999999997</v>
      </c>
    </row>
    <row r="15" spans="1:7" x14ac:dyDescent="0.2">
      <c r="A15">
        <v>10589</v>
      </c>
      <c r="B15">
        <v>3.8571430000000002</v>
      </c>
      <c r="C15">
        <v>4.461538</v>
      </c>
      <c r="D15">
        <v>3.8461539999999999</v>
      </c>
      <c r="E15">
        <v>4.6153849999999998</v>
      </c>
      <c r="F15">
        <v>6</v>
      </c>
      <c r="G15">
        <v>5</v>
      </c>
    </row>
    <row r="16" spans="1:7" x14ac:dyDescent="0.2">
      <c r="A16">
        <v>10590</v>
      </c>
      <c r="B16">
        <v>2.2222219999999999</v>
      </c>
      <c r="C16">
        <v>3.5</v>
      </c>
      <c r="D16">
        <v>3.0769229999999999</v>
      </c>
      <c r="E16">
        <v>4.3333329999999997</v>
      </c>
      <c r="F16">
        <v>5.8571429999999998</v>
      </c>
      <c r="G16">
        <v>6.1666670000000003</v>
      </c>
    </row>
    <row r="17" spans="1:7" x14ac:dyDescent="0.2">
      <c r="A17">
        <v>10596</v>
      </c>
      <c r="B17">
        <v>3.2727270000000002</v>
      </c>
      <c r="C17">
        <v>5.25</v>
      </c>
      <c r="D17">
        <v>5.0769229999999999</v>
      </c>
      <c r="E17">
        <v>6.1428570000000002</v>
      </c>
      <c r="F17">
        <v>6.461538</v>
      </c>
      <c r="G17">
        <v>5.1428570000000002</v>
      </c>
    </row>
    <row r="18" spans="1:7" x14ac:dyDescent="0.2">
      <c r="A18">
        <v>10603</v>
      </c>
      <c r="B18">
        <v>4.5</v>
      </c>
      <c r="C18">
        <v>4.5</v>
      </c>
      <c r="D18">
        <v>3.2</v>
      </c>
      <c r="E18">
        <v>3</v>
      </c>
      <c r="F18">
        <v>5.5</v>
      </c>
      <c r="G18">
        <v>5</v>
      </c>
    </row>
    <row r="19" spans="1:7" x14ac:dyDescent="0.2">
      <c r="A19">
        <v>10606</v>
      </c>
      <c r="B19">
        <v>5.3846150000000002</v>
      </c>
      <c r="C19">
        <v>6.1666670000000003</v>
      </c>
      <c r="D19">
        <v>5.2307689999999996</v>
      </c>
      <c r="E19">
        <v>6</v>
      </c>
      <c r="F19">
        <v>6.3076920000000003</v>
      </c>
      <c r="G19">
        <v>5.5714290000000002</v>
      </c>
    </row>
    <row r="20" spans="1:7" x14ac:dyDescent="0.2">
      <c r="A20">
        <v>10608</v>
      </c>
      <c r="B20">
        <v>3</v>
      </c>
      <c r="C20">
        <v>2</v>
      </c>
      <c r="D20">
        <v>2.4</v>
      </c>
      <c r="E20">
        <v>2.5</v>
      </c>
      <c r="F20">
        <v>6.8571429999999998</v>
      </c>
      <c r="G20">
        <v>4.6666670000000003</v>
      </c>
    </row>
    <row r="21" spans="1:7" x14ac:dyDescent="0.2">
      <c r="A21">
        <v>10617</v>
      </c>
      <c r="B21">
        <v>5.2</v>
      </c>
      <c r="C21">
        <v>3.6</v>
      </c>
      <c r="D21">
        <v>4.6666670000000003</v>
      </c>
      <c r="E21">
        <v>4.5714290000000002</v>
      </c>
      <c r="F21">
        <v>5.4285709999999998</v>
      </c>
      <c r="G21">
        <v>3.6666669999999999</v>
      </c>
    </row>
    <row r="22" spans="1:7" x14ac:dyDescent="0.2">
      <c r="A22">
        <v>10636</v>
      </c>
      <c r="B22">
        <v>5.6923079999999997</v>
      </c>
      <c r="C22">
        <v>5.6666670000000003</v>
      </c>
      <c r="D22">
        <v>4.9230770000000001</v>
      </c>
      <c r="E22">
        <v>6.5</v>
      </c>
      <c r="F22">
        <v>6.6666670000000003</v>
      </c>
      <c r="G22">
        <v>5.8461540000000003</v>
      </c>
    </row>
    <row r="23" spans="1:7" x14ac:dyDescent="0.2">
      <c r="A23">
        <v>10638</v>
      </c>
      <c r="B23">
        <v>5.7142860000000004</v>
      </c>
      <c r="C23">
        <v>6.1666670000000003</v>
      </c>
      <c r="D23">
        <v>5.0769229999999999</v>
      </c>
      <c r="E23">
        <v>6.4285709999999998</v>
      </c>
      <c r="F23">
        <v>6.461538</v>
      </c>
      <c r="G23">
        <v>5.4285709999999998</v>
      </c>
    </row>
    <row r="24" spans="1:7" x14ac:dyDescent="0.2">
      <c r="A24">
        <v>10640</v>
      </c>
      <c r="B24">
        <v>3</v>
      </c>
      <c r="C24">
        <v>5.5</v>
      </c>
      <c r="D24">
        <v>2.2222219999999999</v>
      </c>
      <c r="E24">
        <v>3.5555560000000002</v>
      </c>
      <c r="F24">
        <v>5</v>
      </c>
      <c r="G24">
        <v>4.9090910000000001</v>
      </c>
    </row>
    <row r="25" spans="1:7" x14ac:dyDescent="0.2">
      <c r="A25">
        <v>10641</v>
      </c>
      <c r="B25">
        <v>3.6</v>
      </c>
      <c r="C25">
        <v>4.5714290000000002</v>
      </c>
      <c r="D25">
        <v>2.5</v>
      </c>
      <c r="E25">
        <v>3.6</v>
      </c>
      <c r="F25">
        <v>6.2857139999999996</v>
      </c>
      <c r="G25">
        <v>6.3333329999999997</v>
      </c>
    </row>
    <row r="26" spans="1:7" x14ac:dyDescent="0.2">
      <c r="A26">
        <v>10642</v>
      </c>
      <c r="B26">
        <v>2.285714</v>
      </c>
      <c r="C26">
        <v>2.5</v>
      </c>
      <c r="D26">
        <v>2.6666669999999999</v>
      </c>
      <c r="E26">
        <v>2.6</v>
      </c>
      <c r="F26">
        <v>5.8571429999999998</v>
      </c>
      <c r="G26">
        <v>6</v>
      </c>
    </row>
    <row r="27" spans="1:7" x14ac:dyDescent="0.2">
      <c r="A27">
        <v>10644</v>
      </c>
      <c r="B27">
        <v>2.8571430000000002</v>
      </c>
      <c r="C27">
        <v>4</v>
      </c>
      <c r="D27">
        <v>3.1428569999999998</v>
      </c>
      <c r="E27">
        <v>3.7777780000000001</v>
      </c>
      <c r="F27">
        <v>5.6923079999999997</v>
      </c>
      <c r="G27">
        <v>6.1428570000000002</v>
      </c>
    </row>
    <row r="28" spans="1:7" x14ac:dyDescent="0.2">
      <c r="A28">
        <v>10647</v>
      </c>
      <c r="B28">
        <v>2.25</v>
      </c>
      <c r="C28">
        <v>2.5</v>
      </c>
      <c r="D28">
        <v>2.4444439999999998</v>
      </c>
      <c r="E28">
        <v>2.5</v>
      </c>
      <c r="F28">
        <v>3.4</v>
      </c>
      <c r="G28">
        <v>2.8</v>
      </c>
    </row>
    <row r="29" spans="1:7" x14ac:dyDescent="0.2">
      <c r="A29">
        <v>10649</v>
      </c>
      <c r="B29">
        <v>5.5714290000000002</v>
      </c>
      <c r="C29">
        <v>5.7777779999999996</v>
      </c>
      <c r="D29">
        <v>5.3846150000000002</v>
      </c>
      <c r="E29">
        <v>6.4285709999999998</v>
      </c>
      <c r="F29">
        <v>6.3333329999999997</v>
      </c>
      <c r="G29">
        <v>5.3333329999999997</v>
      </c>
    </row>
    <row r="30" spans="1:7" x14ac:dyDescent="0.2">
      <c r="A30">
        <v>10652</v>
      </c>
      <c r="B30">
        <v>4</v>
      </c>
      <c r="C30">
        <v>4.7142860000000004</v>
      </c>
      <c r="D30">
        <v>4</v>
      </c>
      <c r="E30">
        <v>4.6153849999999998</v>
      </c>
      <c r="F30">
        <v>5.1428570000000002</v>
      </c>
      <c r="G30">
        <v>5.0769229999999999</v>
      </c>
    </row>
    <row r="31" spans="1:7" x14ac:dyDescent="0.2">
      <c r="A31">
        <v>10656</v>
      </c>
      <c r="B31">
        <v>2.5</v>
      </c>
      <c r="C31">
        <v>2.5714290000000002</v>
      </c>
      <c r="D31">
        <v>3.0909089999999999</v>
      </c>
      <c r="E31">
        <v>2.9090910000000001</v>
      </c>
      <c r="F31">
        <v>3.0909089999999999</v>
      </c>
      <c r="G31">
        <v>2.9230770000000001</v>
      </c>
    </row>
    <row r="32" spans="1:7" x14ac:dyDescent="0.2">
      <c r="A32">
        <v>10659</v>
      </c>
      <c r="B32">
        <v>5.8571429999999998</v>
      </c>
      <c r="C32">
        <v>5.8333329999999997</v>
      </c>
      <c r="D32">
        <v>6.1538459999999997</v>
      </c>
      <c r="E32">
        <v>5.538462</v>
      </c>
      <c r="F32">
        <v>5</v>
      </c>
      <c r="G32">
        <v>5.1666670000000003</v>
      </c>
    </row>
    <row r="33" spans="1:7" x14ac:dyDescent="0.2">
      <c r="A33">
        <v>10663</v>
      </c>
      <c r="B33">
        <v>2.6</v>
      </c>
      <c r="C33">
        <v>3.75</v>
      </c>
      <c r="D33">
        <v>3</v>
      </c>
      <c r="E33">
        <v>3.5714290000000002</v>
      </c>
      <c r="F33">
        <v>3.4</v>
      </c>
      <c r="G33">
        <v>4.6153849999999998</v>
      </c>
    </row>
    <row r="34" spans="1:7" x14ac:dyDescent="0.2">
      <c r="A34">
        <v>10668</v>
      </c>
      <c r="B34">
        <v>2.6666669999999999</v>
      </c>
      <c r="C34">
        <v>6</v>
      </c>
      <c r="D34">
        <v>4</v>
      </c>
      <c r="E34">
        <v>5.2</v>
      </c>
      <c r="F34">
        <v>5.3333329999999997</v>
      </c>
      <c r="G34">
        <v>4.6666670000000003</v>
      </c>
    </row>
    <row r="35" spans="1:7" x14ac:dyDescent="0.2">
      <c r="A35">
        <v>10673</v>
      </c>
      <c r="B35">
        <v>3.8333330000000001</v>
      </c>
      <c r="C35">
        <v>5.4</v>
      </c>
      <c r="D35">
        <v>4.4000000000000004</v>
      </c>
      <c r="E35">
        <v>3.714286</v>
      </c>
      <c r="F35">
        <v>5.8181820000000002</v>
      </c>
      <c r="G35">
        <v>3.538462</v>
      </c>
    </row>
    <row r="36" spans="1:7" x14ac:dyDescent="0.2">
      <c r="A36">
        <v>10674</v>
      </c>
      <c r="B36">
        <v>5.2857139999999996</v>
      </c>
      <c r="C36">
        <v>6.9230770000000001</v>
      </c>
      <c r="D36">
        <v>6.8571429999999998</v>
      </c>
      <c r="E36">
        <v>5.3846150000000002</v>
      </c>
      <c r="F36">
        <v>5.6923079999999997</v>
      </c>
      <c r="G36">
        <v>6.1428570000000002</v>
      </c>
    </row>
    <row r="37" spans="1:7" x14ac:dyDescent="0.2">
      <c r="A37">
        <v>10677</v>
      </c>
      <c r="B37">
        <v>3.6363639999999999</v>
      </c>
      <c r="C37">
        <v>4.5999999999999996</v>
      </c>
      <c r="D37">
        <v>2.8333330000000001</v>
      </c>
      <c r="E37">
        <v>4.8</v>
      </c>
      <c r="F37">
        <v>5.0909089999999999</v>
      </c>
      <c r="G37">
        <v>4.6153849999999998</v>
      </c>
    </row>
    <row r="38" spans="1:7" x14ac:dyDescent="0.2">
      <c r="A38">
        <v>10685</v>
      </c>
      <c r="B38">
        <v>2.75</v>
      </c>
      <c r="C38">
        <v>3.4285709999999998</v>
      </c>
      <c r="D38">
        <v>3.3333330000000001</v>
      </c>
      <c r="E38">
        <v>4.75</v>
      </c>
      <c r="F38">
        <v>6.1818179999999998</v>
      </c>
      <c r="G38">
        <v>6.1538459999999997</v>
      </c>
    </row>
    <row r="39" spans="1:7" x14ac:dyDescent="0.2">
      <c r="A39">
        <v>10690</v>
      </c>
      <c r="B39">
        <v>3.2</v>
      </c>
      <c r="C39">
        <v>4</v>
      </c>
      <c r="D39">
        <v>4.8</v>
      </c>
      <c r="E39">
        <v>4.3333329999999997</v>
      </c>
      <c r="F39">
        <v>5</v>
      </c>
      <c r="G39">
        <v>5.3333329999999997</v>
      </c>
    </row>
    <row r="40" spans="1:7" x14ac:dyDescent="0.2">
      <c r="A40">
        <v>10691</v>
      </c>
      <c r="B40">
        <v>5.5714290000000002</v>
      </c>
      <c r="C40">
        <v>6.5</v>
      </c>
      <c r="D40">
        <v>6.8571429999999998</v>
      </c>
      <c r="E40">
        <v>5.3333329999999997</v>
      </c>
      <c r="F40">
        <v>5.6923079999999997</v>
      </c>
      <c r="G40">
        <v>5.7142860000000004</v>
      </c>
    </row>
    <row r="41" spans="1:7" x14ac:dyDescent="0.2">
      <c r="A41">
        <v>10700</v>
      </c>
      <c r="B41">
        <v>4.2222220000000004</v>
      </c>
      <c r="C41">
        <v>2.285714</v>
      </c>
      <c r="D41">
        <v>2.5</v>
      </c>
      <c r="E41">
        <v>4</v>
      </c>
      <c r="F41">
        <v>5.6666670000000003</v>
      </c>
      <c r="G41">
        <v>6.5</v>
      </c>
    </row>
    <row r="42" spans="1:7" x14ac:dyDescent="0.2">
      <c r="A42">
        <v>10701</v>
      </c>
      <c r="B42">
        <v>4.5</v>
      </c>
      <c r="C42">
        <v>2.75</v>
      </c>
      <c r="D42">
        <v>3.5555560000000002</v>
      </c>
      <c r="E42">
        <v>3.2727270000000002</v>
      </c>
      <c r="F42">
        <v>3</v>
      </c>
      <c r="G42">
        <v>4</v>
      </c>
    </row>
    <row r="43" spans="1:7" x14ac:dyDescent="0.2">
      <c r="A43">
        <v>10713</v>
      </c>
      <c r="B43">
        <v>2.769231</v>
      </c>
      <c r="C43">
        <v>5.0909089999999999</v>
      </c>
      <c r="D43">
        <v>2.6666669999999999</v>
      </c>
      <c r="E43">
        <v>3.1428569999999998</v>
      </c>
      <c r="F43">
        <v>4.6666670000000003</v>
      </c>
      <c r="G43">
        <v>4.2</v>
      </c>
    </row>
    <row r="44" spans="1:7" x14ac:dyDescent="0.2">
      <c r="A44">
        <v>10716</v>
      </c>
      <c r="B44">
        <v>2.8571430000000002</v>
      </c>
      <c r="C44">
        <v>5.2727269999999997</v>
      </c>
      <c r="D44">
        <v>3.6923080000000001</v>
      </c>
      <c r="E44">
        <v>4.4285709999999998</v>
      </c>
      <c r="F44">
        <v>4.9230770000000001</v>
      </c>
      <c r="G44">
        <v>3.1428569999999998</v>
      </c>
    </row>
    <row r="45" spans="1:7" x14ac:dyDescent="0.2">
      <c r="A45">
        <v>10718</v>
      </c>
      <c r="B45">
        <v>6.6153849999999998</v>
      </c>
      <c r="C45">
        <v>5.7142860000000004</v>
      </c>
      <c r="D45">
        <v>5.8571429999999998</v>
      </c>
      <c r="E45">
        <v>6.461538</v>
      </c>
      <c r="F45">
        <v>6.2857139999999996</v>
      </c>
      <c r="G45">
        <v>5.2307689999999996</v>
      </c>
    </row>
    <row r="46" spans="1:7" x14ac:dyDescent="0.2">
      <c r="A46">
        <v>10720</v>
      </c>
      <c r="B46">
        <v>3.230769</v>
      </c>
      <c r="C46">
        <v>3.4</v>
      </c>
      <c r="D46">
        <v>4</v>
      </c>
      <c r="E46">
        <v>4.7142860000000004</v>
      </c>
      <c r="F46">
        <v>5.0769229999999999</v>
      </c>
      <c r="G46">
        <v>4.8571429999999998</v>
      </c>
    </row>
    <row r="47" spans="1:7" x14ac:dyDescent="0.2">
      <c r="A47">
        <v>10723</v>
      </c>
      <c r="B47">
        <v>4.5</v>
      </c>
      <c r="C47">
        <v>3.3333330000000001</v>
      </c>
      <c r="D47">
        <v>4</v>
      </c>
      <c r="E47">
        <v>3.454545</v>
      </c>
      <c r="F47">
        <v>4.3636359999999996</v>
      </c>
      <c r="G47">
        <v>4.6666670000000003</v>
      </c>
    </row>
    <row r="48" spans="1:7" x14ac:dyDescent="0.2">
      <c r="A48">
        <v>10741</v>
      </c>
      <c r="B48">
        <v>4</v>
      </c>
      <c r="C48">
        <v>3.6666669999999999</v>
      </c>
      <c r="D48">
        <v>3.2727270000000002</v>
      </c>
      <c r="E48">
        <v>3.2727270000000002</v>
      </c>
      <c r="F48">
        <v>6.1818179999999998</v>
      </c>
      <c r="G48">
        <v>4.7272730000000003</v>
      </c>
    </row>
    <row r="49" spans="1:7" x14ac:dyDescent="0.2">
      <c r="A49">
        <v>10748</v>
      </c>
      <c r="B49">
        <v>4.3076920000000003</v>
      </c>
      <c r="C49">
        <v>6.461538</v>
      </c>
      <c r="D49">
        <v>4.2857139999999996</v>
      </c>
      <c r="E49">
        <v>4.3076920000000003</v>
      </c>
      <c r="F49">
        <v>5.538462</v>
      </c>
      <c r="G49">
        <v>5.3846150000000002</v>
      </c>
    </row>
    <row r="50" spans="1:7" x14ac:dyDescent="0.2">
      <c r="A50">
        <v>10767</v>
      </c>
      <c r="B50">
        <v>2.25</v>
      </c>
      <c r="C50">
        <v>2.8571430000000002</v>
      </c>
      <c r="D50">
        <v>3.538462</v>
      </c>
      <c r="E50">
        <v>3.714286</v>
      </c>
      <c r="F50">
        <v>5.8571429999999998</v>
      </c>
      <c r="G50">
        <v>6.3076920000000003</v>
      </c>
    </row>
    <row r="51" spans="1:7" x14ac:dyDescent="0.2">
      <c r="A51">
        <v>10770</v>
      </c>
      <c r="B51">
        <v>6</v>
      </c>
      <c r="C51">
        <v>4.3333329999999997</v>
      </c>
      <c r="D51">
        <v>4</v>
      </c>
      <c r="E51">
        <v>4.8333329999999997</v>
      </c>
      <c r="F51">
        <v>5.8333329999999997</v>
      </c>
      <c r="G51">
        <v>3.6923080000000001</v>
      </c>
    </row>
    <row r="52" spans="1:7" x14ac:dyDescent="0.2">
      <c r="A52">
        <v>10781</v>
      </c>
      <c r="B52">
        <v>3.4285709999999998</v>
      </c>
      <c r="C52">
        <v>3.2727270000000002</v>
      </c>
      <c r="D52">
        <v>2.4444439999999998</v>
      </c>
      <c r="E52">
        <v>2.5</v>
      </c>
      <c r="F52">
        <v>6.5714290000000002</v>
      </c>
      <c r="G52">
        <v>4.8333329999999997</v>
      </c>
    </row>
    <row r="53" spans="1:7" x14ac:dyDescent="0.2">
      <c r="A53">
        <v>10783</v>
      </c>
      <c r="B53">
        <v>2.8888889999999998</v>
      </c>
      <c r="C53">
        <v>2</v>
      </c>
      <c r="D53">
        <v>2.75</v>
      </c>
      <c r="E53">
        <v>2.4444439999999998</v>
      </c>
      <c r="F53">
        <v>5.0769229999999999</v>
      </c>
      <c r="G53">
        <v>3.0909089999999999</v>
      </c>
    </row>
    <row r="54" spans="1:7" x14ac:dyDescent="0.2">
      <c r="A54">
        <v>10785</v>
      </c>
      <c r="B54">
        <v>2.8333330000000001</v>
      </c>
      <c r="C54">
        <v>3.0909089999999999</v>
      </c>
      <c r="D54">
        <v>2.545455</v>
      </c>
      <c r="E54">
        <v>3.6363639999999999</v>
      </c>
      <c r="F54">
        <v>3.6666669999999999</v>
      </c>
      <c r="G54">
        <v>2.461538</v>
      </c>
    </row>
    <row r="55" spans="1:7" x14ac:dyDescent="0.2">
      <c r="A55">
        <v>10794</v>
      </c>
      <c r="B55">
        <v>3.230769</v>
      </c>
      <c r="C55">
        <v>3.3333330000000001</v>
      </c>
      <c r="D55">
        <v>2.769231</v>
      </c>
      <c r="E55">
        <v>3.0909089999999999</v>
      </c>
      <c r="F55">
        <v>4.3076920000000003</v>
      </c>
      <c r="G55">
        <v>4.1538459999999997</v>
      </c>
    </row>
    <row r="56" spans="1:7" x14ac:dyDescent="0.2">
      <c r="A56">
        <v>10800</v>
      </c>
      <c r="B56">
        <v>5.5714290000000002</v>
      </c>
      <c r="C56">
        <v>6</v>
      </c>
      <c r="D56">
        <v>4.5999999999999996</v>
      </c>
      <c r="E56">
        <v>6.3076920000000003</v>
      </c>
      <c r="F56">
        <v>5</v>
      </c>
      <c r="G56">
        <v>5.0769229999999999</v>
      </c>
    </row>
    <row r="57" spans="1:7" x14ac:dyDescent="0.2">
      <c r="A57">
        <v>10801</v>
      </c>
      <c r="B57">
        <v>5.6666670000000003</v>
      </c>
      <c r="C57">
        <v>6</v>
      </c>
      <c r="D57">
        <v>5.8333329999999997</v>
      </c>
      <c r="E57">
        <v>5.7142860000000004</v>
      </c>
      <c r="F57">
        <v>5.8571429999999998</v>
      </c>
      <c r="G57">
        <v>6.1538459999999997</v>
      </c>
    </row>
    <row r="58" spans="1:7" x14ac:dyDescent="0.2">
      <c r="A58">
        <v>10802</v>
      </c>
      <c r="B58">
        <v>3.0769229999999999</v>
      </c>
      <c r="C58">
        <v>3.6363639999999999</v>
      </c>
      <c r="D58">
        <v>3.4285709999999998</v>
      </c>
      <c r="E58">
        <v>3.1666669999999999</v>
      </c>
      <c r="F58">
        <v>4.9230770000000001</v>
      </c>
      <c r="G58">
        <v>4.4285709999999998</v>
      </c>
    </row>
    <row r="59" spans="1:7" x14ac:dyDescent="0.2">
      <c r="A59">
        <v>10803</v>
      </c>
      <c r="B59">
        <v>3.3333330000000001</v>
      </c>
      <c r="C59">
        <v>4.3333329999999997</v>
      </c>
      <c r="D59">
        <v>5.6</v>
      </c>
      <c r="E59">
        <v>4.6666670000000003</v>
      </c>
      <c r="F59">
        <v>4.6666670000000003</v>
      </c>
      <c r="G59">
        <v>2.4</v>
      </c>
    </row>
    <row r="60" spans="1:7" x14ac:dyDescent="0.2">
      <c r="A60">
        <v>10804</v>
      </c>
      <c r="B60">
        <v>5.2727269999999997</v>
      </c>
      <c r="C60">
        <v>5.1666670000000003</v>
      </c>
      <c r="D60">
        <v>6</v>
      </c>
      <c r="E60">
        <v>4.2857139999999996</v>
      </c>
      <c r="F60">
        <v>6.6153849999999998</v>
      </c>
      <c r="G60">
        <v>4.3333329999999997</v>
      </c>
    </row>
    <row r="61" spans="1:7" x14ac:dyDescent="0.2">
      <c r="A61">
        <v>10806</v>
      </c>
      <c r="B61">
        <v>2.2222219999999999</v>
      </c>
      <c r="C61">
        <v>2.8571430000000002</v>
      </c>
      <c r="D61">
        <v>4</v>
      </c>
      <c r="E61">
        <v>4.3333329999999997</v>
      </c>
      <c r="F61">
        <v>4.5</v>
      </c>
      <c r="G61">
        <v>6.5</v>
      </c>
    </row>
    <row r="62" spans="1:7" x14ac:dyDescent="0.2">
      <c r="A62">
        <v>10807</v>
      </c>
      <c r="B62">
        <v>5.0769229999999999</v>
      </c>
      <c r="C62">
        <v>6.3333329999999997</v>
      </c>
      <c r="D62">
        <v>5.6666670000000003</v>
      </c>
      <c r="E62">
        <v>5.3846150000000002</v>
      </c>
      <c r="F62">
        <v>6.1538459999999997</v>
      </c>
      <c r="G62">
        <v>6</v>
      </c>
    </row>
    <row r="63" spans="1:7" x14ac:dyDescent="0.2">
      <c r="A63">
        <v>10809</v>
      </c>
      <c r="B63">
        <v>2.75</v>
      </c>
      <c r="C63">
        <v>3.2</v>
      </c>
      <c r="D63">
        <v>2.8</v>
      </c>
      <c r="E63">
        <v>3.3333330000000001</v>
      </c>
      <c r="F63">
        <v>4</v>
      </c>
      <c r="G63">
        <v>4.2857139999999996</v>
      </c>
    </row>
    <row r="64" spans="1:7" x14ac:dyDescent="0.2">
      <c r="A64">
        <v>10812</v>
      </c>
      <c r="B64">
        <v>3.6666669999999999</v>
      </c>
      <c r="C64">
        <v>4.1538459999999997</v>
      </c>
      <c r="D64">
        <v>5.2307689999999996</v>
      </c>
      <c r="E64">
        <v>4</v>
      </c>
      <c r="F64">
        <v>6.4285709999999998</v>
      </c>
      <c r="G64">
        <v>5.0769229999999999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323D-CCA0-4B4F-8921-34F3CDF742EC}">
  <sheetPr>
    <tabColor theme="4"/>
  </sheetPr>
  <dimension ref="A1:CS72"/>
  <sheetViews>
    <sheetView workbookViewId="0">
      <pane xSplit="2" ySplit="1" topLeftCell="BV2" activePane="bottomRight" state="frozen"/>
      <selection pane="topRight" activeCell="C1" sqref="C1"/>
      <selection pane="bottomLeft" activeCell="A2" sqref="A2"/>
      <selection pane="bottomRight" activeCell="CD2" sqref="CD2"/>
    </sheetView>
  </sheetViews>
  <sheetFormatPr baseColWidth="10" defaultRowHeight="16" x14ac:dyDescent="0.2"/>
  <sheetData>
    <row r="1" spans="1:97" x14ac:dyDescent="0.2">
      <c r="A1" t="s">
        <v>7</v>
      </c>
      <c r="B1" t="s">
        <v>8</v>
      </c>
      <c r="C1" t="s">
        <v>48</v>
      </c>
      <c r="D1" t="s">
        <v>49</v>
      </c>
      <c r="E1" t="s">
        <v>12</v>
      </c>
      <c r="F1" t="s">
        <v>186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95</v>
      </c>
      <c r="BA1" t="s">
        <v>96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107</v>
      </c>
      <c r="BM1" t="s">
        <v>108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  <c r="BX1" t="s">
        <v>119</v>
      </c>
      <c r="BY1" t="s">
        <v>120</v>
      </c>
      <c r="BZ1" t="s">
        <v>121</v>
      </c>
      <c r="CA1" t="s">
        <v>122</v>
      </c>
      <c r="CB1" t="s">
        <v>123</v>
      </c>
      <c r="CC1" t="s">
        <v>124</v>
      </c>
      <c r="CD1" t="s">
        <v>125</v>
      </c>
      <c r="CE1" t="s">
        <v>126</v>
      </c>
      <c r="CF1" t="s">
        <v>127</v>
      </c>
      <c r="CG1" t="s">
        <v>128</v>
      </c>
      <c r="CH1" t="s">
        <v>129</v>
      </c>
      <c r="CI1" t="s">
        <v>130</v>
      </c>
      <c r="CJ1" t="s">
        <v>131</v>
      </c>
      <c r="CK1" t="s">
        <v>132</v>
      </c>
      <c r="CL1" t="s">
        <v>133</v>
      </c>
      <c r="CM1" t="s">
        <v>134</v>
      </c>
      <c r="CN1" t="s">
        <v>135</v>
      </c>
      <c r="CO1" t="s">
        <v>136</v>
      </c>
      <c r="CP1" t="s">
        <v>137</v>
      </c>
      <c r="CQ1" t="s">
        <v>138</v>
      </c>
      <c r="CR1" t="s">
        <v>139</v>
      </c>
      <c r="CS1" t="s">
        <v>185</v>
      </c>
    </row>
    <row r="2" spans="1:97" x14ac:dyDescent="0.2">
      <c r="A2">
        <v>10317</v>
      </c>
      <c r="B2">
        <v>191960</v>
      </c>
      <c r="C2" s="1">
        <v>22068</v>
      </c>
      <c r="D2">
        <v>62.96</v>
      </c>
      <c r="E2" t="s">
        <v>140</v>
      </c>
      <c r="F2" t="s">
        <v>187</v>
      </c>
      <c r="G2" t="s">
        <v>141</v>
      </c>
      <c r="H2">
        <v>4.22</v>
      </c>
      <c r="I2">
        <v>4.3</v>
      </c>
      <c r="J2">
        <v>0</v>
      </c>
      <c r="K2">
        <v>6</v>
      </c>
      <c r="L2">
        <v>0</v>
      </c>
      <c r="M2">
        <v>4.83</v>
      </c>
      <c r="N2">
        <v>4.83</v>
      </c>
      <c r="O2">
        <v>5.38</v>
      </c>
      <c r="P2">
        <v>4.5</v>
      </c>
      <c r="Q2">
        <v>4.97</v>
      </c>
      <c r="R2">
        <v>21</v>
      </c>
      <c r="S2">
        <v>3</v>
      </c>
      <c r="T2">
        <v>11</v>
      </c>
      <c r="U2">
        <v>1</v>
      </c>
      <c r="V2">
        <v>6</v>
      </c>
      <c r="W2">
        <v>3</v>
      </c>
      <c r="X2">
        <v>7</v>
      </c>
      <c r="Y2">
        <v>2</v>
      </c>
      <c r="Z2">
        <v>5</v>
      </c>
      <c r="AA2">
        <v>2</v>
      </c>
      <c r="AB2">
        <v>19</v>
      </c>
      <c r="AC2">
        <v>30</v>
      </c>
      <c r="AD2">
        <v>8</v>
      </c>
      <c r="AE2">
        <v>0</v>
      </c>
      <c r="AF2">
        <v>0</v>
      </c>
      <c r="AG2">
        <v>3.83</v>
      </c>
      <c r="AH2">
        <v>6.5</v>
      </c>
      <c r="AI2">
        <v>1</v>
      </c>
      <c r="AJ2">
        <v>4</v>
      </c>
      <c r="AK2">
        <v>3</v>
      </c>
      <c r="AL2">
        <v>17</v>
      </c>
      <c r="AM2">
        <v>1.58</v>
      </c>
      <c r="AN2">
        <v>0</v>
      </c>
      <c r="AO2">
        <v>3</v>
      </c>
      <c r="AP2">
        <v>2.66</v>
      </c>
      <c r="AQ2">
        <v>120.1</v>
      </c>
      <c r="BA2">
        <v>20</v>
      </c>
      <c r="BJ2">
        <v>8991</v>
      </c>
      <c r="BO2">
        <v>4</v>
      </c>
      <c r="BP2">
        <v>4.4000000000000004</v>
      </c>
      <c r="BQ2">
        <v>4.4000000000000004</v>
      </c>
      <c r="BR2">
        <v>4.2699999999999996</v>
      </c>
      <c r="BS2">
        <v>6</v>
      </c>
      <c r="BT2">
        <v>5.1666666666666599</v>
      </c>
      <c r="BU2">
        <v>6</v>
      </c>
      <c r="BV2">
        <v>5.1666666666666599</v>
      </c>
      <c r="BW2">
        <v>2.75</v>
      </c>
      <c r="BX2">
        <v>0</v>
      </c>
      <c r="BY2">
        <v>0</v>
      </c>
      <c r="BZ2">
        <v>28</v>
      </c>
      <c r="CA2">
        <v>26</v>
      </c>
      <c r="CB2">
        <v>12</v>
      </c>
      <c r="CC2">
        <v>1.2</v>
      </c>
      <c r="CD2">
        <v>40</v>
      </c>
      <c r="CE2">
        <v>45</v>
      </c>
      <c r="CF2">
        <v>47</v>
      </c>
      <c r="CG2">
        <v>26</v>
      </c>
      <c r="CH2">
        <v>29</v>
      </c>
      <c r="CI2">
        <v>43</v>
      </c>
      <c r="CJ2">
        <v>60</v>
      </c>
      <c r="CK2">
        <v>34</v>
      </c>
      <c r="CL2">
        <v>60</v>
      </c>
      <c r="CM2">
        <v>27</v>
      </c>
      <c r="CN2">
        <v>60</v>
      </c>
      <c r="CQ2">
        <v>3</v>
      </c>
      <c r="CR2">
        <v>1</v>
      </c>
      <c r="CS2">
        <v>2</v>
      </c>
    </row>
    <row r="3" spans="1:97" x14ac:dyDescent="0.2">
      <c r="A3">
        <v>10369</v>
      </c>
      <c r="B3">
        <v>30791</v>
      </c>
      <c r="C3" s="1">
        <v>33288</v>
      </c>
      <c r="D3">
        <v>31.95</v>
      </c>
      <c r="E3" t="s">
        <v>140</v>
      </c>
      <c r="F3" t="s">
        <v>187</v>
      </c>
      <c r="G3" t="s">
        <v>142</v>
      </c>
      <c r="H3">
        <v>4.5599999999999996</v>
      </c>
      <c r="I3">
        <v>3.44</v>
      </c>
      <c r="J3">
        <v>0</v>
      </c>
      <c r="K3">
        <v>8</v>
      </c>
      <c r="L3">
        <v>1</v>
      </c>
      <c r="M3">
        <v>3.5</v>
      </c>
      <c r="N3">
        <v>3.83</v>
      </c>
      <c r="O3">
        <v>5.13</v>
      </c>
      <c r="P3">
        <v>4.67</v>
      </c>
      <c r="Q3">
        <v>4.3</v>
      </c>
      <c r="R3">
        <v>18</v>
      </c>
      <c r="S3">
        <v>5</v>
      </c>
      <c r="T3">
        <v>10</v>
      </c>
      <c r="U3">
        <v>0</v>
      </c>
      <c r="V3">
        <v>3</v>
      </c>
      <c r="W3">
        <v>2</v>
      </c>
      <c r="X3">
        <v>7</v>
      </c>
      <c r="Y3">
        <v>5</v>
      </c>
      <c r="Z3">
        <v>5</v>
      </c>
      <c r="AA3">
        <v>2</v>
      </c>
      <c r="AB3">
        <v>21</v>
      </c>
      <c r="AC3">
        <v>26</v>
      </c>
      <c r="AD3">
        <v>10</v>
      </c>
      <c r="AE3">
        <v>0</v>
      </c>
      <c r="AF3">
        <v>0</v>
      </c>
      <c r="AK3">
        <v>2.7</v>
      </c>
      <c r="AL3">
        <v>13</v>
      </c>
      <c r="AM3">
        <v>2.25</v>
      </c>
      <c r="AN3">
        <v>0</v>
      </c>
      <c r="AP3">
        <v>2.63</v>
      </c>
      <c r="AQ3">
        <v>44.05</v>
      </c>
      <c r="BA3">
        <v>20</v>
      </c>
      <c r="BJ3">
        <v>8991</v>
      </c>
      <c r="BO3">
        <v>3.6</v>
      </c>
      <c r="BP3">
        <v>3.9</v>
      </c>
      <c r="BQ3">
        <v>3.5</v>
      </c>
      <c r="BR3">
        <v>3.67</v>
      </c>
      <c r="BS3">
        <v>6</v>
      </c>
      <c r="BT3">
        <v>5.6666666666666599</v>
      </c>
      <c r="BU3">
        <v>6</v>
      </c>
      <c r="BV3">
        <v>5.6666666666666599</v>
      </c>
      <c r="BW3">
        <v>0.75</v>
      </c>
      <c r="BX3">
        <v>0</v>
      </c>
      <c r="BY3">
        <v>0</v>
      </c>
      <c r="BZ3">
        <v>18</v>
      </c>
      <c r="CA3">
        <v>25</v>
      </c>
      <c r="CB3">
        <v>4</v>
      </c>
      <c r="CC3">
        <v>0.57142857142856995</v>
      </c>
      <c r="CD3">
        <v>18</v>
      </c>
      <c r="CE3">
        <v>42</v>
      </c>
      <c r="CF3">
        <v>41</v>
      </c>
      <c r="CG3">
        <v>23</v>
      </c>
      <c r="CH3">
        <v>33</v>
      </c>
      <c r="CI3">
        <v>38</v>
      </c>
      <c r="CJ3">
        <v>60</v>
      </c>
      <c r="CK3">
        <v>42</v>
      </c>
      <c r="CL3">
        <v>60</v>
      </c>
      <c r="CM3">
        <v>38</v>
      </c>
      <c r="CN3">
        <v>60</v>
      </c>
      <c r="CQ3">
        <v>4</v>
      </c>
      <c r="CR3">
        <v>1</v>
      </c>
      <c r="CS3">
        <v>1</v>
      </c>
    </row>
    <row r="4" spans="1:97" x14ac:dyDescent="0.2">
      <c r="A4">
        <v>10391</v>
      </c>
      <c r="B4">
        <v>111978</v>
      </c>
      <c r="C4" s="1">
        <v>28713</v>
      </c>
      <c r="D4">
        <v>44.21</v>
      </c>
      <c r="E4" t="s">
        <v>140</v>
      </c>
      <c r="F4" t="s">
        <v>187</v>
      </c>
      <c r="G4" t="s">
        <v>141</v>
      </c>
      <c r="H4">
        <v>3.33</v>
      </c>
      <c r="I4">
        <v>2.67</v>
      </c>
      <c r="J4">
        <v>0</v>
      </c>
      <c r="K4">
        <v>6</v>
      </c>
      <c r="L4">
        <v>0</v>
      </c>
      <c r="R4">
        <v>33</v>
      </c>
      <c r="S4">
        <v>3</v>
      </c>
      <c r="T4">
        <v>12</v>
      </c>
      <c r="U4">
        <v>4</v>
      </c>
      <c r="V4">
        <v>14</v>
      </c>
      <c r="W4">
        <v>7</v>
      </c>
      <c r="X4">
        <v>8</v>
      </c>
      <c r="Y4">
        <v>3</v>
      </c>
      <c r="Z4">
        <v>4</v>
      </c>
      <c r="AA4">
        <v>5</v>
      </c>
      <c r="AB4">
        <v>27</v>
      </c>
      <c r="AE4">
        <v>0</v>
      </c>
      <c r="AF4">
        <v>0</v>
      </c>
      <c r="AK4">
        <v>3.7</v>
      </c>
      <c r="AL4">
        <v>24</v>
      </c>
      <c r="AM4">
        <v>3.17</v>
      </c>
      <c r="AN4">
        <v>36</v>
      </c>
      <c r="AP4">
        <v>9999</v>
      </c>
      <c r="AQ4">
        <v>209</v>
      </c>
      <c r="BA4">
        <v>20</v>
      </c>
      <c r="BC4">
        <v>20</v>
      </c>
      <c r="BD4">
        <v>6</v>
      </c>
      <c r="BE4">
        <v>3</v>
      </c>
      <c r="BF4">
        <v>7</v>
      </c>
      <c r="BG4">
        <v>4</v>
      </c>
      <c r="BJ4">
        <v>8991</v>
      </c>
      <c r="BO4">
        <v>2.7</v>
      </c>
      <c r="BP4">
        <v>2.8</v>
      </c>
      <c r="BQ4">
        <v>3.2</v>
      </c>
      <c r="BR4">
        <v>2.9</v>
      </c>
      <c r="BW4">
        <v>2.65</v>
      </c>
      <c r="BX4">
        <v>1</v>
      </c>
      <c r="BY4">
        <v>0</v>
      </c>
      <c r="BZ4">
        <v>17</v>
      </c>
      <c r="CA4">
        <v>20</v>
      </c>
      <c r="CB4">
        <v>5</v>
      </c>
      <c r="CC4">
        <v>0.71428571428571397</v>
      </c>
      <c r="CD4">
        <v>22</v>
      </c>
      <c r="CE4">
        <v>38</v>
      </c>
      <c r="CF4">
        <v>53</v>
      </c>
      <c r="CG4">
        <v>30</v>
      </c>
      <c r="CH4">
        <v>30</v>
      </c>
      <c r="CI4">
        <v>47</v>
      </c>
      <c r="CJ4">
        <v>58</v>
      </c>
      <c r="CK4">
        <v>48</v>
      </c>
      <c r="CL4">
        <v>60</v>
      </c>
      <c r="CM4">
        <v>41</v>
      </c>
      <c r="CN4">
        <v>60</v>
      </c>
      <c r="CQ4">
        <v>4</v>
      </c>
      <c r="CR4">
        <v>1</v>
      </c>
      <c r="CS4">
        <v>2</v>
      </c>
    </row>
    <row r="5" spans="1:97" x14ac:dyDescent="0.2">
      <c r="A5">
        <v>10402</v>
      </c>
      <c r="B5">
        <v>20286</v>
      </c>
      <c r="C5" s="1">
        <v>31748</v>
      </c>
      <c r="D5">
        <v>35.94</v>
      </c>
      <c r="E5" t="s">
        <v>143</v>
      </c>
      <c r="F5" t="s">
        <v>187</v>
      </c>
      <c r="G5" t="s">
        <v>142</v>
      </c>
      <c r="H5">
        <v>3.56</v>
      </c>
      <c r="I5">
        <v>2.67</v>
      </c>
      <c r="J5">
        <v>4</v>
      </c>
      <c r="K5">
        <v>6</v>
      </c>
      <c r="L5">
        <v>0</v>
      </c>
      <c r="R5">
        <v>10</v>
      </c>
      <c r="S5">
        <v>0</v>
      </c>
      <c r="T5">
        <v>8</v>
      </c>
      <c r="U5">
        <v>0</v>
      </c>
      <c r="V5">
        <v>2</v>
      </c>
      <c r="W5">
        <v>5</v>
      </c>
      <c r="X5">
        <v>6</v>
      </c>
      <c r="Y5">
        <v>8</v>
      </c>
      <c r="Z5">
        <v>4</v>
      </c>
      <c r="AA5">
        <v>3</v>
      </c>
      <c r="AB5">
        <v>26</v>
      </c>
      <c r="AC5">
        <v>22</v>
      </c>
      <c r="AD5">
        <v>14</v>
      </c>
      <c r="AE5">
        <v>1</v>
      </c>
      <c r="AF5">
        <v>0</v>
      </c>
      <c r="AK5">
        <v>2.8</v>
      </c>
      <c r="AL5">
        <v>22</v>
      </c>
      <c r="AM5">
        <v>4.42</v>
      </c>
      <c r="AN5">
        <v>2</v>
      </c>
      <c r="AP5">
        <v>3.71</v>
      </c>
      <c r="AQ5">
        <v>104</v>
      </c>
      <c r="BA5">
        <v>20</v>
      </c>
      <c r="BJ5">
        <v>8991</v>
      </c>
      <c r="BO5">
        <v>3.1</v>
      </c>
      <c r="BP5">
        <v>4</v>
      </c>
      <c r="BQ5">
        <v>3.5</v>
      </c>
      <c r="BR5">
        <v>3.53</v>
      </c>
      <c r="BS5">
        <v>6</v>
      </c>
      <c r="BT5">
        <v>5.1666666666666599</v>
      </c>
      <c r="BU5">
        <v>6</v>
      </c>
      <c r="BV5">
        <v>6</v>
      </c>
      <c r="BW5">
        <v>2.0499999999999998</v>
      </c>
      <c r="BX5">
        <v>2</v>
      </c>
      <c r="BY5">
        <v>0</v>
      </c>
      <c r="BZ5">
        <v>28</v>
      </c>
      <c r="CA5">
        <v>18</v>
      </c>
      <c r="CB5">
        <v>10</v>
      </c>
      <c r="CC5">
        <v>1</v>
      </c>
      <c r="CD5">
        <v>38</v>
      </c>
      <c r="CE5">
        <v>31</v>
      </c>
      <c r="CF5">
        <v>41</v>
      </c>
      <c r="CG5">
        <v>19</v>
      </c>
      <c r="CH5">
        <v>35</v>
      </c>
      <c r="CI5">
        <v>44</v>
      </c>
      <c r="CJ5">
        <v>60</v>
      </c>
      <c r="CK5">
        <v>36</v>
      </c>
      <c r="CL5">
        <v>60</v>
      </c>
      <c r="CM5">
        <v>41</v>
      </c>
      <c r="CN5">
        <v>60</v>
      </c>
      <c r="CQ5">
        <v>4</v>
      </c>
      <c r="CR5">
        <v>5</v>
      </c>
      <c r="CS5">
        <v>2</v>
      </c>
    </row>
    <row r="6" spans="1:97" x14ac:dyDescent="0.2">
      <c r="A6">
        <v>10418</v>
      </c>
      <c r="B6">
        <v>102054</v>
      </c>
      <c r="C6" s="1">
        <v>19888</v>
      </c>
      <c r="D6">
        <v>68.64</v>
      </c>
      <c r="E6" t="s">
        <v>140</v>
      </c>
      <c r="F6" t="s">
        <v>187</v>
      </c>
      <c r="G6" t="s">
        <v>141</v>
      </c>
      <c r="H6">
        <v>4.22</v>
      </c>
      <c r="I6">
        <v>3.44</v>
      </c>
      <c r="J6">
        <v>0</v>
      </c>
      <c r="K6">
        <v>2</v>
      </c>
      <c r="L6">
        <v>4</v>
      </c>
      <c r="M6">
        <v>5.67</v>
      </c>
      <c r="N6">
        <v>5.33</v>
      </c>
      <c r="O6">
        <v>5.25</v>
      </c>
      <c r="P6">
        <v>4.83</v>
      </c>
      <c r="Q6">
        <v>5.0999999999999996</v>
      </c>
      <c r="R6">
        <v>16</v>
      </c>
      <c r="S6">
        <v>4</v>
      </c>
      <c r="T6">
        <v>2</v>
      </c>
      <c r="U6">
        <v>0</v>
      </c>
      <c r="V6">
        <v>10</v>
      </c>
      <c r="W6">
        <v>9</v>
      </c>
      <c r="X6">
        <v>2</v>
      </c>
      <c r="Y6">
        <v>4</v>
      </c>
      <c r="Z6">
        <v>3</v>
      </c>
      <c r="AA6">
        <v>3</v>
      </c>
      <c r="AB6">
        <v>21</v>
      </c>
      <c r="AC6">
        <v>26</v>
      </c>
      <c r="AD6">
        <v>11</v>
      </c>
      <c r="AE6">
        <v>0</v>
      </c>
      <c r="AF6">
        <v>0</v>
      </c>
      <c r="AK6">
        <v>2.6</v>
      </c>
      <c r="AL6">
        <v>7</v>
      </c>
      <c r="AM6">
        <v>4</v>
      </c>
      <c r="AN6">
        <v>0</v>
      </c>
      <c r="AP6">
        <v>4.2</v>
      </c>
      <c r="AQ6">
        <v>127</v>
      </c>
      <c r="AR6">
        <v>35</v>
      </c>
      <c r="AS6">
        <v>0</v>
      </c>
      <c r="AT6">
        <v>0</v>
      </c>
      <c r="AU6">
        <v>0</v>
      </c>
      <c r="AV6">
        <v>0.25</v>
      </c>
      <c r="AW6">
        <v>0</v>
      </c>
      <c r="AX6">
        <v>0</v>
      </c>
      <c r="AY6">
        <v>0</v>
      </c>
      <c r="AZ6">
        <v>3.5714285714285698E-2</v>
      </c>
      <c r="BA6">
        <v>90</v>
      </c>
      <c r="BB6">
        <v>70</v>
      </c>
      <c r="BH6">
        <v>52</v>
      </c>
      <c r="BI6">
        <v>13</v>
      </c>
      <c r="BJ6">
        <v>8991</v>
      </c>
      <c r="BO6">
        <v>3.3</v>
      </c>
      <c r="BP6">
        <v>3</v>
      </c>
      <c r="BQ6">
        <v>3.1</v>
      </c>
      <c r="BR6">
        <v>3.13</v>
      </c>
      <c r="BS6">
        <v>6</v>
      </c>
      <c r="BT6">
        <v>5.1666666666666599</v>
      </c>
      <c r="BU6">
        <v>6</v>
      </c>
      <c r="BV6">
        <v>5.1666666666666599</v>
      </c>
      <c r="BW6">
        <v>1.6</v>
      </c>
      <c r="BX6">
        <v>0</v>
      </c>
      <c r="BY6">
        <v>0</v>
      </c>
      <c r="BZ6">
        <v>22</v>
      </c>
      <c r="CA6">
        <v>20</v>
      </c>
      <c r="CB6">
        <v>7</v>
      </c>
      <c r="CC6">
        <v>0.875</v>
      </c>
      <c r="CD6">
        <v>28</v>
      </c>
      <c r="CE6">
        <v>24</v>
      </c>
      <c r="CF6">
        <v>33</v>
      </c>
      <c r="CG6">
        <v>25</v>
      </c>
      <c r="CH6">
        <v>27</v>
      </c>
      <c r="CI6">
        <v>35</v>
      </c>
      <c r="CJ6">
        <v>60</v>
      </c>
      <c r="CK6">
        <v>29</v>
      </c>
      <c r="CL6">
        <v>60</v>
      </c>
      <c r="CM6">
        <v>27</v>
      </c>
      <c r="CN6">
        <v>60</v>
      </c>
      <c r="CQ6">
        <v>3</v>
      </c>
      <c r="CR6">
        <v>3</v>
      </c>
      <c r="CS6">
        <v>2</v>
      </c>
    </row>
    <row r="7" spans="1:97" x14ac:dyDescent="0.2">
      <c r="A7">
        <v>10462</v>
      </c>
      <c r="B7">
        <v>21960</v>
      </c>
      <c r="C7" s="1">
        <v>22225</v>
      </c>
      <c r="D7">
        <v>62.04</v>
      </c>
      <c r="E7" t="s">
        <v>143</v>
      </c>
      <c r="F7" t="s">
        <v>187</v>
      </c>
      <c r="G7" t="s">
        <v>142</v>
      </c>
      <c r="H7">
        <v>4.67</v>
      </c>
      <c r="I7">
        <v>3.44</v>
      </c>
      <c r="J7">
        <v>4</v>
      </c>
      <c r="K7">
        <v>3</v>
      </c>
      <c r="L7">
        <v>0</v>
      </c>
      <c r="R7">
        <v>5</v>
      </c>
      <c r="S7">
        <v>0</v>
      </c>
      <c r="T7">
        <v>5</v>
      </c>
      <c r="U7">
        <v>0</v>
      </c>
      <c r="V7">
        <v>0</v>
      </c>
      <c r="W7">
        <v>3</v>
      </c>
      <c r="X7">
        <v>4</v>
      </c>
      <c r="Y7">
        <v>6</v>
      </c>
      <c r="Z7">
        <v>2</v>
      </c>
      <c r="AA7">
        <v>1</v>
      </c>
      <c r="AB7">
        <v>16</v>
      </c>
      <c r="AC7">
        <v>27</v>
      </c>
      <c r="AD7">
        <v>10</v>
      </c>
      <c r="AE7">
        <v>0</v>
      </c>
      <c r="AF7">
        <v>0</v>
      </c>
      <c r="AK7">
        <v>3.2</v>
      </c>
      <c r="AL7">
        <v>8</v>
      </c>
      <c r="AM7">
        <v>2.67</v>
      </c>
      <c r="AN7">
        <v>0</v>
      </c>
      <c r="AP7">
        <v>3.14</v>
      </c>
      <c r="AQ7">
        <v>110</v>
      </c>
      <c r="BA7">
        <v>20</v>
      </c>
      <c r="BJ7">
        <v>8991</v>
      </c>
      <c r="BO7">
        <v>3.6</v>
      </c>
      <c r="BP7">
        <v>4.3</v>
      </c>
      <c r="BQ7">
        <v>4</v>
      </c>
      <c r="BR7">
        <v>3.97</v>
      </c>
      <c r="BS7">
        <v>6</v>
      </c>
      <c r="BT7">
        <v>5.1666666666666599</v>
      </c>
      <c r="BU7">
        <v>6</v>
      </c>
      <c r="BV7">
        <v>6</v>
      </c>
      <c r="BW7">
        <v>0.5</v>
      </c>
      <c r="BX7">
        <v>4</v>
      </c>
      <c r="BY7">
        <v>1</v>
      </c>
      <c r="BZ7">
        <v>20</v>
      </c>
      <c r="CA7">
        <v>23</v>
      </c>
      <c r="CB7">
        <v>4</v>
      </c>
      <c r="CC7">
        <v>0.5</v>
      </c>
      <c r="CD7">
        <v>20</v>
      </c>
      <c r="CG7">
        <v>31</v>
      </c>
      <c r="CH7">
        <v>27</v>
      </c>
      <c r="CI7">
        <v>37</v>
      </c>
      <c r="CJ7">
        <v>60</v>
      </c>
      <c r="CK7">
        <v>30</v>
      </c>
      <c r="CL7">
        <v>60</v>
      </c>
      <c r="CM7">
        <v>19</v>
      </c>
      <c r="CN7">
        <v>60</v>
      </c>
      <c r="CQ7">
        <v>3</v>
      </c>
      <c r="CR7">
        <v>1</v>
      </c>
      <c r="CS7">
        <v>1</v>
      </c>
    </row>
    <row r="8" spans="1:97" x14ac:dyDescent="0.2">
      <c r="A8">
        <v>10478</v>
      </c>
      <c r="B8">
        <v>201495</v>
      </c>
      <c r="C8" s="1">
        <v>34703</v>
      </c>
      <c r="D8">
        <v>27.9</v>
      </c>
      <c r="E8" t="s">
        <v>144</v>
      </c>
      <c r="F8" t="s">
        <v>187</v>
      </c>
      <c r="G8" t="s">
        <v>141</v>
      </c>
      <c r="H8">
        <v>3.56</v>
      </c>
      <c r="I8">
        <v>4.22</v>
      </c>
      <c r="J8">
        <v>6</v>
      </c>
      <c r="K8">
        <v>3</v>
      </c>
      <c r="L8">
        <v>0</v>
      </c>
      <c r="R8">
        <v>37</v>
      </c>
      <c r="S8">
        <v>9</v>
      </c>
      <c r="T8">
        <v>11</v>
      </c>
      <c r="U8">
        <v>5</v>
      </c>
      <c r="V8">
        <v>12</v>
      </c>
      <c r="W8">
        <v>8</v>
      </c>
      <c r="X8">
        <v>7</v>
      </c>
      <c r="Y8">
        <v>7</v>
      </c>
      <c r="Z8">
        <v>10</v>
      </c>
      <c r="AA8">
        <v>3</v>
      </c>
      <c r="AB8">
        <v>35</v>
      </c>
      <c r="AC8">
        <v>18</v>
      </c>
      <c r="AD8">
        <v>11</v>
      </c>
      <c r="AE8">
        <v>0</v>
      </c>
      <c r="AF8">
        <v>0</v>
      </c>
      <c r="AK8">
        <v>3.6</v>
      </c>
      <c r="AL8">
        <v>10</v>
      </c>
      <c r="AM8">
        <v>3.33</v>
      </c>
      <c r="AN8">
        <v>11</v>
      </c>
      <c r="AP8">
        <v>4.34</v>
      </c>
      <c r="AQ8">
        <v>109</v>
      </c>
      <c r="BA8">
        <v>20</v>
      </c>
      <c r="BJ8">
        <v>8991</v>
      </c>
      <c r="BO8">
        <v>3.2</v>
      </c>
      <c r="BP8">
        <v>3.5</v>
      </c>
      <c r="BQ8">
        <v>3.3</v>
      </c>
      <c r="BR8">
        <v>3.33</v>
      </c>
      <c r="BS8">
        <v>6</v>
      </c>
      <c r="BT8">
        <v>5.1666666666666599</v>
      </c>
      <c r="BU8">
        <v>6</v>
      </c>
      <c r="BV8">
        <v>5.1666666666666599</v>
      </c>
      <c r="BW8">
        <v>2.85</v>
      </c>
      <c r="BX8">
        <v>2</v>
      </c>
      <c r="BY8">
        <v>0</v>
      </c>
      <c r="BZ8">
        <v>31</v>
      </c>
      <c r="CA8">
        <v>35</v>
      </c>
      <c r="CB8">
        <v>12</v>
      </c>
      <c r="CC8">
        <v>1.0909090909090899</v>
      </c>
      <c r="CD8">
        <v>42</v>
      </c>
      <c r="CE8">
        <v>36</v>
      </c>
      <c r="CF8">
        <v>62</v>
      </c>
      <c r="CG8">
        <v>23</v>
      </c>
      <c r="CH8">
        <v>30</v>
      </c>
      <c r="CI8">
        <v>48</v>
      </c>
      <c r="CJ8">
        <v>57</v>
      </c>
      <c r="CK8">
        <v>48</v>
      </c>
      <c r="CL8">
        <v>53</v>
      </c>
      <c r="CM8">
        <v>48</v>
      </c>
      <c r="CN8">
        <v>54</v>
      </c>
      <c r="CQ8">
        <v>7</v>
      </c>
      <c r="CR8">
        <v>4</v>
      </c>
      <c r="CS8">
        <v>3</v>
      </c>
    </row>
    <row r="9" spans="1:97" x14ac:dyDescent="0.2">
      <c r="A9">
        <v>10486</v>
      </c>
      <c r="B9">
        <v>131381</v>
      </c>
      <c r="C9" s="1">
        <v>29682</v>
      </c>
      <c r="D9">
        <v>41.91</v>
      </c>
      <c r="E9" t="s">
        <v>140</v>
      </c>
      <c r="F9" t="s">
        <v>187</v>
      </c>
      <c r="G9" t="s">
        <v>141</v>
      </c>
      <c r="H9">
        <v>4.33</v>
      </c>
      <c r="I9">
        <v>3.9</v>
      </c>
      <c r="J9">
        <v>4</v>
      </c>
      <c r="K9">
        <v>4</v>
      </c>
      <c r="L9">
        <v>0</v>
      </c>
      <c r="M9">
        <v>4.33</v>
      </c>
      <c r="N9">
        <v>3.83</v>
      </c>
      <c r="O9">
        <v>4.63</v>
      </c>
      <c r="P9">
        <v>4.17</v>
      </c>
      <c r="Q9">
        <v>4.4000000000000004</v>
      </c>
      <c r="R9">
        <v>37</v>
      </c>
      <c r="S9">
        <v>9</v>
      </c>
      <c r="T9">
        <v>15</v>
      </c>
      <c r="U9">
        <v>6</v>
      </c>
      <c r="V9">
        <v>7</v>
      </c>
      <c r="W9">
        <v>3</v>
      </c>
      <c r="X9">
        <v>7</v>
      </c>
      <c r="Y9">
        <v>5</v>
      </c>
      <c r="Z9">
        <v>6</v>
      </c>
      <c r="AA9">
        <v>2</v>
      </c>
      <c r="AB9">
        <v>23</v>
      </c>
      <c r="AC9">
        <v>35</v>
      </c>
      <c r="AD9">
        <v>14</v>
      </c>
      <c r="AE9">
        <v>0</v>
      </c>
      <c r="AF9">
        <v>0</v>
      </c>
      <c r="AG9">
        <v>4.75</v>
      </c>
      <c r="AH9">
        <v>5.25</v>
      </c>
      <c r="AI9">
        <v>5</v>
      </c>
      <c r="AJ9">
        <v>4</v>
      </c>
      <c r="AK9">
        <v>3</v>
      </c>
      <c r="AL9">
        <v>15</v>
      </c>
      <c r="AM9">
        <v>3.08</v>
      </c>
      <c r="AN9">
        <v>19</v>
      </c>
      <c r="AP9">
        <v>3.51</v>
      </c>
      <c r="AQ9">
        <v>29</v>
      </c>
      <c r="BA9">
        <v>20</v>
      </c>
      <c r="BJ9">
        <v>8991</v>
      </c>
      <c r="BO9">
        <v>3.7</v>
      </c>
      <c r="BP9">
        <v>3.9</v>
      </c>
      <c r="BQ9">
        <v>3.9</v>
      </c>
      <c r="BR9">
        <v>3.83</v>
      </c>
      <c r="BS9">
        <v>6</v>
      </c>
      <c r="BT9">
        <v>4.3333333333333304</v>
      </c>
      <c r="BU9">
        <v>2.6666666666666599</v>
      </c>
      <c r="BV9">
        <v>1.8333333333333299</v>
      </c>
      <c r="BW9">
        <v>2.95</v>
      </c>
      <c r="BX9">
        <v>0</v>
      </c>
      <c r="BY9">
        <v>0</v>
      </c>
      <c r="BZ9">
        <v>27</v>
      </c>
      <c r="CA9">
        <v>24</v>
      </c>
      <c r="CB9">
        <v>11</v>
      </c>
      <c r="CC9">
        <v>1.1000000000000001</v>
      </c>
      <c r="CD9">
        <v>38</v>
      </c>
      <c r="CE9">
        <v>40</v>
      </c>
      <c r="CF9">
        <v>39</v>
      </c>
      <c r="CG9">
        <v>23</v>
      </c>
      <c r="CH9">
        <v>36</v>
      </c>
      <c r="CI9">
        <v>47</v>
      </c>
      <c r="CK9">
        <v>47</v>
      </c>
      <c r="CL9">
        <v>60</v>
      </c>
      <c r="CM9">
        <v>34</v>
      </c>
      <c r="CN9">
        <v>60</v>
      </c>
      <c r="CQ9">
        <v>4</v>
      </c>
      <c r="CR9">
        <v>4</v>
      </c>
      <c r="CS9">
        <v>4</v>
      </c>
    </row>
    <row r="10" spans="1:97" x14ac:dyDescent="0.2">
      <c r="A10">
        <v>10529</v>
      </c>
      <c r="B10">
        <v>110255</v>
      </c>
      <c r="C10" s="1">
        <v>20208</v>
      </c>
      <c r="D10">
        <v>67.8</v>
      </c>
      <c r="E10" t="s">
        <v>140</v>
      </c>
      <c r="F10" t="s">
        <v>187</v>
      </c>
      <c r="G10" t="s">
        <v>142</v>
      </c>
      <c r="H10">
        <v>4.8899999999999997</v>
      </c>
      <c r="I10">
        <v>3.33</v>
      </c>
      <c r="J10">
        <v>0</v>
      </c>
      <c r="K10">
        <v>0</v>
      </c>
      <c r="L10">
        <v>2</v>
      </c>
      <c r="M10">
        <v>6.17</v>
      </c>
      <c r="N10">
        <v>5.17</v>
      </c>
      <c r="O10">
        <v>5.63</v>
      </c>
      <c r="P10">
        <v>4.83</v>
      </c>
      <c r="Q10">
        <v>5.4</v>
      </c>
      <c r="R10">
        <v>13</v>
      </c>
      <c r="S10">
        <v>1</v>
      </c>
      <c r="T10">
        <v>2</v>
      </c>
      <c r="U10">
        <v>5</v>
      </c>
      <c r="V10">
        <v>5</v>
      </c>
      <c r="W10">
        <v>6</v>
      </c>
      <c r="X10">
        <v>5</v>
      </c>
      <c r="Y10">
        <v>8</v>
      </c>
      <c r="Z10">
        <v>4</v>
      </c>
      <c r="AA10">
        <v>2</v>
      </c>
      <c r="AB10">
        <v>25</v>
      </c>
      <c r="AC10">
        <v>40</v>
      </c>
      <c r="AD10">
        <v>10</v>
      </c>
      <c r="AE10">
        <v>1</v>
      </c>
      <c r="AF10">
        <v>0</v>
      </c>
      <c r="AK10">
        <v>2.6</v>
      </c>
      <c r="AL10">
        <v>10</v>
      </c>
      <c r="AM10">
        <v>1.25</v>
      </c>
      <c r="AN10">
        <v>4</v>
      </c>
      <c r="AP10">
        <v>9999</v>
      </c>
      <c r="AQ10">
        <v>0.1</v>
      </c>
      <c r="BA10">
        <v>20</v>
      </c>
      <c r="BJ10">
        <v>8991</v>
      </c>
      <c r="BO10">
        <v>3.8</v>
      </c>
      <c r="BP10">
        <v>3.8</v>
      </c>
      <c r="BQ10">
        <v>3.9</v>
      </c>
      <c r="BR10">
        <v>3.83</v>
      </c>
      <c r="BS10">
        <v>6</v>
      </c>
      <c r="BT10">
        <v>5.1666666666666599</v>
      </c>
      <c r="BU10">
        <v>6</v>
      </c>
      <c r="BV10">
        <v>5.1666666666666599</v>
      </c>
      <c r="BW10">
        <v>1.35</v>
      </c>
      <c r="BX10">
        <v>0</v>
      </c>
      <c r="BY10">
        <v>0</v>
      </c>
      <c r="BZ10">
        <v>32</v>
      </c>
      <c r="CA10">
        <v>17</v>
      </c>
      <c r="CB10">
        <v>12</v>
      </c>
      <c r="CC10">
        <v>1</v>
      </c>
      <c r="CD10">
        <v>43</v>
      </c>
      <c r="CE10">
        <v>30</v>
      </c>
      <c r="CF10">
        <v>45</v>
      </c>
      <c r="CG10">
        <v>27</v>
      </c>
      <c r="CH10">
        <v>28</v>
      </c>
      <c r="CI10">
        <v>48</v>
      </c>
      <c r="CJ10">
        <v>55</v>
      </c>
      <c r="CK10">
        <v>48</v>
      </c>
      <c r="CL10">
        <v>49</v>
      </c>
      <c r="CM10">
        <v>48</v>
      </c>
      <c r="CN10">
        <v>60</v>
      </c>
      <c r="CQ10">
        <v>7</v>
      </c>
      <c r="CR10">
        <v>1</v>
      </c>
      <c r="CS10">
        <v>1</v>
      </c>
    </row>
    <row r="11" spans="1:97" x14ac:dyDescent="0.2">
      <c r="A11">
        <v>10541</v>
      </c>
      <c r="B11">
        <v>30253</v>
      </c>
      <c r="C11" s="1">
        <v>19652</v>
      </c>
      <c r="D11">
        <v>69.16</v>
      </c>
      <c r="E11" t="s">
        <v>140</v>
      </c>
      <c r="F11" t="s">
        <v>187</v>
      </c>
      <c r="G11" t="s">
        <v>142</v>
      </c>
      <c r="H11">
        <v>4.22</v>
      </c>
      <c r="I11">
        <v>2.67</v>
      </c>
      <c r="J11">
        <v>3</v>
      </c>
      <c r="K11">
        <v>14</v>
      </c>
      <c r="L11">
        <v>0</v>
      </c>
      <c r="R11">
        <v>20</v>
      </c>
      <c r="S11">
        <v>1</v>
      </c>
      <c r="T11">
        <v>5</v>
      </c>
      <c r="U11">
        <v>2</v>
      </c>
      <c r="V11">
        <v>12</v>
      </c>
      <c r="W11">
        <v>8</v>
      </c>
      <c r="X11">
        <v>6</v>
      </c>
      <c r="Y11">
        <v>6</v>
      </c>
      <c r="Z11">
        <v>7</v>
      </c>
      <c r="AA11">
        <v>5</v>
      </c>
      <c r="AB11">
        <v>32</v>
      </c>
      <c r="AC11">
        <v>25</v>
      </c>
      <c r="AD11">
        <v>10</v>
      </c>
      <c r="AE11">
        <v>0</v>
      </c>
      <c r="AF11">
        <v>0</v>
      </c>
      <c r="AG11">
        <v>4.25</v>
      </c>
      <c r="AH11">
        <v>4</v>
      </c>
      <c r="AI11">
        <v>5.5</v>
      </c>
      <c r="AJ11">
        <v>3.25</v>
      </c>
      <c r="AK11">
        <v>2.8</v>
      </c>
      <c r="AL11">
        <v>7</v>
      </c>
      <c r="AM11">
        <v>3.75</v>
      </c>
      <c r="AN11">
        <v>9</v>
      </c>
      <c r="AO11">
        <v>3.17</v>
      </c>
      <c r="AP11">
        <v>4.1100000000000003</v>
      </c>
      <c r="BA11">
        <v>20</v>
      </c>
      <c r="BJ11">
        <v>8991</v>
      </c>
      <c r="BO11">
        <v>3.4</v>
      </c>
      <c r="BP11">
        <v>3.1</v>
      </c>
      <c r="BQ11">
        <v>3.4</v>
      </c>
      <c r="BR11">
        <v>3.3</v>
      </c>
      <c r="BS11">
        <v>2.3333333333333299</v>
      </c>
      <c r="BT11">
        <v>3.6666666666666599</v>
      </c>
      <c r="BU11">
        <v>4.5</v>
      </c>
      <c r="BV11">
        <v>3.5</v>
      </c>
      <c r="BW11">
        <v>1.3</v>
      </c>
      <c r="BX11">
        <v>2</v>
      </c>
      <c r="BY11">
        <v>0</v>
      </c>
      <c r="BZ11">
        <v>27</v>
      </c>
      <c r="CA11">
        <v>16</v>
      </c>
      <c r="CB11">
        <v>11</v>
      </c>
      <c r="CC11">
        <v>1.1000000000000001</v>
      </c>
      <c r="CD11">
        <v>35</v>
      </c>
      <c r="CE11">
        <v>27</v>
      </c>
      <c r="CF11">
        <v>36</v>
      </c>
      <c r="CG11">
        <v>30</v>
      </c>
      <c r="CH11">
        <v>31</v>
      </c>
      <c r="CI11">
        <v>48</v>
      </c>
      <c r="CJ11">
        <v>57</v>
      </c>
      <c r="CK11">
        <v>48</v>
      </c>
      <c r="CL11">
        <v>58</v>
      </c>
      <c r="CM11">
        <v>41</v>
      </c>
      <c r="CN11">
        <v>60</v>
      </c>
      <c r="CQ11">
        <v>3</v>
      </c>
      <c r="CR11">
        <v>1</v>
      </c>
      <c r="CS11">
        <v>1</v>
      </c>
    </row>
    <row r="12" spans="1:97" x14ac:dyDescent="0.2">
      <c r="A12">
        <v>10555</v>
      </c>
      <c r="B12">
        <v>141294</v>
      </c>
      <c r="C12" s="1">
        <v>34427</v>
      </c>
      <c r="D12">
        <v>28.86</v>
      </c>
      <c r="E12" t="s">
        <v>145</v>
      </c>
      <c r="F12" t="s">
        <v>187</v>
      </c>
      <c r="G12" t="s">
        <v>146</v>
      </c>
      <c r="H12">
        <v>3.67</v>
      </c>
      <c r="I12">
        <v>3.67</v>
      </c>
      <c r="J12">
        <v>5</v>
      </c>
      <c r="K12">
        <v>18</v>
      </c>
      <c r="L12">
        <v>0</v>
      </c>
      <c r="M12">
        <v>3.83</v>
      </c>
      <c r="N12">
        <v>2.67</v>
      </c>
      <c r="O12">
        <v>4.5</v>
      </c>
      <c r="P12">
        <v>4.5</v>
      </c>
      <c r="Q12">
        <v>3.83</v>
      </c>
      <c r="R12">
        <v>71</v>
      </c>
      <c r="S12">
        <v>25</v>
      </c>
      <c r="T12">
        <v>25</v>
      </c>
      <c r="U12">
        <v>7</v>
      </c>
      <c r="V12">
        <v>14</v>
      </c>
      <c r="W12">
        <v>7</v>
      </c>
      <c r="X12">
        <v>9</v>
      </c>
      <c r="Y12">
        <v>7</v>
      </c>
      <c r="Z12">
        <v>8</v>
      </c>
      <c r="AA12">
        <v>2</v>
      </c>
      <c r="AB12">
        <v>33</v>
      </c>
      <c r="AC12">
        <v>35</v>
      </c>
      <c r="AD12">
        <v>17</v>
      </c>
      <c r="AE12">
        <v>0</v>
      </c>
      <c r="AF12">
        <v>0</v>
      </c>
      <c r="AK12">
        <v>3.6</v>
      </c>
      <c r="AL12">
        <v>17</v>
      </c>
      <c r="AM12">
        <v>3.25</v>
      </c>
      <c r="AN12">
        <v>11</v>
      </c>
      <c r="AP12">
        <v>3.2</v>
      </c>
      <c r="AQ12">
        <v>49.1</v>
      </c>
      <c r="AR12">
        <v>41</v>
      </c>
      <c r="AS12">
        <v>1.5</v>
      </c>
      <c r="AT12">
        <v>1</v>
      </c>
      <c r="AU12">
        <v>0</v>
      </c>
      <c r="AV12">
        <v>0.75</v>
      </c>
      <c r="AW12">
        <v>0.75</v>
      </c>
      <c r="AX12">
        <v>0.75</v>
      </c>
      <c r="AY12">
        <v>1.25</v>
      </c>
      <c r="AZ12">
        <v>0.85714285714285698</v>
      </c>
      <c r="BA12">
        <v>100</v>
      </c>
      <c r="BB12">
        <v>80</v>
      </c>
      <c r="BH12">
        <v>32</v>
      </c>
      <c r="BI12">
        <v>27</v>
      </c>
      <c r="BJ12">
        <v>8991</v>
      </c>
      <c r="BO12">
        <v>3.8</v>
      </c>
      <c r="BP12">
        <v>4.2</v>
      </c>
      <c r="BQ12">
        <v>3.6</v>
      </c>
      <c r="BR12">
        <v>3.87</v>
      </c>
      <c r="BS12">
        <v>5</v>
      </c>
      <c r="BT12">
        <v>5.6666666666666599</v>
      </c>
      <c r="BU12">
        <v>6</v>
      </c>
      <c r="BV12">
        <v>5.1666666666666599</v>
      </c>
      <c r="BW12">
        <v>2.35</v>
      </c>
      <c r="BX12">
        <v>0</v>
      </c>
      <c r="BY12">
        <v>0</v>
      </c>
      <c r="BZ12">
        <v>33</v>
      </c>
      <c r="CA12">
        <v>19</v>
      </c>
      <c r="CB12">
        <v>12</v>
      </c>
      <c r="CC12">
        <v>1</v>
      </c>
      <c r="CD12">
        <v>45</v>
      </c>
      <c r="CE12">
        <v>30</v>
      </c>
      <c r="CF12">
        <v>47</v>
      </c>
      <c r="CG12">
        <v>26</v>
      </c>
      <c r="CH12">
        <v>0</v>
      </c>
      <c r="CI12">
        <v>48</v>
      </c>
      <c r="CJ12">
        <v>59</v>
      </c>
      <c r="CK12">
        <v>35</v>
      </c>
      <c r="CL12">
        <v>60</v>
      </c>
      <c r="CM12">
        <v>45</v>
      </c>
      <c r="CN12">
        <v>60</v>
      </c>
      <c r="CQ12">
        <v>5</v>
      </c>
      <c r="CR12">
        <v>1</v>
      </c>
      <c r="CS12">
        <v>1</v>
      </c>
    </row>
    <row r="13" spans="1:97" x14ac:dyDescent="0.2">
      <c r="A13">
        <v>10559</v>
      </c>
      <c r="B13">
        <v>131894</v>
      </c>
      <c r="C13" s="1">
        <v>34644</v>
      </c>
      <c r="D13">
        <v>28.31</v>
      </c>
      <c r="E13" t="s">
        <v>143</v>
      </c>
      <c r="F13" t="s">
        <v>187</v>
      </c>
      <c r="G13" t="s">
        <v>142</v>
      </c>
      <c r="H13">
        <v>4.4400000000000004</v>
      </c>
      <c r="I13">
        <v>3.8</v>
      </c>
      <c r="J13">
        <v>9</v>
      </c>
      <c r="K13">
        <v>3</v>
      </c>
      <c r="L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25</v>
      </c>
      <c r="AD13">
        <v>12</v>
      </c>
      <c r="AE13">
        <v>0</v>
      </c>
      <c r="AF13">
        <v>0</v>
      </c>
      <c r="AG13">
        <v>5</v>
      </c>
      <c r="AH13">
        <v>5.5</v>
      </c>
      <c r="AI13">
        <v>5.25</v>
      </c>
      <c r="AJ13">
        <v>4.25</v>
      </c>
      <c r="AK13">
        <v>2.5</v>
      </c>
      <c r="AL13">
        <v>12</v>
      </c>
      <c r="AM13">
        <v>1.08</v>
      </c>
      <c r="AN13">
        <v>15</v>
      </c>
      <c r="AO13">
        <v>1.67</v>
      </c>
      <c r="AP13">
        <v>1.63</v>
      </c>
      <c r="BA13">
        <v>20</v>
      </c>
      <c r="BJ13">
        <v>8991</v>
      </c>
      <c r="BO13">
        <v>4</v>
      </c>
      <c r="BP13">
        <v>4.4000000000000004</v>
      </c>
      <c r="BQ13">
        <v>4.0999999999999996</v>
      </c>
      <c r="BR13">
        <v>4.17</v>
      </c>
      <c r="BS13">
        <v>1</v>
      </c>
      <c r="BT13">
        <v>1</v>
      </c>
      <c r="BU13">
        <v>1</v>
      </c>
      <c r="BV13">
        <v>1</v>
      </c>
      <c r="BW13">
        <v>2.4</v>
      </c>
      <c r="BX13">
        <v>0</v>
      </c>
      <c r="BY13">
        <v>0</v>
      </c>
      <c r="BZ13">
        <v>23</v>
      </c>
      <c r="CA13">
        <v>20</v>
      </c>
      <c r="CB13">
        <v>10</v>
      </c>
      <c r="CC13">
        <v>1</v>
      </c>
      <c r="CD13">
        <v>33</v>
      </c>
      <c r="CE13">
        <v>43</v>
      </c>
      <c r="CF13">
        <v>42</v>
      </c>
      <c r="CG13">
        <v>19</v>
      </c>
      <c r="CH13">
        <v>32</v>
      </c>
      <c r="CI13">
        <v>48</v>
      </c>
      <c r="CJ13">
        <v>44</v>
      </c>
      <c r="CK13">
        <v>47</v>
      </c>
      <c r="CL13">
        <v>57</v>
      </c>
      <c r="CM13">
        <v>48</v>
      </c>
      <c r="CN13">
        <v>60</v>
      </c>
      <c r="CQ13">
        <v>5</v>
      </c>
      <c r="CR13">
        <v>2</v>
      </c>
      <c r="CS13">
        <v>1</v>
      </c>
    </row>
    <row r="14" spans="1:97" x14ac:dyDescent="0.2">
      <c r="A14">
        <v>10572</v>
      </c>
      <c r="B14">
        <v>10252</v>
      </c>
      <c r="C14" s="1">
        <v>19250</v>
      </c>
      <c r="D14">
        <v>70.459999999999994</v>
      </c>
      <c r="E14" t="s">
        <v>140</v>
      </c>
      <c r="F14" t="s">
        <v>187</v>
      </c>
      <c r="G14" t="s">
        <v>141</v>
      </c>
      <c r="H14">
        <v>4.22</v>
      </c>
      <c r="I14">
        <v>3.1</v>
      </c>
      <c r="J14">
        <v>0</v>
      </c>
      <c r="K14">
        <v>0</v>
      </c>
      <c r="L14">
        <v>0</v>
      </c>
      <c r="M14">
        <v>6.17</v>
      </c>
      <c r="N14">
        <v>5.67</v>
      </c>
      <c r="O14">
        <v>6.13</v>
      </c>
      <c r="P14">
        <v>5.17</v>
      </c>
      <c r="Q14">
        <v>5.83</v>
      </c>
      <c r="R14">
        <v>4</v>
      </c>
      <c r="S14">
        <v>0</v>
      </c>
      <c r="T14">
        <v>1</v>
      </c>
      <c r="U14">
        <v>0</v>
      </c>
      <c r="V14">
        <v>3</v>
      </c>
      <c r="W14">
        <v>2</v>
      </c>
      <c r="X14">
        <v>4</v>
      </c>
      <c r="Y14">
        <v>5</v>
      </c>
      <c r="Z14">
        <v>3</v>
      </c>
      <c r="AA14">
        <v>4</v>
      </c>
      <c r="AB14">
        <v>18</v>
      </c>
      <c r="AC14">
        <v>31</v>
      </c>
      <c r="AD14">
        <v>12</v>
      </c>
      <c r="AE14">
        <v>0</v>
      </c>
      <c r="AF14">
        <v>0</v>
      </c>
      <c r="AG14">
        <v>6</v>
      </c>
      <c r="AH14">
        <v>6</v>
      </c>
      <c r="AI14">
        <v>6</v>
      </c>
      <c r="AJ14">
        <v>6</v>
      </c>
      <c r="AK14">
        <v>2.6</v>
      </c>
      <c r="AL14">
        <v>6</v>
      </c>
      <c r="AM14">
        <v>2.25</v>
      </c>
      <c r="AN14">
        <v>0</v>
      </c>
      <c r="AO14">
        <v>3.17</v>
      </c>
      <c r="AP14">
        <v>2.69</v>
      </c>
      <c r="AQ14">
        <v>72</v>
      </c>
      <c r="BA14">
        <v>20</v>
      </c>
      <c r="BJ14">
        <v>8991</v>
      </c>
      <c r="BO14">
        <v>3.2</v>
      </c>
      <c r="BP14">
        <v>3.3</v>
      </c>
      <c r="BQ14">
        <v>3.7</v>
      </c>
      <c r="BR14">
        <v>3.4</v>
      </c>
      <c r="BS14">
        <v>2.6666666666666599</v>
      </c>
      <c r="BT14">
        <v>2.6666666666666599</v>
      </c>
      <c r="BU14">
        <v>4.3333333333333304</v>
      </c>
      <c r="BV14">
        <v>2.6666666666666599</v>
      </c>
      <c r="BW14">
        <v>0.3</v>
      </c>
      <c r="BX14">
        <v>0</v>
      </c>
      <c r="BY14">
        <v>0</v>
      </c>
      <c r="BZ14">
        <v>29</v>
      </c>
      <c r="CA14">
        <v>18</v>
      </c>
      <c r="CB14">
        <v>11</v>
      </c>
      <c r="CC14">
        <v>0.91666666666666596</v>
      </c>
      <c r="CD14">
        <v>40</v>
      </c>
      <c r="CE14">
        <v>28</v>
      </c>
      <c r="CF14">
        <v>42</v>
      </c>
      <c r="CG14">
        <v>27</v>
      </c>
      <c r="CH14">
        <v>29</v>
      </c>
      <c r="CI14">
        <v>46</v>
      </c>
      <c r="CJ14">
        <v>60</v>
      </c>
      <c r="CK14">
        <v>42</v>
      </c>
      <c r="CL14">
        <v>60</v>
      </c>
      <c r="CM14">
        <v>29</v>
      </c>
      <c r="CN14">
        <v>60</v>
      </c>
      <c r="CQ14">
        <v>2</v>
      </c>
      <c r="CR14">
        <v>1</v>
      </c>
      <c r="CS14">
        <v>1</v>
      </c>
    </row>
    <row r="15" spans="1:97" x14ac:dyDescent="0.2">
      <c r="A15">
        <v>10581</v>
      </c>
      <c r="B15">
        <v>101274</v>
      </c>
      <c r="C15" s="1">
        <v>27360</v>
      </c>
      <c r="D15">
        <v>48.03</v>
      </c>
      <c r="E15" t="s">
        <v>143</v>
      </c>
      <c r="F15" t="s">
        <v>187</v>
      </c>
      <c r="G15" t="s">
        <v>142</v>
      </c>
      <c r="H15">
        <v>4.4400000000000004</v>
      </c>
      <c r="I15">
        <v>3.78</v>
      </c>
      <c r="J15">
        <v>4</v>
      </c>
      <c r="K15">
        <v>2</v>
      </c>
      <c r="L15">
        <v>0</v>
      </c>
      <c r="R15">
        <v>18</v>
      </c>
      <c r="S15">
        <v>2</v>
      </c>
      <c r="T15">
        <v>7</v>
      </c>
      <c r="U15">
        <v>2</v>
      </c>
      <c r="V15">
        <v>7</v>
      </c>
      <c r="W15">
        <v>1</v>
      </c>
      <c r="X15">
        <v>5</v>
      </c>
      <c r="Y15">
        <v>4</v>
      </c>
      <c r="Z15">
        <v>3</v>
      </c>
      <c r="AA15">
        <v>3</v>
      </c>
      <c r="AB15">
        <v>16</v>
      </c>
      <c r="AC15">
        <v>29</v>
      </c>
      <c r="AD15">
        <v>9</v>
      </c>
      <c r="AE15">
        <v>0</v>
      </c>
      <c r="AF15">
        <v>0</v>
      </c>
      <c r="AG15">
        <v>5.67</v>
      </c>
      <c r="AH15">
        <v>6</v>
      </c>
      <c r="AI15">
        <v>6</v>
      </c>
      <c r="AJ15">
        <v>5</v>
      </c>
      <c r="AK15">
        <v>2.9</v>
      </c>
      <c r="AL15">
        <v>6</v>
      </c>
      <c r="AM15">
        <v>1.83</v>
      </c>
      <c r="AN15">
        <v>8</v>
      </c>
      <c r="AP15">
        <v>9999</v>
      </c>
      <c r="AQ15">
        <v>154.1</v>
      </c>
      <c r="BA15">
        <v>20</v>
      </c>
      <c r="BJ15">
        <v>8991</v>
      </c>
      <c r="BO15">
        <v>4.0999999999999996</v>
      </c>
      <c r="BP15">
        <v>3.5</v>
      </c>
      <c r="BQ15">
        <v>4.2</v>
      </c>
      <c r="BR15">
        <v>3.93</v>
      </c>
      <c r="BS15">
        <v>1</v>
      </c>
      <c r="BT15">
        <v>1</v>
      </c>
      <c r="BU15">
        <v>1</v>
      </c>
      <c r="BV15">
        <v>1</v>
      </c>
      <c r="BW15">
        <v>0.3</v>
      </c>
      <c r="BX15">
        <v>4</v>
      </c>
      <c r="BY15">
        <v>1</v>
      </c>
      <c r="BZ15">
        <v>20</v>
      </c>
      <c r="CA15">
        <v>20</v>
      </c>
      <c r="CB15">
        <v>6</v>
      </c>
      <c r="CC15">
        <v>0.66666666666666596</v>
      </c>
      <c r="CD15">
        <v>20</v>
      </c>
      <c r="CE15">
        <v>33</v>
      </c>
      <c r="CF15">
        <v>43</v>
      </c>
      <c r="CG15">
        <v>20</v>
      </c>
      <c r="CH15">
        <v>20</v>
      </c>
      <c r="CI15">
        <v>42</v>
      </c>
      <c r="CJ15">
        <v>60</v>
      </c>
      <c r="CK15">
        <v>30</v>
      </c>
      <c r="CL15">
        <v>60</v>
      </c>
      <c r="CM15">
        <v>30</v>
      </c>
      <c r="CN15">
        <v>60</v>
      </c>
      <c r="CQ15">
        <v>2</v>
      </c>
      <c r="CR15">
        <v>2</v>
      </c>
      <c r="CS15">
        <v>5</v>
      </c>
    </row>
    <row r="16" spans="1:97" x14ac:dyDescent="0.2">
      <c r="A16">
        <v>10584</v>
      </c>
      <c r="B16">
        <v>221173</v>
      </c>
      <c r="C16" s="1">
        <v>26779</v>
      </c>
      <c r="D16">
        <v>49.64</v>
      </c>
      <c r="E16" t="s">
        <v>140</v>
      </c>
      <c r="F16" t="s">
        <v>187</v>
      </c>
      <c r="G16" t="s">
        <v>141</v>
      </c>
      <c r="H16">
        <v>4.22</v>
      </c>
      <c r="I16">
        <v>3</v>
      </c>
      <c r="J16">
        <v>1</v>
      </c>
      <c r="K16">
        <v>3</v>
      </c>
      <c r="L16">
        <v>0</v>
      </c>
      <c r="M16">
        <v>5.83</v>
      </c>
      <c r="N16">
        <v>4.83</v>
      </c>
      <c r="O16">
        <v>5.63</v>
      </c>
      <c r="P16">
        <v>4.33</v>
      </c>
      <c r="Q16">
        <v>5.13</v>
      </c>
      <c r="R16">
        <v>16</v>
      </c>
      <c r="S16">
        <v>1</v>
      </c>
      <c r="T16">
        <v>5</v>
      </c>
      <c r="U16">
        <v>1</v>
      </c>
      <c r="V16">
        <v>9</v>
      </c>
      <c r="W16">
        <v>4</v>
      </c>
      <c r="X16">
        <v>6</v>
      </c>
      <c r="Y16">
        <v>8</v>
      </c>
      <c r="Z16">
        <v>6</v>
      </c>
      <c r="AA16">
        <v>3</v>
      </c>
      <c r="AB16">
        <v>27</v>
      </c>
      <c r="AC16">
        <v>30</v>
      </c>
      <c r="AD16">
        <v>14</v>
      </c>
      <c r="AE16">
        <v>0</v>
      </c>
      <c r="AF16">
        <v>0</v>
      </c>
      <c r="AG16">
        <v>5.5</v>
      </c>
      <c r="AH16">
        <v>6</v>
      </c>
      <c r="AI16">
        <v>4.5</v>
      </c>
      <c r="AJ16">
        <v>6</v>
      </c>
      <c r="AK16">
        <v>3</v>
      </c>
      <c r="AL16">
        <v>15</v>
      </c>
      <c r="AM16">
        <v>1.42</v>
      </c>
      <c r="AN16">
        <v>0</v>
      </c>
      <c r="AP16">
        <v>2.63</v>
      </c>
      <c r="AQ16">
        <v>55</v>
      </c>
      <c r="AR16">
        <v>21</v>
      </c>
      <c r="BA16">
        <v>94</v>
      </c>
      <c r="BB16">
        <v>74</v>
      </c>
      <c r="BJ16">
        <v>8991</v>
      </c>
      <c r="BO16">
        <v>3.8</v>
      </c>
      <c r="BP16">
        <v>4</v>
      </c>
      <c r="BQ16">
        <v>4.2</v>
      </c>
      <c r="BR16">
        <v>4</v>
      </c>
      <c r="BS16">
        <v>6</v>
      </c>
      <c r="BT16">
        <v>6</v>
      </c>
      <c r="BU16">
        <v>6</v>
      </c>
      <c r="BV16">
        <v>3.8333333333333299</v>
      </c>
      <c r="BW16">
        <v>1.35</v>
      </c>
      <c r="BX16">
        <v>0</v>
      </c>
      <c r="BY16">
        <v>0</v>
      </c>
      <c r="BZ16">
        <v>28</v>
      </c>
      <c r="CA16">
        <v>20</v>
      </c>
      <c r="CB16">
        <v>10</v>
      </c>
      <c r="CC16">
        <v>0.90909090909090895</v>
      </c>
      <c r="CD16">
        <v>38</v>
      </c>
      <c r="CE16">
        <v>45</v>
      </c>
      <c r="CF16">
        <v>44</v>
      </c>
      <c r="CG16">
        <v>30</v>
      </c>
      <c r="CH16">
        <v>38</v>
      </c>
      <c r="CI16">
        <v>48</v>
      </c>
      <c r="CJ16">
        <v>50</v>
      </c>
      <c r="CK16">
        <v>47</v>
      </c>
      <c r="CL16">
        <v>60</v>
      </c>
      <c r="CM16">
        <v>39</v>
      </c>
      <c r="CN16">
        <v>60</v>
      </c>
      <c r="CQ16">
        <v>6</v>
      </c>
      <c r="CR16">
        <v>2</v>
      </c>
      <c r="CS16">
        <v>1</v>
      </c>
    </row>
    <row r="17" spans="1:97" x14ac:dyDescent="0.2">
      <c r="A17">
        <v>10585</v>
      </c>
      <c r="B17">
        <v>161859</v>
      </c>
      <c r="C17" s="1">
        <v>21854</v>
      </c>
      <c r="D17">
        <v>63.33</v>
      </c>
      <c r="E17" t="s">
        <v>140</v>
      </c>
      <c r="F17" t="s">
        <v>187</v>
      </c>
      <c r="G17" t="s">
        <v>141</v>
      </c>
      <c r="H17">
        <v>4.67</v>
      </c>
      <c r="I17">
        <v>4</v>
      </c>
      <c r="J17">
        <v>4</v>
      </c>
      <c r="K17">
        <v>4</v>
      </c>
      <c r="L17">
        <v>0</v>
      </c>
      <c r="M17">
        <v>6.67</v>
      </c>
      <c r="N17">
        <v>5.67</v>
      </c>
      <c r="O17">
        <v>5.63</v>
      </c>
      <c r="P17">
        <v>5.17</v>
      </c>
      <c r="Q17">
        <v>5.8</v>
      </c>
      <c r="R17">
        <v>19</v>
      </c>
      <c r="S17">
        <v>2</v>
      </c>
      <c r="T17">
        <v>12</v>
      </c>
      <c r="U17">
        <v>4</v>
      </c>
      <c r="V17">
        <v>1</v>
      </c>
      <c r="W17">
        <v>0</v>
      </c>
      <c r="X17">
        <v>5</v>
      </c>
      <c r="Y17">
        <v>6</v>
      </c>
      <c r="Z17">
        <v>1</v>
      </c>
      <c r="AA17">
        <v>1</v>
      </c>
      <c r="AB17">
        <v>13</v>
      </c>
      <c r="AC17">
        <v>30</v>
      </c>
      <c r="AD17">
        <v>9</v>
      </c>
      <c r="AE17">
        <v>0</v>
      </c>
      <c r="AF17">
        <v>0</v>
      </c>
      <c r="AG17">
        <v>6</v>
      </c>
      <c r="AH17">
        <v>6</v>
      </c>
      <c r="AI17">
        <v>6</v>
      </c>
      <c r="AJ17">
        <v>6</v>
      </c>
      <c r="AK17">
        <v>3</v>
      </c>
      <c r="AL17">
        <v>11</v>
      </c>
      <c r="AM17">
        <v>2.58</v>
      </c>
      <c r="AN17">
        <v>8</v>
      </c>
      <c r="AP17">
        <v>3.43</v>
      </c>
      <c r="BA17">
        <v>20</v>
      </c>
      <c r="BJ17">
        <v>8991</v>
      </c>
      <c r="BO17">
        <v>3.6</v>
      </c>
      <c r="BP17">
        <v>3.7</v>
      </c>
      <c r="BQ17">
        <v>3.9</v>
      </c>
      <c r="BR17">
        <v>3.73</v>
      </c>
      <c r="BS17">
        <v>2.6666666666666599</v>
      </c>
      <c r="BT17">
        <v>3.3333333333333299</v>
      </c>
      <c r="BU17">
        <v>6</v>
      </c>
      <c r="BV17">
        <v>4</v>
      </c>
      <c r="BW17">
        <v>1.8</v>
      </c>
      <c r="BX17">
        <v>0</v>
      </c>
      <c r="BY17">
        <v>0</v>
      </c>
      <c r="BZ17">
        <v>22</v>
      </c>
      <c r="CA17">
        <v>20</v>
      </c>
      <c r="CB17">
        <v>9</v>
      </c>
      <c r="CC17">
        <v>0.9</v>
      </c>
      <c r="CD17">
        <v>31</v>
      </c>
      <c r="CE17">
        <v>28</v>
      </c>
      <c r="CF17">
        <v>36</v>
      </c>
      <c r="CG17">
        <v>32</v>
      </c>
      <c r="CH17">
        <v>29</v>
      </c>
      <c r="CI17">
        <v>38</v>
      </c>
      <c r="CJ17">
        <v>60</v>
      </c>
      <c r="CK17">
        <v>34</v>
      </c>
      <c r="CL17">
        <v>60</v>
      </c>
      <c r="CM17">
        <v>27</v>
      </c>
      <c r="CN17">
        <v>60</v>
      </c>
      <c r="CQ17">
        <v>7</v>
      </c>
      <c r="CR17">
        <v>1</v>
      </c>
      <c r="CS17">
        <v>1</v>
      </c>
    </row>
    <row r="18" spans="1:97" x14ac:dyDescent="0.2">
      <c r="A18">
        <v>10589</v>
      </c>
      <c r="B18">
        <v>161988</v>
      </c>
      <c r="C18" s="1">
        <v>32284</v>
      </c>
      <c r="D18">
        <v>34.869999999999997</v>
      </c>
      <c r="E18" t="s">
        <v>140</v>
      </c>
      <c r="F18" t="s">
        <v>187</v>
      </c>
      <c r="G18" t="s">
        <v>142</v>
      </c>
      <c r="H18">
        <v>4.4400000000000004</v>
      </c>
      <c r="I18">
        <v>2.5</v>
      </c>
      <c r="J18">
        <v>2</v>
      </c>
      <c r="K18">
        <v>13</v>
      </c>
      <c r="L18">
        <v>0</v>
      </c>
      <c r="M18">
        <v>2.83</v>
      </c>
      <c r="N18">
        <v>3</v>
      </c>
      <c r="O18">
        <v>3.75</v>
      </c>
      <c r="P18">
        <v>3.83</v>
      </c>
      <c r="Q18">
        <v>3.23</v>
      </c>
      <c r="R18">
        <v>45</v>
      </c>
      <c r="S18">
        <v>10</v>
      </c>
      <c r="T18">
        <v>21</v>
      </c>
      <c r="U18">
        <v>4</v>
      </c>
      <c r="V18">
        <v>10</v>
      </c>
      <c r="W18">
        <v>4</v>
      </c>
      <c r="X18">
        <v>8</v>
      </c>
      <c r="Y18">
        <v>6</v>
      </c>
      <c r="Z18">
        <v>6</v>
      </c>
      <c r="AA18">
        <v>6</v>
      </c>
      <c r="AB18">
        <v>30</v>
      </c>
      <c r="AC18">
        <v>26</v>
      </c>
      <c r="AD18">
        <v>17</v>
      </c>
      <c r="AE18">
        <v>0</v>
      </c>
      <c r="AF18">
        <v>0</v>
      </c>
      <c r="AK18">
        <v>3.9</v>
      </c>
      <c r="AL18">
        <v>18</v>
      </c>
      <c r="AM18">
        <v>4.58</v>
      </c>
      <c r="AN18">
        <v>2</v>
      </c>
      <c r="AP18">
        <v>4.46</v>
      </c>
      <c r="AQ18">
        <v>44</v>
      </c>
      <c r="BA18">
        <v>20</v>
      </c>
      <c r="BJ18">
        <v>8991</v>
      </c>
      <c r="BO18">
        <v>2.2000000000000002</v>
      </c>
      <c r="BP18">
        <v>2.9</v>
      </c>
      <c r="BQ18">
        <v>3.4</v>
      </c>
      <c r="BR18">
        <v>2.83</v>
      </c>
      <c r="BS18">
        <v>1.6666666666666601</v>
      </c>
      <c r="BT18">
        <v>2.6666666666666599</v>
      </c>
      <c r="BU18">
        <v>3.3333333333333299</v>
      </c>
      <c r="BV18">
        <v>3.8333333333333299</v>
      </c>
      <c r="BW18">
        <v>1.7</v>
      </c>
      <c r="BX18">
        <v>0</v>
      </c>
      <c r="BY18">
        <v>0</v>
      </c>
      <c r="BZ18">
        <v>20</v>
      </c>
      <c r="CA18">
        <v>27</v>
      </c>
      <c r="CB18">
        <v>6</v>
      </c>
      <c r="CC18">
        <v>0.66666666666666596</v>
      </c>
      <c r="CD18">
        <v>25</v>
      </c>
      <c r="CE18">
        <v>41</v>
      </c>
      <c r="CF18">
        <v>56</v>
      </c>
      <c r="CG18">
        <v>23</v>
      </c>
      <c r="CH18">
        <v>34</v>
      </c>
      <c r="CI18">
        <v>48</v>
      </c>
      <c r="CJ18">
        <v>58</v>
      </c>
      <c r="CK18">
        <v>42</v>
      </c>
      <c r="CL18">
        <v>60</v>
      </c>
      <c r="CM18">
        <v>29</v>
      </c>
      <c r="CN18">
        <v>60</v>
      </c>
      <c r="CQ18">
        <v>5</v>
      </c>
      <c r="CR18">
        <v>1</v>
      </c>
      <c r="CS18">
        <v>3</v>
      </c>
    </row>
    <row r="19" spans="1:97" x14ac:dyDescent="0.2">
      <c r="A19">
        <v>10590</v>
      </c>
      <c r="B19">
        <v>30467</v>
      </c>
      <c r="C19" s="1">
        <v>24498</v>
      </c>
      <c r="D19">
        <v>56.4</v>
      </c>
      <c r="E19" t="s">
        <v>140</v>
      </c>
      <c r="F19" t="s">
        <v>187</v>
      </c>
      <c r="G19" t="s">
        <v>141</v>
      </c>
      <c r="H19">
        <v>4.5599999999999996</v>
      </c>
      <c r="I19">
        <v>4.2</v>
      </c>
      <c r="J19">
        <v>1</v>
      </c>
      <c r="K19">
        <v>2</v>
      </c>
      <c r="L19">
        <v>0</v>
      </c>
      <c r="M19">
        <v>6.67</v>
      </c>
      <c r="N19">
        <v>4.33</v>
      </c>
      <c r="O19">
        <v>4.5</v>
      </c>
      <c r="P19">
        <v>5.67</v>
      </c>
      <c r="Q19">
        <v>5.23</v>
      </c>
      <c r="R19">
        <v>17</v>
      </c>
      <c r="S19">
        <v>2</v>
      </c>
      <c r="T19">
        <v>5</v>
      </c>
      <c r="U19">
        <v>1</v>
      </c>
      <c r="V19">
        <v>9</v>
      </c>
      <c r="W19">
        <v>3</v>
      </c>
      <c r="X19">
        <v>5</v>
      </c>
      <c r="Y19">
        <v>3</v>
      </c>
      <c r="Z19">
        <v>3</v>
      </c>
      <c r="AA19">
        <v>0</v>
      </c>
      <c r="AB19">
        <v>14</v>
      </c>
      <c r="AC19">
        <v>32</v>
      </c>
      <c r="AD19">
        <v>10</v>
      </c>
      <c r="AE19">
        <v>0</v>
      </c>
      <c r="AF19">
        <v>0</v>
      </c>
      <c r="AG19">
        <v>6.75</v>
      </c>
      <c r="AH19">
        <v>7</v>
      </c>
      <c r="AI19">
        <v>6.25</v>
      </c>
      <c r="AJ19">
        <v>7</v>
      </c>
      <c r="AK19">
        <v>2.9</v>
      </c>
      <c r="AL19">
        <v>12</v>
      </c>
      <c r="AM19">
        <v>3.67</v>
      </c>
      <c r="AN19">
        <v>0</v>
      </c>
      <c r="AO19">
        <v>3</v>
      </c>
      <c r="AP19">
        <v>3.86</v>
      </c>
      <c r="BA19">
        <v>20</v>
      </c>
      <c r="BJ19">
        <v>8991</v>
      </c>
      <c r="BO19">
        <v>3.2</v>
      </c>
      <c r="BP19">
        <v>3.7</v>
      </c>
      <c r="BQ19">
        <v>3.9</v>
      </c>
      <c r="BR19">
        <v>3.6</v>
      </c>
      <c r="BS19">
        <v>6</v>
      </c>
      <c r="BT19">
        <v>5.6666666666666599</v>
      </c>
      <c r="BU19">
        <v>6</v>
      </c>
      <c r="BV19">
        <v>5.6666666666666599</v>
      </c>
      <c r="BW19">
        <v>0.55000000000000004</v>
      </c>
      <c r="BX19">
        <v>0</v>
      </c>
      <c r="BY19">
        <v>0</v>
      </c>
      <c r="BZ19">
        <v>27</v>
      </c>
      <c r="CB19">
        <v>7</v>
      </c>
      <c r="CC19">
        <v>0.63636363636363602</v>
      </c>
      <c r="CD19">
        <v>34</v>
      </c>
      <c r="CE19">
        <v>53</v>
      </c>
      <c r="CF19">
        <v>54</v>
      </c>
      <c r="CG19">
        <v>31</v>
      </c>
      <c r="CH19">
        <v>33</v>
      </c>
      <c r="CI19">
        <v>48</v>
      </c>
      <c r="CJ19">
        <v>60</v>
      </c>
      <c r="CK19">
        <v>47</v>
      </c>
      <c r="CL19">
        <v>60</v>
      </c>
      <c r="CM19">
        <v>48</v>
      </c>
      <c r="CN19">
        <v>60</v>
      </c>
      <c r="CQ19">
        <v>4</v>
      </c>
      <c r="CR19">
        <v>1</v>
      </c>
      <c r="CS19">
        <v>1</v>
      </c>
    </row>
    <row r="20" spans="1:97" x14ac:dyDescent="0.2">
      <c r="A20">
        <v>10596</v>
      </c>
      <c r="B20">
        <v>130995</v>
      </c>
      <c r="C20" s="1">
        <v>35004</v>
      </c>
      <c r="D20">
        <v>27.27</v>
      </c>
      <c r="E20" t="s">
        <v>140</v>
      </c>
      <c r="F20" t="s">
        <v>187</v>
      </c>
      <c r="G20" t="s">
        <v>141</v>
      </c>
      <c r="H20">
        <v>3.67</v>
      </c>
      <c r="I20">
        <v>2.89</v>
      </c>
      <c r="J20">
        <v>8</v>
      </c>
      <c r="K20">
        <v>13</v>
      </c>
      <c r="L20">
        <v>0</v>
      </c>
      <c r="M20">
        <v>4.5</v>
      </c>
      <c r="N20">
        <v>4.17</v>
      </c>
      <c r="O20">
        <v>4.25</v>
      </c>
      <c r="P20">
        <v>4.83</v>
      </c>
      <c r="Q20">
        <v>4.43</v>
      </c>
      <c r="R20">
        <v>35</v>
      </c>
      <c r="S20">
        <v>17</v>
      </c>
      <c r="T20">
        <v>15</v>
      </c>
      <c r="U20">
        <v>3</v>
      </c>
      <c r="V20">
        <v>0</v>
      </c>
      <c r="W20">
        <v>0</v>
      </c>
      <c r="X20">
        <v>5</v>
      </c>
      <c r="Y20">
        <v>3</v>
      </c>
      <c r="Z20">
        <v>3</v>
      </c>
      <c r="AA20">
        <v>2</v>
      </c>
      <c r="AB20">
        <v>13</v>
      </c>
      <c r="AC20">
        <v>24</v>
      </c>
      <c r="AD20">
        <v>14</v>
      </c>
      <c r="AE20">
        <v>0</v>
      </c>
      <c r="AF20">
        <v>0</v>
      </c>
      <c r="AK20">
        <v>3.6</v>
      </c>
      <c r="AL20">
        <v>12</v>
      </c>
      <c r="AM20">
        <v>3.17</v>
      </c>
      <c r="AN20">
        <v>13</v>
      </c>
      <c r="AP20">
        <v>3.57</v>
      </c>
      <c r="AQ20">
        <v>50.1</v>
      </c>
      <c r="BA20">
        <v>20</v>
      </c>
      <c r="BJ20">
        <v>8991</v>
      </c>
      <c r="BO20">
        <v>2.9</v>
      </c>
      <c r="BP20">
        <v>3.8</v>
      </c>
      <c r="BQ20">
        <v>3.5</v>
      </c>
      <c r="BR20">
        <v>3.4</v>
      </c>
      <c r="BS20">
        <v>2.6666666666666599</v>
      </c>
      <c r="BT20">
        <v>2.6666666666666599</v>
      </c>
      <c r="BU20">
        <v>2.6666666666666599</v>
      </c>
      <c r="BV20">
        <v>1.8333333333333299</v>
      </c>
      <c r="BW20">
        <v>2.15</v>
      </c>
      <c r="BX20">
        <v>0</v>
      </c>
      <c r="BY20">
        <v>0</v>
      </c>
      <c r="BZ20">
        <v>24</v>
      </c>
      <c r="CA20">
        <v>20</v>
      </c>
      <c r="CB20">
        <v>9</v>
      </c>
      <c r="CC20">
        <v>0.81818181818181801</v>
      </c>
      <c r="CD20">
        <v>31</v>
      </c>
      <c r="CE20">
        <v>31</v>
      </c>
      <c r="CF20">
        <v>52</v>
      </c>
      <c r="CG20">
        <v>24</v>
      </c>
      <c r="CH20">
        <v>37</v>
      </c>
      <c r="CI20">
        <v>48</v>
      </c>
      <c r="CJ20">
        <v>54</v>
      </c>
      <c r="CK20">
        <v>47</v>
      </c>
      <c r="CL20">
        <v>60</v>
      </c>
      <c r="CM20">
        <v>29</v>
      </c>
      <c r="CN20">
        <v>60</v>
      </c>
      <c r="CQ20">
        <v>4</v>
      </c>
      <c r="CR20">
        <v>1</v>
      </c>
      <c r="CS20">
        <v>1</v>
      </c>
    </row>
    <row r="21" spans="1:97" x14ac:dyDescent="0.2">
      <c r="A21">
        <v>10603</v>
      </c>
      <c r="B21">
        <v>31853</v>
      </c>
      <c r="C21" s="1">
        <v>19676</v>
      </c>
      <c r="D21">
        <v>69.22</v>
      </c>
      <c r="E21" t="s">
        <v>143</v>
      </c>
      <c r="F21" t="s">
        <v>187</v>
      </c>
      <c r="G21" t="s">
        <v>141</v>
      </c>
      <c r="H21">
        <v>3.56</v>
      </c>
      <c r="I21">
        <v>3</v>
      </c>
      <c r="J21">
        <v>5</v>
      </c>
      <c r="K21">
        <v>0</v>
      </c>
      <c r="L21">
        <v>0</v>
      </c>
      <c r="M21">
        <v>7</v>
      </c>
      <c r="N21">
        <v>6.5</v>
      </c>
      <c r="O21">
        <v>6.88</v>
      </c>
      <c r="P21">
        <v>5.17</v>
      </c>
      <c r="Q21">
        <v>6.37</v>
      </c>
      <c r="R21">
        <v>1</v>
      </c>
      <c r="S21">
        <v>0</v>
      </c>
      <c r="T21">
        <v>1</v>
      </c>
      <c r="U21">
        <v>0</v>
      </c>
      <c r="V21">
        <v>0</v>
      </c>
      <c r="W21">
        <v>3</v>
      </c>
      <c r="X21">
        <v>2</v>
      </c>
      <c r="Y21">
        <v>2</v>
      </c>
      <c r="Z21">
        <v>2</v>
      </c>
      <c r="AA21">
        <v>3</v>
      </c>
      <c r="AB21">
        <v>12</v>
      </c>
      <c r="AC21">
        <v>30</v>
      </c>
      <c r="AD21">
        <v>11</v>
      </c>
      <c r="AE21">
        <v>0</v>
      </c>
      <c r="AF21">
        <v>0</v>
      </c>
      <c r="AG21">
        <v>4.08</v>
      </c>
      <c r="AH21">
        <v>5</v>
      </c>
      <c r="AI21">
        <v>2</v>
      </c>
      <c r="AJ21">
        <v>5.25</v>
      </c>
      <c r="AK21">
        <v>2.4</v>
      </c>
      <c r="AL21">
        <v>11</v>
      </c>
      <c r="AM21">
        <v>1.42</v>
      </c>
      <c r="AN21">
        <v>0</v>
      </c>
      <c r="AP21">
        <v>1.54</v>
      </c>
      <c r="BA21">
        <v>20</v>
      </c>
      <c r="BJ21">
        <v>8991</v>
      </c>
      <c r="BO21">
        <v>3.4</v>
      </c>
      <c r="BP21">
        <v>3.7</v>
      </c>
      <c r="BQ21">
        <v>3.7</v>
      </c>
      <c r="BR21">
        <v>3.6</v>
      </c>
      <c r="BS21">
        <v>6</v>
      </c>
      <c r="BT21">
        <v>6</v>
      </c>
      <c r="BU21">
        <v>6</v>
      </c>
      <c r="BV21">
        <v>6</v>
      </c>
      <c r="BW21">
        <v>1.65</v>
      </c>
      <c r="BX21">
        <v>0</v>
      </c>
      <c r="BY21">
        <v>0</v>
      </c>
      <c r="BZ21">
        <v>27</v>
      </c>
      <c r="CA21">
        <v>25</v>
      </c>
      <c r="CB21">
        <v>9</v>
      </c>
      <c r="CC21">
        <v>0.9</v>
      </c>
      <c r="CD21">
        <v>36</v>
      </c>
      <c r="CE21">
        <v>24</v>
      </c>
      <c r="CF21">
        <v>42</v>
      </c>
      <c r="CG21">
        <v>27</v>
      </c>
      <c r="CH21">
        <v>32</v>
      </c>
      <c r="CI21">
        <v>42</v>
      </c>
      <c r="CJ21">
        <v>60</v>
      </c>
      <c r="CK21">
        <v>43</v>
      </c>
      <c r="CL21">
        <v>60</v>
      </c>
      <c r="CM21">
        <v>37</v>
      </c>
      <c r="CN21">
        <v>60</v>
      </c>
      <c r="CQ21">
        <v>7</v>
      </c>
      <c r="CR21">
        <v>1</v>
      </c>
      <c r="CS21">
        <v>4</v>
      </c>
    </row>
    <row r="22" spans="1:97" x14ac:dyDescent="0.2">
      <c r="A22">
        <v>10606</v>
      </c>
      <c r="B22">
        <v>51200</v>
      </c>
      <c r="C22" s="1">
        <v>36779</v>
      </c>
      <c r="D22">
        <v>22.4</v>
      </c>
      <c r="E22" t="s">
        <v>140</v>
      </c>
      <c r="F22" t="s">
        <v>187</v>
      </c>
      <c r="G22" t="s">
        <v>141</v>
      </c>
      <c r="H22">
        <v>3.89</v>
      </c>
      <c r="I22">
        <v>3.56</v>
      </c>
      <c r="J22">
        <v>0</v>
      </c>
      <c r="K22">
        <v>0</v>
      </c>
      <c r="L22">
        <v>0</v>
      </c>
      <c r="M22">
        <v>7</v>
      </c>
      <c r="N22">
        <v>5.33</v>
      </c>
      <c r="O22">
        <v>6.13</v>
      </c>
      <c r="P22">
        <v>4.17</v>
      </c>
      <c r="Q22">
        <v>5.73</v>
      </c>
      <c r="R22">
        <v>7</v>
      </c>
      <c r="S22">
        <v>4</v>
      </c>
      <c r="T22">
        <v>1</v>
      </c>
      <c r="U22">
        <v>1</v>
      </c>
      <c r="V22">
        <v>1</v>
      </c>
      <c r="W22">
        <v>2</v>
      </c>
      <c r="X22">
        <v>5</v>
      </c>
      <c r="Y22">
        <v>6</v>
      </c>
      <c r="Z22">
        <v>2</v>
      </c>
      <c r="AA22">
        <v>0</v>
      </c>
      <c r="AB22">
        <v>15</v>
      </c>
      <c r="AC22">
        <v>23</v>
      </c>
      <c r="AD22">
        <v>11</v>
      </c>
      <c r="AE22">
        <v>0</v>
      </c>
      <c r="AF22">
        <v>0</v>
      </c>
      <c r="AK22">
        <v>3.2</v>
      </c>
      <c r="AL22">
        <v>6</v>
      </c>
      <c r="AM22">
        <v>1.58</v>
      </c>
      <c r="AN22">
        <v>0</v>
      </c>
      <c r="AP22">
        <v>2.77</v>
      </c>
      <c r="BA22">
        <v>20</v>
      </c>
      <c r="BJ22">
        <v>8991</v>
      </c>
      <c r="BO22">
        <v>3.6</v>
      </c>
      <c r="BP22">
        <v>4.2</v>
      </c>
      <c r="BQ22">
        <v>3.6</v>
      </c>
      <c r="BR22">
        <v>3.8</v>
      </c>
      <c r="BS22">
        <v>6</v>
      </c>
      <c r="BT22">
        <v>5.1666666666666599</v>
      </c>
      <c r="BU22">
        <v>6</v>
      </c>
      <c r="BV22">
        <v>5.1666666666666599</v>
      </c>
      <c r="BW22">
        <v>0</v>
      </c>
      <c r="BX22">
        <v>0</v>
      </c>
      <c r="BY22">
        <v>0</v>
      </c>
      <c r="BZ22">
        <v>33</v>
      </c>
      <c r="CA22">
        <v>20</v>
      </c>
      <c r="CC22">
        <v>0</v>
      </c>
      <c r="CD22">
        <v>32</v>
      </c>
      <c r="CE22">
        <v>42</v>
      </c>
      <c r="CF22">
        <v>55</v>
      </c>
      <c r="CG22">
        <v>21</v>
      </c>
      <c r="CH22">
        <v>38</v>
      </c>
      <c r="CI22">
        <v>48</v>
      </c>
      <c r="CK22">
        <v>48</v>
      </c>
      <c r="CL22">
        <v>56</v>
      </c>
      <c r="CM22">
        <v>48</v>
      </c>
      <c r="CN22">
        <v>60</v>
      </c>
      <c r="CQ22">
        <v>5</v>
      </c>
      <c r="CR22">
        <v>1</v>
      </c>
      <c r="CS22">
        <v>1</v>
      </c>
    </row>
    <row r="23" spans="1:97" x14ac:dyDescent="0.2">
      <c r="A23">
        <v>10608</v>
      </c>
      <c r="B23">
        <v>40594</v>
      </c>
      <c r="C23" s="1">
        <v>34339</v>
      </c>
      <c r="D23">
        <v>29.07</v>
      </c>
      <c r="E23" t="s">
        <v>143</v>
      </c>
      <c r="F23" t="s">
        <v>187</v>
      </c>
      <c r="G23" t="s">
        <v>141</v>
      </c>
      <c r="H23">
        <v>3.67</v>
      </c>
      <c r="I23">
        <v>3.11</v>
      </c>
      <c r="J23">
        <v>0</v>
      </c>
      <c r="K23">
        <v>6</v>
      </c>
      <c r="L23">
        <v>0</v>
      </c>
      <c r="M23">
        <v>5.67</v>
      </c>
      <c r="N23">
        <v>5.33</v>
      </c>
      <c r="O23">
        <v>5.75</v>
      </c>
      <c r="P23">
        <v>3.17</v>
      </c>
      <c r="Q23">
        <v>5</v>
      </c>
      <c r="R23">
        <v>50</v>
      </c>
      <c r="S23">
        <v>13</v>
      </c>
      <c r="T23">
        <v>17</v>
      </c>
      <c r="U23">
        <v>6</v>
      </c>
      <c r="V23">
        <v>14</v>
      </c>
      <c r="W23">
        <v>6</v>
      </c>
      <c r="X23">
        <v>9</v>
      </c>
      <c r="Y23">
        <v>8</v>
      </c>
      <c r="Z23">
        <v>5</v>
      </c>
      <c r="AA23">
        <v>3</v>
      </c>
      <c r="AB23">
        <v>31</v>
      </c>
      <c r="AC23">
        <v>32</v>
      </c>
      <c r="AD23">
        <v>10</v>
      </c>
      <c r="AE23">
        <v>0</v>
      </c>
      <c r="AF23">
        <v>0</v>
      </c>
      <c r="AK23">
        <v>2.9</v>
      </c>
      <c r="AL23">
        <v>9</v>
      </c>
      <c r="AM23">
        <v>2.17</v>
      </c>
      <c r="AN23">
        <v>0</v>
      </c>
      <c r="AP23">
        <v>2.06</v>
      </c>
      <c r="AQ23">
        <v>18</v>
      </c>
      <c r="BA23">
        <v>20</v>
      </c>
      <c r="BJ23">
        <v>8991</v>
      </c>
      <c r="BO23">
        <v>3.3</v>
      </c>
      <c r="BP23">
        <v>4</v>
      </c>
      <c r="BQ23">
        <v>3.7</v>
      </c>
      <c r="BR23">
        <v>3.67</v>
      </c>
      <c r="BS23">
        <v>2.3333333333333299</v>
      </c>
      <c r="BT23">
        <v>3.5</v>
      </c>
      <c r="BU23">
        <v>3</v>
      </c>
      <c r="BV23">
        <v>2.6666666666666599</v>
      </c>
      <c r="BW23">
        <v>1.9</v>
      </c>
      <c r="BX23">
        <v>0</v>
      </c>
      <c r="BY23">
        <v>0</v>
      </c>
      <c r="BZ23">
        <v>23</v>
      </c>
      <c r="CA23">
        <v>27</v>
      </c>
      <c r="CB23">
        <v>11</v>
      </c>
      <c r="CC23">
        <v>1.1000000000000001</v>
      </c>
      <c r="CD23">
        <v>34</v>
      </c>
      <c r="CE23">
        <v>28</v>
      </c>
      <c r="CF23">
        <v>31</v>
      </c>
      <c r="CG23">
        <v>26</v>
      </c>
      <c r="CH23">
        <v>33</v>
      </c>
      <c r="CI23">
        <v>38</v>
      </c>
      <c r="CJ23">
        <v>60</v>
      </c>
      <c r="CK23">
        <v>33</v>
      </c>
      <c r="CL23">
        <v>60</v>
      </c>
      <c r="CM23">
        <v>39</v>
      </c>
      <c r="CN23">
        <v>60</v>
      </c>
      <c r="CQ23">
        <v>4</v>
      </c>
      <c r="CR23">
        <v>1</v>
      </c>
      <c r="CS23">
        <v>1</v>
      </c>
    </row>
    <row r="24" spans="1:97" x14ac:dyDescent="0.2">
      <c r="A24">
        <v>10617</v>
      </c>
      <c r="B24">
        <v>190349</v>
      </c>
      <c r="C24" s="1">
        <v>18203</v>
      </c>
      <c r="D24">
        <v>73.400000000000006</v>
      </c>
      <c r="E24" t="s">
        <v>140</v>
      </c>
      <c r="F24" t="s">
        <v>187</v>
      </c>
      <c r="G24" t="s">
        <v>141</v>
      </c>
      <c r="H24">
        <v>5</v>
      </c>
      <c r="I24">
        <v>4.3</v>
      </c>
      <c r="J24">
        <v>0</v>
      </c>
      <c r="K24">
        <v>0</v>
      </c>
      <c r="L24">
        <v>0</v>
      </c>
      <c r="M24">
        <v>6.5</v>
      </c>
      <c r="N24">
        <v>4.33</v>
      </c>
      <c r="O24">
        <v>6.88</v>
      </c>
      <c r="P24">
        <v>5.33</v>
      </c>
      <c r="Q24">
        <v>6</v>
      </c>
      <c r="R24">
        <v>3</v>
      </c>
      <c r="S24">
        <v>0</v>
      </c>
      <c r="T24">
        <v>2</v>
      </c>
      <c r="U24">
        <v>1</v>
      </c>
      <c r="V24">
        <v>0</v>
      </c>
      <c r="W24">
        <v>1</v>
      </c>
      <c r="X24">
        <v>1</v>
      </c>
      <c r="Y24">
        <v>1</v>
      </c>
      <c r="Z24">
        <v>0</v>
      </c>
      <c r="AA24">
        <v>2</v>
      </c>
      <c r="AB24">
        <v>5</v>
      </c>
      <c r="AC24">
        <v>36</v>
      </c>
      <c r="AD24">
        <v>13</v>
      </c>
      <c r="AE24">
        <v>0</v>
      </c>
      <c r="AF24">
        <v>0</v>
      </c>
      <c r="AG24">
        <v>7</v>
      </c>
      <c r="AH24">
        <v>7</v>
      </c>
      <c r="AI24">
        <v>7</v>
      </c>
      <c r="AJ24">
        <v>7</v>
      </c>
      <c r="AK24">
        <v>2.8</v>
      </c>
      <c r="AL24">
        <v>6</v>
      </c>
      <c r="AM24">
        <v>2.33</v>
      </c>
      <c r="AN24">
        <v>0</v>
      </c>
      <c r="AO24">
        <v>4</v>
      </c>
      <c r="AP24">
        <v>9999</v>
      </c>
      <c r="AQ24">
        <v>72.099999999999994</v>
      </c>
      <c r="AR24">
        <v>25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81</v>
      </c>
      <c r="BB24">
        <v>61</v>
      </c>
      <c r="BH24">
        <v>57</v>
      </c>
      <c r="BI24">
        <v>51</v>
      </c>
      <c r="BJ24">
        <v>8991</v>
      </c>
      <c r="BO24">
        <v>4.2</v>
      </c>
      <c r="BP24">
        <v>4</v>
      </c>
      <c r="BQ24">
        <v>4</v>
      </c>
      <c r="BR24">
        <v>4.07</v>
      </c>
      <c r="BS24">
        <v>4</v>
      </c>
      <c r="BT24">
        <v>4</v>
      </c>
      <c r="BU24">
        <v>5.1666666666666599</v>
      </c>
      <c r="BV24">
        <v>5.3333333333333304</v>
      </c>
      <c r="BW24">
        <v>0.45</v>
      </c>
      <c r="BX24">
        <v>0</v>
      </c>
      <c r="BY24">
        <v>0</v>
      </c>
      <c r="BZ24">
        <v>23</v>
      </c>
      <c r="CA24">
        <v>30</v>
      </c>
      <c r="CB24">
        <v>8</v>
      </c>
      <c r="CC24">
        <v>0.72727272727272696</v>
      </c>
      <c r="CD24">
        <v>31</v>
      </c>
      <c r="CE24">
        <v>40</v>
      </c>
      <c r="CF24">
        <v>42</v>
      </c>
      <c r="CG24">
        <v>32</v>
      </c>
      <c r="CH24">
        <v>28</v>
      </c>
      <c r="CI24">
        <v>47</v>
      </c>
      <c r="CJ24">
        <v>45</v>
      </c>
      <c r="CK24">
        <v>47</v>
      </c>
      <c r="CL24">
        <v>41</v>
      </c>
      <c r="CM24">
        <v>48</v>
      </c>
      <c r="CN24">
        <v>48</v>
      </c>
      <c r="CQ24">
        <v>6</v>
      </c>
      <c r="CR24">
        <v>2</v>
      </c>
      <c r="CS24">
        <v>4</v>
      </c>
    </row>
    <row r="25" spans="1:97" x14ac:dyDescent="0.2">
      <c r="A25">
        <v>10636</v>
      </c>
      <c r="B25">
        <v>112596</v>
      </c>
      <c r="C25" s="1">
        <v>35260</v>
      </c>
      <c r="D25">
        <v>26.81</v>
      </c>
      <c r="E25" t="s">
        <v>144</v>
      </c>
      <c r="F25" t="s">
        <v>187</v>
      </c>
      <c r="G25" t="s">
        <v>141</v>
      </c>
      <c r="H25">
        <v>3.89</v>
      </c>
      <c r="I25">
        <v>3.6</v>
      </c>
      <c r="J25">
        <v>3</v>
      </c>
      <c r="K25">
        <v>3</v>
      </c>
      <c r="L25">
        <v>0</v>
      </c>
      <c r="M25">
        <v>5.67</v>
      </c>
      <c r="N25">
        <v>4.67</v>
      </c>
      <c r="O25">
        <v>6.5</v>
      </c>
      <c r="P25">
        <v>3.67</v>
      </c>
      <c r="Q25">
        <v>5.3</v>
      </c>
      <c r="R25">
        <v>34</v>
      </c>
      <c r="S25">
        <v>9</v>
      </c>
      <c r="T25">
        <v>16</v>
      </c>
      <c r="U25">
        <v>0</v>
      </c>
      <c r="V25">
        <v>9</v>
      </c>
      <c r="W25">
        <v>0</v>
      </c>
      <c r="X25">
        <v>3</v>
      </c>
      <c r="Y25">
        <v>3</v>
      </c>
      <c r="Z25">
        <v>2</v>
      </c>
      <c r="AA25">
        <v>0</v>
      </c>
      <c r="AB25">
        <v>8</v>
      </c>
      <c r="AC25">
        <v>21</v>
      </c>
      <c r="AD25">
        <v>12</v>
      </c>
      <c r="AE25">
        <v>0</v>
      </c>
      <c r="AF25">
        <v>0</v>
      </c>
      <c r="AG25">
        <v>6.67</v>
      </c>
      <c r="AH25">
        <v>6.25</v>
      </c>
      <c r="AI25">
        <v>6.75</v>
      </c>
      <c r="AJ25">
        <v>7</v>
      </c>
      <c r="AK25">
        <v>4.3</v>
      </c>
      <c r="AL25">
        <v>17</v>
      </c>
      <c r="AM25">
        <v>4.25</v>
      </c>
      <c r="AN25">
        <v>4</v>
      </c>
      <c r="AO25">
        <v>3.5</v>
      </c>
      <c r="AP25">
        <v>4.7699999999999996</v>
      </c>
      <c r="AQ25">
        <v>31</v>
      </c>
      <c r="BA25">
        <v>20</v>
      </c>
      <c r="BJ25">
        <v>8991</v>
      </c>
      <c r="BO25">
        <v>3.6</v>
      </c>
      <c r="BP25">
        <v>3.9</v>
      </c>
      <c r="BQ25">
        <v>4</v>
      </c>
      <c r="BR25">
        <v>3.83</v>
      </c>
      <c r="BS25">
        <v>6</v>
      </c>
      <c r="BT25">
        <v>5.1666666666666599</v>
      </c>
      <c r="BU25">
        <v>6</v>
      </c>
      <c r="BV25">
        <v>5.1666666666666599</v>
      </c>
      <c r="BW25">
        <v>1.8</v>
      </c>
      <c r="BX25">
        <v>0</v>
      </c>
      <c r="BY25">
        <v>0</v>
      </c>
      <c r="BZ25">
        <v>28</v>
      </c>
      <c r="CA25">
        <v>25</v>
      </c>
      <c r="CB25">
        <v>9</v>
      </c>
      <c r="CC25">
        <v>0.81818181818181801</v>
      </c>
      <c r="CD25">
        <v>36</v>
      </c>
      <c r="CE25">
        <v>32</v>
      </c>
      <c r="CF25">
        <v>48</v>
      </c>
      <c r="CG25">
        <v>26</v>
      </c>
      <c r="CH25">
        <v>34</v>
      </c>
      <c r="CI25">
        <v>48</v>
      </c>
      <c r="CJ25">
        <v>58</v>
      </c>
      <c r="CK25">
        <v>40</v>
      </c>
      <c r="CL25">
        <v>60</v>
      </c>
      <c r="CM25">
        <v>31</v>
      </c>
      <c r="CN25">
        <v>60</v>
      </c>
      <c r="CQ25">
        <v>7</v>
      </c>
      <c r="CR25">
        <v>1</v>
      </c>
      <c r="CS25">
        <v>5</v>
      </c>
    </row>
    <row r="26" spans="1:97" x14ac:dyDescent="0.2">
      <c r="A26">
        <v>10638</v>
      </c>
      <c r="B26">
        <v>101951</v>
      </c>
      <c r="C26" s="1">
        <v>18835</v>
      </c>
      <c r="D26">
        <v>71.83</v>
      </c>
      <c r="E26" t="s">
        <v>140</v>
      </c>
      <c r="F26" t="s">
        <v>187</v>
      </c>
      <c r="G26" t="s">
        <v>141</v>
      </c>
      <c r="H26">
        <v>4.5599999999999996</v>
      </c>
      <c r="I26">
        <v>3.9</v>
      </c>
      <c r="J26">
        <v>1</v>
      </c>
      <c r="K26">
        <v>0</v>
      </c>
      <c r="L26">
        <v>0</v>
      </c>
      <c r="M26">
        <v>5.67</v>
      </c>
      <c r="N26">
        <v>5.33</v>
      </c>
      <c r="O26">
        <v>6.13</v>
      </c>
      <c r="P26">
        <v>4.83</v>
      </c>
      <c r="Q26">
        <v>5.63</v>
      </c>
      <c r="R26">
        <v>2</v>
      </c>
      <c r="S26">
        <v>1</v>
      </c>
      <c r="T26">
        <v>1</v>
      </c>
      <c r="U26">
        <v>0</v>
      </c>
      <c r="V26">
        <v>0</v>
      </c>
      <c r="W26">
        <v>0</v>
      </c>
      <c r="X26">
        <v>5</v>
      </c>
      <c r="Y26">
        <v>9</v>
      </c>
      <c r="Z26">
        <v>1</v>
      </c>
      <c r="AA26">
        <v>2</v>
      </c>
      <c r="AB26">
        <v>17</v>
      </c>
      <c r="AC26">
        <v>40</v>
      </c>
      <c r="AD26">
        <v>10</v>
      </c>
      <c r="AE26">
        <v>0</v>
      </c>
      <c r="AF26">
        <v>0</v>
      </c>
      <c r="AG26">
        <v>7</v>
      </c>
      <c r="AH26">
        <v>7</v>
      </c>
      <c r="AI26">
        <v>7</v>
      </c>
      <c r="AJ26">
        <v>7</v>
      </c>
      <c r="AK26">
        <v>3</v>
      </c>
      <c r="AL26">
        <v>12</v>
      </c>
      <c r="AM26">
        <v>2.75</v>
      </c>
      <c r="AN26">
        <v>8</v>
      </c>
      <c r="AO26">
        <v>2.67</v>
      </c>
      <c r="AP26">
        <v>9999</v>
      </c>
      <c r="BA26">
        <v>20</v>
      </c>
      <c r="BJ26">
        <v>8991</v>
      </c>
      <c r="BO26">
        <v>4.0999999999999996</v>
      </c>
      <c r="BP26">
        <v>4.2</v>
      </c>
      <c r="BQ26">
        <v>4.2</v>
      </c>
      <c r="BR26">
        <v>4.17</v>
      </c>
      <c r="BS26">
        <v>6</v>
      </c>
      <c r="BT26">
        <v>5.1666666666666599</v>
      </c>
      <c r="BU26">
        <v>6</v>
      </c>
      <c r="BV26">
        <v>5.1666666666666599</v>
      </c>
      <c r="BW26">
        <v>0.85</v>
      </c>
      <c r="BX26">
        <v>0</v>
      </c>
      <c r="BY26">
        <v>0</v>
      </c>
      <c r="BZ26">
        <v>19</v>
      </c>
      <c r="CA26">
        <v>24</v>
      </c>
      <c r="CB26">
        <v>7</v>
      </c>
      <c r="CC26">
        <v>0.875</v>
      </c>
      <c r="CD26">
        <v>26</v>
      </c>
      <c r="CE26">
        <v>19</v>
      </c>
      <c r="CF26">
        <v>29</v>
      </c>
      <c r="CG26">
        <v>26</v>
      </c>
      <c r="CH26">
        <v>31</v>
      </c>
      <c r="CI26">
        <v>48</v>
      </c>
      <c r="CJ26">
        <v>60</v>
      </c>
      <c r="CK26">
        <v>33</v>
      </c>
      <c r="CL26">
        <v>60</v>
      </c>
      <c r="CM26">
        <v>42</v>
      </c>
      <c r="CN26">
        <v>60</v>
      </c>
      <c r="CQ26">
        <v>6</v>
      </c>
      <c r="CR26">
        <v>1</v>
      </c>
      <c r="CS26">
        <v>1</v>
      </c>
    </row>
    <row r="27" spans="1:97" x14ac:dyDescent="0.2">
      <c r="A27">
        <v>10640</v>
      </c>
      <c r="B27">
        <v>30392</v>
      </c>
      <c r="C27" s="1">
        <v>33609</v>
      </c>
      <c r="D27">
        <v>31.73</v>
      </c>
      <c r="E27" t="s">
        <v>140</v>
      </c>
      <c r="F27" t="s">
        <v>187</v>
      </c>
      <c r="G27" t="s">
        <v>141</v>
      </c>
      <c r="H27">
        <v>3.22</v>
      </c>
      <c r="I27">
        <v>3</v>
      </c>
      <c r="J27">
        <v>0</v>
      </c>
      <c r="K27">
        <v>1</v>
      </c>
      <c r="L27">
        <v>0</v>
      </c>
      <c r="M27">
        <v>6</v>
      </c>
      <c r="N27">
        <v>4.83</v>
      </c>
      <c r="O27">
        <v>4.38</v>
      </c>
      <c r="P27">
        <v>5.5</v>
      </c>
      <c r="Q27">
        <v>5.17</v>
      </c>
      <c r="R27">
        <v>23</v>
      </c>
      <c r="S27">
        <v>6</v>
      </c>
      <c r="T27">
        <v>14</v>
      </c>
      <c r="U27">
        <v>3</v>
      </c>
      <c r="V27">
        <v>0</v>
      </c>
      <c r="W27">
        <v>2</v>
      </c>
      <c r="X27">
        <v>6</v>
      </c>
      <c r="Y27">
        <v>9</v>
      </c>
      <c r="Z27">
        <v>3</v>
      </c>
      <c r="AA27">
        <v>4</v>
      </c>
      <c r="AB27">
        <v>24</v>
      </c>
      <c r="AC27">
        <v>34</v>
      </c>
      <c r="AD27">
        <v>17</v>
      </c>
      <c r="AE27">
        <v>0</v>
      </c>
      <c r="AF27">
        <v>0</v>
      </c>
      <c r="AG27">
        <v>6.67</v>
      </c>
      <c r="AH27">
        <v>7</v>
      </c>
      <c r="AI27">
        <v>6</v>
      </c>
      <c r="AJ27">
        <v>7</v>
      </c>
      <c r="AK27">
        <v>3.3</v>
      </c>
      <c r="AL27">
        <v>19</v>
      </c>
      <c r="AM27">
        <v>1.92</v>
      </c>
      <c r="AN27">
        <v>8</v>
      </c>
      <c r="AO27">
        <v>1.67</v>
      </c>
      <c r="AP27">
        <v>9999</v>
      </c>
      <c r="BA27">
        <v>20</v>
      </c>
      <c r="BJ27">
        <v>8991</v>
      </c>
      <c r="BO27">
        <v>4</v>
      </c>
      <c r="BP27">
        <v>4.7</v>
      </c>
      <c r="BQ27">
        <v>4.5999999999999996</v>
      </c>
      <c r="BR27">
        <v>4.43</v>
      </c>
      <c r="BS27">
        <v>6</v>
      </c>
      <c r="BT27">
        <v>5.1666666666666599</v>
      </c>
      <c r="BU27">
        <v>6</v>
      </c>
      <c r="BV27">
        <v>5.1666666666666599</v>
      </c>
      <c r="BW27">
        <v>0.65</v>
      </c>
      <c r="BX27">
        <v>0</v>
      </c>
      <c r="BY27">
        <v>0</v>
      </c>
      <c r="BZ27">
        <v>25</v>
      </c>
      <c r="CA27">
        <v>27</v>
      </c>
      <c r="CB27">
        <v>9</v>
      </c>
      <c r="CC27">
        <v>0.9</v>
      </c>
      <c r="CD27">
        <v>32</v>
      </c>
      <c r="CE27">
        <v>30</v>
      </c>
      <c r="CF27">
        <v>35</v>
      </c>
      <c r="CG27">
        <v>25</v>
      </c>
      <c r="CH27">
        <v>32</v>
      </c>
      <c r="CI27">
        <v>48</v>
      </c>
      <c r="CK27">
        <v>39</v>
      </c>
      <c r="CL27">
        <v>60</v>
      </c>
      <c r="CM27">
        <v>33</v>
      </c>
      <c r="CN27">
        <v>60</v>
      </c>
      <c r="CO27">
        <v>1</v>
      </c>
      <c r="CP27">
        <v>1</v>
      </c>
      <c r="CQ27">
        <v>7</v>
      </c>
      <c r="CR27">
        <v>1</v>
      </c>
      <c r="CS27">
        <v>1</v>
      </c>
    </row>
    <row r="28" spans="1:97" x14ac:dyDescent="0.2">
      <c r="A28">
        <v>10641</v>
      </c>
      <c r="B28">
        <v>32278</v>
      </c>
      <c r="C28" s="1">
        <v>28785</v>
      </c>
      <c r="D28">
        <v>44.68</v>
      </c>
      <c r="E28" t="s">
        <v>140</v>
      </c>
      <c r="F28" t="s">
        <v>187</v>
      </c>
      <c r="G28" t="s">
        <v>141</v>
      </c>
      <c r="H28">
        <v>4.67</v>
      </c>
      <c r="I28">
        <v>4.5</v>
      </c>
      <c r="J28">
        <v>4</v>
      </c>
      <c r="K28">
        <v>1</v>
      </c>
      <c r="L28">
        <v>0</v>
      </c>
      <c r="M28">
        <v>6.33</v>
      </c>
      <c r="N28">
        <v>4.83</v>
      </c>
      <c r="O28">
        <v>6</v>
      </c>
      <c r="P28">
        <v>5.83</v>
      </c>
      <c r="Q28">
        <v>5.8</v>
      </c>
      <c r="R28">
        <v>9</v>
      </c>
      <c r="S28">
        <v>3</v>
      </c>
      <c r="T28">
        <v>6</v>
      </c>
      <c r="U28">
        <v>0</v>
      </c>
      <c r="V28">
        <v>0</v>
      </c>
      <c r="W28">
        <v>1</v>
      </c>
      <c r="X28">
        <v>2</v>
      </c>
      <c r="Y28">
        <v>7</v>
      </c>
      <c r="Z28">
        <v>1</v>
      </c>
      <c r="AA28">
        <v>1</v>
      </c>
      <c r="AB28">
        <v>12</v>
      </c>
      <c r="AC28">
        <v>37</v>
      </c>
      <c r="AD28">
        <v>11</v>
      </c>
      <c r="AE28">
        <v>0</v>
      </c>
      <c r="AF28">
        <v>0</v>
      </c>
      <c r="AG28">
        <v>6.75</v>
      </c>
      <c r="AH28">
        <v>6.5</v>
      </c>
      <c r="AI28">
        <v>6.75</v>
      </c>
      <c r="AJ28">
        <v>7</v>
      </c>
      <c r="AK28">
        <v>2.5</v>
      </c>
      <c r="AL28">
        <v>17</v>
      </c>
      <c r="AM28">
        <v>2.83</v>
      </c>
      <c r="AN28">
        <v>16</v>
      </c>
      <c r="AO28">
        <v>2.67</v>
      </c>
      <c r="AP28">
        <v>3.11</v>
      </c>
      <c r="BA28">
        <v>20</v>
      </c>
      <c r="BJ28">
        <v>8991</v>
      </c>
      <c r="BO28">
        <v>3.5</v>
      </c>
      <c r="BP28">
        <v>4</v>
      </c>
      <c r="BQ28">
        <v>4.0999999999999996</v>
      </c>
      <c r="BR28">
        <v>3.87</v>
      </c>
      <c r="BS28">
        <v>6</v>
      </c>
      <c r="BT28">
        <v>5.1666666666666599</v>
      </c>
      <c r="BU28">
        <v>3.8333333333333299</v>
      </c>
      <c r="BV28">
        <v>3.8333333333333299</v>
      </c>
      <c r="BW28">
        <v>1.25</v>
      </c>
      <c r="BX28">
        <v>0</v>
      </c>
      <c r="BY28">
        <v>0</v>
      </c>
      <c r="BZ28">
        <v>26</v>
      </c>
      <c r="CB28">
        <v>9</v>
      </c>
      <c r="CC28">
        <v>0.81818181818181801</v>
      </c>
      <c r="CD28">
        <v>35</v>
      </c>
      <c r="CE28">
        <v>37</v>
      </c>
      <c r="CF28">
        <v>58</v>
      </c>
      <c r="CG28">
        <v>26</v>
      </c>
      <c r="CH28">
        <v>35</v>
      </c>
      <c r="CI28">
        <v>48</v>
      </c>
      <c r="CJ28">
        <v>47</v>
      </c>
      <c r="CK28">
        <v>35</v>
      </c>
      <c r="CL28">
        <v>60</v>
      </c>
      <c r="CM28">
        <v>38</v>
      </c>
      <c r="CN28">
        <v>60</v>
      </c>
      <c r="CQ28">
        <v>7</v>
      </c>
      <c r="CR28">
        <v>1</v>
      </c>
      <c r="CS28">
        <v>1</v>
      </c>
    </row>
    <row r="29" spans="1:97" x14ac:dyDescent="0.2">
      <c r="A29">
        <v>10642</v>
      </c>
      <c r="B29">
        <v>31691</v>
      </c>
      <c r="C29" s="1">
        <v>33473</v>
      </c>
      <c r="D29">
        <v>31.9</v>
      </c>
      <c r="E29" t="s">
        <v>140</v>
      </c>
      <c r="F29" t="s">
        <v>187</v>
      </c>
      <c r="G29" t="s">
        <v>141</v>
      </c>
      <c r="H29">
        <v>4.67</v>
      </c>
      <c r="I29">
        <v>3.2</v>
      </c>
      <c r="J29">
        <v>21</v>
      </c>
      <c r="K29">
        <v>21</v>
      </c>
      <c r="L29">
        <v>0</v>
      </c>
      <c r="M29">
        <v>5</v>
      </c>
      <c r="N29">
        <v>2</v>
      </c>
      <c r="O29">
        <v>2.13</v>
      </c>
      <c r="P29">
        <v>5.83</v>
      </c>
      <c r="Q29">
        <v>3.67</v>
      </c>
      <c r="R29">
        <v>39</v>
      </c>
      <c r="S29">
        <v>7</v>
      </c>
      <c r="T29">
        <v>19</v>
      </c>
      <c r="U29">
        <v>8</v>
      </c>
      <c r="V29">
        <v>5</v>
      </c>
      <c r="W29">
        <v>1</v>
      </c>
      <c r="X29">
        <v>7</v>
      </c>
      <c r="Y29">
        <v>5</v>
      </c>
      <c r="Z29">
        <v>5</v>
      </c>
      <c r="AA29">
        <v>4</v>
      </c>
      <c r="AB29">
        <v>22</v>
      </c>
      <c r="AC29">
        <v>33</v>
      </c>
      <c r="AD29">
        <v>13</v>
      </c>
      <c r="AE29">
        <v>0</v>
      </c>
      <c r="AF29">
        <v>0</v>
      </c>
      <c r="AG29">
        <v>3.83</v>
      </c>
      <c r="AH29">
        <v>4.75</v>
      </c>
      <c r="AI29">
        <v>1</v>
      </c>
      <c r="AJ29">
        <v>5.75</v>
      </c>
      <c r="AK29">
        <v>2.6</v>
      </c>
      <c r="AL29">
        <v>12</v>
      </c>
      <c r="AM29">
        <v>1.92</v>
      </c>
      <c r="AN29">
        <v>14</v>
      </c>
      <c r="AO29">
        <v>1.17</v>
      </c>
      <c r="AP29">
        <v>9999</v>
      </c>
      <c r="BA29">
        <v>20</v>
      </c>
      <c r="BJ29">
        <v>8991</v>
      </c>
      <c r="BO29">
        <v>2.2999999999999998</v>
      </c>
      <c r="BP29">
        <v>4.2</v>
      </c>
      <c r="BQ29">
        <v>3.8</v>
      </c>
      <c r="BR29">
        <v>3.43</v>
      </c>
      <c r="BS29">
        <v>5.1666666666666599</v>
      </c>
      <c r="BT29">
        <v>3.5</v>
      </c>
      <c r="BU29">
        <v>3.5</v>
      </c>
      <c r="BV29">
        <v>4.3333333333333304</v>
      </c>
      <c r="BW29">
        <v>1.6</v>
      </c>
      <c r="BX29">
        <v>0</v>
      </c>
      <c r="BY29">
        <v>0</v>
      </c>
      <c r="BZ29">
        <v>26</v>
      </c>
      <c r="CA29">
        <v>27</v>
      </c>
      <c r="CB29">
        <v>10</v>
      </c>
      <c r="CC29">
        <v>0.83333333333333304</v>
      </c>
      <c r="CD29">
        <v>34</v>
      </c>
      <c r="CE29">
        <v>46</v>
      </c>
      <c r="CF29">
        <v>59</v>
      </c>
      <c r="CG29">
        <v>23</v>
      </c>
      <c r="CH29">
        <v>28</v>
      </c>
      <c r="CI29">
        <v>42</v>
      </c>
      <c r="CJ29">
        <v>60</v>
      </c>
      <c r="CK29">
        <v>39</v>
      </c>
      <c r="CL29">
        <v>60</v>
      </c>
      <c r="CM29">
        <v>30</v>
      </c>
      <c r="CN29">
        <v>60</v>
      </c>
      <c r="CQ29">
        <v>2</v>
      </c>
      <c r="CR29">
        <v>4</v>
      </c>
      <c r="CS29">
        <v>1</v>
      </c>
    </row>
    <row r="30" spans="1:97" x14ac:dyDescent="0.2">
      <c r="A30">
        <v>10644</v>
      </c>
      <c r="B30">
        <v>101853</v>
      </c>
      <c r="C30" s="1">
        <v>19685</v>
      </c>
      <c r="D30">
        <v>69.41</v>
      </c>
      <c r="E30" t="s">
        <v>140</v>
      </c>
      <c r="F30" t="s">
        <v>187</v>
      </c>
      <c r="G30" t="s">
        <v>141</v>
      </c>
      <c r="H30">
        <v>3.44</v>
      </c>
      <c r="I30">
        <v>3.2</v>
      </c>
      <c r="J30">
        <v>1</v>
      </c>
      <c r="K30">
        <v>1</v>
      </c>
      <c r="L30">
        <v>0</v>
      </c>
      <c r="M30">
        <v>5.5</v>
      </c>
      <c r="N30">
        <v>3.5</v>
      </c>
      <c r="O30">
        <v>4.5</v>
      </c>
      <c r="P30">
        <v>5</v>
      </c>
      <c r="Q30">
        <v>4.5999999999999996</v>
      </c>
      <c r="R30">
        <v>18</v>
      </c>
      <c r="S30">
        <v>4</v>
      </c>
      <c r="T30">
        <v>7</v>
      </c>
      <c r="U30">
        <v>2</v>
      </c>
      <c r="V30">
        <v>5</v>
      </c>
      <c r="W30">
        <v>3</v>
      </c>
      <c r="X30">
        <v>6</v>
      </c>
      <c r="Y30">
        <v>6</v>
      </c>
      <c r="Z30">
        <v>6</v>
      </c>
      <c r="AA30">
        <v>4</v>
      </c>
      <c r="AB30">
        <v>25</v>
      </c>
      <c r="AC30">
        <v>25</v>
      </c>
      <c r="AD30">
        <v>11</v>
      </c>
      <c r="AE30">
        <v>0</v>
      </c>
      <c r="AF30">
        <v>0</v>
      </c>
      <c r="AG30">
        <v>5.92</v>
      </c>
      <c r="AH30">
        <v>6</v>
      </c>
      <c r="AI30">
        <v>5.75</v>
      </c>
      <c r="AJ30">
        <v>6</v>
      </c>
      <c r="AK30">
        <v>3</v>
      </c>
      <c r="AL30">
        <v>15</v>
      </c>
      <c r="AM30">
        <v>4.5</v>
      </c>
      <c r="AN30">
        <v>3</v>
      </c>
      <c r="AO30">
        <v>3.17</v>
      </c>
      <c r="AP30">
        <v>4.37</v>
      </c>
      <c r="AQ30">
        <v>51.1</v>
      </c>
      <c r="BA30">
        <v>20</v>
      </c>
      <c r="BJ30">
        <v>8991</v>
      </c>
      <c r="BO30">
        <v>3.6</v>
      </c>
      <c r="BP30">
        <v>3.6</v>
      </c>
      <c r="BQ30">
        <v>4</v>
      </c>
      <c r="BR30">
        <v>3.73</v>
      </c>
      <c r="BS30">
        <v>3.3333333333333299</v>
      </c>
      <c r="BT30">
        <v>4.5</v>
      </c>
      <c r="BU30">
        <v>4.5</v>
      </c>
      <c r="BV30">
        <v>4.5</v>
      </c>
      <c r="BW30">
        <v>3</v>
      </c>
      <c r="BX30">
        <v>0</v>
      </c>
      <c r="BY30">
        <v>0</v>
      </c>
      <c r="BZ30">
        <v>26</v>
      </c>
      <c r="CA30">
        <v>32</v>
      </c>
      <c r="CB30">
        <v>9</v>
      </c>
      <c r="CC30">
        <v>0.9</v>
      </c>
      <c r="CD30">
        <v>35</v>
      </c>
      <c r="CE30">
        <v>34</v>
      </c>
      <c r="CF30">
        <v>52</v>
      </c>
      <c r="CG30">
        <v>29</v>
      </c>
      <c r="CH30">
        <v>31</v>
      </c>
      <c r="CI30">
        <v>48</v>
      </c>
      <c r="CJ30">
        <v>55</v>
      </c>
      <c r="CK30">
        <v>47</v>
      </c>
      <c r="CL30">
        <v>60</v>
      </c>
      <c r="CM30">
        <v>38</v>
      </c>
      <c r="CN30">
        <v>60</v>
      </c>
      <c r="CQ30">
        <v>6</v>
      </c>
      <c r="CR30">
        <v>1</v>
      </c>
      <c r="CS30">
        <v>1</v>
      </c>
    </row>
    <row r="31" spans="1:97" x14ac:dyDescent="0.2">
      <c r="A31">
        <v>10647</v>
      </c>
      <c r="B31">
        <v>30298</v>
      </c>
      <c r="C31" s="1">
        <v>36114</v>
      </c>
      <c r="D31">
        <v>24.59</v>
      </c>
      <c r="E31" t="s">
        <v>140</v>
      </c>
      <c r="F31" t="s">
        <v>187</v>
      </c>
      <c r="G31" t="s">
        <v>141</v>
      </c>
      <c r="H31">
        <v>4.22</v>
      </c>
      <c r="I31">
        <v>4.5</v>
      </c>
      <c r="J31">
        <v>1</v>
      </c>
      <c r="K31">
        <v>0</v>
      </c>
      <c r="L31">
        <v>0</v>
      </c>
      <c r="M31">
        <v>6.17</v>
      </c>
      <c r="N31">
        <v>4.83</v>
      </c>
      <c r="O31">
        <v>6.25</v>
      </c>
      <c r="P31">
        <v>4.83</v>
      </c>
      <c r="Q31">
        <v>5.63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2</v>
      </c>
      <c r="AA31">
        <v>0</v>
      </c>
      <c r="AB31">
        <v>3</v>
      </c>
      <c r="AC31">
        <v>28</v>
      </c>
      <c r="AD31">
        <v>15</v>
      </c>
      <c r="AE31">
        <v>0</v>
      </c>
      <c r="AF31">
        <v>0</v>
      </c>
      <c r="AG31">
        <v>5.67</v>
      </c>
      <c r="AH31">
        <v>5.25</v>
      </c>
      <c r="AI31">
        <v>5</v>
      </c>
      <c r="AJ31">
        <v>6.75</v>
      </c>
      <c r="AK31">
        <v>3.3</v>
      </c>
      <c r="AL31">
        <v>6</v>
      </c>
      <c r="AM31">
        <v>2.92</v>
      </c>
      <c r="AN31">
        <v>6</v>
      </c>
      <c r="AO31">
        <v>3</v>
      </c>
      <c r="AP31">
        <v>9999</v>
      </c>
      <c r="BA31">
        <v>20</v>
      </c>
      <c r="BJ31">
        <v>8991</v>
      </c>
      <c r="BO31">
        <v>4</v>
      </c>
      <c r="BP31">
        <v>3.8</v>
      </c>
      <c r="BQ31">
        <v>4.2</v>
      </c>
      <c r="BR31">
        <v>4</v>
      </c>
      <c r="BS31">
        <v>6</v>
      </c>
      <c r="BT31">
        <v>5.1666666666666599</v>
      </c>
      <c r="BU31">
        <v>6</v>
      </c>
      <c r="BV31">
        <v>5.1666666666666599</v>
      </c>
      <c r="BW31">
        <v>0.95</v>
      </c>
      <c r="BX31">
        <v>0</v>
      </c>
      <c r="BY31">
        <v>0</v>
      </c>
      <c r="BZ31">
        <v>30</v>
      </c>
      <c r="CA31">
        <v>25</v>
      </c>
      <c r="CB31">
        <v>12</v>
      </c>
      <c r="CC31">
        <v>1</v>
      </c>
      <c r="CD31">
        <v>42</v>
      </c>
      <c r="CE31">
        <v>33</v>
      </c>
      <c r="CF31">
        <v>47</v>
      </c>
      <c r="CG31">
        <v>24</v>
      </c>
      <c r="CH31">
        <v>37</v>
      </c>
      <c r="CI31">
        <v>47</v>
      </c>
      <c r="CJ31">
        <v>48</v>
      </c>
      <c r="CK31">
        <v>48</v>
      </c>
      <c r="CL31">
        <v>47</v>
      </c>
      <c r="CM31">
        <v>48</v>
      </c>
      <c r="CN31">
        <v>60</v>
      </c>
      <c r="CQ31">
        <v>5</v>
      </c>
      <c r="CR31">
        <v>1</v>
      </c>
      <c r="CS31">
        <v>2</v>
      </c>
    </row>
    <row r="32" spans="1:97" x14ac:dyDescent="0.2">
      <c r="A32">
        <v>10649</v>
      </c>
      <c r="B32">
        <v>130259</v>
      </c>
      <c r="C32" s="1">
        <v>21740</v>
      </c>
      <c r="D32">
        <v>63.8</v>
      </c>
      <c r="E32" t="s">
        <v>140</v>
      </c>
      <c r="F32" t="s">
        <v>188</v>
      </c>
      <c r="G32" t="s">
        <v>141</v>
      </c>
      <c r="H32">
        <v>3.33</v>
      </c>
      <c r="I32">
        <v>3.3</v>
      </c>
      <c r="J32">
        <v>2</v>
      </c>
      <c r="K32">
        <v>1</v>
      </c>
      <c r="L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32</v>
      </c>
      <c r="AD32">
        <v>12</v>
      </c>
      <c r="AE32">
        <v>1</v>
      </c>
      <c r="AF32">
        <v>0</v>
      </c>
      <c r="AG32">
        <v>7</v>
      </c>
      <c r="AH32">
        <v>7</v>
      </c>
      <c r="AI32">
        <v>7</v>
      </c>
      <c r="AJ32">
        <v>7</v>
      </c>
      <c r="AK32">
        <v>3.7</v>
      </c>
      <c r="AL32">
        <v>13</v>
      </c>
      <c r="AM32">
        <v>3.08</v>
      </c>
      <c r="AN32">
        <v>4</v>
      </c>
      <c r="AO32">
        <v>3</v>
      </c>
      <c r="AP32">
        <v>3.49</v>
      </c>
      <c r="BA32">
        <v>20</v>
      </c>
      <c r="BJ32">
        <v>8991</v>
      </c>
      <c r="BO32">
        <v>3.5</v>
      </c>
      <c r="BP32">
        <v>3.9</v>
      </c>
      <c r="BQ32">
        <v>3.4</v>
      </c>
      <c r="BR32">
        <v>3.6</v>
      </c>
      <c r="BS32">
        <v>6</v>
      </c>
      <c r="BT32">
        <v>5.1666666666666599</v>
      </c>
      <c r="BU32">
        <v>6</v>
      </c>
      <c r="BV32">
        <v>5.1666666666666599</v>
      </c>
      <c r="BW32">
        <v>1.2</v>
      </c>
      <c r="BX32">
        <v>0</v>
      </c>
      <c r="BY32">
        <v>0</v>
      </c>
      <c r="BZ32">
        <v>18</v>
      </c>
      <c r="CB32">
        <v>8</v>
      </c>
      <c r="CC32">
        <v>1.3333333333333299</v>
      </c>
      <c r="CD32">
        <v>26</v>
      </c>
      <c r="CE32">
        <v>24</v>
      </c>
      <c r="CF32">
        <v>29</v>
      </c>
      <c r="CG32">
        <v>27</v>
      </c>
      <c r="CH32">
        <v>31</v>
      </c>
      <c r="CI32">
        <v>41</v>
      </c>
      <c r="CJ32">
        <v>60</v>
      </c>
      <c r="CK32">
        <v>48</v>
      </c>
      <c r="CL32">
        <v>60</v>
      </c>
      <c r="CM32">
        <v>14</v>
      </c>
      <c r="CN32">
        <v>60</v>
      </c>
      <c r="CQ32">
        <v>6</v>
      </c>
      <c r="CR32">
        <v>1</v>
      </c>
      <c r="CS32">
        <v>1</v>
      </c>
    </row>
    <row r="33" spans="1:97" x14ac:dyDescent="0.2">
      <c r="A33">
        <v>10652</v>
      </c>
      <c r="B33">
        <v>120253</v>
      </c>
      <c r="C33" s="1">
        <v>19490</v>
      </c>
      <c r="D33">
        <v>70.05</v>
      </c>
      <c r="E33" t="s">
        <v>144</v>
      </c>
      <c r="F33" t="s">
        <v>187</v>
      </c>
      <c r="G33" t="s">
        <v>141</v>
      </c>
      <c r="H33">
        <v>4.4400000000000004</v>
      </c>
      <c r="I33">
        <v>4.1100000000000003</v>
      </c>
      <c r="J33">
        <v>1</v>
      </c>
      <c r="K33">
        <v>0</v>
      </c>
      <c r="L33">
        <v>0</v>
      </c>
      <c r="M33">
        <v>6.83</v>
      </c>
      <c r="N33">
        <v>5.5</v>
      </c>
      <c r="O33">
        <v>6.38</v>
      </c>
      <c r="P33">
        <v>5.33</v>
      </c>
      <c r="Q33">
        <v>6.1</v>
      </c>
      <c r="R33">
        <v>1</v>
      </c>
      <c r="S33">
        <v>1</v>
      </c>
      <c r="T33">
        <v>0</v>
      </c>
      <c r="U33">
        <v>0</v>
      </c>
      <c r="V33">
        <v>0</v>
      </c>
      <c r="W33">
        <v>2</v>
      </c>
      <c r="X33">
        <v>3</v>
      </c>
      <c r="Y33">
        <v>6</v>
      </c>
      <c r="Z33">
        <v>1</v>
      </c>
      <c r="AA33">
        <v>3</v>
      </c>
      <c r="AB33">
        <v>15</v>
      </c>
      <c r="AC33">
        <v>26</v>
      </c>
      <c r="AD33">
        <v>10</v>
      </c>
      <c r="AE33">
        <v>0</v>
      </c>
      <c r="AF33">
        <v>0</v>
      </c>
      <c r="AG33">
        <v>6.92</v>
      </c>
      <c r="AH33">
        <v>6.75</v>
      </c>
      <c r="AI33">
        <v>7</v>
      </c>
      <c r="AJ33">
        <v>7</v>
      </c>
      <c r="AK33">
        <v>3</v>
      </c>
      <c r="AL33">
        <v>6</v>
      </c>
      <c r="AM33">
        <v>3.33</v>
      </c>
      <c r="AN33">
        <v>0</v>
      </c>
      <c r="AO33">
        <v>2.33</v>
      </c>
      <c r="AP33">
        <v>3.29</v>
      </c>
      <c r="BA33">
        <v>20</v>
      </c>
      <c r="BJ33">
        <v>8991</v>
      </c>
      <c r="BO33">
        <v>4</v>
      </c>
      <c r="BP33">
        <v>3.8</v>
      </c>
      <c r="BQ33">
        <v>4</v>
      </c>
      <c r="BR33">
        <v>3.93</v>
      </c>
      <c r="BS33">
        <v>6</v>
      </c>
      <c r="BT33">
        <v>5.1666666666666599</v>
      </c>
      <c r="BU33">
        <v>4.5</v>
      </c>
      <c r="BV33">
        <v>4.3333333333333304</v>
      </c>
      <c r="BW33">
        <v>1</v>
      </c>
      <c r="BX33">
        <v>0</v>
      </c>
      <c r="BY33">
        <v>0</v>
      </c>
      <c r="BZ33">
        <v>20</v>
      </c>
      <c r="CB33">
        <v>7</v>
      </c>
      <c r="CC33">
        <v>0.77777777777777701</v>
      </c>
      <c r="CD33">
        <v>24</v>
      </c>
      <c r="CE33">
        <v>24</v>
      </c>
      <c r="CF33">
        <v>38</v>
      </c>
      <c r="CG33">
        <v>25</v>
      </c>
      <c r="CH33">
        <v>27</v>
      </c>
      <c r="CI33">
        <v>48</v>
      </c>
      <c r="CJ33">
        <v>60</v>
      </c>
      <c r="CK33">
        <v>48</v>
      </c>
      <c r="CL33">
        <v>60</v>
      </c>
      <c r="CM33">
        <v>43</v>
      </c>
      <c r="CN33">
        <v>60</v>
      </c>
      <c r="CQ33">
        <v>2</v>
      </c>
      <c r="CR33">
        <v>1</v>
      </c>
      <c r="CS33">
        <v>1</v>
      </c>
    </row>
    <row r="34" spans="1:97" x14ac:dyDescent="0.2">
      <c r="A34">
        <v>10656</v>
      </c>
      <c r="B34">
        <v>181801</v>
      </c>
      <c r="C34" s="1">
        <v>37204</v>
      </c>
      <c r="D34">
        <v>21.43</v>
      </c>
      <c r="E34" t="s">
        <v>143</v>
      </c>
      <c r="F34" t="s">
        <v>187</v>
      </c>
      <c r="G34" t="s">
        <v>142</v>
      </c>
      <c r="H34">
        <v>5</v>
      </c>
      <c r="I34">
        <v>4.2</v>
      </c>
      <c r="J34">
        <v>3</v>
      </c>
      <c r="K34">
        <v>4</v>
      </c>
      <c r="L34">
        <v>0</v>
      </c>
      <c r="M34">
        <v>6.67</v>
      </c>
      <c r="N34">
        <v>5.33</v>
      </c>
      <c r="O34">
        <v>4.38</v>
      </c>
      <c r="P34">
        <v>3.17</v>
      </c>
      <c r="Q34">
        <v>4.53</v>
      </c>
      <c r="R34">
        <v>24</v>
      </c>
      <c r="S34">
        <v>3</v>
      </c>
      <c r="T34">
        <v>14</v>
      </c>
      <c r="U34">
        <v>3</v>
      </c>
      <c r="V34">
        <v>4</v>
      </c>
      <c r="W34">
        <v>5</v>
      </c>
      <c r="X34">
        <v>6</v>
      </c>
      <c r="Y34">
        <v>0</v>
      </c>
      <c r="Z34">
        <v>8</v>
      </c>
      <c r="AA34">
        <v>4</v>
      </c>
      <c r="AB34">
        <v>23</v>
      </c>
      <c r="AC34">
        <v>39</v>
      </c>
      <c r="AD34">
        <v>12</v>
      </c>
      <c r="AE34">
        <v>0</v>
      </c>
      <c r="AF34">
        <v>0</v>
      </c>
      <c r="AG34">
        <v>6.83</v>
      </c>
      <c r="AH34">
        <v>7</v>
      </c>
      <c r="AI34">
        <v>7</v>
      </c>
      <c r="AJ34">
        <v>6.5</v>
      </c>
      <c r="AK34">
        <v>2.8</v>
      </c>
      <c r="AL34">
        <v>10</v>
      </c>
      <c r="AM34">
        <v>4.58</v>
      </c>
      <c r="AN34">
        <v>12</v>
      </c>
      <c r="AO34">
        <v>2.67</v>
      </c>
      <c r="AP34">
        <v>4.74</v>
      </c>
      <c r="AQ34">
        <v>0.1</v>
      </c>
      <c r="BA34">
        <v>20</v>
      </c>
      <c r="BJ34">
        <v>8991</v>
      </c>
      <c r="BO34">
        <v>3.5</v>
      </c>
      <c r="BP34">
        <v>2.6</v>
      </c>
      <c r="BQ34">
        <v>2.8</v>
      </c>
      <c r="BR34">
        <v>2.97</v>
      </c>
      <c r="BS34">
        <v>5.8333333333333304</v>
      </c>
      <c r="BT34">
        <v>6</v>
      </c>
      <c r="BU34">
        <v>6</v>
      </c>
      <c r="BV34">
        <v>2.6666666666666599</v>
      </c>
      <c r="BW34">
        <v>1.75</v>
      </c>
      <c r="BX34">
        <v>0</v>
      </c>
      <c r="BY34">
        <v>0</v>
      </c>
      <c r="BZ34">
        <v>12</v>
      </c>
      <c r="CA34">
        <v>20</v>
      </c>
      <c r="CC34">
        <v>0</v>
      </c>
      <c r="CD34">
        <v>12</v>
      </c>
      <c r="CE34">
        <v>35</v>
      </c>
      <c r="CF34">
        <v>41</v>
      </c>
      <c r="CG34">
        <v>21</v>
      </c>
      <c r="CH34">
        <v>32</v>
      </c>
      <c r="CI34">
        <v>45</v>
      </c>
      <c r="CJ34">
        <v>60</v>
      </c>
      <c r="CK34">
        <v>48</v>
      </c>
      <c r="CL34">
        <v>60</v>
      </c>
      <c r="CM34">
        <v>44</v>
      </c>
      <c r="CN34">
        <v>60</v>
      </c>
      <c r="CQ34">
        <v>7</v>
      </c>
      <c r="CR34">
        <v>2</v>
      </c>
      <c r="CS34">
        <v>5</v>
      </c>
    </row>
    <row r="35" spans="1:97" x14ac:dyDescent="0.2">
      <c r="A35">
        <v>10657</v>
      </c>
      <c r="B35">
        <v>22364</v>
      </c>
      <c r="C35" s="1">
        <v>23497</v>
      </c>
      <c r="D35">
        <v>58.98</v>
      </c>
      <c r="E35" t="s">
        <v>140</v>
      </c>
      <c r="F35" t="s">
        <v>187</v>
      </c>
      <c r="G35" t="s">
        <v>142</v>
      </c>
      <c r="H35">
        <v>4.33</v>
      </c>
      <c r="I35">
        <v>3.8</v>
      </c>
      <c r="J35">
        <v>7</v>
      </c>
      <c r="K35">
        <v>1</v>
      </c>
      <c r="L35">
        <v>0</v>
      </c>
      <c r="M35">
        <v>5.33</v>
      </c>
      <c r="N35">
        <v>5.83</v>
      </c>
      <c r="O35">
        <v>5.5</v>
      </c>
      <c r="P35">
        <v>5.5</v>
      </c>
      <c r="Q35">
        <v>5.47</v>
      </c>
      <c r="R35">
        <v>9</v>
      </c>
      <c r="S35">
        <v>2</v>
      </c>
      <c r="T35">
        <v>2</v>
      </c>
      <c r="U35">
        <v>1</v>
      </c>
      <c r="V35">
        <v>4</v>
      </c>
      <c r="W35">
        <v>5</v>
      </c>
      <c r="X35">
        <v>3</v>
      </c>
      <c r="Y35">
        <v>8</v>
      </c>
      <c r="Z35">
        <v>7</v>
      </c>
      <c r="AA35">
        <v>1</v>
      </c>
      <c r="AB35">
        <v>24</v>
      </c>
      <c r="AC35">
        <v>36</v>
      </c>
      <c r="AD35">
        <v>10</v>
      </c>
      <c r="AE35">
        <v>0</v>
      </c>
      <c r="AF35">
        <v>0</v>
      </c>
      <c r="AG35">
        <v>5.33</v>
      </c>
      <c r="AH35">
        <v>4.75</v>
      </c>
      <c r="AI35">
        <v>5</v>
      </c>
      <c r="AJ35">
        <v>6.25</v>
      </c>
      <c r="AK35">
        <v>2.2999999999999998</v>
      </c>
      <c r="AL35">
        <v>13</v>
      </c>
      <c r="AM35">
        <v>2.5</v>
      </c>
      <c r="AN35">
        <v>10</v>
      </c>
      <c r="AO35">
        <v>2.5</v>
      </c>
      <c r="AP35">
        <v>3.03</v>
      </c>
      <c r="AQ35">
        <v>50.1</v>
      </c>
      <c r="BA35">
        <v>20</v>
      </c>
      <c r="BJ35">
        <v>8991</v>
      </c>
      <c r="BO35">
        <v>3.7</v>
      </c>
      <c r="BP35">
        <v>3.5</v>
      </c>
      <c r="BQ35">
        <v>3.6</v>
      </c>
      <c r="BR35">
        <v>3.6</v>
      </c>
      <c r="BS35">
        <v>6</v>
      </c>
      <c r="BT35">
        <v>2.6666666666666599</v>
      </c>
      <c r="BU35">
        <v>6</v>
      </c>
      <c r="BV35">
        <v>6</v>
      </c>
      <c r="BW35">
        <v>1.1000000000000001</v>
      </c>
      <c r="BX35">
        <v>0</v>
      </c>
      <c r="BY35">
        <v>0</v>
      </c>
      <c r="BZ35">
        <v>19</v>
      </c>
      <c r="CA35">
        <v>27</v>
      </c>
      <c r="CB35">
        <v>7</v>
      </c>
      <c r="CC35">
        <v>0.7</v>
      </c>
      <c r="CD35">
        <v>26</v>
      </c>
      <c r="CE35">
        <v>37</v>
      </c>
      <c r="CF35">
        <v>31</v>
      </c>
      <c r="CG35">
        <v>26</v>
      </c>
      <c r="CH35">
        <v>32</v>
      </c>
      <c r="CI35">
        <v>45</v>
      </c>
      <c r="CJ35">
        <v>60</v>
      </c>
      <c r="CK35">
        <v>36</v>
      </c>
      <c r="CL35">
        <v>60</v>
      </c>
      <c r="CM35">
        <v>30</v>
      </c>
      <c r="CN35">
        <v>60</v>
      </c>
      <c r="CQ35">
        <v>4</v>
      </c>
      <c r="CR35">
        <v>1</v>
      </c>
      <c r="CS35">
        <v>1</v>
      </c>
    </row>
    <row r="36" spans="1:97" x14ac:dyDescent="0.2">
      <c r="A36">
        <v>10659</v>
      </c>
      <c r="B36">
        <v>181861</v>
      </c>
      <c r="C36" s="1">
        <v>22331</v>
      </c>
      <c r="D36">
        <v>62.39</v>
      </c>
      <c r="E36" t="s">
        <v>143</v>
      </c>
      <c r="F36" t="s">
        <v>187</v>
      </c>
      <c r="G36" t="s">
        <v>141</v>
      </c>
      <c r="H36">
        <v>4.22</v>
      </c>
      <c r="I36">
        <v>3.3</v>
      </c>
      <c r="J36">
        <v>0</v>
      </c>
      <c r="K36">
        <v>0</v>
      </c>
      <c r="L36">
        <v>0</v>
      </c>
      <c r="M36">
        <v>6.5</v>
      </c>
      <c r="N36">
        <v>5.33</v>
      </c>
      <c r="O36">
        <v>6.25</v>
      </c>
      <c r="P36">
        <v>5.83</v>
      </c>
      <c r="Q36">
        <v>6</v>
      </c>
      <c r="R36">
        <v>11</v>
      </c>
      <c r="S36">
        <v>0</v>
      </c>
      <c r="T36">
        <v>4</v>
      </c>
      <c r="U36">
        <v>1</v>
      </c>
      <c r="V36">
        <v>6</v>
      </c>
      <c r="W36">
        <v>3</v>
      </c>
      <c r="X36">
        <v>2</v>
      </c>
      <c r="Y36">
        <v>4</v>
      </c>
      <c r="Z36">
        <v>1</v>
      </c>
      <c r="AA36">
        <v>2</v>
      </c>
      <c r="AB36">
        <v>12</v>
      </c>
      <c r="AC36">
        <v>34</v>
      </c>
      <c r="AD36">
        <v>9</v>
      </c>
      <c r="AE36">
        <v>1</v>
      </c>
      <c r="AF36">
        <v>0</v>
      </c>
      <c r="AG36">
        <v>6.33</v>
      </c>
      <c r="AH36">
        <v>6</v>
      </c>
      <c r="AI36">
        <v>6.25</v>
      </c>
      <c r="AJ36">
        <v>6.75</v>
      </c>
      <c r="AK36">
        <v>3.8</v>
      </c>
      <c r="AL36">
        <v>15</v>
      </c>
      <c r="AM36">
        <v>2</v>
      </c>
      <c r="AN36">
        <v>0</v>
      </c>
      <c r="AO36">
        <v>3</v>
      </c>
      <c r="AP36">
        <v>9999</v>
      </c>
      <c r="BA36">
        <v>20</v>
      </c>
      <c r="BJ36">
        <v>8991</v>
      </c>
      <c r="BO36">
        <v>3.6</v>
      </c>
      <c r="BP36">
        <v>3.7</v>
      </c>
      <c r="BQ36">
        <v>3.3</v>
      </c>
      <c r="BR36">
        <v>3.53</v>
      </c>
      <c r="BS36">
        <v>6</v>
      </c>
      <c r="BT36">
        <v>5.1666666666666599</v>
      </c>
      <c r="BU36">
        <v>3.6666666666666599</v>
      </c>
      <c r="BV36">
        <v>5.1666666666666599</v>
      </c>
      <c r="BW36">
        <v>0.35</v>
      </c>
      <c r="BX36">
        <v>0</v>
      </c>
      <c r="BY36">
        <v>0</v>
      </c>
      <c r="BZ36">
        <v>19</v>
      </c>
      <c r="CA36">
        <v>20</v>
      </c>
      <c r="CB36">
        <v>9</v>
      </c>
      <c r="CC36">
        <v>1.28571428571428</v>
      </c>
      <c r="CD36">
        <v>25</v>
      </c>
      <c r="CE36">
        <v>22</v>
      </c>
      <c r="CF36">
        <v>31</v>
      </c>
      <c r="CG36">
        <v>23</v>
      </c>
      <c r="CH36">
        <v>31</v>
      </c>
      <c r="CI36">
        <v>37</v>
      </c>
      <c r="CJ36">
        <v>60</v>
      </c>
      <c r="CK36">
        <v>29</v>
      </c>
      <c r="CL36">
        <v>60</v>
      </c>
      <c r="CM36">
        <v>26</v>
      </c>
      <c r="CN36">
        <v>60</v>
      </c>
      <c r="CQ36">
        <v>6</v>
      </c>
      <c r="CR36">
        <v>4</v>
      </c>
      <c r="CS36">
        <v>1</v>
      </c>
    </row>
    <row r="37" spans="1:97" x14ac:dyDescent="0.2">
      <c r="A37">
        <v>10661</v>
      </c>
      <c r="B37">
        <v>130672</v>
      </c>
      <c r="C37" s="1">
        <v>26625</v>
      </c>
      <c r="D37">
        <v>50.64</v>
      </c>
      <c r="E37" t="s">
        <v>140</v>
      </c>
      <c r="F37" t="s">
        <v>187</v>
      </c>
      <c r="G37" t="s">
        <v>142</v>
      </c>
      <c r="H37">
        <v>5</v>
      </c>
      <c r="I37">
        <v>3.3</v>
      </c>
      <c r="J37">
        <v>1</v>
      </c>
      <c r="K37">
        <v>0</v>
      </c>
      <c r="L37">
        <v>0</v>
      </c>
      <c r="M37">
        <v>6.83</v>
      </c>
      <c r="N37">
        <v>5.83</v>
      </c>
      <c r="O37">
        <v>6.5</v>
      </c>
      <c r="P37">
        <v>6.33</v>
      </c>
      <c r="Q37">
        <v>6.43</v>
      </c>
      <c r="R37">
        <v>16</v>
      </c>
      <c r="S37">
        <v>2</v>
      </c>
      <c r="T37">
        <v>8</v>
      </c>
      <c r="U37">
        <v>1</v>
      </c>
      <c r="V37">
        <v>5</v>
      </c>
      <c r="W37">
        <v>0</v>
      </c>
      <c r="X37">
        <v>3</v>
      </c>
      <c r="Y37">
        <v>5</v>
      </c>
      <c r="Z37">
        <v>0</v>
      </c>
      <c r="AA37">
        <v>2</v>
      </c>
      <c r="AB37">
        <v>10</v>
      </c>
      <c r="AC37">
        <v>42</v>
      </c>
      <c r="AD37">
        <v>10</v>
      </c>
      <c r="AE37">
        <v>0</v>
      </c>
      <c r="AF37">
        <v>0</v>
      </c>
      <c r="AG37">
        <v>7</v>
      </c>
      <c r="AH37">
        <v>7</v>
      </c>
      <c r="AI37">
        <v>7</v>
      </c>
      <c r="AJ37">
        <v>7</v>
      </c>
      <c r="AK37">
        <v>3.9</v>
      </c>
      <c r="AL37">
        <v>8</v>
      </c>
      <c r="AM37">
        <v>1.67</v>
      </c>
      <c r="AN37">
        <v>0</v>
      </c>
      <c r="AO37">
        <v>3.33</v>
      </c>
      <c r="AP37">
        <v>3.4</v>
      </c>
      <c r="BA37">
        <v>20</v>
      </c>
      <c r="BJ37">
        <v>8991</v>
      </c>
      <c r="BO37">
        <v>3.9</v>
      </c>
      <c r="BP37">
        <v>3.9</v>
      </c>
      <c r="BQ37">
        <v>3.8</v>
      </c>
      <c r="BR37">
        <v>3.87</v>
      </c>
      <c r="BS37">
        <v>6</v>
      </c>
      <c r="BT37">
        <v>5.1666666666666599</v>
      </c>
      <c r="BU37">
        <v>5.1666666666666599</v>
      </c>
      <c r="BV37">
        <v>4.3333333333333304</v>
      </c>
      <c r="BW37">
        <v>0.2</v>
      </c>
      <c r="BX37">
        <v>0</v>
      </c>
      <c r="BY37">
        <v>0</v>
      </c>
      <c r="BZ37">
        <v>24</v>
      </c>
      <c r="CB37">
        <v>7</v>
      </c>
      <c r="CC37">
        <v>0.7</v>
      </c>
      <c r="CD37">
        <v>31</v>
      </c>
      <c r="CE37">
        <v>39</v>
      </c>
      <c r="CF37">
        <v>45</v>
      </c>
      <c r="CG37">
        <v>31</v>
      </c>
      <c r="CH37">
        <v>30</v>
      </c>
      <c r="CI37">
        <v>48</v>
      </c>
      <c r="CJ37">
        <v>60</v>
      </c>
      <c r="CK37">
        <v>47</v>
      </c>
      <c r="CL37">
        <v>60</v>
      </c>
      <c r="CM37">
        <v>48</v>
      </c>
      <c r="CN37">
        <v>60</v>
      </c>
      <c r="CQ37">
        <v>7</v>
      </c>
      <c r="CR37">
        <v>1</v>
      </c>
      <c r="CS37">
        <v>1</v>
      </c>
    </row>
    <row r="38" spans="1:97" x14ac:dyDescent="0.2">
      <c r="A38">
        <v>10663</v>
      </c>
      <c r="B38">
        <v>11201</v>
      </c>
      <c r="C38" s="1">
        <v>36973</v>
      </c>
      <c r="D38">
        <v>22.07</v>
      </c>
      <c r="E38" t="s">
        <v>140</v>
      </c>
      <c r="F38" t="s">
        <v>187</v>
      </c>
      <c r="G38" t="s">
        <v>141</v>
      </c>
      <c r="H38">
        <v>4.4400000000000004</v>
      </c>
      <c r="I38">
        <v>4.0999999999999996</v>
      </c>
      <c r="J38">
        <v>3</v>
      </c>
      <c r="K38">
        <v>9</v>
      </c>
      <c r="L38">
        <v>0</v>
      </c>
      <c r="M38">
        <v>6.17</v>
      </c>
      <c r="N38">
        <v>4</v>
      </c>
      <c r="O38">
        <v>4</v>
      </c>
      <c r="P38">
        <v>4.67</v>
      </c>
      <c r="Q38">
        <v>4.7</v>
      </c>
      <c r="R38">
        <v>48</v>
      </c>
      <c r="S38">
        <v>16</v>
      </c>
      <c r="T38">
        <v>18</v>
      </c>
      <c r="U38">
        <v>1</v>
      </c>
      <c r="V38">
        <v>13</v>
      </c>
      <c r="W38">
        <v>3</v>
      </c>
      <c r="X38">
        <v>7</v>
      </c>
      <c r="Y38">
        <v>2</v>
      </c>
      <c r="Z38">
        <v>4</v>
      </c>
      <c r="AA38">
        <v>2</v>
      </c>
      <c r="AB38">
        <v>18</v>
      </c>
      <c r="AC38">
        <v>27</v>
      </c>
      <c r="AD38">
        <v>11</v>
      </c>
      <c r="AE38">
        <v>0</v>
      </c>
      <c r="AF38">
        <v>0</v>
      </c>
      <c r="AG38">
        <v>6.42</v>
      </c>
      <c r="AH38">
        <v>6.75</v>
      </c>
      <c r="AI38">
        <v>5.5</v>
      </c>
      <c r="AJ38">
        <v>7</v>
      </c>
      <c r="AK38">
        <v>4.3</v>
      </c>
      <c r="AL38">
        <v>15</v>
      </c>
      <c r="AM38">
        <v>4.33</v>
      </c>
      <c r="AN38">
        <v>12</v>
      </c>
      <c r="AO38">
        <v>2.83</v>
      </c>
      <c r="AP38">
        <v>4.37</v>
      </c>
      <c r="AQ38">
        <v>20</v>
      </c>
      <c r="BA38">
        <v>20</v>
      </c>
      <c r="BJ38">
        <v>8991</v>
      </c>
      <c r="BO38">
        <v>3.9</v>
      </c>
      <c r="BP38">
        <v>4.0999999999999996</v>
      </c>
      <c r="BQ38">
        <v>4.2</v>
      </c>
      <c r="BR38">
        <v>4.07</v>
      </c>
      <c r="BS38">
        <v>3</v>
      </c>
      <c r="BT38">
        <v>2.1666666666666599</v>
      </c>
      <c r="BU38">
        <v>1.1666666666666601</v>
      </c>
      <c r="BV38">
        <v>1.1666666666666601</v>
      </c>
      <c r="BW38">
        <v>3.15</v>
      </c>
      <c r="BX38">
        <v>0</v>
      </c>
      <c r="BY38">
        <v>0</v>
      </c>
      <c r="BZ38">
        <v>25</v>
      </c>
      <c r="CA38">
        <v>23</v>
      </c>
      <c r="CB38">
        <v>11</v>
      </c>
      <c r="CC38">
        <v>1</v>
      </c>
      <c r="CD38">
        <v>35</v>
      </c>
      <c r="CE38">
        <v>37</v>
      </c>
      <c r="CF38">
        <v>34</v>
      </c>
      <c r="CG38">
        <v>21</v>
      </c>
      <c r="CH38">
        <v>32</v>
      </c>
      <c r="CI38">
        <v>44</v>
      </c>
      <c r="CJ38">
        <v>60</v>
      </c>
      <c r="CK38">
        <v>40</v>
      </c>
      <c r="CL38">
        <v>60</v>
      </c>
      <c r="CM38">
        <v>48</v>
      </c>
      <c r="CN38">
        <v>60</v>
      </c>
      <c r="CQ38">
        <v>7</v>
      </c>
      <c r="CR38">
        <v>1</v>
      </c>
      <c r="CS38">
        <v>1</v>
      </c>
    </row>
    <row r="39" spans="1:97" x14ac:dyDescent="0.2">
      <c r="A39">
        <v>10668</v>
      </c>
      <c r="B39">
        <v>131186</v>
      </c>
      <c r="C39" s="1">
        <v>31436</v>
      </c>
      <c r="D39">
        <v>37.369999999999997</v>
      </c>
      <c r="E39" t="s">
        <v>143</v>
      </c>
      <c r="F39" t="s">
        <v>187</v>
      </c>
      <c r="G39" t="s">
        <v>141</v>
      </c>
      <c r="H39">
        <v>3.89</v>
      </c>
      <c r="I39">
        <v>3.1</v>
      </c>
      <c r="J39">
        <v>9</v>
      </c>
      <c r="K39">
        <v>14</v>
      </c>
      <c r="L39">
        <v>0</v>
      </c>
      <c r="M39">
        <v>5.83</v>
      </c>
      <c r="N39">
        <v>4.83</v>
      </c>
      <c r="O39">
        <v>5.5</v>
      </c>
      <c r="P39">
        <v>5.33</v>
      </c>
      <c r="Q39">
        <v>5.33</v>
      </c>
      <c r="R39">
        <v>43</v>
      </c>
      <c r="S39">
        <v>13</v>
      </c>
      <c r="T39">
        <v>18</v>
      </c>
      <c r="U39">
        <v>4</v>
      </c>
      <c r="V39">
        <v>8</v>
      </c>
      <c r="W39">
        <v>7</v>
      </c>
      <c r="X39">
        <v>6</v>
      </c>
      <c r="Y39">
        <v>5</v>
      </c>
      <c r="Z39">
        <v>3</v>
      </c>
      <c r="AA39">
        <v>1</v>
      </c>
      <c r="AB39">
        <v>22</v>
      </c>
      <c r="AC39">
        <v>32</v>
      </c>
      <c r="AD39">
        <v>14</v>
      </c>
      <c r="AE39">
        <v>0</v>
      </c>
      <c r="AF39">
        <v>0</v>
      </c>
      <c r="AG39">
        <v>4.25</v>
      </c>
      <c r="AH39">
        <v>4.5</v>
      </c>
      <c r="AI39">
        <v>4</v>
      </c>
      <c r="AJ39">
        <v>4.25</v>
      </c>
      <c r="AK39">
        <v>3.3</v>
      </c>
      <c r="AL39">
        <v>21</v>
      </c>
      <c r="AM39">
        <v>1</v>
      </c>
      <c r="AN39">
        <v>36</v>
      </c>
      <c r="AO39">
        <v>1.17</v>
      </c>
      <c r="AP39">
        <v>9999</v>
      </c>
      <c r="BA39">
        <v>20</v>
      </c>
      <c r="BJ39">
        <v>8991</v>
      </c>
      <c r="BO39">
        <v>3.7</v>
      </c>
      <c r="BP39">
        <v>3</v>
      </c>
      <c r="BQ39">
        <v>3.7</v>
      </c>
      <c r="BR39">
        <v>3.47</v>
      </c>
      <c r="BS39">
        <v>6</v>
      </c>
      <c r="BT39">
        <v>5.1666666666666599</v>
      </c>
      <c r="BU39">
        <v>6</v>
      </c>
      <c r="BV39">
        <v>4.3333333333333304</v>
      </c>
      <c r="BW39">
        <v>2.15</v>
      </c>
      <c r="BX39">
        <v>0</v>
      </c>
      <c r="BY39">
        <v>0</v>
      </c>
      <c r="BZ39">
        <v>0</v>
      </c>
      <c r="CD39">
        <v>0</v>
      </c>
      <c r="CH39">
        <v>30</v>
      </c>
      <c r="CO39">
        <v>2</v>
      </c>
      <c r="CP39">
        <v>2</v>
      </c>
      <c r="CQ39">
        <v>3</v>
      </c>
      <c r="CR39">
        <v>1</v>
      </c>
      <c r="CS39">
        <v>1</v>
      </c>
    </row>
    <row r="40" spans="1:97" x14ac:dyDescent="0.2">
      <c r="A40">
        <v>10673</v>
      </c>
      <c r="B40">
        <v>50274</v>
      </c>
      <c r="C40" s="1">
        <v>27295</v>
      </c>
      <c r="D40">
        <v>48.6</v>
      </c>
      <c r="E40" t="s">
        <v>140</v>
      </c>
      <c r="F40" t="s">
        <v>187</v>
      </c>
      <c r="G40" t="s">
        <v>141</v>
      </c>
      <c r="H40">
        <v>5</v>
      </c>
      <c r="I40">
        <v>3.4</v>
      </c>
      <c r="J40">
        <v>8</v>
      </c>
      <c r="K40">
        <v>9</v>
      </c>
      <c r="L40">
        <v>0</v>
      </c>
      <c r="M40">
        <v>5.83</v>
      </c>
      <c r="N40">
        <v>4.17</v>
      </c>
      <c r="O40">
        <v>6.13</v>
      </c>
      <c r="P40">
        <v>6</v>
      </c>
      <c r="Q40">
        <v>5.47</v>
      </c>
      <c r="R40">
        <v>30</v>
      </c>
      <c r="S40">
        <v>12</v>
      </c>
      <c r="T40">
        <v>14</v>
      </c>
      <c r="U40">
        <v>1</v>
      </c>
      <c r="V40">
        <v>3</v>
      </c>
      <c r="W40">
        <v>2</v>
      </c>
      <c r="X40">
        <v>2</v>
      </c>
      <c r="Y40">
        <v>7</v>
      </c>
      <c r="Z40">
        <v>0</v>
      </c>
      <c r="AA40">
        <v>4</v>
      </c>
      <c r="AB40">
        <v>15</v>
      </c>
      <c r="AC40">
        <v>36</v>
      </c>
      <c r="AD40">
        <v>15</v>
      </c>
      <c r="AE40">
        <v>0</v>
      </c>
      <c r="AF40">
        <v>0</v>
      </c>
      <c r="AG40">
        <v>5.75</v>
      </c>
      <c r="AH40">
        <v>5.75</v>
      </c>
      <c r="AI40">
        <v>4.5</v>
      </c>
      <c r="AJ40">
        <v>7</v>
      </c>
      <c r="AK40">
        <v>3.7</v>
      </c>
      <c r="AL40">
        <v>13</v>
      </c>
      <c r="AM40">
        <v>2.75</v>
      </c>
      <c r="AN40">
        <v>25</v>
      </c>
      <c r="AO40">
        <v>2.67</v>
      </c>
      <c r="AP40">
        <v>3.46</v>
      </c>
      <c r="AR40">
        <v>26</v>
      </c>
      <c r="AS40">
        <v>2.5</v>
      </c>
      <c r="AT40">
        <v>1</v>
      </c>
      <c r="AU40">
        <v>1</v>
      </c>
      <c r="AV40">
        <v>1.5</v>
      </c>
      <c r="AW40">
        <v>0.75</v>
      </c>
      <c r="AX40">
        <v>1</v>
      </c>
      <c r="AY40">
        <v>0.5</v>
      </c>
      <c r="AZ40">
        <v>1.1785714285714199</v>
      </c>
      <c r="BA40">
        <v>104</v>
      </c>
      <c r="BB40">
        <v>84</v>
      </c>
      <c r="BH40">
        <v>63</v>
      </c>
      <c r="BI40">
        <v>40</v>
      </c>
      <c r="BJ40">
        <v>8991</v>
      </c>
      <c r="BO40">
        <v>2.2000000000000002</v>
      </c>
      <c r="BP40">
        <v>3.7</v>
      </c>
      <c r="BQ40">
        <v>3.4</v>
      </c>
      <c r="BR40">
        <v>3.1</v>
      </c>
      <c r="BS40">
        <v>3</v>
      </c>
      <c r="BT40">
        <v>2.8333333333333299</v>
      </c>
      <c r="BU40">
        <v>3.8333333333333299</v>
      </c>
      <c r="BV40">
        <v>2.6666666666666599</v>
      </c>
      <c r="BW40">
        <v>2</v>
      </c>
      <c r="BX40">
        <v>0</v>
      </c>
      <c r="BY40">
        <v>0</v>
      </c>
      <c r="BZ40">
        <v>17</v>
      </c>
      <c r="CA40">
        <v>20</v>
      </c>
      <c r="CB40">
        <v>4</v>
      </c>
      <c r="CC40">
        <v>0.57142857142857095</v>
      </c>
      <c r="CD40">
        <v>21</v>
      </c>
      <c r="CE40">
        <v>26</v>
      </c>
      <c r="CF40">
        <v>43</v>
      </c>
      <c r="CG40">
        <v>29</v>
      </c>
      <c r="CH40">
        <v>23</v>
      </c>
      <c r="CI40">
        <v>46</v>
      </c>
      <c r="CJ40">
        <v>60</v>
      </c>
      <c r="CK40">
        <v>40</v>
      </c>
      <c r="CL40">
        <v>60</v>
      </c>
      <c r="CM40">
        <v>45</v>
      </c>
      <c r="CN40">
        <v>60</v>
      </c>
      <c r="CQ40">
        <v>7</v>
      </c>
      <c r="CR40">
        <v>1</v>
      </c>
      <c r="CS40">
        <v>1</v>
      </c>
    </row>
    <row r="41" spans="1:97" x14ac:dyDescent="0.2">
      <c r="A41">
        <v>10674</v>
      </c>
      <c r="B41">
        <v>11190</v>
      </c>
      <c r="C41" s="1">
        <v>32924</v>
      </c>
      <c r="D41">
        <v>33.200000000000003</v>
      </c>
      <c r="E41" t="s">
        <v>143</v>
      </c>
      <c r="F41" t="s">
        <v>187</v>
      </c>
      <c r="G41" t="s">
        <v>142</v>
      </c>
      <c r="H41">
        <v>4.22</v>
      </c>
      <c r="I41">
        <v>4.2</v>
      </c>
      <c r="J41">
        <v>1</v>
      </c>
      <c r="K41">
        <v>0</v>
      </c>
      <c r="L41">
        <v>0</v>
      </c>
      <c r="M41">
        <v>6.17</v>
      </c>
      <c r="N41">
        <v>6.33</v>
      </c>
      <c r="O41">
        <v>6.5</v>
      </c>
      <c r="P41">
        <v>6.33</v>
      </c>
      <c r="Q41">
        <v>6.4</v>
      </c>
      <c r="R41">
        <v>3</v>
      </c>
      <c r="S41">
        <v>1</v>
      </c>
      <c r="T41">
        <v>0</v>
      </c>
      <c r="U41">
        <v>2</v>
      </c>
      <c r="V41">
        <v>0</v>
      </c>
      <c r="W41">
        <v>0</v>
      </c>
      <c r="X41">
        <v>2</v>
      </c>
      <c r="Y41">
        <v>5</v>
      </c>
      <c r="Z41">
        <v>1</v>
      </c>
      <c r="AA41">
        <v>2</v>
      </c>
      <c r="AB41">
        <v>10</v>
      </c>
      <c r="AC41">
        <v>37</v>
      </c>
      <c r="AD41">
        <v>10</v>
      </c>
      <c r="AE41">
        <v>0</v>
      </c>
      <c r="AF41">
        <v>0</v>
      </c>
      <c r="AG41">
        <v>6.83</v>
      </c>
      <c r="AH41">
        <v>6.5</v>
      </c>
      <c r="AI41">
        <v>7</v>
      </c>
      <c r="AJ41">
        <v>7</v>
      </c>
      <c r="AK41">
        <v>2.5</v>
      </c>
      <c r="AL41">
        <v>6</v>
      </c>
      <c r="AM41">
        <v>1.42</v>
      </c>
      <c r="AN41">
        <v>0</v>
      </c>
      <c r="AO41">
        <v>3</v>
      </c>
      <c r="AP41">
        <v>2.46</v>
      </c>
      <c r="AQ41">
        <v>85</v>
      </c>
      <c r="BA41">
        <v>20</v>
      </c>
      <c r="BJ41">
        <v>8991</v>
      </c>
      <c r="BO41">
        <v>4.5</v>
      </c>
      <c r="BP41">
        <v>4.5999999999999996</v>
      </c>
      <c r="BQ41">
        <v>4.4000000000000004</v>
      </c>
      <c r="BR41">
        <v>4.5</v>
      </c>
      <c r="BS41">
        <v>6</v>
      </c>
      <c r="BT41">
        <v>6</v>
      </c>
      <c r="BU41">
        <v>6</v>
      </c>
      <c r="BV41">
        <v>6</v>
      </c>
      <c r="BW41">
        <v>0.3</v>
      </c>
      <c r="BX41">
        <v>0</v>
      </c>
      <c r="BY41">
        <v>0</v>
      </c>
      <c r="BZ41">
        <v>28</v>
      </c>
      <c r="CA41">
        <v>20</v>
      </c>
      <c r="CB41">
        <v>9</v>
      </c>
      <c r="CC41">
        <v>0.75</v>
      </c>
      <c r="CD41">
        <v>35</v>
      </c>
      <c r="CE41">
        <v>30</v>
      </c>
      <c r="CF41">
        <v>41</v>
      </c>
      <c r="CG41">
        <v>20</v>
      </c>
      <c r="CH41">
        <v>32</v>
      </c>
      <c r="CI41">
        <v>48</v>
      </c>
      <c r="CJ41">
        <v>55</v>
      </c>
      <c r="CK41">
        <v>38</v>
      </c>
      <c r="CL41">
        <v>60</v>
      </c>
      <c r="CM41">
        <v>28</v>
      </c>
      <c r="CN41">
        <v>60</v>
      </c>
      <c r="CQ41">
        <v>7</v>
      </c>
      <c r="CR41">
        <v>2</v>
      </c>
      <c r="CS41">
        <v>5</v>
      </c>
    </row>
    <row r="42" spans="1:97" x14ac:dyDescent="0.2">
      <c r="A42">
        <v>10677</v>
      </c>
      <c r="B42">
        <v>52089</v>
      </c>
      <c r="C42" s="1">
        <v>32861</v>
      </c>
      <c r="D42">
        <v>33.369999999999997</v>
      </c>
      <c r="E42" t="s">
        <v>143</v>
      </c>
      <c r="F42" t="s">
        <v>187</v>
      </c>
      <c r="G42" t="s">
        <v>141</v>
      </c>
      <c r="H42">
        <v>4.78</v>
      </c>
      <c r="I42">
        <v>4.5999999999999996</v>
      </c>
      <c r="J42">
        <v>7</v>
      </c>
      <c r="K42">
        <v>1</v>
      </c>
      <c r="L42">
        <v>0</v>
      </c>
      <c r="R42">
        <v>4</v>
      </c>
      <c r="S42">
        <v>0</v>
      </c>
      <c r="T42">
        <v>2</v>
      </c>
      <c r="U42">
        <v>0</v>
      </c>
      <c r="V42">
        <v>2</v>
      </c>
      <c r="W42">
        <v>0</v>
      </c>
      <c r="X42">
        <v>2</v>
      </c>
      <c r="Y42">
        <v>5</v>
      </c>
      <c r="Z42">
        <v>1</v>
      </c>
      <c r="AA42">
        <v>2</v>
      </c>
      <c r="AB42">
        <v>10</v>
      </c>
      <c r="AC42">
        <v>37</v>
      </c>
      <c r="AD42">
        <v>13</v>
      </c>
      <c r="AE42">
        <v>0</v>
      </c>
      <c r="AF42">
        <v>0</v>
      </c>
      <c r="AG42">
        <v>5.75</v>
      </c>
      <c r="AH42">
        <v>7</v>
      </c>
      <c r="AI42">
        <v>3.25</v>
      </c>
      <c r="AJ42">
        <v>7</v>
      </c>
      <c r="AK42">
        <v>2.4</v>
      </c>
      <c r="AL42">
        <v>17</v>
      </c>
      <c r="AM42">
        <v>3.25</v>
      </c>
      <c r="AN42">
        <v>1</v>
      </c>
      <c r="AO42">
        <v>2.67</v>
      </c>
      <c r="AP42">
        <v>3.4</v>
      </c>
      <c r="BA42">
        <v>20</v>
      </c>
      <c r="BJ42">
        <v>8991</v>
      </c>
      <c r="BO42">
        <v>4.2</v>
      </c>
      <c r="BP42">
        <v>4.2</v>
      </c>
      <c r="BQ42">
        <v>4.2</v>
      </c>
      <c r="BR42">
        <v>4.2</v>
      </c>
      <c r="BS42">
        <v>2.6666666666666599</v>
      </c>
      <c r="BT42">
        <v>2.6666666666666599</v>
      </c>
      <c r="BU42">
        <v>2.6666666666666599</v>
      </c>
      <c r="BV42">
        <v>2.6666666666666599</v>
      </c>
      <c r="BW42">
        <v>0.95</v>
      </c>
      <c r="BX42">
        <v>0</v>
      </c>
      <c r="BY42">
        <v>0</v>
      </c>
      <c r="BZ42">
        <v>22</v>
      </c>
      <c r="CB42">
        <v>9</v>
      </c>
      <c r="CC42">
        <v>1.125</v>
      </c>
      <c r="CD42">
        <v>30</v>
      </c>
      <c r="CE42">
        <v>30</v>
      </c>
      <c r="CF42">
        <v>38</v>
      </c>
      <c r="CG42">
        <v>29</v>
      </c>
      <c r="CH42">
        <v>27</v>
      </c>
      <c r="CI42">
        <v>48</v>
      </c>
      <c r="CJ42">
        <v>46</v>
      </c>
      <c r="CK42">
        <v>48</v>
      </c>
      <c r="CL42">
        <v>58</v>
      </c>
      <c r="CM42">
        <v>48</v>
      </c>
      <c r="CN42">
        <v>54</v>
      </c>
      <c r="CQ42">
        <v>7</v>
      </c>
      <c r="CR42">
        <v>1</v>
      </c>
      <c r="CS42">
        <v>1</v>
      </c>
    </row>
    <row r="43" spans="1:97" x14ac:dyDescent="0.2">
      <c r="A43">
        <v>10685</v>
      </c>
      <c r="B43">
        <v>101389</v>
      </c>
      <c r="C43" s="1">
        <v>32538</v>
      </c>
      <c r="D43">
        <v>34.43</v>
      </c>
      <c r="E43" t="s">
        <v>143</v>
      </c>
      <c r="F43" t="s">
        <v>189</v>
      </c>
      <c r="G43" t="s">
        <v>142</v>
      </c>
      <c r="H43">
        <v>3.67</v>
      </c>
      <c r="I43">
        <v>3.7</v>
      </c>
      <c r="J43">
        <v>7</v>
      </c>
      <c r="K43">
        <v>2</v>
      </c>
      <c r="L43">
        <v>0</v>
      </c>
      <c r="M43">
        <v>6.17</v>
      </c>
      <c r="N43">
        <v>5.83</v>
      </c>
      <c r="O43">
        <v>5.13</v>
      </c>
      <c r="P43">
        <v>6</v>
      </c>
      <c r="Q43">
        <v>5.6</v>
      </c>
      <c r="R43">
        <v>25</v>
      </c>
      <c r="S43">
        <v>2</v>
      </c>
      <c r="T43">
        <v>10</v>
      </c>
      <c r="U43">
        <v>5</v>
      </c>
      <c r="V43">
        <v>8</v>
      </c>
      <c r="W43">
        <v>2</v>
      </c>
      <c r="X43">
        <v>5</v>
      </c>
      <c r="Y43">
        <v>4</v>
      </c>
      <c r="Z43">
        <v>4</v>
      </c>
      <c r="AA43">
        <v>3</v>
      </c>
      <c r="AB43">
        <v>18</v>
      </c>
      <c r="AC43">
        <v>35</v>
      </c>
      <c r="AD43">
        <v>13</v>
      </c>
      <c r="AE43">
        <v>0</v>
      </c>
      <c r="AF43">
        <v>0</v>
      </c>
      <c r="AG43">
        <v>5.67</v>
      </c>
      <c r="AH43">
        <v>6</v>
      </c>
      <c r="AI43">
        <v>4.75</v>
      </c>
      <c r="AJ43">
        <v>6.25</v>
      </c>
      <c r="AK43">
        <v>3.4</v>
      </c>
      <c r="AL43">
        <v>16</v>
      </c>
      <c r="AM43">
        <v>1.75</v>
      </c>
      <c r="AN43">
        <v>2</v>
      </c>
      <c r="AO43">
        <v>2.83</v>
      </c>
      <c r="AP43">
        <v>9999</v>
      </c>
      <c r="AR43">
        <v>39</v>
      </c>
      <c r="BA43">
        <v>95</v>
      </c>
      <c r="BB43">
        <v>75</v>
      </c>
      <c r="BJ43">
        <v>8991</v>
      </c>
      <c r="BO43">
        <v>2.9</v>
      </c>
      <c r="BP43">
        <v>4.0999999999999996</v>
      </c>
      <c r="BQ43">
        <v>4.3</v>
      </c>
      <c r="BR43">
        <v>3.77</v>
      </c>
      <c r="BS43">
        <v>6</v>
      </c>
      <c r="BT43">
        <v>5.1666666666666599</v>
      </c>
      <c r="BU43">
        <v>6</v>
      </c>
      <c r="BV43">
        <v>5.1666666666666599</v>
      </c>
      <c r="BW43">
        <v>0.95</v>
      </c>
      <c r="BX43">
        <v>0</v>
      </c>
      <c r="BY43">
        <v>0</v>
      </c>
      <c r="BZ43">
        <v>25</v>
      </c>
      <c r="CA43">
        <v>25</v>
      </c>
      <c r="CB43">
        <v>11</v>
      </c>
      <c r="CC43">
        <v>1.1000000000000001</v>
      </c>
      <c r="CD43">
        <v>33</v>
      </c>
      <c r="CE43">
        <v>34</v>
      </c>
      <c r="CF43">
        <v>46</v>
      </c>
      <c r="CG43">
        <v>28</v>
      </c>
      <c r="CH43">
        <v>35</v>
      </c>
      <c r="CI43">
        <v>48</v>
      </c>
      <c r="CJ43">
        <v>46</v>
      </c>
      <c r="CK43">
        <v>48</v>
      </c>
      <c r="CL43">
        <v>53</v>
      </c>
      <c r="CM43">
        <v>48</v>
      </c>
      <c r="CN43">
        <v>60</v>
      </c>
      <c r="CQ43">
        <v>2</v>
      </c>
      <c r="CR43">
        <v>1</v>
      </c>
      <c r="CS43">
        <v>1</v>
      </c>
    </row>
    <row r="44" spans="1:97" x14ac:dyDescent="0.2">
      <c r="A44">
        <v>10690</v>
      </c>
      <c r="B44">
        <v>101967</v>
      </c>
      <c r="C44" s="1">
        <v>24665</v>
      </c>
      <c r="D44">
        <v>56.16</v>
      </c>
      <c r="E44" t="s">
        <v>147</v>
      </c>
      <c r="F44" t="s">
        <v>187</v>
      </c>
      <c r="G44" t="s">
        <v>141</v>
      </c>
      <c r="H44">
        <v>4.4400000000000004</v>
      </c>
      <c r="I44">
        <v>4</v>
      </c>
      <c r="J44">
        <v>2</v>
      </c>
      <c r="K44">
        <v>9</v>
      </c>
      <c r="L44">
        <v>0</v>
      </c>
      <c r="M44">
        <v>6.17</v>
      </c>
      <c r="N44">
        <v>5.17</v>
      </c>
      <c r="O44">
        <v>6</v>
      </c>
      <c r="P44">
        <v>4.83</v>
      </c>
      <c r="Q44">
        <v>5.5</v>
      </c>
      <c r="R44">
        <v>24</v>
      </c>
      <c r="S44">
        <v>7</v>
      </c>
      <c r="T44">
        <v>12</v>
      </c>
      <c r="U44">
        <v>2</v>
      </c>
      <c r="V44">
        <v>3</v>
      </c>
      <c r="W44">
        <v>6</v>
      </c>
      <c r="X44">
        <v>2</v>
      </c>
      <c r="Y44">
        <v>7</v>
      </c>
      <c r="Z44">
        <v>4</v>
      </c>
      <c r="AA44">
        <v>2</v>
      </c>
      <c r="AB44">
        <v>21</v>
      </c>
      <c r="AC44">
        <v>21</v>
      </c>
      <c r="AD44">
        <v>16</v>
      </c>
      <c r="AE44">
        <v>0</v>
      </c>
      <c r="AF44">
        <v>0</v>
      </c>
      <c r="AG44">
        <v>6.5</v>
      </c>
      <c r="AH44">
        <v>7</v>
      </c>
      <c r="AI44">
        <v>6.25</v>
      </c>
      <c r="AJ44">
        <v>6.25</v>
      </c>
      <c r="AK44">
        <v>3</v>
      </c>
      <c r="AL44">
        <v>16</v>
      </c>
      <c r="AM44">
        <v>2.33</v>
      </c>
      <c r="AN44">
        <v>28</v>
      </c>
      <c r="AO44">
        <v>2.17</v>
      </c>
      <c r="AP44">
        <v>9999</v>
      </c>
      <c r="BA44">
        <v>20</v>
      </c>
      <c r="BJ44">
        <v>8991</v>
      </c>
      <c r="BO44">
        <v>3.2</v>
      </c>
      <c r="BP44">
        <v>3.4</v>
      </c>
      <c r="BQ44">
        <v>3.5</v>
      </c>
      <c r="BR44">
        <v>3.37</v>
      </c>
      <c r="BS44">
        <v>6</v>
      </c>
      <c r="BT44">
        <v>5.1666666666666599</v>
      </c>
      <c r="BU44">
        <v>6</v>
      </c>
      <c r="BV44">
        <v>5.1666666666666599</v>
      </c>
      <c r="BW44">
        <v>1.35</v>
      </c>
      <c r="BX44">
        <v>0</v>
      </c>
      <c r="BY44">
        <v>0</v>
      </c>
      <c r="BZ44">
        <v>25</v>
      </c>
      <c r="CA44">
        <v>31</v>
      </c>
      <c r="CB44">
        <v>8</v>
      </c>
      <c r="CC44">
        <v>0.88888888888888795</v>
      </c>
      <c r="CD44">
        <v>31</v>
      </c>
      <c r="CE44">
        <v>49</v>
      </c>
      <c r="CF44">
        <v>53</v>
      </c>
      <c r="CG44">
        <v>33</v>
      </c>
      <c r="CH44">
        <v>32</v>
      </c>
      <c r="CI44">
        <v>47</v>
      </c>
      <c r="CJ44">
        <v>60</v>
      </c>
      <c r="CK44">
        <v>42</v>
      </c>
      <c r="CL44">
        <v>60</v>
      </c>
      <c r="CM44">
        <v>45</v>
      </c>
      <c r="CN44">
        <v>59</v>
      </c>
      <c r="CQ44">
        <v>2</v>
      </c>
      <c r="CR44">
        <v>1</v>
      </c>
      <c r="CS44">
        <v>1</v>
      </c>
    </row>
    <row r="45" spans="1:97" x14ac:dyDescent="0.2">
      <c r="A45">
        <v>10691</v>
      </c>
      <c r="B45">
        <v>130765</v>
      </c>
      <c r="C45" s="1">
        <v>23779</v>
      </c>
      <c r="D45">
        <v>58.27</v>
      </c>
      <c r="E45" t="s">
        <v>140</v>
      </c>
      <c r="F45" t="s">
        <v>187</v>
      </c>
      <c r="G45" t="s">
        <v>141</v>
      </c>
      <c r="H45">
        <v>4</v>
      </c>
      <c r="I45">
        <v>3.2</v>
      </c>
      <c r="J45">
        <v>1</v>
      </c>
      <c r="K45">
        <v>7</v>
      </c>
      <c r="L45">
        <v>0</v>
      </c>
      <c r="M45">
        <v>4.33</v>
      </c>
      <c r="N45">
        <v>4</v>
      </c>
      <c r="O45">
        <v>4.13</v>
      </c>
      <c r="P45">
        <v>2.83</v>
      </c>
      <c r="Q45">
        <v>3.8</v>
      </c>
      <c r="R45">
        <v>35</v>
      </c>
      <c r="S45">
        <v>8</v>
      </c>
      <c r="T45">
        <v>15</v>
      </c>
      <c r="U45">
        <v>4</v>
      </c>
      <c r="V45">
        <v>8</v>
      </c>
      <c r="W45">
        <v>7</v>
      </c>
      <c r="X45">
        <v>5</v>
      </c>
      <c r="Y45">
        <v>2</v>
      </c>
      <c r="Z45">
        <v>4</v>
      </c>
      <c r="AA45">
        <v>6</v>
      </c>
      <c r="AB45">
        <v>24</v>
      </c>
      <c r="AC45">
        <v>33</v>
      </c>
      <c r="AD45">
        <v>12</v>
      </c>
      <c r="AE45">
        <v>0</v>
      </c>
      <c r="AF45">
        <v>0</v>
      </c>
      <c r="AG45">
        <v>4.5</v>
      </c>
      <c r="AH45">
        <v>4.75</v>
      </c>
      <c r="AI45">
        <v>4</v>
      </c>
      <c r="AJ45">
        <v>4.75</v>
      </c>
      <c r="AK45">
        <v>3.3</v>
      </c>
      <c r="AL45">
        <v>14</v>
      </c>
      <c r="AM45">
        <v>3.58</v>
      </c>
      <c r="AN45">
        <v>13</v>
      </c>
      <c r="AO45">
        <v>2.33</v>
      </c>
      <c r="AP45">
        <v>3.94</v>
      </c>
      <c r="AQ45">
        <v>62.1</v>
      </c>
      <c r="BA45">
        <v>90</v>
      </c>
      <c r="BB45">
        <v>70</v>
      </c>
      <c r="BJ45">
        <v>8991</v>
      </c>
      <c r="BO45">
        <v>3</v>
      </c>
      <c r="BP45">
        <v>3</v>
      </c>
      <c r="BQ45">
        <v>3.4</v>
      </c>
      <c r="BR45">
        <v>3.13</v>
      </c>
      <c r="BS45">
        <v>6</v>
      </c>
      <c r="BT45">
        <v>4.3333333333333304</v>
      </c>
      <c r="BU45">
        <v>4.3333333333333304</v>
      </c>
      <c r="BV45">
        <v>3.5</v>
      </c>
      <c r="BW45">
        <v>1.4</v>
      </c>
      <c r="BX45">
        <v>0</v>
      </c>
      <c r="BY45">
        <v>0</v>
      </c>
      <c r="BZ45">
        <v>21</v>
      </c>
      <c r="CA45">
        <v>23</v>
      </c>
      <c r="CB45">
        <v>7</v>
      </c>
      <c r="CC45">
        <v>0.875</v>
      </c>
      <c r="CD45">
        <v>27</v>
      </c>
      <c r="CE45">
        <v>25</v>
      </c>
      <c r="CF45">
        <v>40</v>
      </c>
      <c r="CG45">
        <v>20</v>
      </c>
      <c r="CH45">
        <v>29</v>
      </c>
      <c r="CI45">
        <v>41</v>
      </c>
      <c r="CJ45">
        <v>60</v>
      </c>
      <c r="CK45">
        <v>35</v>
      </c>
      <c r="CL45">
        <v>60</v>
      </c>
      <c r="CM45">
        <v>27</v>
      </c>
      <c r="CN45">
        <v>60</v>
      </c>
      <c r="CQ45">
        <v>6</v>
      </c>
      <c r="CR45">
        <v>1</v>
      </c>
      <c r="CS45">
        <v>1</v>
      </c>
    </row>
    <row r="46" spans="1:97" x14ac:dyDescent="0.2">
      <c r="A46">
        <v>10700</v>
      </c>
      <c r="B46">
        <v>192599</v>
      </c>
      <c r="C46" s="1">
        <v>36448</v>
      </c>
      <c r="D46">
        <v>23.61</v>
      </c>
      <c r="E46" t="s">
        <v>144</v>
      </c>
      <c r="F46" t="s">
        <v>187</v>
      </c>
      <c r="G46" t="s">
        <v>141</v>
      </c>
      <c r="H46">
        <v>4.67</v>
      </c>
      <c r="I46">
        <v>4.7</v>
      </c>
      <c r="J46">
        <v>1</v>
      </c>
      <c r="K46">
        <v>0</v>
      </c>
      <c r="L46">
        <v>0</v>
      </c>
      <c r="M46">
        <v>6.67</v>
      </c>
      <c r="N46">
        <v>5.33</v>
      </c>
      <c r="O46">
        <v>5.5</v>
      </c>
      <c r="P46">
        <v>5</v>
      </c>
      <c r="Q46">
        <v>5.7</v>
      </c>
      <c r="R46">
        <v>15</v>
      </c>
      <c r="S46">
        <v>3</v>
      </c>
      <c r="T46">
        <v>6</v>
      </c>
      <c r="U46">
        <v>0</v>
      </c>
      <c r="V46">
        <v>6</v>
      </c>
      <c r="W46">
        <v>2</v>
      </c>
      <c r="X46">
        <v>9</v>
      </c>
      <c r="Y46">
        <v>5</v>
      </c>
      <c r="Z46">
        <v>2</v>
      </c>
      <c r="AA46">
        <v>1</v>
      </c>
      <c r="AB46">
        <v>19</v>
      </c>
      <c r="AC46">
        <v>26</v>
      </c>
      <c r="AD46">
        <v>15</v>
      </c>
      <c r="AE46">
        <v>0</v>
      </c>
      <c r="AF46">
        <v>0</v>
      </c>
      <c r="AG46">
        <v>6.42</v>
      </c>
      <c r="AH46">
        <v>6.75</v>
      </c>
      <c r="AI46">
        <v>5.75</v>
      </c>
      <c r="AJ46">
        <v>6.75</v>
      </c>
      <c r="AK46">
        <v>3.5</v>
      </c>
      <c r="AL46">
        <v>13</v>
      </c>
      <c r="AM46">
        <v>3.42</v>
      </c>
      <c r="AN46">
        <v>6</v>
      </c>
      <c r="AO46">
        <v>2.5</v>
      </c>
      <c r="AP46">
        <v>3.69</v>
      </c>
      <c r="BA46">
        <v>20</v>
      </c>
      <c r="BJ46">
        <v>8991</v>
      </c>
      <c r="BO46">
        <v>3.3</v>
      </c>
      <c r="BP46">
        <v>3.7</v>
      </c>
      <c r="BQ46">
        <v>3.9</v>
      </c>
      <c r="BR46">
        <v>3.63</v>
      </c>
      <c r="BS46">
        <v>3.8333333333333299</v>
      </c>
      <c r="BT46">
        <v>4</v>
      </c>
      <c r="BU46">
        <v>6</v>
      </c>
      <c r="BV46">
        <v>6</v>
      </c>
      <c r="BW46">
        <v>1.2</v>
      </c>
      <c r="BX46">
        <v>0</v>
      </c>
      <c r="BY46">
        <v>0</v>
      </c>
      <c r="BZ46">
        <v>25</v>
      </c>
      <c r="CB46">
        <v>11</v>
      </c>
      <c r="CC46">
        <v>1.1000000000000001</v>
      </c>
      <c r="CD46">
        <v>34</v>
      </c>
      <c r="CE46">
        <v>41</v>
      </c>
      <c r="CF46">
        <v>60</v>
      </c>
      <c r="CG46">
        <v>25</v>
      </c>
      <c r="CH46">
        <v>36</v>
      </c>
      <c r="CI46">
        <v>48</v>
      </c>
      <c r="CJ46">
        <v>60</v>
      </c>
      <c r="CK46">
        <v>47</v>
      </c>
      <c r="CL46">
        <v>60</v>
      </c>
      <c r="CM46">
        <v>46</v>
      </c>
      <c r="CN46">
        <v>60</v>
      </c>
      <c r="CQ46">
        <v>6</v>
      </c>
      <c r="CR46">
        <v>2</v>
      </c>
      <c r="CS46">
        <v>3</v>
      </c>
    </row>
    <row r="47" spans="1:97" x14ac:dyDescent="0.2">
      <c r="A47">
        <v>10701</v>
      </c>
      <c r="B47">
        <v>131396</v>
      </c>
      <c r="C47" s="1">
        <v>35195</v>
      </c>
      <c r="D47">
        <v>27.02</v>
      </c>
      <c r="E47" t="s">
        <v>140</v>
      </c>
      <c r="F47" t="s">
        <v>187</v>
      </c>
      <c r="G47" t="s">
        <v>142</v>
      </c>
      <c r="H47">
        <v>2.89</v>
      </c>
      <c r="I47">
        <v>3.7</v>
      </c>
      <c r="J47">
        <v>6</v>
      </c>
      <c r="K47">
        <v>7</v>
      </c>
      <c r="L47">
        <v>0</v>
      </c>
      <c r="M47">
        <v>3.67</v>
      </c>
      <c r="N47">
        <v>4.5</v>
      </c>
      <c r="O47">
        <v>4.38</v>
      </c>
      <c r="P47">
        <v>3.33</v>
      </c>
      <c r="Q47">
        <v>4.2300000000000004</v>
      </c>
      <c r="R47">
        <v>20</v>
      </c>
      <c r="S47">
        <v>1</v>
      </c>
      <c r="T47">
        <v>11</v>
      </c>
      <c r="U47">
        <v>2</v>
      </c>
      <c r="V47">
        <v>6</v>
      </c>
      <c r="W47">
        <v>4</v>
      </c>
      <c r="X47">
        <v>7</v>
      </c>
      <c r="Y47">
        <v>3</v>
      </c>
      <c r="Z47">
        <v>9</v>
      </c>
      <c r="AA47">
        <v>4</v>
      </c>
      <c r="AB47">
        <v>27</v>
      </c>
      <c r="AC47">
        <v>22</v>
      </c>
      <c r="AD47">
        <v>13</v>
      </c>
      <c r="AE47">
        <v>0</v>
      </c>
      <c r="AF47">
        <v>0</v>
      </c>
      <c r="AG47">
        <v>3.75</v>
      </c>
      <c r="AH47">
        <v>6.25</v>
      </c>
      <c r="AI47">
        <v>2.5</v>
      </c>
      <c r="AJ47">
        <v>2.5</v>
      </c>
      <c r="AK47">
        <v>3.5</v>
      </c>
      <c r="AL47">
        <v>19</v>
      </c>
      <c r="AM47">
        <v>4.58</v>
      </c>
      <c r="AN47">
        <v>7</v>
      </c>
      <c r="AO47">
        <v>1.33</v>
      </c>
      <c r="AP47">
        <v>4.1399999999999997</v>
      </c>
      <c r="BA47">
        <v>20</v>
      </c>
      <c r="BJ47">
        <v>8991</v>
      </c>
      <c r="BO47">
        <v>3.4</v>
      </c>
      <c r="BP47">
        <v>4.0999999999999996</v>
      </c>
      <c r="BQ47">
        <v>3.5</v>
      </c>
      <c r="BR47">
        <v>3.67</v>
      </c>
      <c r="BS47">
        <v>6</v>
      </c>
      <c r="BT47">
        <v>4.3333333333333304</v>
      </c>
      <c r="BU47">
        <v>6</v>
      </c>
      <c r="BV47">
        <v>4.3333333333333304</v>
      </c>
      <c r="BW47">
        <v>0.65</v>
      </c>
      <c r="BX47">
        <v>0</v>
      </c>
      <c r="BY47">
        <v>0</v>
      </c>
      <c r="BZ47">
        <v>26</v>
      </c>
      <c r="CA47">
        <v>22</v>
      </c>
      <c r="CB47">
        <v>10</v>
      </c>
      <c r="CC47">
        <v>1</v>
      </c>
      <c r="CD47">
        <v>35</v>
      </c>
      <c r="CE47">
        <v>31</v>
      </c>
      <c r="CF47">
        <v>50</v>
      </c>
      <c r="CG47">
        <v>23</v>
      </c>
      <c r="CH47">
        <v>34</v>
      </c>
      <c r="CI47">
        <v>46</v>
      </c>
      <c r="CJ47">
        <v>60</v>
      </c>
      <c r="CK47">
        <v>38</v>
      </c>
      <c r="CL47">
        <v>60</v>
      </c>
      <c r="CM47">
        <v>38</v>
      </c>
      <c r="CN47">
        <v>60</v>
      </c>
      <c r="CQ47">
        <v>6</v>
      </c>
      <c r="CR47">
        <v>1</v>
      </c>
      <c r="CS47">
        <v>3</v>
      </c>
    </row>
    <row r="48" spans="1:97" x14ac:dyDescent="0.2">
      <c r="A48">
        <v>10713</v>
      </c>
      <c r="B48">
        <v>10452</v>
      </c>
      <c r="C48" s="1">
        <v>18999</v>
      </c>
      <c r="D48">
        <v>71.53</v>
      </c>
      <c r="E48" t="s">
        <v>140</v>
      </c>
      <c r="F48" t="s">
        <v>187</v>
      </c>
      <c r="G48" t="s">
        <v>141</v>
      </c>
      <c r="H48">
        <v>4.1100000000000003</v>
      </c>
      <c r="I48">
        <v>4</v>
      </c>
      <c r="J48">
        <v>1</v>
      </c>
      <c r="K48">
        <v>2</v>
      </c>
      <c r="L48">
        <v>0</v>
      </c>
      <c r="M48">
        <v>5.5</v>
      </c>
      <c r="N48">
        <v>4.83</v>
      </c>
      <c r="O48">
        <v>5.25</v>
      </c>
      <c r="P48">
        <v>3.83</v>
      </c>
      <c r="Q48">
        <v>4.97</v>
      </c>
      <c r="R48">
        <v>6</v>
      </c>
      <c r="S48">
        <v>2</v>
      </c>
      <c r="T48">
        <v>3</v>
      </c>
      <c r="U48">
        <v>0</v>
      </c>
      <c r="V48">
        <v>1</v>
      </c>
      <c r="W48">
        <v>2</v>
      </c>
      <c r="X48">
        <v>0</v>
      </c>
      <c r="Y48">
        <v>5</v>
      </c>
      <c r="Z48">
        <v>5</v>
      </c>
      <c r="AA48">
        <v>0</v>
      </c>
      <c r="AB48">
        <v>12</v>
      </c>
      <c r="AE48">
        <v>0</v>
      </c>
      <c r="AF48">
        <v>0</v>
      </c>
      <c r="AM48">
        <v>2.75</v>
      </c>
      <c r="AN48">
        <v>0</v>
      </c>
      <c r="AO48">
        <v>2.67</v>
      </c>
      <c r="AP48">
        <v>9999</v>
      </c>
      <c r="BA48">
        <v>20</v>
      </c>
      <c r="BJ48">
        <v>8991</v>
      </c>
      <c r="BO48">
        <v>4</v>
      </c>
      <c r="BP48">
        <v>3.8</v>
      </c>
      <c r="BQ48">
        <v>3.8</v>
      </c>
      <c r="BR48">
        <v>3.87</v>
      </c>
      <c r="BS48">
        <v>3.5</v>
      </c>
      <c r="BT48">
        <v>3.5</v>
      </c>
      <c r="BU48">
        <v>6</v>
      </c>
      <c r="BV48">
        <v>3.5</v>
      </c>
      <c r="BW48">
        <v>1.45</v>
      </c>
      <c r="BX48">
        <v>0</v>
      </c>
      <c r="BY48">
        <v>0</v>
      </c>
      <c r="BZ48">
        <v>31</v>
      </c>
      <c r="CA48">
        <v>18</v>
      </c>
      <c r="CB48">
        <v>12</v>
      </c>
      <c r="CC48">
        <v>1</v>
      </c>
      <c r="CD48">
        <v>41</v>
      </c>
      <c r="CE48">
        <v>25</v>
      </c>
      <c r="CF48">
        <v>29</v>
      </c>
      <c r="CG48">
        <v>27</v>
      </c>
      <c r="CH48">
        <v>26</v>
      </c>
      <c r="CI48">
        <v>38</v>
      </c>
      <c r="CJ48">
        <v>60</v>
      </c>
      <c r="CK48">
        <v>38</v>
      </c>
      <c r="CL48">
        <v>60</v>
      </c>
      <c r="CM48">
        <v>29</v>
      </c>
      <c r="CN48">
        <v>60</v>
      </c>
    </row>
    <row r="49" spans="1:97" x14ac:dyDescent="0.2">
      <c r="A49">
        <v>10716</v>
      </c>
      <c r="B49">
        <v>41654</v>
      </c>
      <c r="C49" s="1">
        <v>19853</v>
      </c>
      <c r="D49">
        <v>69.13</v>
      </c>
      <c r="E49" t="s">
        <v>140</v>
      </c>
      <c r="F49" t="s">
        <v>187</v>
      </c>
      <c r="G49" t="s">
        <v>142</v>
      </c>
      <c r="H49">
        <v>3.67</v>
      </c>
      <c r="I49">
        <v>3.1</v>
      </c>
      <c r="J49">
        <v>0</v>
      </c>
      <c r="K49">
        <v>0</v>
      </c>
      <c r="L49">
        <v>0</v>
      </c>
      <c r="M49">
        <v>6.5</v>
      </c>
      <c r="N49">
        <v>5.67</v>
      </c>
      <c r="O49">
        <v>5.88</v>
      </c>
      <c r="P49">
        <v>5.17</v>
      </c>
      <c r="Q49">
        <v>5.8</v>
      </c>
      <c r="R49">
        <v>5</v>
      </c>
      <c r="S49">
        <v>0</v>
      </c>
      <c r="T49">
        <v>0</v>
      </c>
      <c r="U49">
        <v>1</v>
      </c>
      <c r="V49">
        <v>4</v>
      </c>
      <c r="W49">
        <v>5</v>
      </c>
      <c r="X49">
        <v>4</v>
      </c>
      <c r="Y49">
        <v>3</v>
      </c>
      <c r="Z49">
        <v>5</v>
      </c>
      <c r="AA49">
        <v>3</v>
      </c>
      <c r="AB49">
        <v>20</v>
      </c>
      <c r="AC49">
        <v>34</v>
      </c>
      <c r="AD49">
        <v>10</v>
      </c>
      <c r="AE49">
        <v>0</v>
      </c>
      <c r="AF49">
        <v>0</v>
      </c>
      <c r="AG49">
        <v>6.67</v>
      </c>
      <c r="AH49">
        <v>6</v>
      </c>
      <c r="AI49">
        <v>7</v>
      </c>
      <c r="AJ49">
        <v>7</v>
      </c>
      <c r="AK49">
        <v>2.5</v>
      </c>
      <c r="AL49">
        <v>6</v>
      </c>
      <c r="AM49">
        <v>3</v>
      </c>
      <c r="AN49">
        <v>2</v>
      </c>
      <c r="AO49">
        <v>3.17</v>
      </c>
      <c r="AP49">
        <v>9999</v>
      </c>
      <c r="BA49">
        <v>20</v>
      </c>
      <c r="BJ49">
        <v>8991</v>
      </c>
      <c r="BO49">
        <v>3.8</v>
      </c>
      <c r="BP49">
        <v>4</v>
      </c>
      <c r="BQ49">
        <v>3.7</v>
      </c>
      <c r="BR49">
        <v>3.83</v>
      </c>
      <c r="BS49">
        <v>2.1666666666666599</v>
      </c>
      <c r="BT49">
        <v>3.6666666666666599</v>
      </c>
      <c r="BU49">
        <v>2.3333333333333299</v>
      </c>
      <c r="BV49">
        <v>1.8333333333333299</v>
      </c>
      <c r="BW49">
        <v>0.2</v>
      </c>
      <c r="BX49">
        <v>0</v>
      </c>
      <c r="BY49">
        <v>0</v>
      </c>
      <c r="BZ49">
        <v>24</v>
      </c>
      <c r="CA49">
        <v>20</v>
      </c>
      <c r="CB49">
        <v>8</v>
      </c>
      <c r="CC49">
        <v>0.8</v>
      </c>
      <c r="CD49">
        <v>32</v>
      </c>
      <c r="CE49">
        <v>28</v>
      </c>
      <c r="CF49">
        <v>38</v>
      </c>
      <c r="CG49">
        <v>28</v>
      </c>
      <c r="CH49">
        <v>27</v>
      </c>
      <c r="CI49">
        <v>48</v>
      </c>
      <c r="CJ49">
        <v>50</v>
      </c>
      <c r="CK49">
        <v>48</v>
      </c>
      <c r="CL49">
        <v>50</v>
      </c>
      <c r="CM49">
        <v>48</v>
      </c>
      <c r="CN49">
        <v>57</v>
      </c>
      <c r="CQ49">
        <v>4</v>
      </c>
      <c r="CR49">
        <v>1</v>
      </c>
      <c r="CS49">
        <v>1</v>
      </c>
    </row>
    <row r="50" spans="1:97" x14ac:dyDescent="0.2">
      <c r="A50">
        <v>10718</v>
      </c>
      <c r="B50">
        <v>31195</v>
      </c>
      <c r="C50" s="1">
        <v>34769</v>
      </c>
      <c r="D50">
        <v>28.3</v>
      </c>
      <c r="E50" t="s">
        <v>144</v>
      </c>
      <c r="F50" t="s">
        <v>187</v>
      </c>
      <c r="G50" t="s">
        <v>148</v>
      </c>
      <c r="H50">
        <v>3</v>
      </c>
      <c r="I50">
        <v>3</v>
      </c>
      <c r="J50">
        <v>0</v>
      </c>
      <c r="K50">
        <v>0</v>
      </c>
      <c r="L50">
        <v>0</v>
      </c>
      <c r="M50">
        <v>3.67</v>
      </c>
      <c r="N50">
        <v>3.67</v>
      </c>
      <c r="O50">
        <v>4</v>
      </c>
      <c r="P50">
        <v>4.5</v>
      </c>
      <c r="Q50">
        <v>3.87</v>
      </c>
      <c r="R50">
        <v>0</v>
      </c>
      <c r="S50">
        <v>0</v>
      </c>
      <c r="T50">
        <v>0</v>
      </c>
      <c r="U50">
        <v>0</v>
      </c>
      <c r="V50">
        <v>0</v>
      </c>
      <c r="W50">
        <v>3</v>
      </c>
      <c r="X50">
        <v>5</v>
      </c>
      <c r="Y50">
        <v>5</v>
      </c>
      <c r="Z50">
        <v>6</v>
      </c>
      <c r="AA50">
        <v>4</v>
      </c>
      <c r="AB50">
        <v>23</v>
      </c>
      <c r="AC50">
        <v>17</v>
      </c>
      <c r="AD50">
        <v>10</v>
      </c>
      <c r="AE50">
        <v>0</v>
      </c>
      <c r="AF50">
        <v>0</v>
      </c>
      <c r="AG50">
        <v>6.83</v>
      </c>
      <c r="AH50">
        <v>6.75</v>
      </c>
      <c r="AI50">
        <v>7</v>
      </c>
      <c r="AJ50">
        <v>6.75</v>
      </c>
      <c r="AK50">
        <v>2.6</v>
      </c>
      <c r="AL50">
        <v>18</v>
      </c>
      <c r="AM50">
        <v>2.5</v>
      </c>
      <c r="AN50">
        <v>0</v>
      </c>
      <c r="AO50">
        <v>3</v>
      </c>
      <c r="AP50">
        <v>9999</v>
      </c>
      <c r="BA50">
        <v>20</v>
      </c>
      <c r="BJ50">
        <v>8991</v>
      </c>
      <c r="BO50">
        <v>3</v>
      </c>
      <c r="BP50">
        <v>3.5</v>
      </c>
      <c r="BQ50">
        <v>3.4</v>
      </c>
      <c r="BR50">
        <v>3.3</v>
      </c>
      <c r="BW50">
        <v>2.5</v>
      </c>
      <c r="BX50">
        <v>0</v>
      </c>
      <c r="BY50">
        <v>0</v>
      </c>
      <c r="BZ50">
        <v>23</v>
      </c>
      <c r="CA50">
        <v>17</v>
      </c>
      <c r="CB50">
        <v>8</v>
      </c>
      <c r="CC50">
        <v>0.88888888888888795</v>
      </c>
      <c r="CD50">
        <v>31</v>
      </c>
      <c r="CE50">
        <v>24</v>
      </c>
      <c r="CF50">
        <v>59</v>
      </c>
      <c r="CG50">
        <v>25</v>
      </c>
      <c r="CH50">
        <v>22</v>
      </c>
      <c r="CI50">
        <v>48</v>
      </c>
      <c r="CJ50">
        <v>60</v>
      </c>
      <c r="CK50">
        <v>40</v>
      </c>
      <c r="CL50">
        <v>60</v>
      </c>
      <c r="CM50">
        <v>40</v>
      </c>
      <c r="CN50">
        <v>60</v>
      </c>
      <c r="CO50">
        <v>3</v>
      </c>
      <c r="CP50">
        <v>3</v>
      </c>
      <c r="CQ50">
        <v>7</v>
      </c>
      <c r="CR50">
        <v>3</v>
      </c>
      <c r="CS50">
        <v>4</v>
      </c>
    </row>
    <row r="51" spans="1:97" x14ac:dyDescent="0.2">
      <c r="A51">
        <v>10720</v>
      </c>
      <c r="B51">
        <v>101990</v>
      </c>
      <c r="C51" s="1">
        <v>32927</v>
      </c>
      <c r="D51">
        <v>33.44</v>
      </c>
      <c r="E51" t="s">
        <v>144</v>
      </c>
      <c r="F51" t="s">
        <v>187</v>
      </c>
      <c r="G51" t="s">
        <v>141</v>
      </c>
      <c r="H51">
        <v>4.22</v>
      </c>
      <c r="I51">
        <v>4</v>
      </c>
      <c r="J51">
        <v>0</v>
      </c>
      <c r="K51">
        <v>0</v>
      </c>
      <c r="L51">
        <v>0</v>
      </c>
      <c r="M51">
        <v>6.5</v>
      </c>
      <c r="N51">
        <v>3.33</v>
      </c>
      <c r="O51">
        <v>5.88</v>
      </c>
      <c r="P51">
        <v>4.67</v>
      </c>
      <c r="Q51">
        <v>5.27</v>
      </c>
      <c r="R51">
        <v>11</v>
      </c>
      <c r="S51">
        <v>2</v>
      </c>
      <c r="T51">
        <v>9</v>
      </c>
      <c r="U51">
        <v>0</v>
      </c>
      <c r="V51">
        <v>0</v>
      </c>
      <c r="W51">
        <v>4</v>
      </c>
      <c r="X51">
        <v>6</v>
      </c>
      <c r="Y51">
        <v>5</v>
      </c>
      <c r="Z51">
        <v>7</v>
      </c>
      <c r="AA51">
        <v>1</v>
      </c>
      <c r="AB51">
        <v>23</v>
      </c>
      <c r="AC51">
        <v>16</v>
      </c>
      <c r="AD51">
        <v>12</v>
      </c>
      <c r="AE51">
        <v>0</v>
      </c>
      <c r="AF51">
        <v>0</v>
      </c>
      <c r="AG51">
        <v>6.42</v>
      </c>
      <c r="AH51">
        <v>7</v>
      </c>
      <c r="AI51">
        <v>6.5</v>
      </c>
      <c r="AJ51">
        <v>5.75</v>
      </c>
      <c r="AK51">
        <v>3.3</v>
      </c>
      <c r="AL51">
        <v>13</v>
      </c>
      <c r="AM51">
        <v>4.83</v>
      </c>
      <c r="AN51">
        <v>18</v>
      </c>
      <c r="AO51">
        <v>2.5</v>
      </c>
      <c r="AP51">
        <v>9999</v>
      </c>
      <c r="BA51">
        <v>20</v>
      </c>
      <c r="BJ51">
        <v>8991</v>
      </c>
      <c r="BO51">
        <v>3</v>
      </c>
      <c r="BP51">
        <v>4.2</v>
      </c>
      <c r="BQ51">
        <v>3.6</v>
      </c>
      <c r="BR51">
        <v>3.6</v>
      </c>
      <c r="BS51">
        <v>6</v>
      </c>
      <c r="BT51">
        <v>5.1666666666666599</v>
      </c>
      <c r="BU51">
        <v>6</v>
      </c>
      <c r="BV51">
        <v>5.1666666666666599</v>
      </c>
      <c r="BW51">
        <v>0.5</v>
      </c>
      <c r="BX51">
        <v>0</v>
      </c>
      <c r="BY51">
        <v>0</v>
      </c>
      <c r="BZ51">
        <v>36</v>
      </c>
      <c r="CA51">
        <v>20</v>
      </c>
      <c r="CB51">
        <v>12</v>
      </c>
      <c r="CC51">
        <v>1</v>
      </c>
      <c r="CD51">
        <v>48</v>
      </c>
      <c r="CE51">
        <v>31</v>
      </c>
      <c r="CF51">
        <v>37</v>
      </c>
      <c r="CG51">
        <v>25</v>
      </c>
      <c r="CH51">
        <v>37</v>
      </c>
      <c r="CI51">
        <v>43</v>
      </c>
      <c r="CJ51">
        <v>60</v>
      </c>
      <c r="CK51">
        <v>38</v>
      </c>
      <c r="CL51">
        <v>60</v>
      </c>
      <c r="CM51">
        <v>33</v>
      </c>
      <c r="CN51">
        <v>60</v>
      </c>
      <c r="CQ51">
        <v>6</v>
      </c>
      <c r="CR51">
        <v>2</v>
      </c>
      <c r="CS51">
        <v>1</v>
      </c>
    </row>
    <row r="52" spans="1:97" x14ac:dyDescent="0.2">
      <c r="A52">
        <v>10723</v>
      </c>
      <c r="B52">
        <v>11601</v>
      </c>
      <c r="C52" s="1">
        <v>37172</v>
      </c>
      <c r="D52">
        <v>21.7</v>
      </c>
      <c r="E52" t="s">
        <v>147</v>
      </c>
      <c r="F52" t="s">
        <v>187</v>
      </c>
      <c r="G52" t="s">
        <v>142</v>
      </c>
      <c r="H52">
        <v>3.67</v>
      </c>
      <c r="I52">
        <v>3.6</v>
      </c>
      <c r="J52">
        <v>0</v>
      </c>
      <c r="K52">
        <v>10</v>
      </c>
      <c r="L52">
        <v>0</v>
      </c>
      <c r="M52">
        <v>4</v>
      </c>
      <c r="N52">
        <v>3.5</v>
      </c>
      <c r="O52">
        <v>3.88</v>
      </c>
      <c r="P52">
        <v>3.17</v>
      </c>
      <c r="Q52">
        <v>3.53</v>
      </c>
      <c r="R52">
        <v>28</v>
      </c>
      <c r="S52">
        <v>4</v>
      </c>
      <c r="T52">
        <v>13</v>
      </c>
      <c r="U52">
        <v>0</v>
      </c>
      <c r="V52">
        <v>11</v>
      </c>
      <c r="W52">
        <v>8</v>
      </c>
      <c r="X52">
        <v>9</v>
      </c>
      <c r="Y52">
        <v>5</v>
      </c>
      <c r="Z52">
        <v>7</v>
      </c>
      <c r="AA52">
        <v>8</v>
      </c>
      <c r="AB52">
        <v>37</v>
      </c>
      <c r="AC52">
        <v>28</v>
      </c>
      <c r="AD52">
        <v>17</v>
      </c>
      <c r="AE52">
        <v>0</v>
      </c>
      <c r="AF52">
        <v>0</v>
      </c>
      <c r="AG52">
        <v>5.83</v>
      </c>
      <c r="AH52">
        <v>6</v>
      </c>
      <c r="AI52">
        <v>6.5</v>
      </c>
      <c r="AJ52">
        <v>5</v>
      </c>
      <c r="AK52">
        <v>3</v>
      </c>
      <c r="AL52">
        <v>17</v>
      </c>
      <c r="AM52">
        <v>4.08</v>
      </c>
      <c r="AN52">
        <v>0</v>
      </c>
      <c r="AO52">
        <v>3.17</v>
      </c>
      <c r="AP52">
        <v>3.94</v>
      </c>
      <c r="BA52">
        <v>20</v>
      </c>
      <c r="BJ52">
        <v>8991</v>
      </c>
      <c r="BO52">
        <v>2.8</v>
      </c>
      <c r="BP52">
        <v>3.2</v>
      </c>
      <c r="BQ52">
        <v>4.0999999999999996</v>
      </c>
      <c r="BR52">
        <v>3.37</v>
      </c>
      <c r="BS52">
        <v>2.3333333333333299</v>
      </c>
      <c r="BT52">
        <v>2.5</v>
      </c>
      <c r="BU52">
        <v>3.5</v>
      </c>
      <c r="BV52">
        <v>2.1666666666666599</v>
      </c>
      <c r="BW52">
        <v>2.5499999999999998</v>
      </c>
      <c r="BX52">
        <v>0</v>
      </c>
      <c r="BY52">
        <v>0</v>
      </c>
      <c r="BZ52">
        <v>28</v>
      </c>
      <c r="CA52">
        <v>37</v>
      </c>
      <c r="CB52">
        <v>9</v>
      </c>
      <c r="CC52">
        <v>0.81818181818181801</v>
      </c>
      <c r="CD52">
        <v>37</v>
      </c>
      <c r="CE52">
        <v>43</v>
      </c>
      <c r="CF52">
        <v>59</v>
      </c>
      <c r="CG52">
        <v>27</v>
      </c>
      <c r="CH52">
        <v>0</v>
      </c>
      <c r="CI52">
        <v>48</v>
      </c>
      <c r="CJ52">
        <v>52</v>
      </c>
      <c r="CK52">
        <v>47</v>
      </c>
      <c r="CL52">
        <v>60</v>
      </c>
      <c r="CM52">
        <v>43</v>
      </c>
      <c r="CN52">
        <v>60</v>
      </c>
      <c r="CQ52">
        <v>5</v>
      </c>
      <c r="CR52">
        <v>5</v>
      </c>
      <c r="CS52">
        <v>1</v>
      </c>
    </row>
    <row r="53" spans="1:97" x14ac:dyDescent="0.2">
      <c r="A53">
        <v>10741</v>
      </c>
      <c r="B53">
        <v>191886</v>
      </c>
      <c r="C53" s="1">
        <v>31616</v>
      </c>
      <c r="D53">
        <v>36.93</v>
      </c>
      <c r="E53" t="s">
        <v>144</v>
      </c>
      <c r="F53" t="s">
        <v>187</v>
      </c>
      <c r="G53" t="s">
        <v>141</v>
      </c>
      <c r="H53">
        <v>4.33</v>
      </c>
      <c r="I53">
        <v>3.8</v>
      </c>
      <c r="J53">
        <v>4</v>
      </c>
      <c r="K53">
        <v>12</v>
      </c>
      <c r="L53">
        <v>0</v>
      </c>
      <c r="M53">
        <v>5.33</v>
      </c>
      <c r="N53">
        <v>3.83</v>
      </c>
      <c r="O53">
        <v>6</v>
      </c>
      <c r="P53">
        <v>5.67</v>
      </c>
      <c r="Q53">
        <v>5.3</v>
      </c>
      <c r="R53">
        <v>26</v>
      </c>
      <c r="S53">
        <v>9</v>
      </c>
      <c r="T53">
        <v>14</v>
      </c>
      <c r="U53">
        <v>2</v>
      </c>
      <c r="V53">
        <v>1</v>
      </c>
      <c r="W53">
        <v>1</v>
      </c>
      <c r="X53">
        <v>4</v>
      </c>
      <c r="Y53">
        <v>6</v>
      </c>
      <c r="Z53">
        <v>2</v>
      </c>
      <c r="AA53">
        <v>2</v>
      </c>
      <c r="AB53">
        <v>15</v>
      </c>
      <c r="AC53">
        <v>22</v>
      </c>
      <c r="AD53">
        <v>10</v>
      </c>
      <c r="AE53">
        <v>0</v>
      </c>
      <c r="AF53">
        <v>0</v>
      </c>
      <c r="AG53">
        <v>6.67</v>
      </c>
      <c r="AH53">
        <v>7</v>
      </c>
      <c r="AI53">
        <v>6</v>
      </c>
      <c r="AJ53">
        <v>7</v>
      </c>
      <c r="AK53">
        <v>3.8</v>
      </c>
      <c r="AL53">
        <v>18</v>
      </c>
      <c r="AM53">
        <v>2.75</v>
      </c>
      <c r="AN53">
        <v>0</v>
      </c>
      <c r="AO53">
        <v>1.67</v>
      </c>
      <c r="AP53">
        <v>3.14</v>
      </c>
      <c r="AR53">
        <v>32</v>
      </c>
      <c r="AS53">
        <v>0</v>
      </c>
      <c r="AT53">
        <v>1</v>
      </c>
      <c r="AU53">
        <v>0</v>
      </c>
      <c r="AV53">
        <v>0.75</v>
      </c>
      <c r="AW53">
        <v>0.25</v>
      </c>
      <c r="AX53">
        <v>0.25</v>
      </c>
      <c r="AY53">
        <v>0</v>
      </c>
      <c r="AZ53">
        <v>0.32142857142857101</v>
      </c>
      <c r="BA53">
        <v>101</v>
      </c>
      <c r="BB53">
        <v>81</v>
      </c>
      <c r="BH53">
        <v>63</v>
      </c>
      <c r="BI53">
        <v>41</v>
      </c>
      <c r="BJ53">
        <v>8991</v>
      </c>
      <c r="BO53">
        <v>4</v>
      </c>
      <c r="BP53">
        <v>3.5</v>
      </c>
      <c r="BQ53">
        <v>3.6</v>
      </c>
      <c r="BR53">
        <v>3.7</v>
      </c>
      <c r="BS53">
        <v>3.5</v>
      </c>
      <c r="BT53">
        <v>3.5</v>
      </c>
      <c r="BU53">
        <v>3.5</v>
      </c>
      <c r="BV53">
        <v>6</v>
      </c>
      <c r="BW53">
        <v>0.95</v>
      </c>
      <c r="BX53">
        <v>0</v>
      </c>
      <c r="BY53">
        <v>0</v>
      </c>
      <c r="BZ53">
        <v>26</v>
      </c>
      <c r="CA53">
        <v>15</v>
      </c>
      <c r="CB53">
        <v>10</v>
      </c>
      <c r="CC53">
        <v>1</v>
      </c>
      <c r="CD53">
        <v>36</v>
      </c>
      <c r="CG53">
        <v>29</v>
      </c>
      <c r="CH53">
        <v>30</v>
      </c>
      <c r="CI53">
        <v>48</v>
      </c>
      <c r="CJ53">
        <v>60</v>
      </c>
      <c r="CK53">
        <v>45</v>
      </c>
      <c r="CL53">
        <v>60</v>
      </c>
      <c r="CQ53">
        <v>6</v>
      </c>
      <c r="CR53">
        <v>1</v>
      </c>
      <c r="CS53">
        <v>1</v>
      </c>
    </row>
    <row r="54" spans="1:97" x14ac:dyDescent="0.2">
      <c r="A54">
        <v>10748</v>
      </c>
      <c r="B54">
        <v>130190</v>
      </c>
      <c r="C54" s="1">
        <v>32939</v>
      </c>
      <c r="D54">
        <v>33.299999999999997</v>
      </c>
      <c r="E54" t="s">
        <v>144</v>
      </c>
      <c r="F54" t="s">
        <v>187</v>
      </c>
      <c r="G54" t="s">
        <v>141</v>
      </c>
      <c r="H54">
        <v>3.56</v>
      </c>
      <c r="I54">
        <v>4.4000000000000004</v>
      </c>
      <c r="J54">
        <v>2</v>
      </c>
      <c r="K54">
        <v>2</v>
      </c>
      <c r="L54">
        <v>0</v>
      </c>
      <c r="M54">
        <v>6.5</v>
      </c>
      <c r="N54">
        <v>5.5</v>
      </c>
      <c r="O54">
        <v>5.38</v>
      </c>
      <c r="P54">
        <v>4.33</v>
      </c>
      <c r="Q54">
        <v>5.57</v>
      </c>
      <c r="R54">
        <v>4</v>
      </c>
      <c r="S54">
        <v>0</v>
      </c>
      <c r="T54">
        <v>3</v>
      </c>
      <c r="U54">
        <v>0</v>
      </c>
      <c r="V54">
        <v>1</v>
      </c>
      <c r="W54">
        <v>5</v>
      </c>
      <c r="X54">
        <v>4</v>
      </c>
      <c r="Y54">
        <v>4</v>
      </c>
      <c r="Z54">
        <v>5</v>
      </c>
      <c r="AA54">
        <v>2</v>
      </c>
      <c r="AB54">
        <v>20</v>
      </c>
      <c r="AC54">
        <v>43</v>
      </c>
      <c r="AD54">
        <v>13</v>
      </c>
      <c r="AE54">
        <v>1</v>
      </c>
      <c r="AF54">
        <v>1</v>
      </c>
      <c r="AG54">
        <v>5.67</v>
      </c>
      <c r="AH54">
        <v>6.75</v>
      </c>
      <c r="AI54">
        <v>5.75</v>
      </c>
      <c r="AJ54">
        <v>4.5</v>
      </c>
      <c r="AK54">
        <v>2</v>
      </c>
      <c r="AL54">
        <v>14</v>
      </c>
      <c r="AM54">
        <v>4.5</v>
      </c>
      <c r="AN54">
        <v>20</v>
      </c>
      <c r="AO54">
        <v>2.83</v>
      </c>
      <c r="AP54">
        <v>9999</v>
      </c>
      <c r="BA54">
        <v>20</v>
      </c>
      <c r="BJ54">
        <v>8991</v>
      </c>
      <c r="BO54">
        <v>4</v>
      </c>
      <c r="BP54">
        <v>3.6</v>
      </c>
      <c r="BQ54">
        <v>3.8</v>
      </c>
      <c r="BR54">
        <v>3.8</v>
      </c>
      <c r="BS54">
        <v>6</v>
      </c>
      <c r="BT54">
        <v>5.6666666666666599</v>
      </c>
      <c r="BU54">
        <v>5.6666666666666599</v>
      </c>
      <c r="BV54">
        <v>5.3333333333333304</v>
      </c>
      <c r="BW54">
        <v>0.55000000000000004</v>
      </c>
      <c r="BX54">
        <v>0</v>
      </c>
      <c r="BY54">
        <v>0</v>
      </c>
      <c r="BZ54">
        <v>29</v>
      </c>
      <c r="CA54">
        <v>20</v>
      </c>
      <c r="CB54">
        <v>12</v>
      </c>
      <c r="CC54">
        <v>1</v>
      </c>
      <c r="CD54">
        <v>41</v>
      </c>
      <c r="CE54">
        <v>35</v>
      </c>
      <c r="CF54">
        <v>45</v>
      </c>
      <c r="CG54">
        <v>27</v>
      </c>
      <c r="CH54">
        <v>34</v>
      </c>
      <c r="CI54">
        <v>47</v>
      </c>
      <c r="CJ54">
        <v>50</v>
      </c>
      <c r="CK54">
        <v>48</v>
      </c>
      <c r="CL54">
        <v>54</v>
      </c>
      <c r="CM54">
        <v>45</v>
      </c>
      <c r="CN54">
        <v>60</v>
      </c>
      <c r="CP54">
        <v>2</v>
      </c>
      <c r="CQ54">
        <v>7</v>
      </c>
      <c r="CR54">
        <v>3</v>
      </c>
      <c r="CS54">
        <v>2</v>
      </c>
    </row>
    <row r="55" spans="1:97" x14ac:dyDescent="0.2">
      <c r="A55">
        <v>10767</v>
      </c>
      <c r="B55">
        <v>130798</v>
      </c>
      <c r="C55" s="1">
        <v>35821</v>
      </c>
      <c r="D55">
        <v>25.51</v>
      </c>
      <c r="E55" t="s">
        <v>140</v>
      </c>
      <c r="F55" t="s">
        <v>187</v>
      </c>
      <c r="G55" t="s">
        <v>141</v>
      </c>
      <c r="H55">
        <v>4.5599999999999996</v>
      </c>
      <c r="I55">
        <v>3.7</v>
      </c>
      <c r="J55">
        <v>1</v>
      </c>
      <c r="K55">
        <v>5</v>
      </c>
      <c r="L55">
        <v>0</v>
      </c>
      <c r="M55">
        <v>5</v>
      </c>
      <c r="N55">
        <v>4.17</v>
      </c>
      <c r="O55">
        <v>4.63</v>
      </c>
      <c r="P55">
        <v>4.17</v>
      </c>
      <c r="Q55">
        <v>4.47</v>
      </c>
      <c r="R55">
        <v>41</v>
      </c>
      <c r="S55">
        <v>11</v>
      </c>
      <c r="T55">
        <v>14</v>
      </c>
      <c r="U55">
        <v>4</v>
      </c>
      <c r="V55">
        <v>12</v>
      </c>
      <c r="W55">
        <v>4</v>
      </c>
      <c r="X55">
        <v>3</v>
      </c>
      <c r="Y55">
        <v>4</v>
      </c>
      <c r="Z55">
        <v>4</v>
      </c>
      <c r="AA55">
        <v>1</v>
      </c>
      <c r="AB55">
        <v>16</v>
      </c>
      <c r="AC55">
        <v>22</v>
      </c>
      <c r="AD55">
        <v>13</v>
      </c>
      <c r="AE55">
        <v>0</v>
      </c>
      <c r="AF55">
        <v>0</v>
      </c>
      <c r="AG55">
        <v>6</v>
      </c>
      <c r="AH55">
        <v>6</v>
      </c>
      <c r="AI55">
        <v>6</v>
      </c>
      <c r="AJ55">
        <v>6</v>
      </c>
      <c r="AK55">
        <v>3.5</v>
      </c>
      <c r="AL55">
        <v>12</v>
      </c>
      <c r="AM55">
        <v>4.5</v>
      </c>
      <c r="AN55">
        <v>19</v>
      </c>
      <c r="AO55">
        <v>2.67</v>
      </c>
      <c r="AP55">
        <v>9999</v>
      </c>
      <c r="BA55">
        <v>20</v>
      </c>
      <c r="BJ55">
        <v>8991</v>
      </c>
      <c r="BO55">
        <v>3.5</v>
      </c>
      <c r="BP55">
        <v>3.9</v>
      </c>
      <c r="BQ55">
        <v>3.9</v>
      </c>
      <c r="BR55">
        <v>3.77</v>
      </c>
      <c r="BS55">
        <v>4.1666666666666599</v>
      </c>
      <c r="BT55">
        <v>4.3333333333333304</v>
      </c>
      <c r="BU55">
        <v>4.5</v>
      </c>
      <c r="BV55">
        <v>4.1666666666666599</v>
      </c>
      <c r="BW55">
        <v>2.2000000000000002</v>
      </c>
      <c r="BX55">
        <v>0</v>
      </c>
      <c r="BY55">
        <v>0</v>
      </c>
      <c r="BZ55">
        <v>33</v>
      </c>
      <c r="CA55">
        <v>22</v>
      </c>
      <c r="CB55">
        <v>10</v>
      </c>
      <c r="CC55">
        <v>0.83333333333333304</v>
      </c>
      <c r="CD55">
        <v>43</v>
      </c>
      <c r="CE55">
        <v>45</v>
      </c>
      <c r="CF55">
        <v>57</v>
      </c>
      <c r="CG55">
        <v>24</v>
      </c>
      <c r="CH55">
        <v>36</v>
      </c>
      <c r="CI55">
        <v>46</v>
      </c>
      <c r="CJ55">
        <v>60</v>
      </c>
      <c r="CK55">
        <v>46</v>
      </c>
      <c r="CL55">
        <v>60</v>
      </c>
      <c r="CM55">
        <v>35</v>
      </c>
      <c r="CN55">
        <v>60</v>
      </c>
      <c r="CO55">
        <v>4</v>
      </c>
      <c r="CP55">
        <v>4</v>
      </c>
      <c r="CQ55">
        <v>5</v>
      </c>
      <c r="CR55">
        <v>2</v>
      </c>
      <c r="CS55">
        <v>2</v>
      </c>
    </row>
    <row r="56" spans="1:97" x14ac:dyDescent="0.2">
      <c r="A56">
        <v>10770</v>
      </c>
      <c r="B56">
        <v>10259</v>
      </c>
      <c r="C56" s="1">
        <v>21650</v>
      </c>
      <c r="D56">
        <v>64.52</v>
      </c>
      <c r="E56" t="s">
        <v>143</v>
      </c>
      <c r="F56" t="s">
        <v>187</v>
      </c>
      <c r="G56" t="s">
        <v>142</v>
      </c>
      <c r="H56">
        <v>3.78</v>
      </c>
      <c r="I56">
        <v>3.8</v>
      </c>
      <c r="J56">
        <v>0</v>
      </c>
      <c r="K56">
        <v>1</v>
      </c>
      <c r="L56">
        <v>0</v>
      </c>
      <c r="M56">
        <v>6.83</v>
      </c>
      <c r="N56">
        <v>6.17</v>
      </c>
      <c r="O56">
        <v>4</v>
      </c>
      <c r="P56">
        <v>4.33</v>
      </c>
      <c r="Q56">
        <v>5.4</v>
      </c>
      <c r="R56">
        <v>8</v>
      </c>
      <c r="S56">
        <v>0</v>
      </c>
      <c r="T56">
        <v>8</v>
      </c>
      <c r="U56">
        <v>0</v>
      </c>
      <c r="V56">
        <v>0</v>
      </c>
      <c r="W56">
        <v>3</v>
      </c>
      <c r="X56">
        <v>3</v>
      </c>
      <c r="Y56">
        <v>3</v>
      </c>
      <c r="Z56">
        <v>1</v>
      </c>
      <c r="AA56">
        <v>1</v>
      </c>
      <c r="AB56">
        <v>11</v>
      </c>
      <c r="AC56">
        <v>41</v>
      </c>
      <c r="AD56">
        <v>12</v>
      </c>
      <c r="AE56">
        <v>0</v>
      </c>
      <c r="AF56">
        <v>0</v>
      </c>
      <c r="AG56">
        <v>4.92</v>
      </c>
      <c r="AH56">
        <v>4.5</v>
      </c>
      <c r="AI56">
        <v>3.75</v>
      </c>
      <c r="AJ56">
        <v>6.5</v>
      </c>
      <c r="AK56">
        <v>2.5</v>
      </c>
      <c r="AL56">
        <v>6</v>
      </c>
      <c r="AM56">
        <v>2.25</v>
      </c>
      <c r="AN56">
        <v>2</v>
      </c>
      <c r="AO56">
        <v>3</v>
      </c>
      <c r="AP56">
        <v>9999</v>
      </c>
      <c r="BA56">
        <v>20</v>
      </c>
      <c r="BJ56">
        <v>8991</v>
      </c>
      <c r="BO56">
        <v>3.8</v>
      </c>
      <c r="BP56">
        <v>3.7</v>
      </c>
      <c r="BQ56">
        <v>3.8</v>
      </c>
      <c r="BR56">
        <v>3.77</v>
      </c>
      <c r="BS56">
        <v>2.6666666666666599</v>
      </c>
      <c r="BT56">
        <v>2.6666666666666599</v>
      </c>
      <c r="BU56">
        <v>2.6666666666666599</v>
      </c>
      <c r="BV56">
        <v>2.6666666666666599</v>
      </c>
      <c r="BW56">
        <v>0.35</v>
      </c>
      <c r="BX56">
        <v>0</v>
      </c>
      <c r="BY56">
        <v>0</v>
      </c>
      <c r="BZ56">
        <v>14</v>
      </c>
      <c r="CA56">
        <v>36</v>
      </c>
      <c r="CB56">
        <v>2</v>
      </c>
      <c r="CC56">
        <v>0.33333333333333298</v>
      </c>
      <c r="CD56">
        <v>5</v>
      </c>
      <c r="CE56">
        <v>23</v>
      </c>
      <c r="CF56">
        <v>42</v>
      </c>
      <c r="CG56">
        <v>17</v>
      </c>
      <c r="CH56">
        <v>25</v>
      </c>
      <c r="CI56">
        <v>33</v>
      </c>
      <c r="CJ56">
        <v>60</v>
      </c>
      <c r="CK56">
        <v>27</v>
      </c>
      <c r="CL56">
        <v>60</v>
      </c>
      <c r="CM56">
        <v>22</v>
      </c>
      <c r="CN56">
        <v>60</v>
      </c>
      <c r="CO56">
        <v>3</v>
      </c>
      <c r="CP56">
        <v>2</v>
      </c>
      <c r="CQ56">
        <v>7</v>
      </c>
      <c r="CR56">
        <v>5</v>
      </c>
      <c r="CS56">
        <v>1</v>
      </c>
    </row>
    <row r="57" spans="1:97" x14ac:dyDescent="0.2">
      <c r="A57">
        <v>10774</v>
      </c>
      <c r="B57">
        <v>41376</v>
      </c>
      <c r="C57" s="1">
        <v>28026</v>
      </c>
      <c r="D57">
        <v>46.3</v>
      </c>
      <c r="E57" t="s">
        <v>149</v>
      </c>
      <c r="F57" t="s">
        <v>187</v>
      </c>
      <c r="G57" t="s">
        <v>141</v>
      </c>
      <c r="H57">
        <v>3.44</v>
      </c>
      <c r="I57">
        <v>3.7</v>
      </c>
      <c r="J57">
        <v>0</v>
      </c>
      <c r="K57">
        <v>0</v>
      </c>
      <c r="L57">
        <v>0</v>
      </c>
      <c r="M57">
        <v>5.5</v>
      </c>
      <c r="N57">
        <v>5.83</v>
      </c>
      <c r="O57">
        <v>5.88</v>
      </c>
      <c r="P57">
        <v>5.17</v>
      </c>
      <c r="Q57">
        <v>5.6</v>
      </c>
      <c r="R57">
        <v>5</v>
      </c>
      <c r="S57">
        <v>1</v>
      </c>
      <c r="T57">
        <v>1</v>
      </c>
      <c r="U57">
        <v>1</v>
      </c>
      <c r="V57">
        <v>2</v>
      </c>
      <c r="W57">
        <v>5</v>
      </c>
      <c r="X57">
        <v>3</v>
      </c>
      <c r="Y57">
        <v>7</v>
      </c>
      <c r="Z57">
        <v>5</v>
      </c>
      <c r="AA57">
        <v>7</v>
      </c>
      <c r="AB57">
        <v>27</v>
      </c>
      <c r="AC57">
        <v>21</v>
      </c>
      <c r="AD57">
        <v>10</v>
      </c>
      <c r="AE57">
        <v>0</v>
      </c>
      <c r="AF57">
        <v>0</v>
      </c>
      <c r="AG57">
        <v>5.58</v>
      </c>
      <c r="AH57">
        <v>5.75</v>
      </c>
      <c r="AI57">
        <v>5</v>
      </c>
      <c r="AJ57">
        <v>6</v>
      </c>
      <c r="AK57">
        <v>1.9</v>
      </c>
      <c r="AL57">
        <v>6</v>
      </c>
      <c r="AM57">
        <v>1.75</v>
      </c>
      <c r="AN57">
        <v>12</v>
      </c>
      <c r="AO57">
        <v>2.17</v>
      </c>
      <c r="AP57">
        <v>9999</v>
      </c>
      <c r="BA57">
        <v>20</v>
      </c>
      <c r="BJ57">
        <v>8991</v>
      </c>
      <c r="BO57">
        <v>4</v>
      </c>
      <c r="BP57">
        <v>3.7</v>
      </c>
      <c r="BQ57">
        <v>4.0999999999999996</v>
      </c>
      <c r="BR57">
        <v>3.93</v>
      </c>
      <c r="BS57">
        <v>4.3333333333333002</v>
      </c>
      <c r="BT57">
        <v>3.5</v>
      </c>
      <c r="BU57">
        <v>2.6666666666666998</v>
      </c>
      <c r="BV57">
        <v>3.5</v>
      </c>
      <c r="BW57">
        <v>1.2</v>
      </c>
      <c r="BX57">
        <v>0</v>
      </c>
      <c r="BY57">
        <v>0</v>
      </c>
      <c r="BZ57">
        <v>26</v>
      </c>
      <c r="CA57">
        <v>25</v>
      </c>
      <c r="CB57">
        <v>8</v>
      </c>
      <c r="CC57">
        <v>0.8</v>
      </c>
      <c r="CD57">
        <v>32</v>
      </c>
      <c r="CE57">
        <v>26</v>
      </c>
      <c r="CF57">
        <v>51</v>
      </c>
      <c r="CG57">
        <v>21</v>
      </c>
      <c r="CH57">
        <v>29</v>
      </c>
      <c r="CI57">
        <v>48</v>
      </c>
      <c r="CJ57">
        <v>52</v>
      </c>
      <c r="CK57">
        <v>48</v>
      </c>
      <c r="CL57">
        <v>47</v>
      </c>
      <c r="CM57">
        <v>48</v>
      </c>
      <c r="CN57">
        <v>47</v>
      </c>
      <c r="CQ57">
        <v>6</v>
      </c>
      <c r="CR57">
        <v>3</v>
      </c>
      <c r="CS57">
        <v>4</v>
      </c>
    </row>
    <row r="58" spans="1:97" x14ac:dyDescent="0.2">
      <c r="A58">
        <v>10777</v>
      </c>
      <c r="B58">
        <v>161685</v>
      </c>
      <c r="C58" s="1">
        <v>31129</v>
      </c>
      <c r="D58">
        <v>38.36</v>
      </c>
      <c r="E58" t="s">
        <v>140</v>
      </c>
      <c r="F58" t="s">
        <v>187</v>
      </c>
      <c r="G58" t="s">
        <v>142</v>
      </c>
      <c r="H58">
        <v>3.33</v>
      </c>
      <c r="I58">
        <v>3.2</v>
      </c>
      <c r="J58">
        <v>10</v>
      </c>
      <c r="K58">
        <v>15</v>
      </c>
      <c r="L58">
        <v>0</v>
      </c>
      <c r="M58">
        <v>3.5</v>
      </c>
      <c r="N58">
        <v>3</v>
      </c>
      <c r="O58">
        <v>5.88</v>
      </c>
      <c r="P58">
        <v>4.83</v>
      </c>
      <c r="Q58">
        <v>4.2</v>
      </c>
      <c r="R58">
        <v>46</v>
      </c>
      <c r="S58">
        <v>15</v>
      </c>
      <c r="T58">
        <v>22</v>
      </c>
      <c r="U58">
        <v>6</v>
      </c>
      <c r="V58">
        <v>3</v>
      </c>
      <c r="W58">
        <v>1</v>
      </c>
      <c r="X58">
        <v>7</v>
      </c>
      <c r="Y58">
        <v>5</v>
      </c>
      <c r="Z58">
        <v>4</v>
      </c>
      <c r="AA58">
        <v>4</v>
      </c>
      <c r="AB58">
        <v>21</v>
      </c>
      <c r="AC58">
        <v>25</v>
      </c>
      <c r="AD58">
        <v>15</v>
      </c>
      <c r="AE58">
        <v>1</v>
      </c>
      <c r="AF58">
        <v>0</v>
      </c>
      <c r="AG58">
        <v>5.17</v>
      </c>
      <c r="AH58">
        <v>4.25</v>
      </c>
      <c r="AI58">
        <v>5.75</v>
      </c>
      <c r="AJ58">
        <v>5.5</v>
      </c>
      <c r="AK58">
        <v>3.8</v>
      </c>
      <c r="AL58">
        <v>19</v>
      </c>
      <c r="AM58">
        <v>2.58</v>
      </c>
      <c r="AN58">
        <v>35</v>
      </c>
      <c r="AO58">
        <v>3</v>
      </c>
      <c r="AP58">
        <v>9999</v>
      </c>
      <c r="BA58">
        <v>20</v>
      </c>
      <c r="BJ58">
        <v>8991</v>
      </c>
      <c r="BO58">
        <v>1.7</v>
      </c>
      <c r="BP58">
        <v>3.5</v>
      </c>
      <c r="BQ58">
        <v>3.1</v>
      </c>
      <c r="BR58">
        <v>2.77</v>
      </c>
      <c r="BS58">
        <v>3.5</v>
      </c>
      <c r="BT58">
        <v>3.5</v>
      </c>
      <c r="BU58">
        <v>3.5</v>
      </c>
      <c r="BV58">
        <v>3.5</v>
      </c>
      <c r="BW58">
        <v>2.5499999999999998</v>
      </c>
      <c r="BX58">
        <v>0</v>
      </c>
      <c r="BY58">
        <v>0</v>
      </c>
      <c r="BZ58">
        <v>19</v>
      </c>
      <c r="CA58">
        <v>18</v>
      </c>
      <c r="CB58">
        <v>5</v>
      </c>
      <c r="CC58">
        <v>0.625</v>
      </c>
      <c r="CD58">
        <v>22</v>
      </c>
      <c r="CE58">
        <v>50</v>
      </c>
      <c r="CF58">
        <v>57</v>
      </c>
      <c r="CG58">
        <v>30</v>
      </c>
      <c r="CH58">
        <v>36</v>
      </c>
      <c r="CI58">
        <v>48</v>
      </c>
      <c r="CJ58">
        <v>60</v>
      </c>
      <c r="CK58">
        <v>46</v>
      </c>
      <c r="CL58">
        <v>60</v>
      </c>
      <c r="CM58">
        <v>37</v>
      </c>
      <c r="CN58">
        <v>60</v>
      </c>
      <c r="CQ58">
        <v>5</v>
      </c>
      <c r="CR58">
        <v>4</v>
      </c>
      <c r="CS58">
        <v>2</v>
      </c>
    </row>
    <row r="59" spans="1:97" x14ac:dyDescent="0.2">
      <c r="A59">
        <v>10781</v>
      </c>
      <c r="B59">
        <v>191986</v>
      </c>
      <c r="C59" s="1">
        <v>31426</v>
      </c>
      <c r="D59">
        <v>37.53</v>
      </c>
      <c r="E59" t="s">
        <v>140</v>
      </c>
      <c r="F59" t="s">
        <v>187</v>
      </c>
      <c r="G59" t="s">
        <v>142</v>
      </c>
      <c r="H59">
        <v>3.33</v>
      </c>
      <c r="I59">
        <v>2.7</v>
      </c>
      <c r="J59">
        <v>2</v>
      </c>
      <c r="K59">
        <v>6</v>
      </c>
      <c r="L59">
        <v>0</v>
      </c>
      <c r="M59">
        <v>5.83</v>
      </c>
      <c r="N59">
        <v>5.33</v>
      </c>
      <c r="O59">
        <v>6.63</v>
      </c>
      <c r="P59">
        <v>4.83</v>
      </c>
      <c r="Q59">
        <v>5.77</v>
      </c>
      <c r="R59">
        <v>18</v>
      </c>
      <c r="S59">
        <v>4</v>
      </c>
      <c r="T59">
        <v>10</v>
      </c>
      <c r="U59">
        <v>1</v>
      </c>
      <c r="V59">
        <v>3</v>
      </c>
      <c r="W59">
        <v>0</v>
      </c>
      <c r="X59">
        <v>3</v>
      </c>
      <c r="Y59">
        <v>1</v>
      </c>
      <c r="Z59">
        <v>0</v>
      </c>
      <c r="AA59">
        <v>3</v>
      </c>
      <c r="AB59">
        <v>7</v>
      </c>
      <c r="AC59">
        <v>26</v>
      </c>
      <c r="AD59">
        <v>12</v>
      </c>
      <c r="AE59">
        <v>4</v>
      </c>
      <c r="AF59">
        <v>0</v>
      </c>
      <c r="AG59">
        <v>6.75</v>
      </c>
      <c r="AH59">
        <v>7</v>
      </c>
      <c r="AI59">
        <v>6.25</v>
      </c>
      <c r="AJ59">
        <v>7</v>
      </c>
      <c r="AK59">
        <v>4.3</v>
      </c>
      <c r="AL59">
        <v>10</v>
      </c>
      <c r="AM59">
        <v>4.25</v>
      </c>
      <c r="AN59">
        <v>8</v>
      </c>
      <c r="AO59">
        <v>3</v>
      </c>
      <c r="AP59">
        <v>9999</v>
      </c>
      <c r="BA59">
        <v>20</v>
      </c>
      <c r="BJ59">
        <v>8991</v>
      </c>
      <c r="BO59">
        <v>4</v>
      </c>
      <c r="BP59">
        <v>4.4000000000000004</v>
      </c>
      <c r="BQ59">
        <v>3</v>
      </c>
      <c r="BR59">
        <v>3.8</v>
      </c>
      <c r="BS59">
        <v>6</v>
      </c>
      <c r="BT59">
        <v>5.1666666666666998</v>
      </c>
      <c r="BU59">
        <v>6</v>
      </c>
      <c r="BV59">
        <v>5.1666666666666998</v>
      </c>
      <c r="BW59">
        <v>1.05</v>
      </c>
      <c r="BX59">
        <v>0</v>
      </c>
      <c r="BY59">
        <v>0</v>
      </c>
      <c r="BZ59">
        <v>29</v>
      </c>
      <c r="CA59">
        <v>23</v>
      </c>
      <c r="CB59">
        <v>12</v>
      </c>
      <c r="CC59">
        <v>1</v>
      </c>
      <c r="CD59">
        <v>41</v>
      </c>
      <c r="CE59">
        <v>42</v>
      </c>
      <c r="CF59">
        <v>54</v>
      </c>
      <c r="CG59">
        <v>28</v>
      </c>
      <c r="CH59">
        <v>38</v>
      </c>
      <c r="CI59">
        <v>48</v>
      </c>
      <c r="CJ59">
        <v>50</v>
      </c>
      <c r="CK59">
        <v>48</v>
      </c>
      <c r="CL59">
        <v>55</v>
      </c>
      <c r="CM59">
        <v>48</v>
      </c>
      <c r="CN59">
        <v>60</v>
      </c>
      <c r="CQ59">
        <v>4</v>
      </c>
      <c r="CR59">
        <v>1</v>
      </c>
      <c r="CS59">
        <v>1</v>
      </c>
    </row>
    <row r="60" spans="1:97" x14ac:dyDescent="0.2">
      <c r="A60">
        <v>10783</v>
      </c>
      <c r="B60">
        <v>120472</v>
      </c>
      <c r="C60" s="1">
        <v>26436</v>
      </c>
      <c r="D60">
        <v>51.18</v>
      </c>
      <c r="E60" t="s">
        <v>143</v>
      </c>
      <c r="F60" t="s">
        <v>187</v>
      </c>
      <c r="G60" t="s">
        <v>141</v>
      </c>
      <c r="H60">
        <v>4.33</v>
      </c>
      <c r="I60">
        <v>3.7</v>
      </c>
      <c r="J60">
        <v>2</v>
      </c>
      <c r="K60">
        <v>0</v>
      </c>
      <c r="L60">
        <v>0</v>
      </c>
      <c r="M60">
        <v>6</v>
      </c>
      <c r="N60">
        <v>5.67</v>
      </c>
      <c r="O60">
        <v>6.25</v>
      </c>
      <c r="P60">
        <v>6</v>
      </c>
      <c r="Q60">
        <v>5.93</v>
      </c>
      <c r="R60">
        <v>8</v>
      </c>
      <c r="S60">
        <v>2</v>
      </c>
      <c r="T60">
        <v>4</v>
      </c>
      <c r="U60">
        <v>2</v>
      </c>
      <c r="V60">
        <v>0</v>
      </c>
      <c r="W60">
        <v>0</v>
      </c>
      <c r="X60">
        <v>4</v>
      </c>
      <c r="Y60">
        <v>8</v>
      </c>
      <c r="Z60">
        <v>0</v>
      </c>
      <c r="AA60">
        <v>3</v>
      </c>
      <c r="AB60">
        <v>15</v>
      </c>
      <c r="AC60">
        <v>44</v>
      </c>
      <c r="AD60">
        <v>11</v>
      </c>
      <c r="AE60">
        <v>1</v>
      </c>
      <c r="AF60">
        <v>1</v>
      </c>
      <c r="AG60">
        <v>7</v>
      </c>
      <c r="AH60">
        <v>7</v>
      </c>
      <c r="AI60">
        <v>7</v>
      </c>
      <c r="AJ60">
        <v>7</v>
      </c>
      <c r="AK60">
        <v>3.4</v>
      </c>
      <c r="AL60">
        <v>11</v>
      </c>
      <c r="AM60">
        <v>2.08</v>
      </c>
      <c r="AN60">
        <v>0</v>
      </c>
      <c r="AO60">
        <v>3.17</v>
      </c>
      <c r="AP60">
        <v>9999</v>
      </c>
      <c r="BA60">
        <v>20</v>
      </c>
      <c r="BJ60">
        <v>8991</v>
      </c>
      <c r="BO60">
        <v>3.6</v>
      </c>
      <c r="BP60">
        <v>3.7</v>
      </c>
      <c r="BQ60">
        <v>3.5</v>
      </c>
      <c r="BR60">
        <v>3.6</v>
      </c>
      <c r="BS60">
        <v>4.5</v>
      </c>
      <c r="BT60">
        <v>4.6666666666666998</v>
      </c>
      <c r="BU60">
        <v>5.1666666666666998</v>
      </c>
      <c r="BV60">
        <v>4.8333333333333002</v>
      </c>
      <c r="BW60">
        <v>0.1</v>
      </c>
      <c r="BX60">
        <v>0</v>
      </c>
      <c r="BY60">
        <v>0</v>
      </c>
      <c r="BZ60">
        <v>24</v>
      </c>
      <c r="CA60">
        <v>22</v>
      </c>
      <c r="CB60">
        <v>8</v>
      </c>
      <c r="CC60">
        <v>0.88888888888888995</v>
      </c>
      <c r="CD60">
        <v>32</v>
      </c>
      <c r="CE60">
        <v>42</v>
      </c>
      <c r="CF60">
        <v>50</v>
      </c>
      <c r="CG60">
        <v>24</v>
      </c>
      <c r="CH60">
        <v>30</v>
      </c>
      <c r="CI60">
        <v>48</v>
      </c>
      <c r="CJ60">
        <v>48</v>
      </c>
      <c r="CK60">
        <v>48</v>
      </c>
      <c r="CL60">
        <v>49</v>
      </c>
      <c r="CM60">
        <v>45</v>
      </c>
      <c r="CN60">
        <v>60</v>
      </c>
      <c r="CQ60">
        <v>2</v>
      </c>
      <c r="CR60">
        <v>3</v>
      </c>
      <c r="CS60">
        <v>1</v>
      </c>
    </row>
    <row r="61" spans="1:97" x14ac:dyDescent="0.2">
      <c r="A61">
        <v>10785</v>
      </c>
      <c r="B61">
        <v>201162</v>
      </c>
      <c r="C61" s="1">
        <v>22841</v>
      </c>
      <c r="D61">
        <v>61.23</v>
      </c>
      <c r="E61" t="s">
        <v>140</v>
      </c>
      <c r="F61" t="s">
        <v>187</v>
      </c>
      <c r="G61" t="s">
        <v>141</v>
      </c>
      <c r="H61">
        <v>4</v>
      </c>
      <c r="I61">
        <v>3.8</v>
      </c>
      <c r="J61">
        <v>1</v>
      </c>
      <c r="K61">
        <v>1</v>
      </c>
      <c r="L61">
        <v>0</v>
      </c>
      <c r="M61">
        <v>6.67</v>
      </c>
      <c r="N61">
        <v>6.17</v>
      </c>
      <c r="O61">
        <v>6.63</v>
      </c>
      <c r="P61">
        <v>5.5</v>
      </c>
      <c r="Q61">
        <v>6.23</v>
      </c>
      <c r="R61">
        <v>6</v>
      </c>
      <c r="S61">
        <v>1</v>
      </c>
      <c r="T61">
        <v>5</v>
      </c>
      <c r="U61">
        <v>0</v>
      </c>
      <c r="V61">
        <v>0</v>
      </c>
      <c r="W61">
        <v>1</v>
      </c>
      <c r="X61">
        <v>1</v>
      </c>
      <c r="Y61">
        <v>4</v>
      </c>
      <c r="Z61">
        <v>1</v>
      </c>
      <c r="AA61">
        <v>0</v>
      </c>
      <c r="AB61">
        <v>7</v>
      </c>
      <c r="AC61">
        <v>39</v>
      </c>
      <c r="AD61">
        <v>9</v>
      </c>
      <c r="AE61">
        <v>0</v>
      </c>
      <c r="AF61">
        <v>0</v>
      </c>
      <c r="AG61">
        <v>5.75</v>
      </c>
      <c r="AH61">
        <v>7</v>
      </c>
      <c r="AI61">
        <v>4.25</v>
      </c>
      <c r="AJ61">
        <v>6</v>
      </c>
      <c r="AK61">
        <v>2.9</v>
      </c>
      <c r="AL61">
        <v>12</v>
      </c>
      <c r="AM61">
        <v>1.92</v>
      </c>
      <c r="AN61">
        <v>8</v>
      </c>
      <c r="AO61">
        <v>2.83</v>
      </c>
      <c r="AP61">
        <v>9999</v>
      </c>
      <c r="BA61">
        <v>20</v>
      </c>
      <c r="BJ61">
        <v>8991</v>
      </c>
      <c r="BO61">
        <v>4.0999999999999996</v>
      </c>
      <c r="BP61">
        <v>4.3</v>
      </c>
      <c r="BQ61">
        <v>4.2</v>
      </c>
      <c r="BR61">
        <v>4.2</v>
      </c>
      <c r="BS61">
        <v>6</v>
      </c>
      <c r="BT61">
        <v>2.6666666666666998</v>
      </c>
      <c r="BU61">
        <v>2.6666666666666998</v>
      </c>
      <c r="BV61">
        <v>3.8333333333333002</v>
      </c>
      <c r="BW61">
        <v>0.4</v>
      </c>
      <c r="BX61">
        <v>0</v>
      </c>
      <c r="BY61">
        <v>0</v>
      </c>
      <c r="BZ61">
        <v>25</v>
      </c>
      <c r="CA61">
        <v>22</v>
      </c>
      <c r="CB61">
        <v>10</v>
      </c>
      <c r="CC61">
        <v>0.90909090909090995</v>
      </c>
      <c r="CD61">
        <v>33</v>
      </c>
      <c r="CE61">
        <v>31</v>
      </c>
      <c r="CF61">
        <v>55</v>
      </c>
      <c r="CG61">
        <v>30</v>
      </c>
      <c r="CH61">
        <v>29</v>
      </c>
      <c r="CI61">
        <v>45</v>
      </c>
      <c r="CJ61">
        <v>60</v>
      </c>
      <c r="CK61">
        <v>43</v>
      </c>
      <c r="CL61">
        <v>60</v>
      </c>
      <c r="CM61">
        <v>33</v>
      </c>
      <c r="CN61">
        <v>60</v>
      </c>
      <c r="CO61">
        <v>2</v>
      </c>
      <c r="CP61">
        <v>2</v>
      </c>
      <c r="CQ61">
        <v>6</v>
      </c>
      <c r="CR61">
        <v>1</v>
      </c>
      <c r="CS61">
        <v>1</v>
      </c>
    </row>
    <row r="62" spans="1:97" x14ac:dyDescent="0.2">
      <c r="A62">
        <v>10794</v>
      </c>
      <c r="B62">
        <v>200884</v>
      </c>
      <c r="C62" s="1">
        <v>30707</v>
      </c>
      <c r="D62">
        <v>39.69</v>
      </c>
      <c r="E62" t="s">
        <v>143</v>
      </c>
      <c r="F62" t="s">
        <v>187</v>
      </c>
      <c r="G62" t="s">
        <v>142</v>
      </c>
      <c r="H62">
        <v>4.8899999999999997</v>
      </c>
      <c r="I62">
        <v>2.6</v>
      </c>
      <c r="J62">
        <v>2</v>
      </c>
      <c r="K62">
        <v>6</v>
      </c>
      <c r="L62">
        <v>0</v>
      </c>
      <c r="M62">
        <v>6.17</v>
      </c>
      <c r="N62">
        <v>5.5</v>
      </c>
      <c r="O62">
        <v>6.13</v>
      </c>
      <c r="P62">
        <v>4.67</v>
      </c>
      <c r="Q62">
        <v>5.73</v>
      </c>
      <c r="R62">
        <v>10</v>
      </c>
      <c r="S62">
        <v>0</v>
      </c>
      <c r="T62">
        <v>4</v>
      </c>
      <c r="U62">
        <v>3</v>
      </c>
      <c r="V62">
        <v>3</v>
      </c>
      <c r="W62">
        <v>1</v>
      </c>
      <c r="X62">
        <v>0</v>
      </c>
      <c r="Y62">
        <v>3</v>
      </c>
      <c r="Z62">
        <v>1</v>
      </c>
      <c r="AA62">
        <v>0</v>
      </c>
      <c r="AB62">
        <v>5</v>
      </c>
      <c r="AC62">
        <v>16</v>
      </c>
      <c r="AD62">
        <v>10</v>
      </c>
      <c r="AE62">
        <v>0</v>
      </c>
      <c r="AF62">
        <v>0</v>
      </c>
      <c r="AG62">
        <v>5.5</v>
      </c>
      <c r="AH62">
        <v>5.5</v>
      </c>
      <c r="AI62">
        <v>5.5</v>
      </c>
      <c r="AJ62">
        <v>5.5</v>
      </c>
      <c r="AK62">
        <v>3</v>
      </c>
      <c r="AL62">
        <v>9</v>
      </c>
      <c r="AM62">
        <v>2.58</v>
      </c>
      <c r="AN62">
        <v>23</v>
      </c>
      <c r="AO62">
        <v>2.5</v>
      </c>
      <c r="AP62">
        <v>9999</v>
      </c>
      <c r="BA62">
        <v>20</v>
      </c>
      <c r="BJ62">
        <v>8991</v>
      </c>
      <c r="BO62">
        <v>3.9</v>
      </c>
      <c r="BP62">
        <v>3.9</v>
      </c>
      <c r="BQ62">
        <v>3.5</v>
      </c>
      <c r="BR62">
        <v>3.77</v>
      </c>
      <c r="BS62">
        <v>4.3333333333333304</v>
      </c>
      <c r="BT62">
        <v>3.5</v>
      </c>
      <c r="BU62">
        <v>6</v>
      </c>
      <c r="BV62">
        <v>6</v>
      </c>
      <c r="BW62">
        <v>1.6</v>
      </c>
      <c r="BX62">
        <v>0</v>
      </c>
      <c r="BY62">
        <v>0</v>
      </c>
      <c r="BZ62">
        <v>25</v>
      </c>
      <c r="CA62">
        <v>23</v>
      </c>
      <c r="CB62">
        <v>9</v>
      </c>
      <c r="CC62">
        <v>0.9</v>
      </c>
      <c r="CD62">
        <v>34</v>
      </c>
      <c r="CE62">
        <v>24</v>
      </c>
      <c r="CF62">
        <v>38</v>
      </c>
      <c r="CG62">
        <v>18</v>
      </c>
      <c r="CH62">
        <v>30</v>
      </c>
      <c r="CI62">
        <v>31</v>
      </c>
      <c r="CJ62">
        <v>60</v>
      </c>
      <c r="CK62">
        <v>31</v>
      </c>
      <c r="CL62">
        <v>60</v>
      </c>
      <c r="CM62">
        <v>21</v>
      </c>
      <c r="CN62">
        <v>60</v>
      </c>
      <c r="CO62">
        <v>2</v>
      </c>
      <c r="CP62">
        <v>2</v>
      </c>
      <c r="CQ62">
        <v>4</v>
      </c>
      <c r="CR62">
        <v>2</v>
      </c>
      <c r="CS62">
        <v>2</v>
      </c>
    </row>
    <row r="63" spans="1:97" x14ac:dyDescent="0.2">
      <c r="A63">
        <v>10800</v>
      </c>
      <c r="B63">
        <v>52296</v>
      </c>
      <c r="C63" s="1">
        <v>35345</v>
      </c>
      <c r="D63">
        <v>26.85</v>
      </c>
      <c r="E63" t="s">
        <v>147</v>
      </c>
      <c r="F63" t="s">
        <v>188</v>
      </c>
      <c r="G63" t="s">
        <v>141</v>
      </c>
      <c r="H63">
        <v>5</v>
      </c>
      <c r="I63">
        <v>3.8</v>
      </c>
      <c r="J63">
        <v>6</v>
      </c>
      <c r="K63">
        <v>5</v>
      </c>
      <c r="L63">
        <v>0</v>
      </c>
      <c r="M63">
        <v>6.5</v>
      </c>
      <c r="N63">
        <v>5</v>
      </c>
      <c r="O63">
        <v>6.63</v>
      </c>
      <c r="P63">
        <v>4.83</v>
      </c>
      <c r="Q63">
        <v>5.7</v>
      </c>
      <c r="R63">
        <v>39</v>
      </c>
      <c r="S63">
        <v>9</v>
      </c>
      <c r="T63">
        <v>14</v>
      </c>
      <c r="U63">
        <v>5</v>
      </c>
      <c r="V63">
        <v>11</v>
      </c>
      <c r="W63">
        <v>5</v>
      </c>
      <c r="X63">
        <v>6</v>
      </c>
      <c r="Y63">
        <v>4</v>
      </c>
      <c r="Z63">
        <v>5</v>
      </c>
      <c r="AA63">
        <v>3</v>
      </c>
      <c r="AB63">
        <v>23</v>
      </c>
      <c r="AC63">
        <v>34</v>
      </c>
      <c r="AD63">
        <v>11</v>
      </c>
      <c r="AE63">
        <v>0</v>
      </c>
      <c r="AF63">
        <v>0</v>
      </c>
      <c r="AG63">
        <v>6</v>
      </c>
      <c r="AH63">
        <v>7</v>
      </c>
      <c r="AI63">
        <v>6.5</v>
      </c>
      <c r="AJ63">
        <v>4.5</v>
      </c>
      <c r="AK63">
        <v>3.5</v>
      </c>
      <c r="AL63">
        <v>19</v>
      </c>
      <c r="AM63">
        <v>4.5</v>
      </c>
      <c r="AN63">
        <v>26</v>
      </c>
      <c r="AO63">
        <v>3</v>
      </c>
      <c r="AP63">
        <v>9999</v>
      </c>
      <c r="BA63">
        <v>20</v>
      </c>
      <c r="BJ63">
        <v>8991</v>
      </c>
      <c r="BO63">
        <v>3.6</v>
      </c>
      <c r="BP63">
        <v>4.7</v>
      </c>
      <c r="BQ63">
        <v>4.5</v>
      </c>
      <c r="BR63">
        <v>4.2699999999999996</v>
      </c>
      <c r="BS63">
        <v>5.8333333333333002</v>
      </c>
      <c r="BT63">
        <v>5.1666666666666998</v>
      </c>
      <c r="BU63">
        <v>6</v>
      </c>
      <c r="BV63">
        <v>5.1666666666666998</v>
      </c>
      <c r="BW63">
        <v>0.9</v>
      </c>
      <c r="BX63">
        <v>0</v>
      </c>
      <c r="BY63">
        <v>0</v>
      </c>
      <c r="BZ63">
        <v>30</v>
      </c>
      <c r="CA63">
        <v>20</v>
      </c>
      <c r="CB63">
        <v>10</v>
      </c>
      <c r="CC63">
        <v>0.83333333333333004</v>
      </c>
      <c r="CD63">
        <v>40</v>
      </c>
      <c r="CE63">
        <v>33</v>
      </c>
      <c r="CF63">
        <v>38</v>
      </c>
      <c r="CG63">
        <v>23</v>
      </c>
      <c r="CH63">
        <v>34</v>
      </c>
      <c r="CI63">
        <v>41</v>
      </c>
      <c r="CJ63">
        <v>60</v>
      </c>
      <c r="CK63">
        <v>30</v>
      </c>
      <c r="CL63">
        <v>60</v>
      </c>
      <c r="CM63">
        <v>29</v>
      </c>
      <c r="CN63">
        <v>60</v>
      </c>
      <c r="CQ63">
        <v>4</v>
      </c>
      <c r="CR63">
        <v>3</v>
      </c>
      <c r="CS63">
        <v>1</v>
      </c>
    </row>
    <row r="64" spans="1:97" x14ac:dyDescent="0.2">
      <c r="A64">
        <v>10801</v>
      </c>
      <c r="B64">
        <v>30889</v>
      </c>
      <c r="C64" s="1">
        <v>32535</v>
      </c>
      <c r="D64">
        <v>34.53</v>
      </c>
      <c r="E64" t="s">
        <v>143</v>
      </c>
      <c r="F64" t="s">
        <v>187</v>
      </c>
      <c r="G64" t="s">
        <v>141</v>
      </c>
      <c r="H64">
        <v>3.56</v>
      </c>
      <c r="I64">
        <v>2.4</v>
      </c>
      <c r="J64">
        <v>5</v>
      </c>
      <c r="K64">
        <v>20</v>
      </c>
      <c r="L64">
        <v>0</v>
      </c>
      <c r="M64">
        <v>2</v>
      </c>
      <c r="N64">
        <v>3.17</v>
      </c>
      <c r="O64">
        <v>4.25</v>
      </c>
      <c r="P64">
        <v>6</v>
      </c>
      <c r="Q64">
        <v>3.83</v>
      </c>
      <c r="R64">
        <v>30</v>
      </c>
      <c r="S64">
        <v>11</v>
      </c>
      <c r="T64">
        <v>16</v>
      </c>
      <c r="U64">
        <v>1</v>
      </c>
      <c r="V64">
        <v>2</v>
      </c>
      <c r="W64">
        <v>1</v>
      </c>
      <c r="X64">
        <v>3</v>
      </c>
      <c r="Y64">
        <v>2</v>
      </c>
      <c r="Z64">
        <v>3</v>
      </c>
      <c r="AA64">
        <v>6</v>
      </c>
      <c r="AB64">
        <v>15</v>
      </c>
      <c r="AC64">
        <v>18</v>
      </c>
      <c r="AD64">
        <v>14</v>
      </c>
      <c r="AE64">
        <v>0</v>
      </c>
      <c r="AF64">
        <v>0</v>
      </c>
      <c r="AG64">
        <v>3.67</v>
      </c>
      <c r="AH64">
        <v>5.5</v>
      </c>
      <c r="AI64">
        <v>4.25</v>
      </c>
      <c r="AJ64">
        <v>1.25</v>
      </c>
      <c r="AK64">
        <v>3.4</v>
      </c>
      <c r="AL64">
        <v>11</v>
      </c>
      <c r="AM64">
        <v>1.92</v>
      </c>
      <c r="AN64">
        <v>0</v>
      </c>
      <c r="AO64">
        <v>2</v>
      </c>
      <c r="AP64">
        <v>9999</v>
      </c>
      <c r="BA64">
        <v>20</v>
      </c>
      <c r="BJ64">
        <v>8991</v>
      </c>
      <c r="BO64">
        <v>2.5</v>
      </c>
      <c r="BP64">
        <v>2.8</v>
      </c>
      <c r="BQ64">
        <v>2.7</v>
      </c>
      <c r="BR64">
        <v>2.67</v>
      </c>
      <c r="BS64">
        <v>5.3333333333333002</v>
      </c>
      <c r="BT64">
        <v>3.5</v>
      </c>
      <c r="BU64">
        <v>4.3333333333333002</v>
      </c>
      <c r="BV64">
        <v>4</v>
      </c>
      <c r="BW64">
        <v>3.05</v>
      </c>
      <c r="BX64">
        <v>0</v>
      </c>
      <c r="BY64">
        <v>0</v>
      </c>
      <c r="BZ64">
        <v>15</v>
      </c>
      <c r="CA64">
        <v>22</v>
      </c>
      <c r="CB64">
        <v>7</v>
      </c>
      <c r="CC64">
        <v>0.875</v>
      </c>
      <c r="CD64">
        <v>20</v>
      </c>
      <c r="CE64">
        <v>25</v>
      </c>
      <c r="CF64">
        <v>49</v>
      </c>
      <c r="CG64">
        <v>19</v>
      </c>
      <c r="CH64">
        <v>36</v>
      </c>
      <c r="CI64">
        <v>37</v>
      </c>
      <c r="CJ64">
        <v>60</v>
      </c>
      <c r="CK64">
        <v>30</v>
      </c>
      <c r="CL64">
        <v>60</v>
      </c>
      <c r="CM64">
        <v>29</v>
      </c>
      <c r="CN64">
        <v>60</v>
      </c>
      <c r="CO64">
        <v>4</v>
      </c>
      <c r="CP64">
        <v>4</v>
      </c>
      <c r="CQ64">
        <v>6</v>
      </c>
      <c r="CR64">
        <v>1</v>
      </c>
      <c r="CS64">
        <v>2</v>
      </c>
    </row>
    <row r="65" spans="1:97" x14ac:dyDescent="0.2">
      <c r="A65">
        <v>10802</v>
      </c>
      <c r="B65">
        <v>50380</v>
      </c>
      <c r="C65" s="1">
        <v>29563</v>
      </c>
      <c r="D65">
        <v>42.69</v>
      </c>
      <c r="E65" t="s">
        <v>140</v>
      </c>
      <c r="F65" t="s">
        <v>187</v>
      </c>
      <c r="G65" t="s">
        <v>141</v>
      </c>
      <c r="H65">
        <v>4.1100000000000003</v>
      </c>
      <c r="I65">
        <v>4</v>
      </c>
      <c r="J65">
        <v>4</v>
      </c>
      <c r="K65">
        <v>7</v>
      </c>
      <c r="L65">
        <v>0</v>
      </c>
      <c r="M65">
        <v>6.83</v>
      </c>
      <c r="N65">
        <v>4.17</v>
      </c>
      <c r="O65">
        <v>6.25</v>
      </c>
      <c r="P65">
        <v>4.67</v>
      </c>
      <c r="Q65">
        <v>5.37</v>
      </c>
      <c r="R65">
        <v>39</v>
      </c>
      <c r="S65">
        <v>11</v>
      </c>
      <c r="T65">
        <v>18</v>
      </c>
      <c r="U65">
        <v>4</v>
      </c>
      <c r="V65">
        <v>6</v>
      </c>
      <c r="W65">
        <v>2</v>
      </c>
      <c r="X65">
        <v>6</v>
      </c>
      <c r="Y65">
        <v>3</v>
      </c>
      <c r="Z65">
        <v>2</v>
      </c>
      <c r="AA65">
        <v>2</v>
      </c>
      <c r="AB65">
        <v>15</v>
      </c>
      <c r="AC65">
        <v>24</v>
      </c>
      <c r="AD65">
        <v>10</v>
      </c>
      <c r="AE65">
        <v>0</v>
      </c>
      <c r="AF65">
        <v>0</v>
      </c>
      <c r="AG65">
        <v>7</v>
      </c>
      <c r="AH65">
        <v>7</v>
      </c>
      <c r="AI65">
        <v>7</v>
      </c>
      <c r="AJ65">
        <v>7</v>
      </c>
      <c r="AK65">
        <v>3.2</v>
      </c>
      <c r="AL65">
        <v>13</v>
      </c>
      <c r="AM65">
        <v>3.75</v>
      </c>
      <c r="AN65">
        <v>14</v>
      </c>
      <c r="AO65">
        <v>2.67</v>
      </c>
      <c r="AP65">
        <v>9999</v>
      </c>
      <c r="BA65">
        <v>20</v>
      </c>
      <c r="BJ65">
        <v>8991</v>
      </c>
      <c r="BO65">
        <v>2</v>
      </c>
      <c r="BP65">
        <v>3.8</v>
      </c>
      <c r="BQ65">
        <v>2.9</v>
      </c>
      <c r="BR65">
        <v>2.9</v>
      </c>
      <c r="BS65">
        <v>6</v>
      </c>
      <c r="BT65">
        <v>5.1666666666666998</v>
      </c>
      <c r="BU65">
        <v>6</v>
      </c>
      <c r="BV65">
        <v>5.1666666666666998</v>
      </c>
      <c r="BW65">
        <v>3.15</v>
      </c>
      <c r="BX65">
        <v>0</v>
      </c>
      <c r="BY65">
        <v>0</v>
      </c>
      <c r="BZ65">
        <v>30</v>
      </c>
      <c r="CA65">
        <v>20</v>
      </c>
      <c r="CB65">
        <v>12</v>
      </c>
      <c r="CC65">
        <v>1.0909090909090999</v>
      </c>
      <c r="CD65">
        <v>38</v>
      </c>
      <c r="CE65">
        <v>30</v>
      </c>
      <c r="CF65">
        <v>43</v>
      </c>
      <c r="CG65">
        <v>26</v>
      </c>
      <c r="CH65">
        <v>34</v>
      </c>
      <c r="CI65">
        <v>44</v>
      </c>
      <c r="CJ65">
        <v>60</v>
      </c>
      <c r="CK65">
        <v>36</v>
      </c>
      <c r="CL65">
        <v>60</v>
      </c>
      <c r="CM65">
        <v>27</v>
      </c>
      <c r="CN65">
        <v>60</v>
      </c>
      <c r="CO65">
        <v>6</v>
      </c>
      <c r="CP65">
        <v>6</v>
      </c>
      <c r="CQ65">
        <v>5</v>
      </c>
      <c r="CR65">
        <v>1</v>
      </c>
      <c r="CS65">
        <v>3</v>
      </c>
    </row>
    <row r="66" spans="1:97" x14ac:dyDescent="0.2">
      <c r="A66">
        <v>10803</v>
      </c>
      <c r="B66">
        <v>22601</v>
      </c>
      <c r="C66" s="1">
        <v>37242</v>
      </c>
      <c r="D66">
        <v>21.66</v>
      </c>
      <c r="E66" t="s">
        <v>144</v>
      </c>
      <c r="F66" t="s">
        <v>187</v>
      </c>
      <c r="G66" t="s">
        <v>141</v>
      </c>
      <c r="H66">
        <v>3.56</v>
      </c>
      <c r="I66">
        <v>3.4</v>
      </c>
      <c r="J66">
        <v>0</v>
      </c>
      <c r="K66">
        <v>1</v>
      </c>
      <c r="L66">
        <v>0</v>
      </c>
      <c r="M66">
        <v>4.83</v>
      </c>
      <c r="N66">
        <v>4.5</v>
      </c>
      <c r="O66">
        <v>4.38</v>
      </c>
      <c r="P66">
        <v>4.5</v>
      </c>
      <c r="Q66">
        <v>4.47</v>
      </c>
      <c r="R66">
        <v>19</v>
      </c>
      <c r="S66">
        <v>5</v>
      </c>
      <c r="T66">
        <v>7</v>
      </c>
      <c r="U66">
        <v>0</v>
      </c>
      <c r="V66">
        <v>7</v>
      </c>
      <c r="W66">
        <v>6</v>
      </c>
      <c r="X66">
        <v>8</v>
      </c>
      <c r="Y66">
        <v>2</v>
      </c>
      <c r="Z66">
        <v>5</v>
      </c>
      <c r="AA66">
        <v>4</v>
      </c>
      <c r="AB66">
        <v>25</v>
      </c>
      <c r="AC66">
        <v>25</v>
      </c>
      <c r="AD66">
        <v>10</v>
      </c>
      <c r="AE66">
        <v>0</v>
      </c>
      <c r="AF66">
        <v>0</v>
      </c>
      <c r="AG66">
        <v>5.42</v>
      </c>
      <c r="AH66">
        <v>5.75</v>
      </c>
      <c r="AI66">
        <v>4.5</v>
      </c>
      <c r="AJ66">
        <v>6</v>
      </c>
      <c r="AK66">
        <v>2.7</v>
      </c>
      <c r="AL66">
        <v>15</v>
      </c>
      <c r="AM66">
        <v>4.83</v>
      </c>
      <c r="AN66">
        <v>1</v>
      </c>
      <c r="AO66">
        <v>2.33</v>
      </c>
      <c r="AP66">
        <v>9999</v>
      </c>
      <c r="AR66">
        <v>44</v>
      </c>
      <c r="AS66">
        <v>1.25</v>
      </c>
      <c r="AT66">
        <v>1.25</v>
      </c>
      <c r="AU66">
        <v>1</v>
      </c>
      <c r="AV66">
        <v>1.25</v>
      </c>
      <c r="AW66">
        <v>1</v>
      </c>
      <c r="AX66">
        <v>1</v>
      </c>
      <c r="AY66">
        <v>1</v>
      </c>
      <c r="AZ66">
        <v>1.1071428571429001</v>
      </c>
      <c r="BA66">
        <v>93</v>
      </c>
      <c r="BB66">
        <v>73</v>
      </c>
      <c r="BH66">
        <v>37</v>
      </c>
      <c r="BI66">
        <v>35</v>
      </c>
      <c r="BJ66">
        <v>8991</v>
      </c>
      <c r="BO66">
        <v>3</v>
      </c>
      <c r="BP66">
        <v>2.7</v>
      </c>
      <c r="BQ66">
        <v>3.4</v>
      </c>
      <c r="BR66">
        <v>3.03</v>
      </c>
      <c r="BS66">
        <v>4.3333333333333002</v>
      </c>
      <c r="BT66">
        <v>4.3333333333333002</v>
      </c>
      <c r="BU66">
        <v>4.3333333333333002</v>
      </c>
      <c r="BV66">
        <v>4</v>
      </c>
      <c r="BW66">
        <v>1.25</v>
      </c>
      <c r="BX66">
        <v>0</v>
      </c>
      <c r="BY66">
        <v>0</v>
      </c>
      <c r="BZ66">
        <v>16</v>
      </c>
      <c r="CB66">
        <v>7</v>
      </c>
      <c r="CC66">
        <v>1</v>
      </c>
      <c r="CD66">
        <v>22</v>
      </c>
      <c r="CE66">
        <v>24</v>
      </c>
      <c r="CF66">
        <v>29</v>
      </c>
      <c r="CG66">
        <v>12</v>
      </c>
      <c r="CH66">
        <v>35</v>
      </c>
      <c r="CI66">
        <v>40</v>
      </c>
      <c r="CJ66">
        <v>60</v>
      </c>
      <c r="CK66">
        <v>39</v>
      </c>
      <c r="CL66">
        <v>60</v>
      </c>
      <c r="CM66">
        <v>36</v>
      </c>
      <c r="CN66">
        <v>60</v>
      </c>
      <c r="CQ66">
        <v>6</v>
      </c>
      <c r="CR66">
        <v>2</v>
      </c>
      <c r="CS66">
        <v>1</v>
      </c>
    </row>
    <row r="67" spans="1:97" x14ac:dyDescent="0.2">
      <c r="A67">
        <v>10804</v>
      </c>
      <c r="B67">
        <v>120798</v>
      </c>
      <c r="C67" s="1">
        <v>35838</v>
      </c>
      <c r="D67">
        <v>25.5</v>
      </c>
      <c r="E67" t="s">
        <v>147</v>
      </c>
      <c r="F67" t="s">
        <v>188</v>
      </c>
      <c r="G67" t="s">
        <v>141</v>
      </c>
      <c r="H67">
        <v>4.67</v>
      </c>
      <c r="I67">
        <v>4.7</v>
      </c>
      <c r="J67">
        <v>4</v>
      </c>
      <c r="K67">
        <v>2</v>
      </c>
      <c r="L67">
        <v>0</v>
      </c>
      <c r="M67">
        <v>6.5</v>
      </c>
      <c r="N67">
        <v>5.83</v>
      </c>
      <c r="O67">
        <v>6.25</v>
      </c>
      <c r="P67">
        <v>6</v>
      </c>
      <c r="Q67">
        <v>5.9</v>
      </c>
      <c r="R67">
        <v>16</v>
      </c>
      <c r="S67">
        <v>6</v>
      </c>
      <c r="T67">
        <v>6</v>
      </c>
      <c r="U67">
        <v>0</v>
      </c>
      <c r="V67">
        <v>4</v>
      </c>
      <c r="W67">
        <v>1</v>
      </c>
      <c r="X67">
        <v>3</v>
      </c>
      <c r="Y67">
        <v>8</v>
      </c>
      <c r="Z67">
        <v>1</v>
      </c>
      <c r="AA67">
        <v>4</v>
      </c>
      <c r="AB67">
        <v>17</v>
      </c>
      <c r="AC67">
        <v>31</v>
      </c>
      <c r="AD67">
        <v>10</v>
      </c>
      <c r="AE67">
        <v>0</v>
      </c>
      <c r="AF67">
        <v>0</v>
      </c>
      <c r="AG67">
        <v>2</v>
      </c>
      <c r="AH67">
        <v>2</v>
      </c>
      <c r="AI67">
        <v>2</v>
      </c>
      <c r="AJ67">
        <v>2</v>
      </c>
      <c r="AK67">
        <v>3</v>
      </c>
      <c r="AL67">
        <v>10</v>
      </c>
      <c r="AM67">
        <v>1.17</v>
      </c>
      <c r="AN67">
        <v>14</v>
      </c>
      <c r="AO67">
        <v>2.5</v>
      </c>
      <c r="AP67">
        <v>9999</v>
      </c>
      <c r="BA67">
        <v>20</v>
      </c>
      <c r="BJ67">
        <v>8991</v>
      </c>
      <c r="BO67">
        <v>3.3</v>
      </c>
      <c r="BP67">
        <v>3.2</v>
      </c>
      <c r="BQ67">
        <v>3.3</v>
      </c>
      <c r="BR67">
        <v>3.27</v>
      </c>
      <c r="BS67">
        <v>6</v>
      </c>
      <c r="BT67">
        <v>5.5</v>
      </c>
      <c r="BU67">
        <v>6</v>
      </c>
      <c r="BV67">
        <v>5.5</v>
      </c>
      <c r="BW67">
        <v>0.25</v>
      </c>
      <c r="BX67">
        <v>0</v>
      </c>
      <c r="BY67">
        <v>0</v>
      </c>
      <c r="BZ67">
        <v>23</v>
      </c>
      <c r="CA67">
        <v>25</v>
      </c>
      <c r="CB67">
        <v>9</v>
      </c>
      <c r="CC67">
        <v>1</v>
      </c>
      <c r="CD67">
        <v>32</v>
      </c>
      <c r="CE67">
        <v>33</v>
      </c>
      <c r="CF67">
        <v>54</v>
      </c>
      <c r="CG67">
        <v>32</v>
      </c>
      <c r="CH67">
        <v>33</v>
      </c>
      <c r="CI67">
        <v>42</v>
      </c>
      <c r="CJ67">
        <v>60</v>
      </c>
      <c r="CK67">
        <v>30</v>
      </c>
      <c r="CL67">
        <v>60</v>
      </c>
      <c r="CM67">
        <v>23</v>
      </c>
      <c r="CN67">
        <v>60</v>
      </c>
      <c r="CQ67">
        <v>2</v>
      </c>
      <c r="CR67">
        <v>1</v>
      </c>
      <c r="CS67">
        <v>1</v>
      </c>
    </row>
    <row r="68" spans="1:97" x14ac:dyDescent="0.2">
      <c r="A68">
        <v>10806</v>
      </c>
      <c r="B68">
        <v>150896</v>
      </c>
      <c r="C68" s="1">
        <v>35315</v>
      </c>
      <c r="D68">
        <v>26.99</v>
      </c>
      <c r="E68" t="s">
        <v>150</v>
      </c>
      <c r="F68" t="s">
        <v>187</v>
      </c>
      <c r="G68" t="s">
        <v>142</v>
      </c>
      <c r="L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27</v>
      </c>
      <c r="AD68">
        <v>11</v>
      </c>
      <c r="AE68">
        <v>0</v>
      </c>
      <c r="AF68">
        <v>0</v>
      </c>
      <c r="AG68">
        <v>5</v>
      </c>
      <c r="AH68">
        <v>6</v>
      </c>
      <c r="AI68">
        <v>3.5</v>
      </c>
      <c r="AJ68">
        <v>5.5</v>
      </c>
      <c r="AK68">
        <v>2.4</v>
      </c>
      <c r="AL68">
        <v>14</v>
      </c>
      <c r="AM68">
        <v>2.33</v>
      </c>
      <c r="AN68">
        <v>6</v>
      </c>
      <c r="AO68">
        <v>2.33</v>
      </c>
      <c r="AP68">
        <v>9999</v>
      </c>
      <c r="BA68">
        <v>20</v>
      </c>
      <c r="BJ68">
        <v>8991</v>
      </c>
      <c r="BS68">
        <v>6</v>
      </c>
      <c r="BT68">
        <v>3.8333333333333299</v>
      </c>
      <c r="BU68">
        <v>3.5</v>
      </c>
      <c r="BV68">
        <v>2.6666666666666599</v>
      </c>
      <c r="BX68">
        <v>0</v>
      </c>
      <c r="BY68">
        <v>0</v>
      </c>
      <c r="BZ68">
        <v>14</v>
      </c>
      <c r="CA68">
        <v>26</v>
      </c>
      <c r="CB68">
        <v>5</v>
      </c>
      <c r="CC68">
        <v>0.83333333333333004</v>
      </c>
      <c r="CD68">
        <v>18</v>
      </c>
      <c r="CE68">
        <v>45</v>
      </c>
      <c r="CF68">
        <v>50</v>
      </c>
      <c r="CG68">
        <v>22</v>
      </c>
      <c r="CH68">
        <v>31</v>
      </c>
      <c r="CI68">
        <v>44</v>
      </c>
      <c r="CJ68">
        <v>60</v>
      </c>
      <c r="CK68">
        <v>36</v>
      </c>
      <c r="CL68">
        <v>60</v>
      </c>
      <c r="CM68">
        <v>27</v>
      </c>
      <c r="CN68">
        <v>60</v>
      </c>
      <c r="CO68">
        <v>1</v>
      </c>
      <c r="CP68">
        <v>1</v>
      </c>
      <c r="CQ68">
        <v>5</v>
      </c>
      <c r="CR68">
        <v>1</v>
      </c>
      <c r="CS68">
        <v>1</v>
      </c>
    </row>
    <row r="69" spans="1:97" x14ac:dyDescent="0.2">
      <c r="A69">
        <v>10807</v>
      </c>
      <c r="B69">
        <v>12365</v>
      </c>
      <c r="C69" s="1">
        <v>23995</v>
      </c>
      <c r="D69">
        <v>58.05</v>
      </c>
      <c r="E69" t="s">
        <v>143</v>
      </c>
      <c r="F69" t="s">
        <v>187</v>
      </c>
      <c r="G69" t="s">
        <v>142</v>
      </c>
      <c r="H69">
        <v>4.78</v>
      </c>
      <c r="I69">
        <v>4.5999999999999996</v>
      </c>
      <c r="J69">
        <v>2</v>
      </c>
      <c r="K69">
        <v>0</v>
      </c>
      <c r="L69">
        <v>0</v>
      </c>
      <c r="M69">
        <v>6.67</v>
      </c>
      <c r="N69">
        <v>5.33</v>
      </c>
      <c r="O69">
        <v>4.5</v>
      </c>
      <c r="P69">
        <v>5.83</v>
      </c>
      <c r="Q69">
        <v>5.57</v>
      </c>
      <c r="R69">
        <v>7</v>
      </c>
      <c r="S69">
        <v>1</v>
      </c>
      <c r="T69">
        <v>0</v>
      </c>
      <c r="U69">
        <v>0</v>
      </c>
      <c r="V69">
        <v>6</v>
      </c>
      <c r="W69">
        <v>3</v>
      </c>
      <c r="X69">
        <v>5</v>
      </c>
      <c r="Y69">
        <v>1</v>
      </c>
      <c r="Z69">
        <v>4</v>
      </c>
      <c r="AA69">
        <v>2</v>
      </c>
      <c r="AB69">
        <v>15</v>
      </c>
      <c r="AC69">
        <v>36</v>
      </c>
      <c r="AD69">
        <v>12</v>
      </c>
      <c r="AE69">
        <v>0</v>
      </c>
      <c r="AF69">
        <v>0</v>
      </c>
      <c r="AG69">
        <v>7</v>
      </c>
      <c r="AH69">
        <v>7</v>
      </c>
      <c r="AI69">
        <v>7</v>
      </c>
      <c r="AJ69">
        <v>7</v>
      </c>
      <c r="AK69">
        <v>2.2000000000000002</v>
      </c>
      <c r="AL69">
        <v>9</v>
      </c>
      <c r="AM69">
        <v>1</v>
      </c>
      <c r="AN69">
        <v>0</v>
      </c>
      <c r="AO69">
        <v>3</v>
      </c>
      <c r="AP69">
        <v>9999</v>
      </c>
      <c r="BA69">
        <v>20</v>
      </c>
      <c r="BJ69">
        <v>8991</v>
      </c>
      <c r="BO69">
        <v>2.8</v>
      </c>
      <c r="BP69">
        <v>3.6</v>
      </c>
      <c r="BQ69">
        <v>2.6</v>
      </c>
      <c r="BR69">
        <v>3</v>
      </c>
      <c r="BS69">
        <v>2.6666666666666998</v>
      </c>
      <c r="BT69">
        <v>2.1666666666666998</v>
      </c>
      <c r="BU69">
        <v>4.6666666666666998</v>
      </c>
      <c r="BV69">
        <v>6</v>
      </c>
      <c r="BW69">
        <v>0.5</v>
      </c>
      <c r="BX69">
        <v>0</v>
      </c>
      <c r="BY69">
        <v>0</v>
      </c>
      <c r="BZ69">
        <v>18</v>
      </c>
      <c r="CA69">
        <v>27</v>
      </c>
      <c r="CB69">
        <v>7</v>
      </c>
      <c r="CC69">
        <v>1</v>
      </c>
      <c r="CD69">
        <v>25</v>
      </c>
      <c r="CE69">
        <v>23</v>
      </c>
      <c r="CF69">
        <v>24</v>
      </c>
      <c r="CG69">
        <v>21</v>
      </c>
      <c r="CH69">
        <v>18</v>
      </c>
      <c r="CI69">
        <v>26</v>
      </c>
      <c r="CJ69">
        <v>60</v>
      </c>
      <c r="CK69">
        <v>20</v>
      </c>
      <c r="CL69">
        <v>60</v>
      </c>
      <c r="CM69">
        <v>22</v>
      </c>
      <c r="CN69">
        <v>60</v>
      </c>
      <c r="CO69">
        <v>4</v>
      </c>
      <c r="CP69">
        <v>4</v>
      </c>
      <c r="CQ69">
        <v>7</v>
      </c>
      <c r="CR69">
        <v>4</v>
      </c>
      <c r="CS69">
        <v>1</v>
      </c>
    </row>
    <row r="70" spans="1:97" x14ac:dyDescent="0.2">
      <c r="A70">
        <v>10809</v>
      </c>
      <c r="B70">
        <v>180255</v>
      </c>
      <c r="C70" s="1">
        <v>20096</v>
      </c>
      <c r="D70">
        <v>68.77</v>
      </c>
      <c r="E70" t="s">
        <v>140</v>
      </c>
      <c r="F70" t="s">
        <v>187</v>
      </c>
      <c r="G70" t="s">
        <v>142</v>
      </c>
      <c r="H70">
        <v>4.4400000000000004</v>
      </c>
      <c r="I70">
        <v>4.3</v>
      </c>
      <c r="J70">
        <v>2</v>
      </c>
      <c r="K70">
        <v>3</v>
      </c>
      <c r="L70">
        <v>0</v>
      </c>
      <c r="M70">
        <v>4.17</v>
      </c>
      <c r="N70">
        <v>4.5</v>
      </c>
      <c r="O70">
        <v>5.63</v>
      </c>
      <c r="P70">
        <v>4.67</v>
      </c>
      <c r="Q70">
        <v>4.67</v>
      </c>
      <c r="R70">
        <v>23</v>
      </c>
      <c r="S70">
        <v>8</v>
      </c>
      <c r="T70">
        <v>11</v>
      </c>
      <c r="U70">
        <v>0</v>
      </c>
      <c r="V70">
        <v>4</v>
      </c>
      <c r="W70">
        <v>4</v>
      </c>
      <c r="X70">
        <v>4</v>
      </c>
      <c r="Y70">
        <v>6</v>
      </c>
      <c r="Z70">
        <v>1</v>
      </c>
      <c r="AA70">
        <v>5</v>
      </c>
      <c r="AB70">
        <v>20</v>
      </c>
      <c r="AC70">
        <v>30</v>
      </c>
      <c r="AD70">
        <v>16</v>
      </c>
      <c r="AE70">
        <v>0</v>
      </c>
      <c r="AF70">
        <v>0</v>
      </c>
      <c r="AG70">
        <v>5.58</v>
      </c>
      <c r="AH70">
        <v>6.25</v>
      </c>
      <c r="AI70">
        <v>4.5</v>
      </c>
      <c r="AJ70">
        <v>6</v>
      </c>
      <c r="AK70">
        <v>3</v>
      </c>
      <c r="AL70">
        <v>22</v>
      </c>
      <c r="AM70">
        <v>3.42</v>
      </c>
      <c r="AN70">
        <v>17</v>
      </c>
      <c r="AO70">
        <v>2.17</v>
      </c>
      <c r="AP70">
        <v>9999</v>
      </c>
      <c r="BA70">
        <v>20</v>
      </c>
      <c r="BJ70">
        <v>8991</v>
      </c>
      <c r="BO70">
        <v>3.7</v>
      </c>
      <c r="BP70">
        <v>3</v>
      </c>
      <c r="BQ70">
        <v>3.3</v>
      </c>
      <c r="BR70">
        <v>3.33</v>
      </c>
      <c r="BS70">
        <v>1</v>
      </c>
      <c r="BT70">
        <v>1</v>
      </c>
      <c r="BU70">
        <v>1</v>
      </c>
      <c r="BV70">
        <v>1</v>
      </c>
      <c r="BW70">
        <v>1.1499999999999999</v>
      </c>
      <c r="BX70">
        <v>0</v>
      </c>
      <c r="BY70">
        <v>0</v>
      </c>
      <c r="BZ70">
        <v>20</v>
      </c>
      <c r="CA70">
        <v>21</v>
      </c>
      <c r="CB70">
        <v>7</v>
      </c>
      <c r="CC70">
        <v>0.875</v>
      </c>
      <c r="CD70">
        <v>25</v>
      </c>
      <c r="CE70">
        <v>32</v>
      </c>
      <c r="CF70">
        <v>44</v>
      </c>
      <c r="CG70">
        <v>26</v>
      </c>
      <c r="CH70">
        <v>18</v>
      </c>
      <c r="CI70">
        <v>48</v>
      </c>
      <c r="CJ70">
        <v>58</v>
      </c>
      <c r="CK70">
        <v>48</v>
      </c>
      <c r="CL70">
        <v>60</v>
      </c>
      <c r="CM70">
        <v>25</v>
      </c>
      <c r="CN70">
        <v>60</v>
      </c>
      <c r="CO70">
        <v>5</v>
      </c>
      <c r="CP70">
        <v>4</v>
      </c>
      <c r="CQ70">
        <v>6</v>
      </c>
      <c r="CR70">
        <v>1</v>
      </c>
      <c r="CS70">
        <v>4</v>
      </c>
    </row>
    <row r="71" spans="1:97" x14ac:dyDescent="0.2">
      <c r="A71">
        <v>10812</v>
      </c>
      <c r="B71">
        <v>131960</v>
      </c>
      <c r="C71" s="1">
        <v>22225</v>
      </c>
      <c r="D71">
        <v>62.91</v>
      </c>
      <c r="E71" t="s">
        <v>143</v>
      </c>
      <c r="F71" t="s">
        <v>187</v>
      </c>
      <c r="G71" t="s">
        <v>142</v>
      </c>
      <c r="H71">
        <v>3.22</v>
      </c>
      <c r="I71">
        <v>3</v>
      </c>
      <c r="J71">
        <v>1</v>
      </c>
      <c r="K71">
        <v>0</v>
      </c>
      <c r="L71">
        <v>0</v>
      </c>
      <c r="M71">
        <v>5.67</v>
      </c>
      <c r="N71">
        <v>4.83</v>
      </c>
      <c r="O71">
        <v>4.5</v>
      </c>
      <c r="P71">
        <v>5.33</v>
      </c>
      <c r="Q71">
        <v>5.0999999999999996</v>
      </c>
      <c r="R71">
        <v>1</v>
      </c>
      <c r="S71">
        <v>0</v>
      </c>
      <c r="T71">
        <v>1</v>
      </c>
      <c r="U71">
        <v>0</v>
      </c>
      <c r="V71">
        <v>0</v>
      </c>
      <c r="W71">
        <v>1</v>
      </c>
      <c r="X71">
        <v>1</v>
      </c>
      <c r="Y71">
        <v>6</v>
      </c>
      <c r="Z71">
        <v>1</v>
      </c>
      <c r="AA71">
        <v>1</v>
      </c>
      <c r="AB71">
        <v>10</v>
      </c>
      <c r="AC71">
        <v>34</v>
      </c>
      <c r="AD71">
        <v>10</v>
      </c>
      <c r="AE71">
        <v>0</v>
      </c>
      <c r="AF71">
        <v>0</v>
      </c>
      <c r="AG71">
        <v>6</v>
      </c>
      <c r="AH71">
        <v>6</v>
      </c>
      <c r="AI71">
        <v>6</v>
      </c>
      <c r="AJ71">
        <v>6</v>
      </c>
      <c r="AK71">
        <v>2.5</v>
      </c>
      <c r="AL71">
        <v>6</v>
      </c>
      <c r="AM71">
        <v>1.58</v>
      </c>
      <c r="AN71">
        <v>3</v>
      </c>
      <c r="AO71">
        <v>3</v>
      </c>
      <c r="AP71">
        <v>9999</v>
      </c>
      <c r="BA71">
        <v>20</v>
      </c>
      <c r="BJ71">
        <v>8991</v>
      </c>
      <c r="BO71">
        <v>3.8</v>
      </c>
      <c r="BP71">
        <v>3.8</v>
      </c>
      <c r="BQ71">
        <v>3.8</v>
      </c>
      <c r="BR71">
        <v>3.8</v>
      </c>
      <c r="BS71">
        <v>5.3333333333333002</v>
      </c>
      <c r="BT71">
        <v>5.1666666666666998</v>
      </c>
      <c r="BU71">
        <v>4</v>
      </c>
      <c r="BV71">
        <v>3.3333333333333002</v>
      </c>
      <c r="BW71">
        <v>0.3</v>
      </c>
      <c r="BX71">
        <v>0</v>
      </c>
      <c r="BY71">
        <v>0</v>
      </c>
      <c r="BZ71">
        <v>27</v>
      </c>
      <c r="CA71">
        <v>20</v>
      </c>
      <c r="CB71">
        <v>7</v>
      </c>
      <c r="CC71">
        <v>0.63636363636364002</v>
      </c>
      <c r="CD71">
        <v>34</v>
      </c>
      <c r="CE71">
        <v>26</v>
      </c>
      <c r="CF71">
        <v>32</v>
      </c>
      <c r="CG71">
        <v>20</v>
      </c>
      <c r="CH71">
        <v>26</v>
      </c>
      <c r="CI71">
        <v>36</v>
      </c>
      <c r="CJ71">
        <v>60</v>
      </c>
      <c r="CK71">
        <v>40</v>
      </c>
      <c r="CL71">
        <v>60</v>
      </c>
      <c r="CM71">
        <v>26</v>
      </c>
      <c r="CN71">
        <v>60</v>
      </c>
      <c r="CO71">
        <v>3</v>
      </c>
      <c r="CP71">
        <v>3</v>
      </c>
      <c r="CQ71">
        <v>7</v>
      </c>
      <c r="CR71">
        <v>4</v>
      </c>
      <c r="CS71">
        <v>3</v>
      </c>
    </row>
    <row r="72" spans="1:97" x14ac:dyDescent="0.2">
      <c r="A72">
        <v>10817</v>
      </c>
      <c r="B72">
        <v>120396</v>
      </c>
      <c r="C72">
        <v>35136</v>
      </c>
      <c r="D72">
        <v>27.59</v>
      </c>
      <c r="E72" t="s">
        <v>147</v>
      </c>
      <c r="F72" t="s">
        <v>187</v>
      </c>
      <c r="G72" t="s">
        <v>141</v>
      </c>
      <c r="H72">
        <v>4.22</v>
      </c>
      <c r="I72">
        <v>2.6</v>
      </c>
      <c r="J72">
        <v>2</v>
      </c>
      <c r="K72">
        <v>7</v>
      </c>
      <c r="L72">
        <v>0</v>
      </c>
      <c r="M72">
        <v>5.17</v>
      </c>
      <c r="N72">
        <v>4</v>
      </c>
      <c r="O72">
        <v>5.63</v>
      </c>
      <c r="P72">
        <v>5.33</v>
      </c>
      <c r="Q72">
        <v>5.13</v>
      </c>
      <c r="R72">
        <v>26</v>
      </c>
      <c r="S72">
        <v>2</v>
      </c>
      <c r="T72">
        <v>23</v>
      </c>
      <c r="U72">
        <v>0</v>
      </c>
      <c r="V72">
        <v>1</v>
      </c>
      <c r="W72">
        <v>1</v>
      </c>
      <c r="X72">
        <v>7</v>
      </c>
      <c r="Y72">
        <v>2</v>
      </c>
      <c r="Z72">
        <v>1</v>
      </c>
      <c r="AA72">
        <v>2</v>
      </c>
      <c r="AB72">
        <v>13</v>
      </c>
      <c r="AC72">
        <v>30</v>
      </c>
      <c r="AD72">
        <v>13</v>
      </c>
      <c r="AE72">
        <v>0</v>
      </c>
      <c r="AF72">
        <v>0</v>
      </c>
      <c r="AG72">
        <v>5.08</v>
      </c>
      <c r="AH72">
        <v>4.5</v>
      </c>
      <c r="AI72">
        <v>3.75</v>
      </c>
      <c r="AJ72">
        <v>7</v>
      </c>
      <c r="AK72">
        <v>4.5</v>
      </c>
      <c r="AL72">
        <v>16</v>
      </c>
      <c r="AM72">
        <v>4.75</v>
      </c>
      <c r="AN72">
        <v>5</v>
      </c>
      <c r="AO72">
        <v>2.67</v>
      </c>
      <c r="AP72">
        <v>9999</v>
      </c>
      <c r="BA72">
        <v>20</v>
      </c>
      <c r="BJ72">
        <v>8991</v>
      </c>
      <c r="BO72">
        <v>2.5</v>
      </c>
      <c r="BP72">
        <v>3.4</v>
      </c>
      <c r="BQ72">
        <v>3.1</v>
      </c>
      <c r="BR72">
        <v>3</v>
      </c>
      <c r="BS72">
        <v>6</v>
      </c>
      <c r="BT72">
        <v>5.1666666666666998</v>
      </c>
      <c r="BU72">
        <v>6</v>
      </c>
      <c r="BV72">
        <v>5.1666666666666998</v>
      </c>
      <c r="BW72">
        <v>1.9</v>
      </c>
      <c r="BX72">
        <v>0</v>
      </c>
      <c r="BY72">
        <v>0</v>
      </c>
      <c r="BZ72">
        <v>24</v>
      </c>
      <c r="CA72">
        <v>20</v>
      </c>
      <c r="CB72">
        <v>10</v>
      </c>
      <c r="CC72">
        <v>0.83333333333333004</v>
      </c>
      <c r="CD72">
        <v>34</v>
      </c>
      <c r="CE72">
        <v>34</v>
      </c>
      <c r="CF72">
        <v>53</v>
      </c>
      <c r="CH72">
        <v>36</v>
      </c>
      <c r="CI72">
        <v>48</v>
      </c>
      <c r="CJ72">
        <v>60</v>
      </c>
      <c r="CK72">
        <v>44</v>
      </c>
      <c r="CL72">
        <v>60</v>
      </c>
      <c r="CM72">
        <v>31</v>
      </c>
      <c r="CN72">
        <v>60</v>
      </c>
      <c r="CO72">
        <v>2</v>
      </c>
      <c r="CP72">
        <v>2</v>
      </c>
      <c r="CQ72">
        <v>4</v>
      </c>
      <c r="CR72">
        <v>1</v>
      </c>
      <c r="CS7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6CCB-093C-E646-B531-995BBDAA3E94}">
  <sheetPr>
    <tabColor theme="5"/>
  </sheetPr>
  <dimension ref="A1:AO5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" sqref="A6"/>
    </sheetView>
  </sheetViews>
  <sheetFormatPr baseColWidth="10" defaultColWidth="21.1640625" defaultRowHeight="16" x14ac:dyDescent="0.2"/>
  <sheetData>
    <row r="1" spans="1:41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</row>
    <row r="2" spans="1:41" x14ac:dyDescent="0.2">
      <c r="A2">
        <v>558</v>
      </c>
      <c r="B2">
        <v>30467</v>
      </c>
      <c r="C2" s="1">
        <v>45000</v>
      </c>
      <c r="D2" s="1">
        <v>24498</v>
      </c>
      <c r="E2">
        <v>56.13</v>
      </c>
      <c r="F2">
        <v>4</v>
      </c>
      <c r="G2">
        <v>1</v>
      </c>
      <c r="H2">
        <v>0</v>
      </c>
      <c r="I2">
        <v>0</v>
      </c>
      <c r="J2">
        <v>0</v>
      </c>
      <c r="K2">
        <v>4</v>
      </c>
      <c r="L2">
        <v>0</v>
      </c>
      <c r="M2">
        <v>2.6111111111111098</v>
      </c>
      <c r="N2">
        <v>10</v>
      </c>
      <c r="O2">
        <v>999</v>
      </c>
      <c r="P2">
        <v>7</v>
      </c>
      <c r="Q2">
        <v>1</v>
      </c>
      <c r="R2">
        <v>999</v>
      </c>
      <c r="S2">
        <v>8</v>
      </c>
      <c r="T2">
        <v>4.1666666666666599</v>
      </c>
      <c r="U2">
        <v>6</v>
      </c>
      <c r="V2">
        <v>4</v>
      </c>
      <c r="W2">
        <v>6</v>
      </c>
      <c r="X2">
        <v>6</v>
      </c>
      <c r="AB2">
        <v>2</v>
      </c>
      <c r="AC2">
        <v>21701</v>
      </c>
      <c r="AD2">
        <v>6</v>
      </c>
      <c r="AE2">
        <v>0</v>
      </c>
      <c r="AN2">
        <v>0</v>
      </c>
    </row>
    <row r="3" spans="1:41" x14ac:dyDescent="0.2">
      <c r="A3">
        <v>563</v>
      </c>
      <c r="B3">
        <v>111170</v>
      </c>
      <c r="C3" s="1">
        <v>45001</v>
      </c>
      <c r="D3" s="1">
        <v>25896</v>
      </c>
      <c r="E3">
        <v>52.31</v>
      </c>
      <c r="F3">
        <v>3</v>
      </c>
      <c r="G3">
        <v>1</v>
      </c>
      <c r="H3">
        <v>1</v>
      </c>
      <c r="I3">
        <v>0</v>
      </c>
      <c r="J3">
        <v>5</v>
      </c>
      <c r="L3">
        <v>0</v>
      </c>
      <c r="M3">
        <v>2.2777777777777701</v>
      </c>
      <c r="N3">
        <v>9</v>
      </c>
      <c r="O3">
        <v>999</v>
      </c>
      <c r="P3">
        <v>6</v>
      </c>
      <c r="Q3">
        <v>3</v>
      </c>
      <c r="R3">
        <v>999</v>
      </c>
      <c r="S3">
        <v>9</v>
      </c>
      <c r="T3">
        <v>4.5833333333333304</v>
      </c>
      <c r="U3">
        <v>4</v>
      </c>
      <c r="V3">
        <v>0</v>
      </c>
      <c r="W3">
        <v>3</v>
      </c>
      <c r="X3">
        <v>4</v>
      </c>
      <c r="AB3">
        <v>1</v>
      </c>
      <c r="AC3">
        <v>10550</v>
      </c>
      <c r="AD3">
        <v>3</v>
      </c>
      <c r="AE3">
        <v>0</v>
      </c>
    </row>
    <row r="4" spans="1:41" x14ac:dyDescent="0.2">
      <c r="A4">
        <v>591</v>
      </c>
      <c r="B4">
        <v>190388</v>
      </c>
      <c r="C4" s="1">
        <v>45000</v>
      </c>
      <c r="D4" s="1">
        <v>32302</v>
      </c>
      <c r="E4">
        <v>34.770000000000003</v>
      </c>
      <c r="F4">
        <v>4</v>
      </c>
      <c r="G4">
        <v>1</v>
      </c>
      <c r="H4">
        <v>1</v>
      </c>
      <c r="I4">
        <v>0</v>
      </c>
      <c r="J4">
        <v>1</v>
      </c>
      <c r="L4">
        <v>28</v>
      </c>
      <c r="M4">
        <v>1.55555555555555</v>
      </c>
      <c r="N4">
        <v>7</v>
      </c>
      <c r="O4">
        <v>999</v>
      </c>
      <c r="P4">
        <v>7</v>
      </c>
      <c r="Q4">
        <v>1</v>
      </c>
      <c r="R4">
        <v>999</v>
      </c>
      <c r="S4">
        <v>1</v>
      </c>
      <c r="T4">
        <v>5</v>
      </c>
      <c r="U4">
        <v>4</v>
      </c>
      <c r="V4">
        <v>3</v>
      </c>
      <c r="W4">
        <v>5</v>
      </c>
      <c r="X4">
        <v>4</v>
      </c>
      <c r="AB4">
        <v>3</v>
      </c>
      <c r="AC4">
        <v>8107</v>
      </c>
      <c r="AD4">
        <v>5</v>
      </c>
      <c r="AE4">
        <v>0</v>
      </c>
    </row>
    <row r="5" spans="1:41" x14ac:dyDescent="0.2">
      <c r="A5">
        <v>597</v>
      </c>
      <c r="B5">
        <v>180362</v>
      </c>
      <c r="C5" s="1">
        <v>45000</v>
      </c>
      <c r="D5" s="1">
        <v>22879</v>
      </c>
      <c r="E5">
        <v>60.57</v>
      </c>
      <c r="F5">
        <v>4</v>
      </c>
      <c r="G5">
        <v>0</v>
      </c>
      <c r="H5">
        <v>2</v>
      </c>
      <c r="I5">
        <v>0</v>
      </c>
      <c r="J5">
        <v>0</v>
      </c>
      <c r="L5">
        <v>27</v>
      </c>
      <c r="M5">
        <v>2.88888888888888</v>
      </c>
      <c r="N5">
        <v>8</v>
      </c>
      <c r="O5">
        <v>999</v>
      </c>
      <c r="P5">
        <v>6</v>
      </c>
      <c r="Q5">
        <v>10</v>
      </c>
      <c r="R5">
        <v>999</v>
      </c>
      <c r="S5">
        <v>8</v>
      </c>
      <c r="T5">
        <v>3.5</v>
      </c>
      <c r="U5">
        <v>4</v>
      </c>
      <c r="V5">
        <v>4</v>
      </c>
      <c r="W5">
        <v>6</v>
      </c>
      <c r="X5">
        <v>4</v>
      </c>
      <c r="AB5">
        <v>3</v>
      </c>
      <c r="AC5">
        <v>19810</v>
      </c>
      <c r="AD5">
        <v>6</v>
      </c>
      <c r="AE5">
        <v>1</v>
      </c>
      <c r="AN5">
        <v>3</v>
      </c>
    </row>
    <row r="6" spans="1:41" x14ac:dyDescent="0.2">
      <c r="A6">
        <v>603</v>
      </c>
      <c r="B6">
        <v>102394</v>
      </c>
      <c r="C6" s="1">
        <v>45001</v>
      </c>
      <c r="D6" s="1">
        <v>34656</v>
      </c>
      <c r="E6">
        <v>28.32</v>
      </c>
      <c r="F6">
        <v>4</v>
      </c>
      <c r="G6">
        <v>1</v>
      </c>
      <c r="H6">
        <v>2</v>
      </c>
      <c r="I6">
        <v>3</v>
      </c>
      <c r="J6">
        <v>3</v>
      </c>
      <c r="L6">
        <v>28</v>
      </c>
      <c r="M6">
        <v>2.7777777777777701</v>
      </c>
      <c r="N6">
        <v>12</v>
      </c>
      <c r="O6">
        <v>999</v>
      </c>
      <c r="P6">
        <v>6</v>
      </c>
      <c r="Q6">
        <v>3</v>
      </c>
      <c r="R6">
        <v>999</v>
      </c>
      <c r="S6">
        <v>10</v>
      </c>
      <c r="T6">
        <v>4.75</v>
      </c>
      <c r="U6">
        <v>6</v>
      </c>
      <c r="V6">
        <v>3</v>
      </c>
      <c r="W6">
        <v>6</v>
      </c>
      <c r="X6">
        <v>6</v>
      </c>
      <c r="AB6">
        <v>1</v>
      </c>
      <c r="AC6">
        <v>7452</v>
      </c>
      <c r="AD6">
        <v>6</v>
      </c>
      <c r="AE6">
        <v>0</v>
      </c>
    </row>
    <row r="7" spans="1:41" x14ac:dyDescent="0.2">
      <c r="A7">
        <v>626</v>
      </c>
      <c r="B7">
        <v>31353</v>
      </c>
      <c r="C7" s="1">
        <v>45001</v>
      </c>
      <c r="D7" s="1">
        <v>19397</v>
      </c>
      <c r="E7">
        <v>70.099999999999994</v>
      </c>
      <c r="F7">
        <v>3</v>
      </c>
      <c r="G7">
        <v>0</v>
      </c>
      <c r="H7">
        <v>4</v>
      </c>
      <c r="I7">
        <v>0</v>
      </c>
      <c r="J7">
        <v>2</v>
      </c>
      <c r="L7">
        <v>25</v>
      </c>
      <c r="M7">
        <v>1.94444444444444</v>
      </c>
      <c r="N7">
        <v>12</v>
      </c>
      <c r="O7">
        <v>999</v>
      </c>
      <c r="P7">
        <v>2</v>
      </c>
      <c r="Q7">
        <v>0</v>
      </c>
      <c r="R7">
        <v>999</v>
      </c>
      <c r="S7">
        <v>7</v>
      </c>
      <c r="T7">
        <v>2.6666666666666599</v>
      </c>
      <c r="U7">
        <v>5</v>
      </c>
      <c r="V7">
        <v>0</v>
      </c>
      <c r="W7">
        <v>7</v>
      </c>
      <c r="X7">
        <v>5</v>
      </c>
      <c r="AB7">
        <v>1</v>
      </c>
      <c r="AC7">
        <v>19132</v>
      </c>
      <c r="AD7">
        <v>7</v>
      </c>
      <c r="AE7">
        <v>0</v>
      </c>
      <c r="AG7" s="6">
        <v>0</v>
      </c>
      <c r="AH7" s="6">
        <v>0</v>
      </c>
    </row>
    <row r="8" spans="1:41" x14ac:dyDescent="0.2">
      <c r="A8">
        <v>629</v>
      </c>
      <c r="B8">
        <v>122098</v>
      </c>
      <c r="C8" s="1">
        <v>45001</v>
      </c>
      <c r="D8" s="1">
        <v>35839</v>
      </c>
      <c r="E8">
        <v>25.08</v>
      </c>
      <c r="F8">
        <v>4</v>
      </c>
      <c r="G8">
        <v>2</v>
      </c>
      <c r="H8">
        <v>5</v>
      </c>
      <c r="I8">
        <v>3</v>
      </c>
      <c r="J8">
        <v>2</v>
      </c>
      <c r="L8">
        <v>31</v>
      </c>
      <c r="M8">
        <v>2</v>
      </c>
      <c r="N8">
        <v>7</v>
      </c>
      <c r="O8">
        <v>999</v>
      </c>
      <c r="P8">
        <v>6</v>
      </c>
      <c r="Q8">
        <v>6</v>
      </c>
      <c r="R8">
        <v>999</v>
      </c>
      <c r="S8">
        <v>9</v>
      </c>
      <c r="T8">
        <v>4.5</v>
      </c>
      <c r="U8">
        <v>6</v>
      </c>
      <c r="V8">
        <v>3</v>
      </c>
      <c r="W8">
        <v>3</v>
      </c>
      <c r="X8">
        <v>6</v>
      </c>
      <c r="AB8">
        <v>1</v>
      </c>
      <c r="AC8">
        <v>8108</v>
      </c>
      <c r="AD8">
        <v>3</v>
      </c>
      <c r="AE8">
        <v>0</v>
      </c>
    </row>
    <row r="9" spans="1:41" x14ac:dyDescent="0.2">
      <c r="A9">
        <v>637</v>
      </c>
      <c r="B9">
        <v>30667</v>
      </c>
      <c r="C9" s="1">
        <v>45000</v>
      </c>
      <c r="D9" s="1">
        <v>24670</v>
      </c>
      <c r="E9">
        <v>55.66</v>
      </c>
      <c r="F9">
        <v>3</v>
      </c>
      <c r="G9">
        <v>1</v>
      </c>
      <c r="H9">
        <v>0</v>
      </c>
      <c r="I9">
        <v>0</v>
      </c>
      <c r="J9">
        <v>1</v>
      </c>
      <c r="L9">
        <v>29</v>
      </c>
      <c r="M9">
        <v>1.7777777777777699</v>
      </c>
      <c r="N9">
        <v>10</v>
      </c>
      <c r="O9">
        <v>999</v>
      </c>
      <c r="P9">
        <v>7</v>
      </c>
      <c r="Q9">
        <v>0</v>
      </c>
      <c r="R9">
        <v>999</v>
      </c>
      <c r="S9">
        <v>3</v>
      </c>
      <c r="T9">
        <v>2.3333333333333299</v>
      </c>
      <c r="U9">
        <v>4</v>
      </c>
      <c r="V9">
        <v>1</v>
      </c>
      <c r="W9">
        <v>1</v>
      </c>
      <c r="X9">
        <v>4</v>
      </c>
      <c r="AB9">
        <v>1</v>
      </c>
      <c r="AC9">
        <v>19121</v>
      </c>
      <c r="AD9">
        <v>1</v>
      </c>
      <c r="AE9">
        <v>0</v>
      </c>
      <c r="AN9">
        <v>8</v>
      </c>
    </row>
    <row r="10" spans="1:41" x14ac:dyDescent="0.2">
      <c r="A10">
        <v>638</v>
      </c>
      <c r="B10">
        <v>10452</v>
      </c>
      <c r="C10" s="1">
        <v>45093</v>
      </c>
      <c r="D10" s="1">
        <v>18999</v>
      </c>
      <c r="E10">
        <v>71.44</v>
      </c>
      <c r="F10">
        <v>4</v>
      </c>
      <c r="G10">
        <v>1</v>
      </c>
      <c r="H10">
        <v>3</v>
      </c>
      <c r="I10">
        <v>0</v>
      </c>
      <c r="J10">
        <v>0</v>
      </c>
      <c r="K10">
        <v>3</v>
      </c>
      <c r="L10">
        <v>0</v>
      </c>
      <c r="M10">
        <v>2.8125</v>
      </c>
      <c r="N10">
        <v>8</v>
      </c>
      <c r="O10">
        <v>7</v>
      </c>
      <c r="P10">
        <v>7</v>
      </c>
      <c r="Q10">
        <v>2</v>
      </c>
      <c r="R10">
        <v>12</v>
      </c>
      <c r="S10">
        <v>9</v>
      </c>
      <c r="T10">
        <v>4.3333333333333304</v>
      </c>
      <c r="U10">
        <v>5</v>
      </c>
      <c r="V10">
        <v>3</v>
      </c>
      <c r="W10">
        <v>7</v>
      </c>
      <c r="X10">
        <v>5</v>
      </c>
      <c r="AB10">
        <v>1</v>
      </c>
      <c r="AC10">
        <v>19138</v>
      </c>
      <c r="AD10">
        <v>7</v>
      </c>
      <c r="AE10">
        <v>0</v>
      </c>
      <c r="AI10">
        <v>15</v>
      </c>
      <c r="AJ10">
        <v>9</v>
      </c>
      <c r="AK10">
        <v>9</v>
      </c>
      <c r="AL10">
        <v>13</v>
      </c>
      <c r="AM10">
        <v>15</v>
      </c>
      <c r="AN10">
        <v>2</v>
      </c>
    </row>
    <row r="11" spans="1:41" x14ac:dyDescent="0.2">
      <c r="A11">
        <v>645</v>
      </c>
      <c r="B11">
        <v>31686</v>
      </c>
      <c r="C11" s="1">
        <v>45000</v>
      </c>
      <c r="D11" s="1">
        <v>31510</v>
      </c>
      <c r="E11">
        <v>36.93</v>
      </c>
      <c r="F11">
        <v>1</v>
      </c>
      <c r="G11">
        <v>1</v>
      </c>
      <c r="H11">
        <v>1</v>
      </c>
      <c r="I11">
        <v>0</v>
      </c>
      <c r="J11">
        <v>1</v>
      </c>
      <c r="L11">
        <v>0</v>
      </c>
      <c r="M11">
        <v>2.2777777777777701</v>
      </c>
      <c r="N11">
        <v>12</v>
      </c>
      <c r="O11">
        <v>999</v>
      </c>
      <c r="P11">
        <v>5</v>
      </c>
      <c r="Q11">
        <v>4</v>
      </c>
      <c r="R11">
        <v>999</v>
      </c>
      <c r="S11">
        <v>8</v>
      </c>
      <c r="T11">
        <v>3.5833333333333299</v>
      </c>
      <c r="U11">
        <v>4</v>
      </c>
      <c r="V11">
        <v>1</v>
      </c>
      <c r="W11">
        <v>2</v>
      </c>
      <c r="X11">
        <v>4</v>
      </c>
      <c r="AB11">
        <v>3</v>
      </c>
      <c r="AD11">
        <v>2</v>
      </c>
      <c r="AE11">
        <v>0</v>
      </c>
    </row>
    <row r="12" spans="1:41" x14ac:dyDescent="0.2">
      <c r="A12">
        <v>647</v>
      </c>
      <c r="B12">
        <v>111077</v>
      </c>
      <c r="C12" s="1">
        <v>45000</v>
      </c>
      <c r="D12" s="1">
        <v>28302</v>
      </c>
      <c r="E12">
        <v>45.72</v>
      </c>
      <c r="F12">
        <v>4</v>
      </c>
      <c r="G12">
        <v>1</v>
      </c>
      <c r="H12">
        <v>0</v>
      </c>
      <c r="I12">
        <v>36</v>
      </c>
      <c r="J12">
        <v>5</v>
      </c>
      <c r="L12">
        <v>25</v>
      </c>
      <c r="M12">
        <v>2.88888888888888</v>
      </c>
      <c r="N12">
        <v>12</v>
      </c>
      <c r="O12">
        <v>999</v>
      </c>
      <c r="P12">
        <v>8</v>
      </c>
      <c r="Q12">
        <v>0</v>
      </c>
      <c r="R12">
        <v>999</v>
      </c>
      <c r="S12">
        <v>8</v>
      </c>
      <c r="T12">
        <v>4.4166666666666599</v>
      </c>
      <c r="U12">
        <v>4</v>
      </c>
      <c r="V12">
        <v>1</v>
      </c>
      <c r="W12">
        <v>2</v>
      </c>
      <c r="X12">
        <v>4</v>
      </c>
      <c r="AC12">
        <v>19135</v>
      </c>
      <c r="AD12">
        <v>2</v>
      </c>
      <c r="AE12">
        <v>0</v>
      </c>
    </row>
    <row r="13" spans="1:41" x14ac:dyDescent="0.2">
      <c r="A13">
        <v>648</v>
      </c>
      <c r="B13">
        <v>121075</v>
      </c>
      <c r="C13" s="1">
        <v>45000</v>
      </c>
      <c r="D13" s="1">
        <v>27429</v>
      </c>
      <c r="E13">
        <v>48.11</v>
      </c>
      <c r="F13">
        <v>3</v>
      </c>
      <c r="G13">
        <v>1</v>
      </c>
      <c r="H13">
        <v>3</v>
      </c>
      <c r="I13">
        <v>0</v>
      </c>
      <c r="J13">
        <v>1</v>
      </c>
      <c r="L13">
        <v>0</v>
      </c>
      <c r="M13">
        <v>2.4444444444444402</v>
      </c>
      <c r="N13">
        <v>9</v>
      </c>
      <c r="O13">
        <v>999</v>
      </c>
      <c r="P13">
        <v>6</v>
      </c>
      <c r="Q13">
        <v>3</v>
      </c>
      <c r="R13">
        <v>999</v>
      </c>
      <c r="S13">
        <v>9</v>
      </c>
      <c r="T13">
        <v>2.25</v>
      </c>
      <c r="U13">
        <v>4</v>
      </c>
      <c r="V13">
        <v>1</v>
      </c>
      <c r="W13">
        <v>5</v>
      </c>
      <c r="X13">
        <v>4</v>
      </c>
      <c r="AB13">
        <v>3</v>
      </c>
      <c r="AC13">
        <v>19138</v>
      </c>
      <c r="AD13">
        <v>5</v>
      </c>
      <c r="AE13">
        <v>1</v>
      </c>
    </row>
    <row r="14" spans="1:41" x14ac:dyDescent="0.2">
      <c r="A14">
        <v>676</v>
      </c>
      <c r="B14">
        <v>190349</v>
      </c>
      <c r="C14" s="1">
        <v>45000</v>
      </c>
      <c r="D14" s="1">
        <v>18203</v>
      </c>
      <c r="E14">
        <v>73.37</v>
      </c>
      <c r="F14">
        <v>4</v>
      </c>
      <c r="G14">
        <v>1</v>
      </c>
      <c r="H14">
        <v>3</v>
      </c>
      <c r="I14">
        <v>0</v>
      </c>
      <c r="J14">
        <v>0</v>
      </c>
      <c r="K14">
        <v>0</v>
      </c>
      <c r="L14">
        <v>28</v>
      </c>
      <c r="M14">
        <v>2.4444444444444402</v>
      </c>
      <c r="N14">
        <v>11</v>
      </c>
      <c r="O14">
        <v>999</v>
      </c>
      <c r="P14">
        <v>6</v>
      </c>
      <c r="Q14">
        <v>0</v>
      </c>
      <c r="R14">
        <v>999</v>
      </c>
      <c r="S14">
        <v>9</v>
      </c>
      <c r="T14">
        <v>5</v>
      </c>
      <c r="U14">
        <v>6</v>
      </c>
      <c r="V14">
        <v>3</v>
      </c>
      <c r="W14">
        <v>8</v>
      </c>
      <c r="X14">
        <v>6</v>
      </c>
      <c r="AB14">
        <v>1</v>
      </c>
      <c r="AC14">
        <v>2174</v>
      </c>
      <c r="AD14">
        <v>8</v>
      </c>
      <c r="AE14">
        <v>0</v>
      </c>
      <c r="AN14">
        <v>3</v>
      </c>
    </row>
    <row r="15" spans="1:41" x14ac:dyDescent="0.2">
      <c r="A15">
        <v>688</v>
      </c>
      <c r="B15">
        <v>11368</v>
      </c>
      <c r="C15" s="1">
        <v>45004</v>
      </c>
      <c r="D15" s="1">
        <v>25095</v>
      </c>
      <c r="E15">
        <v>54.51</v>
      </c>
      <c r="F15">
        <v>4</v>
      </c>
      <c r="G15">
        <v>1</v>
      </c>
      <c r="H15">
        <v>0</v>
      </c>
      <c r="I15">
        <v>0</v>
      </c>
      <c r="J15">
        <v>0</v>
      </c>
      <c r="L15">
        <v>27</v>
      </c>
      <c r="M15">
        <v>2.55555555555555</v>
      </c>
      <c r="N15">
        <v>12</v>
      </c>
      <c r="O15">
        <v>999</v>
      </c>
      <c r="P15">
        <v>6</v>
      </c>
      <c r="Q15">
        <v>1</v>
      </c>
      <c r="R15">
        <v>999</v>
      </c>
      <c r="S15">
        <v>10</v>
      </c>
      <c r="T15">
        <v>4.6666666666666599</v>
      </c>
      <c r="U15">
        <v>5</v>
      </c>
      <c r="V15">
        <v>5</v>
      </c>
      <c r="W15">
        <v>6</v>
      </c>
      <c r="X15">
        <v>5</v>
      </c>
      <c r="AB15">
        <v>4</v>
      </c>
      <c r="AD15">
        <v>6</v>
      </c>
      <c r="AE15">
        <v>0</v>
      </c>
    </row>
    <row r="16" spans="1:41" x14ac:dyDescent="0.2">
      <c r="A16">
        <v>702</v>
      </c>
      <c r="B16">
        <v>130282</v>
      </c>
      <c r="C16" s="1">
        <v>45002</v>
      </c>
      <c r="D16" s="1">
        <v>30274</v>
      </c>
      <c r="E16">
        <v>40.32</v>
      </c>
      <c r="F16">
        <v>4</v>
      </c>
      <c r="G16">
        <v>0</v>
      </c>
      <c r="H16">
        <v>0</v>
      </c>
      <c r="I16">
        <v>0</v>
      </c>
      <c r="J16">
        <v>0</v>
      </c>
      <c r="L16">
        <v>28</v>
      </c>
      <c r="M16">
        <v>2.5</v>
      </c>
      <c r="N16">
        <v>12</v>
      </c>
      <c r="O16">
        <v>999</v>
      </c>
      <c r="P16">
        <v>7</v>
      </c>
      <c r="Q16">
        <v>3</v>
      </c>
      <c r="R16">
        <v>999</v>
      </c>
      <c r="S16">
        <v>6</v>
      </c>
      <c r="T16">
        <v>3.8333333333333299</v>
      </c>
      <c r="U16">
        <v>5</v>
      </c>
      <c r="V16">
        <v>1</v>
      </c>
      <c r="W16">
        <v>7</v>
      </c>
      <c r="X16">
        <v>5</v>
      </c>
      <c r="AC16">
        <v>17552</v>
      </c>
      <c r="AD16">
        <v>7</v>
      </c>
      <c r="AE16">
        <v>0</v>
      </c>
    </row>
    <row r="17" spans="1:40" x14ac:dyDescent="0.2">
      <c r="A17">
        <v>713</v>
      </c>
      <c r="B17">
        <v>30380</v>
      </c>
      <c r="C17" s="1">
        <v>45000</v>
      </c>
      <c r="D17" s="1">
        <v>29354</v>
      </c>
      <c r="E17">
        <v>42.84</v>
      </c>
      <c r="F17">
        <v>4</v>
      </c>
      <c r="G17">
        <v>1</v>
      </c>
      <c r="H17">
        <v>2</v>
      </c>
      <c r="I17">
        <v>0</v>
      </c>
      <c r="J17">
        <v>2</v>
      </c>
      <c r="L17">
        <v>28</v>
      </c>
      <c r="M17">
        <v>1.88888888888888</v>
      </c>
      <c r="N17">
        <v>6</v>
      </c>
      <c r="O17">
        <v>999</v>
      </c>
      <c r="P17">
        <v>4</v>
      </c>
      <c r="Q17">
        <v>2</v>
      </c>
      <c r="R17">
        <v>999</v>
      </c>
      <c r="S17">
        <v>6</v>
      </c>
      <c r="T17">
        <v>4.3333333333333304</v>
      </c>
      <c r="U17">
        <v>4</v>
      </c>
      <c r="V17">
        <v>4</v>
      </c>
      <c r="W17">
        <v>5</v>
      </c>
      <c r="X17">
        <v>4</v>
      </c>
      <c r="AB17">
        <v>3</v>
      </c>
      <c r="AC17">
        <v>31904</v>
      </c>
      <c r="AD17">
        <v>5</v>
      </c>
      <c r="AE17">
        <v>0</v>
      </c>
    </row>
    <row r="18" spans="1:40" x14ac:dyDescent="0.2">
      <c r="A18">
        <v>719</v>
      </c>
      <c r="B18">
        <v>121386</v>
      </c>
      <c r="C18" s="1">
        <v>45001</v>
      </c>
      <c r="D18" s="1">
        <v>31437</v>
      </c>
      <c r="E18">
        <v>37.14</v>
      </c>
      <c r="F18">
        <v>4</v>
      </c>
      <c r="G18">
        <v>1</v>
      </c>
      <c r="H18">
        <v>1</v>
      </c>
      <c r="I18">
        <v>0</v>
      </c>
      <c r="J18">
        <v>1</v>
      </c>
      <c r="L18">
        <v>0</v>
      </c>
      <c r="M18">
        <v>2.7222222222222201</v>
      </c>
      <c r="N18">
        <v>8</v>
      </c>
      <c r="O18">
        <v>999</v>
      </c>
      <c r="P18">
        <v>8</v>
      </c>
      <c r="Q18">
        <v>3</v>
      </c>
      <c r="R18">
        <v>999</v>
      </c>
      <c r="S18">
        <v>11</v>
      </c>
      <c r="T18">
        <v>5</v>
      </c>
      <c r="U18">
        <v>6</v>
      </c>
      <c r="V18">
        <v>3</v>
      </c>
      <c r="W18">
        <v>7</v>
      </c>
      <c r="X18">
        <v>6</v>
      </c>
      <c r="AB18">
        <v>2</v>
      </c>
      <c r="AC18">
        <v>49862</v>
      </c>
      <c r="AD18">
        <v>7</v>
      </c>
      <c r="AE18">
        <v>0</v>
      </c>
    </row>
    <row r="19" spans="1:40" x14ac:dyDescent="0.2">
      <c r="A19">
        <v>721</v>
      </c>
      <c r="B19">
        <v>181360</v>
      </c>
      <c r="C19" s="1">
        <v>45000</v>
      </c>
      <c r="D19" s="1">
        <v>22237</v>
      </c>
      <c r="E19">
        <v>62.32</v>
      </c>
      <c r="F19">
        <v>3</v>
      </c>
      <c r="G19">
        <v>1</v>
      </c>
      <c r="H19">
        <v>3</v>
      </c>
      <c r="I19">
        <v>0</v>
      </c>
      <c r="J19">
        <v>7</v>
      </c>
      <c r="L19">
        <v>29</v>
      </c>
      <c r="M19">
        <v>1.6666666666666601</v>
      </c>
      <c r="N19">
        <v>10</v>
      </c>
      <c r="O19">
        <v>999</v>
      </c>
      <c r="P19">
        <v>8</v>
      </c>
      <c r="Q19">
        <v>0</v>
      </c>
      <c r="R19">
        <v>999</v>
      </c>
      <c r="S19">
        <v>1</v>
      </c>
      <c r="T19">
        <v>3.4166666666666599</v>
      </c>
      <c r="U19">
        <v>4</v>
      </c>
      <c r="V19">
        <v>0</v>
      </c>
      <c r="W19">
        <v>1</v>
      </c>
      <c r="X19">
        <v>4</v>
      </c>
      <c r="AB19">
        <v>1</v>
      </c>
      <c r="AC19">
        <v>19131</v>
      </c>
      <c r="AD19">
        <v>1</v>
      </c>
      <c r="AE19">
        <v>1</v>
      </c>
    </row>
    <row r="20" spans="1:40" x14ac:dyDescent="0.2">
      <c r="A20">
        <v>727</v>
      </c>
      <c r="B20">
        <v>10686</v>
      </c>
      <c r="C20" s="1">
        <v>45000</v>
      </c>
      <c r="D20" s="1">
        <v>31682</v>
      </c>
      <c r="E20">
        <v>36.46</v>
      </c>
      <c r="F20">
        <v>4</v>
      </c>
      <c r="G20">
        <v>1</v>
      </c>
      <c r="H20">
        <v>0</v>
      </c>
      <c r="I20">
        <v>0</v>
      </c>
      <c r="J20">
        <v>2</v>
      </c>
      <c r="L20">
        <v>0</v>
      </c>
      <c r="M20">
        <v>3.2777777777777701</v>
      </c>
      <c r="N20">
        <v>12</v>
      </c>
      <c r="O20">
        <v>999</v>
      </c>
      <c r="P20">
        <v>8</v>
      </c>
      <c r="Q20">
        <v>4</v>
      </c>
      <c r="R20">
        <v>999</v>
      </c>
      <c r="S20">
        <v>12</v>
      </c>
      <c r="T20">
        <v>3.4166666666666599</v>
      </c>
      <c r="U20">
        <v>5</v>
      </c>
      <c r="V20">
        <v>1</v>
      </c>
      <c r="W20">
        <v>4</v>
      </c>
      <c r="X20">
        <v>5</v>
      </c>
      <c r="AB20">
        <v>2</v>
      </c>
      <c r="AC20">
        <v>19711</v>
      </c>
      <c r="AD20">
        <v>4</v>
      </c>
      <c r="AE20">
        <v>0</v>
      </c>
    </row>
    <row r="21" spans="1:40" x14ac:dyDescent="0.2">
      <c r="A21">
        <v>729</v>
      </c>
      <c r="B21">
        <v>121062</v>
      </c>
      <c r="C21" s="1">
        <v>45001</v>
      </c>
      <c r="D21" s="1">
        <v>22760</v>
      </c>
      <c r="E21">
        <v>60.89</v>
      </c>
      <c r="F21">
        <v>3</v>
      </c>
      <c r="G21">
        <v>1</v>
      </c>
      <c r="H21">
        <v>2</v>
      </c>
      <c r="I21">
        <v>0</v>
      </c>
      <c r="J21">
        <v>0</v>
      </c>
      <c r="L21">
        <v>28</v>
      </c>
      <c r="M21">
        <v>1.88888888888888</v>
      </c>
      <c r="N21">
        <v>11</v>
      </c>
      <c r="O21">
        <v>999</v>
      </c>
      <c r="P21">
        <v>3</v>
      </c>
      <c r="Q21">
        <v>0</v>
      </c>
      <c r="R21">
        <v>999</v>
      </c>
      <c r="S21">
        <v>8</v>
      </c>
      <c r="T21">
        <v>3.9166666666666599</v>
      </c>
      <c r="U21">
        <v>6</v>
      </c>
      <c r="V21">
        <v>2</v>
      </c>
      <c r="W21">
        <v>7</v>
      </c>
      <c r="X21">
        <v>6</v>
      </c>
      <c r="AB21">
        <v>1</v>
      </c>
      <c r="AC21">
        <v>19119</v>
      </c>
      <c r="AD21">
        <v>7</v>
      </c>
      <c r="AE21">
        <v>0</v>
      </c>
      <c r="AN21">
        <v>1</v>
      </c>
    </row>
    <row r="22" spans="1:40" x14ac:dyDescent="0.2">
      <c r="A22">
        <v>745</v>
      </c>
      <c r="B22">
        <v>191879</v>
      </c>
      <c r="C22" s="1">
        <v>45000</v>
      </c>
      <c r="D22" s="1">
        <v>29119</v>
      </c>
      <c r="E22">
        <v>43.48</v>
      </c>
      <c r="F22">
        <v>3</v>
      </c>
      <c r="G22">
        <v>1</v>
      </c>
      <c r="H22">
        <v>4</v>
      </c>
      <c r="I22">
        <v>0</v>
      </c>
      <c r="J22">
        <v>2</v>
      </c>
      <c r="L22">
        <v>27</v>
      </c>
      <c r="M22">
        <v>2.7777777777777701</v>
      </c>
      <c r="N22">
        <v>12</v>
      </c>
      <c r="O22">
        <v>999</v>
      </c>
      <c r="P22">
        <v>6</v>
      </c>
      <c r="Q22">
        <v>3</v>
      </c>
      <c r="R22">
        <v>999</v>
      </c>
      <c r="S22">
        <v>12</v>
      </c>
      <c r="T22">
        <v>5</v>
      </c>
      <c r="U22">
        <v>4</v>
      </c>
      <c r="V22">
        <v>1</v>
      </c>
      <c r="W22">
        <v>10</v>
      </c>
      <c r="X22">
        <v>4</v>
      </c>
      <c r="AB22">
        <v>2</v>
      </c>
      <c r="AC22">
        <v>19132</v>
      </c>
      <c r="AD22">
        <v>10</v>
      </c>
      <c r="AE22">
        <v>1</v>
      </c>
    </row>
    <row r="23" spans="1:40" x14ac:dyDescent="0.2">
      <c r="A23">
        <v>750</v>
      </c>
      <c r="B23">
        <v>102582</v>
      </c>
      <c r="C23" s="1">
        <v>45000</v>
      </c>
      <c r="D23" s="1">
        <v>30166</v>
      </c>
      <c r="E23">
        <v>40.61</v>
      </c>
      <c r="F23">
        <v>4</v>
      </c>
      <c r="G23">
        <v>1</v>
      </c>
      <c r="H23">
        <v>0</v>
      </c>
      <c r="I23">
        <v>0</v>
      </c>
      <c r="J23">
        <v>5</v>
      </c>
      <c r="L23">
        <v>0</v>
      </c>
      <c r="M23">
        <v>2.6111111111111098</v>
      </c>
      <c r="N23">
        <v>12</v>
      </c>
      <c r="O23">
        <v>999</v>
      </c>
      <c r="P23">
        <v>6</v>
      </c>
      <c r="Q23">
        <v>4</v>
      </c>
      <c r="R23">
        <v>999</v>
      </c>
      <c r="S23">
        <v>12</v>
      </c>
      <c r="T23">
        <v>4</v>
      </c>
      <c r="U23">
        <v>5</v>
      </c>
      <c r="V23">
        <v>3</v>
      </c>
      <c r="W23">
        <v>4</v>
      </c>
      <c r="X23">
        <v>5</v>
      </c>
      <c r="AB23">
        <v>1</v>
      </c>
      <c r="AC23">
        <v>19422</v>
      </c>
      <c r="AD23">
        <v>4</v>
      </c>
      <c r="AE23">
        <v>0</v>
      </c>
    </row>
    <row r="24" spans="1:40" x14ac:dyDescent="0.2">
      <c r="A24">
        <v>755</v>
      </c>
      <c r="B24">
        <v>192367</v>
      </c>
      <c r="C24" s="1">
        <v>45000</v>
      </c>
      <c r="D24" s="1">
        <v>24629</v>
      </c>
      <c r="E24">
        <v>55.77</v>
      </c>
      <c r="F24">
        <v>4</v>
      </c>
      <c r="G24">
        <v>1</v>
      </c>
      <c r="H24">
        <v>2</v>
      </c>
      <c r="I24">
        <v>0</v>
      </c>
      <c r="J24">
        <v>3</v>
      </c>
      <c r="L24">
        <v>0</v>
      </c>
      <c r="M24">
        <v>2.0555555555556002</v>
      </c>
      <c r="N24">
        <v>8</v>
      </c>
      <c r="O24">
        <v>999</v>
      </c>
      <c r="P24">
        <v>6</v>
      </c>
      <c r="Q24">
        <v>2</v>
      </c>
      <c r="R24">
        <v>999</v>
      </c>
      <c r="S24">
        <v>6</v>
      </c>
      <c r="T24">
        <v>3.3333333333333299</v>
      </c>
      <c r="U24">
        <v>5</v>
      </c>
      <c r="V24">
        <v>0</v>
      </c>
      <c r="W24">
        <v>5</v>
      </c>
      <c r="X24">
        <v>5</v>
      </c>
      <c r="AC24">
        <v>23464</v>
      </c>
      <c r="AD24">
        <v>5</v>
      </c>
      <c r="AE24">
        <v>1</v>
      </c>
      <c r="AN24">
        <v>0</v>
      </c>
    </row>
    <row r="25" spans="1:40" x14ac:dyDescent="0.2">
      <c r="A25">
        <v>770</v>
      </c>
      <c r="B25">
        <v>101854</v>
      </c>
      <c r="C25" s="1">
        <v>45000</v>
      </c>
      <c r="D25" s="1">
        <v>20063</v>
      </c>
      <c r="E25">
        <v>68.28</v>
      </c>
      <c r="F25">
        <v>3</v>
      </c>
      <c r="G25">
        <v>1</v>
      </c>
      <c r="H25">
        <v>1</v>
      </c>
      <c r="I25">
        <v>0</v>
      </c>
      <c r="J25">
        <v>1</v>
      </c>
      <c r="L25">
        <v>0</v>
      </c>
      <c r="M25">
        <v>2.8333333333333002</v>
      </c>
      <c r="N25">
        <v>11</v>
      </c>
      <c r="O25">
        <v>999</v>
      </c>
      <c r="P25">
        <v>8</v>
      </c>
      <c r="Q25">
        <v>2</v>
      </c>
      <c r="R25">
        <v>999</v>
      </c>
      <c r="S25">
        <v>12</v>
      </c>
      <c r="T25">
        <v>4.8333333333333304</v>
      </c>
      <c r="U25">
        <v>5</v>
      </c>
      <c r="V25">
        <v>2</v>
      </c>
      <c r="W25">
        <v>6</v>
      </c>
      <c r="X25">
        <v>5</v>
      </c>
      <c r="AC25">
        <v>8102</v>
      </c>
      <c r="AD25">
        <v>6</v>
      </c>
      <c r="AE25">
        <v>0</v>
      </c>
      <c r="AN25">
        <v>0</v>
      </c>
    </row>
    <row r="26" spans="1:40" x14ac:dyDescent="0.2">
      <c r="A26">
        <v>772</v>
      </c>
      <c r="B26">
        <v>30779</v>
      </c>
      <c r="C26" s="1">
        <v>45000</v>
      </c>
      <c r="D26" s="1">
        <v>29021</v>
      </c>
      <c r="E26">
        <v>43.75</v>
      </c>
      <c r="F26">
        <v>3</v>
      </c>
      <c r="G26">
        <v>1</v>
      </c>
      <c r="H26">
        <v>1</v>
      </c>
      <c r="I26">
        <v>0</v>
      </c>
      <c r="J26">
        <v>4</v>
      </c>
      <c r="L26">
        <v>28</v>
      </c>
      <c r="M26">
        <v>1.6111111111111001</v>
      </c>
      <c r="N26">
        <v>6</v>
      </c>
      <c r="O26">
        <v>999</v>
      </c>
      <c r="P26">
        <v>6</v>
      </c>
      <c r="Q26">
        <v>0</v>
      </c>
      <c r="R26">
        <v>999</v>
      </c>
      <c r="S26">
        <v>3</v>
      </c>
      <c r="T26">
        <v>5</v>
      </c>
      <c r="U26">
        <v>6</v>
      </c>
      <c r="V26">
        <v>3</v>
      </c>
      <c r="W26">
        <v>6</v>
      </c>
      <c r="X26">
        <v>6</v>
      </c>
      <c r="AB26">
        <v>2</v>
      </c>
      <c r="AC26">
        <v>19143</v>
      </c>
      <c r="AD26">
        <v>6</v>
      </c>
      <c r="AE26">
        <v>0</v>
      </c>
    </row>
    <row r="27" spans="1:40" x14ac:dyDescent="0.2">
      <c r="A27">
        <v>773</v>
      </c>
      <c r="B27">
        <v>101870</v>
      </c>
      <c r="C27" s="1">
        <v>45002</v>
      </c>
      <c r="D27" s="1">
        <v>25581</v>
      </c>
      <c r="E27">
        <v>53.17</v>
      </c>
      <c r="F27">
        <v>4</v>
      </c>
      <c r="G27">
        <v>1</v>
      </c>
      <c r="H27">
        <v>0</v>
      </c>
      <c r="I27">
        <v>0</v>
      </c>
      <c r="J27">
        <v>1</v>
      </c>
      <c r="L27">
        <v>27</v>
      </c>
      <c r="M27">
        <v>2.38888888888888</v>
      </c>
      <c r="N27">
        <v>12</v>
      </c>
      <c r="O27">
        <v>999</v>
      </c>
      <c r="P27">
        <v>7</v>
      </c>
      <c r="Q27">
        <v>3</v>
      </c>
      <c r="R27">
        <v>999</v>
      </c>
      <c r="S27">
        <v>9</v>
      </c>
      <c r="T27">
        <v>4</v>
      </c>
      <c r="U27">
        <v>6</v>
      </c>
      <c r="V27">
        <v>5</v>
      </c>
      <c r="W27">
        <v>8</v>
      </c>
      <c r="X27">
        <v>6</v>
      </c>
      <c r="AB27">
        <v>2</v>
      </c>
      <c r="AD27">
        <v>8</v>
      </c>
      <c r="AE27">
        <v>0</v>
      </c>
    </row>
    <row r="28" spans="1:40" x14ac:dyDescent="0.2">
      <c r="A28">
        <v>781</v>
      </c>
      <c r="B28">
        <v>131280</v>
      </c>
      <c r="C28" s="1">
        <v>45000</v>
      </c>
      <c r="D28" s="1">
        <v>29234</v>
      </c>
      <c r="E28">
        <v>43.17</v>
      </c>
      <c r="F28">
        <v>4</v>
      </c>
      <c r="G28">
        <v>1</v>
      </c>
      <c r="H28">
        <v>1</v>
      </c>
      <c r="I28">
        <v>0</v>
      </c>
      <c r="J28">
        <v>2</v>
      </c>
      <c r="L28">
        <v>26</v>
      </c>
      <c r="M28">
        <v>2.2777777777777999</v>
      </c>
      <c r="N28">
        <v>7</v>
      </c>
      <c r="O28">
        <v>999</v>
      </c>
      <c r="P28">
        <v>6</v>
      </c>
      <c r="Q28">
        <v>3</v>
      </c>
      <c r="R28">
        <v>999</v>
      </c>
      <c r="S28">
        <v>9</v>
      </c>
      <c r="T28">
        <v>3.9166666666666998</v>
      </c>
      <c r="U28">
        <v>4</v>
      </c>
      <c r="V28">
        <v>2</v>
      </c>
      <c r="W28">
        <v>6</v>
      </c>
      <c r="X28">
        <v>4</v>
      </c>
      <c r="AB28">
        <v>1</v>
      </c>
      <c r="AD28">
        <v>6</v>
      </c>
      <c r="AE28">
        <v>1</v>
      </c>
    </row>
    <row r="29" spans="1:40" x14ac:dyDescent="0.2">
      <c r="A29">
        <v>787</v>
      </c>
      <c r="B29">
        <v>182354</v>
      </c>
      <c r="C29" s="1">
        <v>45000</v>
      </c>
      <c r="D29" s="1">
        <v>19909</v>
      </c>
      <c r="E29">
        <v>68.7</v>
      </c>
      <c r="F29">
        <v>4</v>
      </c>
      <c r="G29">
        <v>0</v>
      </c>
      <c r="H29">
        <v>0</v>
      </c>
      <c r="I29">
        <v>0</v>
      </c>
      <c r="J29">
        <v>3</v>
      </c>
      <c r="L29">
        <v>28</v>
      </c>
      <c r="M29">
        <v>2.9444444444444402</v>
      </c>
      <c r="N29">
        <v>12</v>
      </c>
      <c r="O29">
        <v>999</v>
      </c>
      <c r="P29">
        <v>7</v>
      </c>
      <c r="Q29">
        <v>2</v>
      </c>
      <c r="R29">
        <v>999</v>
      </c>
      <c r="S29">
        <v>12</v>
      </c>
      <c r="T29">
        <v>4.3333333333333304</v>
      </c>
      <c r="U29">
        <v>6</v>
      </c>
      <c r="V29">
        <v>0</v>
      </c>
      <c r="W29">
        <v>4</v>
      </c>
      <c r="X29">
        <v>6</v>
      </c>
      <c r="AB29">
        <v>1</v>
      </c>
      <c r="AC29">
        <v>8344</v>
      </c>
      <c r="AD29">
        <v>4</v>
      </c>
      <c r="AE29">
        <v>0</v>
      </c>
      <c r="AN29">
        <v>0</v>
      </c>
    </row>
    <row r="30" spans="1:40" x14ac:dyDescent="0.2">
      <c r="A30">
        <v>791</v>
      </c>
      <c r="B30">
        <v>130259</v>
      </c>
      <c r="C30" s="1">
        <v>45006</v>
      </c>
      <c r="D30" s="1">
        <v>21740</v>
      </c>
      <c r="E30">
        <v>63.7</v>
      </c>
      <c r="F30">
        <v>4</v>
      </c>
      <c r="G30">
        <v>1</v>
      </c>
      <c r="H30">
        <v>6</v>
      </c>
      <c r="I30">
        <v>0</v>
      </c>
      <c r="J30">
        <v>0</v>
      </c>
      <c r="K30">
        <v>2</v>
      </c>
      <c r="L30">
        <v>28</v>
      </c>
      <c r="M30">
        <v>3.3888888888888999</v>
      </c>
      <c r="N30">
        <v>11</v>
      </c>
      <c r="O30">
        <v>999</v>
      </c>
      <c r="P30">
        <v>8</v>
      </c>
      <c r="Q30">
        <v>12</v>
      </c>
      <c r="R30">
        <v>999</v>
      </c>
      <c r="S30">
        <v>12</v>
      </c>
      <c r="T30">
        <v>5</v>
      </c>
      <c r="U30">
        <v>5</v>
      </c>
      <c r="V30">
        <v>5</v>
      </c>
      <c r="W30">
        <v>8</v>
      </c>
      <c r="X30">
        <v>5</v>
      </c>
      <c r="AB30">
        <v>1</v>
      </c>
      <c r="AC30">
        <v>8520</v>
      </c>
      <c r="AD30">
        <v>8</v>
      </c>
      <c r="AE30">
        <v>0</v>
      </c>
      <c r="AN30">
        <v>0</v>
      </c>
    </row>
    <row r="31" spans="1:40" x14ac:dyDescent="0.2">
      <c r="A31">
        <v>795</v>
      </c>
      <c r="B31">
        <v>161990</v>
      </c>
      <c r="C31" s="1">
        <v>45002</v>
      </c>
      <c r="D31" s="1">
        <v>33042</v>
      </c>
      <c r="E31">
        <v>32.75</v>
      </c>
      <c r="F31">
        <v>1</v>
      </c>
      <c r="G31">
        <v>1</v>
      </c>
      <c r="H31">
        <v>1</v>
      </c>
      <c r="I31">
        <v>0</v>
      </c>
      <c r="J31">
        <v>0</v>
      </c>
      <c r="L31">
        <v>0</v>
      </c>
      <c r="M31">
        <v>2.3333333333333002</v>
      </c>
      <c r="N31">
        <v>10</v>
      </c>
      <c r="O31">
        <v>999</v>
      </c>
      <c r="P31">
        <v>6</v>
      </c>
      <c r="Q31">
        <v>3</v>
      </c>
      <c r="R31">
        <v>999</v>
      </c>
      <c r="S31">
        <v>9</v>
      </c>
      <c r="T31">
        <v>4.8333333333333304</v>
      </c>
      <c r="U31">
        <v>6</v>
      </c>
      <c r="V31">
        <v>4</v>
      </c>
      <c r="W31">
        <v>6</v>
      </c>
      <c r="X31">
        <v>6</v>
      </c>
      <c r="AB31">
        <v>1</v>
      </c>
      <c r="AD31">
        <v>6</v>
      </c>
      <c r="AE31">
        <v>0</v>
      </c>
    </row>
    <row r="32" spans="1:40" x14ac:dyDescent="0.2">
      <c r="A32">
        <v>805</v>
      </c>
      <c r="B32">
        <v>20688</v>
      </c>
      <c r="C32" s="1">
        <v>45000</v>
      </c>
      <c r="D32" s="1">
        <v>32160</v>
      </c>
      <c r="E32">
        <v>35.15</v>
      </c>
      <c r="F32">
        <v>4</v>
      </c>
      <c r="G32">
        <v>0</v>
      </c>
      <c r="H32">
        <v>7</v>
      </c>
      <c r="I32">
        <v>7</v>
      </c>
      <c r="J32">
        <v>2</v>
      </c>
      <c r="L32">
        <v>33</v>
      </c>
      <c r="M32">
        <v>2.2777777777777999</v>
      </c>
      <c r="N32">
        <v>10</v>
      </c>
      <c r="O32">
        <v>999</v>
      </c>
      <c r="P32">
        <v>6</v>
      </c>
      <c r="Q32">
        <v>3</v>
      </c>
      <c r="R32">
        <v>999</v>
      </c>
      <c r="S32">
        <v>9</v>
      </c>
      <c r="T32">
        <v>3.75</v>
      </c>
      <c r="U32">
        <v>5</v>
      </c>
      <c r="V32">
        <v>4</v>
      </c>
      <c r="W32">
        <v>4</v>
      </c>
      <c r="X32">
        <v>5</v>
      </c>
      <c r="AB32">
        <v>1</v>
      </c>
      <c r="AC32">
        <v>8088</v>
      </c>
      <c r="AD32">
        <v>4</v>
      </c>
      <c r="AE32">
        <v>0</v>
      </c>
    </row>
    <row r="33" spans="1:40" x14ac:dyDescent="0.2">
      <c r="A33">
        <v>809</v>
      </c>
      <c r="B33">
        <v>111098</v>
      </c>
      <c r="C33" s="1">
        <v>45001</v>
      </c>
      <c r="D33" s="1">
        <v>35849</v>
      </c>
      <c r="E33">
        <v>25.06</v>
      </c>
      <c r="F33">
        <v>4</v>
      </c>
      <c r="G33">
        <v>1</v>
      </c>
      <c r="H33">
        <v>4</v>
      </c>
      <c r="I33">
        <v>0</v>
      </c>
      <c r="J33">
        <v>0</v>
      </c>
      <c r="L33">
        <v>28</v>
      </c>
      <c r="M33">
        <v>3.1666666666666998</v>
      </c>
      <c r="N33">
        <v>11</v>
      </c>
      <c r="O33">
        <v>999</v>
      </c>
      <c r="P33">
        <v>8</v>
      </c>
      <c r="Q33">
        <v>3</v>
      </c>
      <c r="R33">
        <v>999</v>
      </c>
      <c r="S33">
        <v>12</v>
      </c>
      <c r="T33">
        <v>4.9166666666666998</v>
      </c>
      <c r="U33">
        <v>5</v>
      </c>
      <c r="V33">
        <v>2</v>
      </c>
      <c r="W33">
        <v>7</v>
      </c>
      <c r="X33">
        <v>5</v>
      </c>
      <c r="AB33">
        <v>1</v>
      </c>
      <c r="AC33">
        <v>91354</v>
      </c>
      <c r="AD33">
        <v>7</v>
      </c>
      <c r="AE33">
        <v>0</v>
      </c>
    </row>
    <row r="34" spans="1:40" x14ac:dyDescent="0.2">
      <c r="A34">
        <v>817</v>
      </c>
      <c r="B34">
        <v>181385</v>
      </c>
      <c r="C34" s="1">
        <v>45001</v>
      </c>
      <c r="D34" s="1">
        <v>31348</v>
      </c>
      <c r="E34">
        <v>37.380000000000003</v>
      </c>
      <c r="F34">
        <v>4</v>
      </c>
      <c r="G34">
        <v>1</v>
      </c>
      <c r="H34">
        <v>0</v>
      </c>
      <c r="I34">
        <v>0</v>
      </c>
      <c r="J34">
        <v>6</v>
      </c>
      <c r="L34">
        <v>28</v>
      </c>
      <c r="M34">
        <v>2.5</v>
      </c>
      <c r="N34">
        <v>12</v>
      </c>
      <c r="O34">
        <v>999</v>
      </c>
      <c r="P34">
        <v>7</v>
      </c>
      <c r="Q34">
        <v>2</v>
      </c>
      <c r="R34">
        <v>999</v>
      </c>
      <c r="S34">
        <v>5</v>
      </c>
      <c r="T34">
        <v>4.5</v>
      </c>
      <c r="U34">
        <v>4</v>
      </c>
      <c r="V34">
        <v>2</v>
      </c>
      <c r="W34">
        <v>4</v>
      </c>
      <c r="X34">
        <v>4</v>
      </c>
      <c r="AB34">
        <v>2</v>
      </c>
      <c r="AC34">
        <v>18015</v>
      </c>
      <c r="AD34">
        <v>4</v>
      </c>
      <c r="AE34">
        <v>1</v>
      </c>
    </row>
    <row r="35" spans="1:40" x14ac:dyDescent="0.2">
      <c r="A35">
        <v>818</v>
      </c>
      <c r="B35">
        <v>132374</v>
      </c>
      <c r="C35" s="1">
        <v>45000</v>
      </c>
      <c r="D35" s="1">
        <v>27173</v>
      </c>
      <c r="E35">
        <v>48.81</v>
      </c>
      <c r="F35">
        <v>4</v>
      </c>
      <c r="G35">
        <v>1</v>
      </c>
      <c r="H35">
        <v>1</v>
      </c>
      <c r="I35">
        <v>0</v>
      </c>
      <c r="J35">
        <v>4</v>
      </c>
      <c r="L35">
        <v>23</v>
      </c>
      <c r="M35">
        <v>3.1111111111111001</v>
      </c>
      <c r="N35">
        <v>8</v>
      </c>
      <c r="O35">
        <v>999</v>
      </c>
      <c r="P35">
        <v>6</v>
      </c>
      <c r="Q35">
        <v>11</v>
      </c>
      <c r="R35">
        <v>999</v>
      </c>
      <c r="S35">
        <v>9</v>
      </c>
      <c r="T35">
        <v>4.3333333333333002</v>
      </c>
      <c r="U35">
        <v>6</v>
      </c>
      <c r="V35">
        <v>1</v>
      </c>
      <c r="W35">
        <v>5</v>
      </c>
      <c r="X35">
        <v>6</v>
      </c>
      <c r="AC35">
        <v>19057</v>
      </c>
      <c r="AD35">
        <v>5</v>
      </c>
      <c r="AE35">
        <v>0</v>
      </c>
    </row>
    <row r="36" spans="1:40" x14ac:dyDescent="0.2">
      <c r="A36">
        <v>832</v>
      </c>
      <c r="B36">
        <v>21997</v>
      </c>
      <c r="C36" s="1">
        <v>45000</v>
      </c>
      <c r="D36" s="1">
        <v>35681</v>
      </c>
      <c r="E36">
        <v>25.51</v>
      </c>
      <c r="F36">
        <v>4</v>
      </c>
      <c r="G36">
        <v>1</v>
      </c>
      <c r="H36">
        <v>0</v>
      </c>
      <c r="I36">
        <v>3</v>
      </c>
      <c r="J36">
        <v>4</v>
      </c>
      <c r="L36">
        <v>0</v>
      </c>
      <c r="M36">
        <v>2.55555555555555</v>
      </c>
      <c r="N36">
        <v>10</v>
      </c>
      <c r="O36">
        <v>999</v>
      </c>
      <c r="P36">
        <v>8</v>
      </c>
      <c r="Q36">
        <v>0</v>
      </c>
      <c r="R36">
        <v>999</v>
      </c>
      <c r="S36">
        <v>11</v>
      </c>
      <c r="T36">
        <v>5</v>
      </c>
      <c r="U36">
        <v>1</v>
      </c>
      <c r="V36">
        <v>1</v>
      </c>
      <c r="W36">
        <v>5</v>
      </c>
      <c r="X36">
        <v>1</v>
      </c>
      <c r="AB36">
        <v>2</v>
      </c>
      <c r="AC36">
        <v>18036</v>
      </c>
      <c r="AD36">
        <v>5</v>
      </c>
      <c r="AE36">
        <v>0</v>
      </c>
    </row>
    <row r="37" spans="1:40" x14ac:dyDescent="0.2">
      <c r="A37">
        <v>843</v>
      </c>
      <c r="B37">
        <v>51974</v>
      </c>
      <c r="C37" s="1">
        <v>45000</v>
      </c>
      <c r="D37" s="1">
        <v>27366</v>
      </c>
      <c r="E37">
        <v>48.28</v>
      </c>
      <c r="F37">
        <v>4</v>
      </c>
      <c r="G37">
        <v>1</v>
      </c>
      <c r="H37">
        <v>1</v>
      </c>
      <c r="I37">
        <v>0</v>
      </c>
      <c r="J37">
        <v>0</v>
      </c>
      <c r="L37">
        <v>29</v>
      </c>
      <c r="M37">
        <v>2.6111111111111001</v>
      </c>
      <c r="N37">
        <v>12</v>
      </c>
      <c r="O37">
        <v>999</v>
      </c>
      <c r="P37">
        <v>7</v>
      </c>
      <c r="Q37">
        <v>0</v>
      </c>
      <c r="R37">
        <v>999</v>
      </c>
      <c r="S37">
        <v>12</v>
      </c>
      <c r="T37">
        <v>4.6666666666666998</v>
      </c>
      <c r="U37">
        <v>5</v>
      </c>
      <c r="V37">
        <v>4</v>
      </c>
      <c r="W37">
        <v>7</v>
      </c>
      <c r="X37">
        <v>5</v>
      </c>
      <c r="AB37">
        <v>4</v>
      </c>
      <c r="AC37">
        <v>19002</v>
      </c>
      <c r="AD37">
        <v>7</v>
      </c>
      <c r="AE37">
        <v>0</v>
      </c>
    </row>
    <row r="38" spans="1:40" x14ac:dyDescent="0.2">
      <c r="A38">
        <v>868</v>
      </c>
      <c r="B38">
        <v>111373</v>
      </c>
      <c r="C38" s="1">
        <v>45001</v>
      </c>
      <c r="D38" s="1">
        <v>26835</v>
      </c>
      <c r="E38">
        <v>49.74</v>
      </c>
      <c r="F38">
        <v>6</v>
      </c>
      <c r="G38">
        <v>1</v>
      </c>
      <c r="H38">
        <v>1</v>
      </c>
      <c r="I38">
        <v>0</v>
      </c>
      <c r="J38">
        <v>4</v>
      </c>
      <c r="L38">
        <v>0</v>
      </c>
      <c r="M38">
        <v>2.5555555555556002</v>
      </c>
      <c r="N38">
        <v>8</v>
      </c>
      <c r="O38">
        <v>999</v>
      </c>
      <c r="P38">
        <v>7</v>
      </c>
      <c r="Q38">
        <v>4</v>
      </c>
      <c r="R38">
        <v>999</v>
      </c>
      <c r="S38">
        <v>9</v>
      </c>
      <c r="T38">
        <v>4.0833333333333002</v>
      </c>
      <c r="U38">
        <v>4</v>
      </c>
      <c r="V38">
        <v>1</v>
      </c>
      <c r="W38">
        <v>6</v>
      </c>
      <c r="X38">
        <v>4</v>
      </c>
      <c r="AC38">
        <v>90019</v>
      </c>
      <c r="AD38">
        <v>6</v>
      </c>
      <c r="AE38">
        <v>1</v>
      </c>
    </row>
    <row r="39" spans="1:40" x14ac:dyDescent="0.2">
      <c r="A39">
        <v>876</v>
      </c>
      <c r="B39">
        <v>221173</v>
      </c>
      <c r="C39" s="1">
        <v>45001</v>
      </c>
      <c r="D39" s="1">
        <v>26779</v>
      </c>
      <c r="E39">
        <v>49.89</v>
      </c>
      <c r="F39">
        <v>4</v>
      </c>
      <c r="G39">
        <v>1</v>
      </c>
      <c r="H39">
        <v>3</v>
      </c>
      <c r="I39">
        <v>0</v>
      </c>
      <c r="J39">
        <v>1</v>
      </c>
      <c r="K39">
        <v>4</v>
      </c>
      <c r="L39">
        <v>0</v>
      </c>
      <c r="M39">
        <v>2.4444444444443998</v>
      </c>
      <c r="N39">
        <v>12</v>
      </c>
      <c r="O39">
        <v>999</v>
      </c>
      <c r="P39">
        <v>7</v>
      </c>
      <c r="Q39">
        <v>2</v>
      </c>
      <c r="R39">
        <v>999</v>
      </c>
      <c r="S39">
        <v>10</v>
      </c>
      <c r="T39">
        <v>3.5</v>
      </c>
      <c r="U39">
        <v>5</v>
      </c>
      <c r="V39">
        <v>5</v>
      </c>
      <c r="W39">
        <v>8</v>
      </c>
      <c r="X39">
        <v>5</v>
      </c>
      <c r="AC39">
        <v>19027</v>
      </c>
      <c r="AD39">
        <v>8</v>
      </c>
      <c r="AE39">
        <v>1</v>
      </c>
    </row>
    <row r="40" spans="1:40" x14ac:dyDescent="0.2">
      <c r="A40">
        <v>879</v>
      </c>
      <c r="B40">
        <v>112596</v>
      </c>
      <c r="C40" s="1">
        <v>45001</v>
      </c>
      <c r="D40" s="1">
        <v>35260</v>
      </c>
      <c r="E40">
        <v>26.67</v>
      </c>
      <c r="F40">
        <v>1</v>
      </c>
      <c r="G40">
        <v>1</v>
      </c>
      <c r="H40">
        <v>5</v>
      </c>
      <c r="I40">
        <v>0</v>
      </c>
      <c r="J40">
        <v>0</v>
      </c>
      <c r="L40">
        <v>0</v>
      </c>
      <c r="M40">
        <v>2.4444444444443998</v>
      </c>
      <c r="N40">
        <v>12</v>
      </c>
      <c r="O40">
        <v>999</v>
      </c>
      <c r="P40">
        <v>7</v>
      </c>
      <c r="Q40">
        <v>1</v>
      </c>
      <c r="R40">
        <v>999</v>
      </c>
      <c r="S40">
        <v>7</v>
      </c>
      <c r="T40">
        <v>5</v>
      </c>
      <c r="U40">
        <v>6</v>
      </c>
      <c r="V40">
        <v>4</v>
      </c>
      <c r="W40">
        <v>6</v>
      </c>
      <c r="X40">
        <v>6</v>
      </c>
      <c r="AB40">
        <v>1</v>
      </c>
      <c r="AC40">
        <v>19087</v>
      </c>
      <c r="AD40">
        <v>6</v>
      </c>
      <c r="AE40">
        <v>0</v>
      </c>
    </row>
    <row r="41" spans="1:40" x14ac:dyDescent="0.2">
      <c r="A41">
        <v>883</v>
      </c>
      <c r="B41">
        <v>181391</v>
      </c>
      <c r="C41" s="1">
        <v>45002</v>
      </c>
      <c r="D41" s="1">
        <v>33336</v>
      </c>
      <c r="E41">
        <v>31.94</v>
      </c>
      <c r="F41">
        <v>4</v>
      </c>
      <c r="G41">
        <v>1</v>
      </c>
      <c r="H41">
        <v>0</v>
      </c>
      <c r="I41">
        <v>0</v>
      </c>
      <c r="J41">
        <v>1</v>
      </c>
      <c r="L41">
        <v>0</v>
      </c>
      <c r="M41">
        <v>2.5555555555556002</v>
      </c>
      <c r="N41">
        <v>5</v>
      </c>
      <c r="O41">
        <v>999</v>
      </c>
      <c r="P41">
        <v>6</v>
      </c>
      <c r="Q41">
        <v>7</v>
      </c>
      <c r="R41">
        <v>999</v>
      </c>
      <c r="S41">
        <v>9</v>
      </c>
      <c r="T41">
        <v>5</v>
      </c>
      <c r="U41">
        <v>5</v>
      </c>
      <c r="V41">
        <v>1</v>
      </c>
      <c r="W41">
        <v>4</v>
      </c>
      <c r="X41">
        <v>5</v>
      </c>
      <c r="AB41">
        <v>1</v>
      </c>
      <c r="AC41">
        <v>19061</v>
      </c>
      <c r="AD41">
        <v>4</v>
      </c>
      <c r="AE41">
        <v>0</v>
      </c>
    </row>
    <row r="42" spans="1:40" x14ac:dyDescent="0.2">
      <c r="A42">
        <v>892</v>
      </c>
      <c r="B42">
        <v>101951</v>
      </c>
      <c r="C42" s="1">
        <v>45000</v>
      </c>
      <c r="D42" s="1">
        <v>18835</v>
      </c>
      <c r="E42">
        <v>71.64</v>
      </c>
      <c r="F42">
        <v>4</v>
      </c>
      <c r="G42">
        <v>1</v>
      </c>
      <c r="H42">
        <v>1</v>
      </c>
      <c r="I42">
        <v>0</v>
      </c>
      <c r="J42">
        <v>0</v>
      </c>
      <c r="L42">
        <v>28</v>
      </c>
      <c r="M42">
        <v>2.8888888888888999</v>
      </c>
      <c r="N42">
        <v>10</v>
      </c>
      <c r="O42">
        <v>999</v>
      </c>
      <c r="P42">
        <v>6</v>
      </c>
      <c r="Q42">
        <v>6</v>
      </c>
      <c r="R42">
        <v>999</v>
      </c>
      <c r="S42">
        <v>9</v>
      </c>
      <c r="T42">
        <v>3.9166666666666998</v>
      </c>
      <c r="U42">
        <v>4</v>
      </c>
      <c r="V42">
        <v>5</v>
      </c>
      <c r="W42">
        <v>8</v>
      </c>
      <c r="X42">
        <v>4</v>
      </c>
      <c r="AB42">
        <v>1</v>
      </c>
      <c r="AC42">
        <v>13021</v>
      </c>
      <c r="AD42">
        <v>8</v>
      </c>
      <c r="AE42">
        <v>0</v>
      </c>
      <c r="AN42">
        <v>0</v>
      </c>
    </row>
    <row r="43" spans="1:40" x14ac:dyDescent="0.2">
      <c r="A43">
        <v>909</v>
      </c>
      <c r="B43">
        <v>181864</v>
      </c>
      <c r="C43" s="1">
        <v>45037</v>
      </c>
      <c r="D43" s="1">
        <v>23689</v>
      </c>
      <c r="E43">
        <v>58.45</v>
      </c>
      <c r="F43">
        <v>3</v>
      </c>
      <c r="G43">
        <v>0</v>
      </c>
      <c r="H43">
        <v>5</v>
      </c>
      <c r="I43">
        <v>0</v>
      </c>
      <c r="J43">
        <v>1</v>
      </c>
      <c r="K43">
        <v>11</v>
      </c>
      <c r="L43">
        <v>24</v>
      </c>
      <c r="M43">
        <v>3.1875</v>
      </c>
      <c r="N43">
        <v>12</v>
      </c>
      <c r="O43">
        <v>12</v>
      </c>
      <c r="P43">
        <v>5</v>
      </c>
      <c r="Q43">
        <v>2</v>
      </c>
      <c r="R43">
        <v>12</v>
      </c>
      <c r="S43">
        <v>8</v>
      </c>
      <c r="T43">
        <v>4</v>
      </c>
      <c r="U43">
        <v>5</v>
      </c>
      <c r="V43">
        <v>2</v>
      </c>
      <c r="W43">
        <v>4</v>
      </c>
      <c r="X43">
        <v>5</v>
      </c>
      <c r="AB43">
        <v>1</v>
      </c>
      <c r="AC43">
        <v>13224</v>
      </c>
      <c r="AD43">
        <v>4</v>
      </c>
      <c r="AE43">
        <v>0</v>
      </c>
    </row>
    <row r="44" spans="1:40" x14ac:dyDescent="0.2">
      <c r="A44">
        <v>912</v>
      </c>
      <c r="B44">
        <v>10187</v>
      </c>
      <c r="C44" s="1">
        <v>45000</v>
      </c>
      <c r="D44" s="1">
        <v>32111</v>
      </c>
      <c r="E44">
        <v>35.29</v>
      </c>
      <c r="F44">
        <v>4</v>
      </c>
      <c r="G44">
        <v>1</v>
      </c>
      <c r="H44">
        <v>0</v>
      </c>
      <c r="I44">
        <v>0</v>
      </c>
      <c r="J44">
        <v>3</v>
      </c>
      <c r="L44">
        <v>30</v>
      </c>
      <c r="M44">
        <v>2.8333333333333002</v>
      </c>
      <c r="N44">
        <v>10</v>
      </c>
      <c r="O44">
        <v>999</v>
      </c>
      <c r="P44">
        <v>7</v>
      </c>
      <c r="Q44">
        <v>3</v>
      </c>
      <c r="R44">
        <v>999</v>
      </c>
      <c r="S44">
        <v>7</v>
      </c>
      <c r="T44">
        <v>3.5</v>
      </c>
      <c r="U44">
        <v>4</v>
      </c>
      <c r="V44">
        <v>1</v>
      </c>
      <c r="W44">
        <v>4</v>
      </c>
      <c r="X44">
        <v>4</v>
      </c>
      <c r="AB44">
        <v>1</v>
      </c>
      <c r="AC44">
        <v>46221</v>
      </c>
      <c r="AD44">
        <v>4</v>
      </c>
      <c r="AE44">
        <v>0</v>
      </c>
    </row>
    <row r="45" spans="1:40" x14ac:dyDescent="0.2">
      <c r="A45">
        <v>914</v>
      </c>
      <c r="B45">
        <v>162298</v>
      </c>
      <c r="C45" s="1">
        <v>45005</v>
      </c>
      <c r="D45" s="1">
        <v>35877</v>
      </c>
      <c r="E45">
        <v>24.99</v>
      </c>
      <c r="F45">
        <v>5</v>
      </c>
      <c r="G45">
        <v>1</v>
      </c>
      <c r="H45">
        <v>2</v>
      </c>
      <c r="I45">
        <v>0</v>
      </c>
      <c r="J45">
        <v>1</v>
      </c>
      <c r="L45">
        <v>0</v>
      </c>
      <c r="M45">
        <v>2.4444444444443998</v>
      </c>
      <c r="N45">
        <v>7</v>
      </c>
      <c r="O45">
        <v>999</v>
      </c>
      <c r="P45">
        <v>6</v>
      </c>
      <c r="Q45">
        <v>4</v>
      </c>
      <c r="R45">
        <v>999</v>
      </c>
      <c r="S45">
        <v>9</v>
      </c>
      <c r="T45">
        <v>4</v>
      </c>
      <c r="U45">
        <v>5</v>
      </c>
      <c r="V45">
        <v>0</v>
      </c>
      <c r="W45">
        <v>5</v>
      </c>
      <c r="X45">
        <v>5</v>
      </c>
      <c r="AD45">
        <v>5</v>
      </c>
      <c r="AE45">
        <v>0</v>
      </c>
    </row>
    <row r="46" spans="1:40" x14ac:dyDescent="0.2">
      <c r="A46">
        <v>924</v>
      </c>
      <c r="B46">
        <v>30392</v>
      </c>
      <c r="C46" s="1">
        <v>45001</v>
      </c>
      <c r="D46" s="1">
        <v>33609</v>
      </c>
      <c r="E46">
        <v>31.19</v>
      </c>
      <c r="F46">
        <v>4</v>
      </c>
      <c r="G46">
        <v>1</v>
      </c>
      <c r="H46">
        <v>0</v>
      </c>
      <c r="I46">
        <v>0</v>
      </c>
      <c r="J46">
        <v>0</v>
      </c>
      <c r="L46">
        <v>0</v>
      </c>
      <c r="M46">
        <v>3.5555555555556002</v>
      </c>
      <c r="N46">
        <v>12</v>
      </c>
      <c r="O46">
        <v>999</v>
      </c>
      <c r="P46">
        <v>8</v>
      </c>
      <c r="Q46">
        <v>12</v>
      </c>
      <c r="R46">
        <v>999</v>
      </c>
      <c r="S46">
        <v>12</v>
      </c>
      <c r="T46">
        <v>4.8333333333333002</v>
      </c>
      <c r="U46">
        <v>5</v>
      </c>
      <c r="V46">
        <v>5</v>
      </c>
      <c r="W46">
        <v>6</v>
      </c>
      <c r="X46">
        <v>5</v>
      </c>
      <c r="AB46">
        <v>3</v>
      </c>
      <c r="AC46">
        <v>19145</v>
      </c>
      <c r="AD46">
        <v>6</v>
      </c>
      <c r="AE46">
        <v>0</v>
      </c>
    </row>
    <row r="47" spans="1:40" x14ac:dyDescent="0.2">
      <c r="A47">
        <v>937</v>
      </c>
      <c r="B47">
        <v>190896</v>
      </c>
      <c r="C47" s="1">
        <v>45000</v>
      </c>
      <c r="D47" s="1">
        <v>35126</v>
      </c>
      <c r="E47">
        <v>27.03</v>
      </c>
      <c r="F47">
        <v>4</v>
      </c>
      <c r="G47">
        <v>1</v>
      </c>
      <c r="H47">
        <v>9</v>
      </c>
      <c r="I47">
        <v>3</v>
      </c>
      <c r="J47">
        <v>4</v>
      </c>
      <c r="L47">
        <v>0</v>
      </c>
      <c r="M47">
        <v>3.2222222222222201</v>
      </c>
      <c r="N47">
        <v>12</v>
      </c>
      <c r="O47">
        <v>999</v>
      </c>
      <c r="P47">
        <v>7</v>
      </c>
      <c r="Q47">
        <v>7</v>
      </c>
      <c r="R47">
        <v>999</v>
      </c>
      <c r="S47">
        <v>12</v>
      </c>
      <c r="T47">
        <v>3.75</v>
      </c>
      <c r="U47">
        <v>5</v>
      </c>
      <c r="V47">
        <v>1</v>
      </c>
      <c r="W47">
        <v>4</v>
      </c>
      <c r="X47">
        <v>5</v>
      </c>
      <c r="AC47">
        <v>17603</v>
      </c>
      <c r="AD47">
        <v>4</v>
      </c>
      <c r="AE47">
        <v>0</v>
      </c>
    </row>
    <row r="48" spans="1:40" x14ac:dyDescent="0.2">
      <c r="A48">
        <v>938</v>
      </c>
      <c r="B48">
        <v>32278</v>
      </c>
      <c r="C48" s="1">
        <v>45001</v>
      </c>
      <c r="D48" s="1">
        <v>28785</v>
      </c>
      <c r="E48">
        <v>44.4</v>
      </c>
      <c r="F48">
        <v>4</v>
      </c>
      <c r="G48">
        <v>1</v>
      </c>
      <c r="H48">
        <v>4</v>
      </c>
      <c r="I48">
        <v>4</v>
      </c>
      <c r="J48">
        <v>0</v>
      </c>
      <c r="L48">
        <v>31</v>
      </c>
      <c r="M48">
        <v>3.2777777777777999</v>
      </c>
      <c r="N48">
        <v>9</v>
      </c>
      <c r="O48">
        <v>999</v>
      </c>
      <c r="P48">
        <v>8</v>
      </c>
      <c r="Q48">
        <v>8</v>
      </c>
      <c r="R48">
        <v>999</v>
      </c>
      <c r="S48">
        <v>10</v>
      </c>
      <c r="T48">
        <v>5</v>
      </c>
      <c r="U48">
        <v>6</v>
      </c>
      <c r="V48">
        <v>1</v>
      </c>
      <c r="W48">
        <v>5</v>
      </c>
      <c r="X48">
        <v>6</v>
      </c>
      <c r="AB48">
        <v>1</v>
      </c>
      <c r="AC48">
        <v>22307</v>
      </c>
      <c r="AD48">
        <v>5</v>
      </c>
      <c r="AE48">
        <v>0</v>
      </c>
    </row>
    <row r="49" spans="1:40" x14ac:dyDescent="0.2">
      <c r="A49">
        <v>941</v>
      </c>
      <c r="B49">
        <v>31691</v>
      </c>
      <c r="C49" s="1">
        <v>45000</v>
      </c>
      <c r="D49" s="1">
        <v>33473</v>
      </c>
      <c r="E49">
        <v>31.56</v>
      </c>
      <c r="F49">
        <v>4</v>
      </c>
      <c r="G49">
        <v>1</v>
      </c>
      <c r="H49">
        <v>2</v>
      </c>
      <c r="I49">
        <v>5</v>
      </c>
      <c r="J49">
        <v>6</v>
      </c>
      <c r="L49">
        <v>0</v>
      </c>
      <c r="M49">
        <v>2</v>
      </c>
      <c r="N49">
        <v>6</v>
      </c>
      <c r="O49">
        <v>999</v>
      </c>
      <c r="P49">
        <v>4</v>
      </c>
      <c r="Q49">
        <v>6</v>
      </c>
      <c r="R49">
        <v>999</v>
      </c>
      <c r="S49">
        <v>6</v>
      </c>
      <c r="T49">
        <v>2.75</v>
      </c>
      <c r="U49">
        <v>4</v>
      </c>
      <c r="V49">
        <v>0</v>
      </c>
      <c r="W49">
        <v>4</v>
      </c>
      <c r="X49">
        <v>4</v>
      </c>
      <c r="AB49">
        <v>1</v>
      </c>
      <c r="AC49">
        <v>19124</v>
      </c>
      <c r="AD49">
        <v>4</v>
      </c>
      <c r="AE49">
        <v>0</v>
      </c>
    </row>
    <row r="50" spans="1:40" x14ac:dyDescent="0.2">
      <c r="A50">
        <v>942</v>
      </c>
      <c r="B50">
        <v>30700</v>
      </c>
      <c r="C50" s="1">
        <v>45000</v>
      </c>
      <c r="D50" s="1">
        <v>36552</v>
      </c>
      <c r="E50">
        <v>23.13</v>
      </c>
      <c r="F50">
        <v>4</v>
      </c>
      <c r="G50">
        <v>1</v>
      </c>
      <c r="H50">
        <v>1</v>
      </c>
      <c r="I50">
        <v>0</v>
      </c>
      <c r="J50">
        <v>0</v>
      </c>
      <c r="L50">
        <v>0</v>
      </c>
      <c r="M50">
        <v>2.8333333333333299</v>
      </c>
      <c r="N50">
        <v>11</v>
      </c>
      <c r="O50">
        <v>999</v>
      </c>
      <c r="P50">
        <v>6</v>
      </c>
      <c r="Q50">
        <v>2</v>
      </c>
      <c r="R50">
        <v>999</v>
      </c>
      <c r="S50">
        <v>11</v>
      </c>
      <c r="T50">
        <v>4.9166666666666599</v>
      </c>
      <c r="U50">
        <v>4</v>
      </c>
      <c r="V50">
        <v>2</v>
      </c>
      <c r="W50">
        <v>7</v>
      </c>
      <c r="X50">
        <v>4</v>
      </c>
      <c r="AB50">
        <v>3</v>
      </c>
      <c r="AC50">
        <v>19130</v>
      </c>
      <c r="AD50">
        <v>7</v>
      </c>
      <c r="AE50">
        <v>0</v>
      </c>
    </row>
    <row r="51" spans="1:40" x14ac:dyDescent="0.2">
      <c r="A51">
        <v>946</v>
      </c>
      <c r="B51">
        <v>102054</v>
      </c>
      <c r="C51" s="1">
        <v>45000</v>
      </c>
      <c r="D51" s="1">
        <v>19888</v>
      </c>
      <c r="E51">
        <v>68.75</v>
      </c>
      <c r="F51">
        <v>4</v>
      </c>
      <c r="G51">
        <v>1</v>
      </c>
      <c r="H51">
        <v>3</v>
      </c>
      <c r="I51">
        <v>0</v>
      </c>
      <c r="J51">
        <v>1</v>
      </c>
      <c r="L51">
        <v>27</v>
      </c>
      <c r="M51">
        <v>2.5555555555556002</v>
      </c>
      <c r="N51">
        <v>12</v>
      </c>
      <c r="O51">
        <v>999</v>
      </c>
      <c r="P51">
        <v>7</v>
      </c>
      <c r="Q51">
        <v>1</v>
      </c>
      <c r="R51">
        <v>999</v>
      </c>
      <c r="S51">
        <v>10</v>
      </c>
      <c r="T51">
        <v>4.75</v>
      </c>
      <c r="U51">
        <v>6</v>
      </c>
      <c r="V51">
        <v>1</v>
      </c>
      <c r="W51">
        <v>7</v>
      </c>
      <c r="X51">
        <v>6</v>
      </c>
      <c r="AB51">
        <v>1</v>
      </c>
      <c r="AC51">
        <v>44112</v>
      </c>
      <c r="AD51">
        <v>7</v>
      </c>
      <c r="AE51">
        <v>0</v>
      </c>
      <c r="AN51">
        <v>1</v>
      </c>
    </row>
    <row r="52" spans="1:40" x14ac:dyDescent="0.2">
      <c r="A52">
        <v>949</v>
      </c>
      <c r="B52">
        <v>120253</v>
      </c>
      <c r="C52" s="1">
        <v>45013</v>
      </c>
      <c r="D52" s="1">
        <v>19490</v>
      </c>
      <c r="E52">
        <v>69.88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36</v>
      </c>
      <c r="M52">
        <v>2.2222222222222001</v>
      </c>
      <c r="N52">
        <v>9</v>
      </c>
      <c r="O52">
        <v>999</v>
      </c>
      <c r="P52">
        <v>6</v>
      </c>
      <c r="Q52">
        <v>1</v>
      </c>
      <c r="R52">
        <v>999</v>
      </c>
      <c r="S52">
        <v>8</v>
      </c>
      <c r="T52">
        <v>5</v>
      </c>
      <c r="U52">
        <v>5</v>
      </c>
      <c r="V52">
        <v>3</v>
      </c>
      <c r="W52">
        <v>7</v>
      </c>
      <c r="X52">
        <v>5</v>
      </c>
      <c r="AB52">
        <v>1</v>
      </c>
      <c r="AC52">
        <v>19038</v>
      </c>
      <c r="AD52">
        <v>7</v>
      </c>
      <c r="AE52">
        <v>0</v>
      </c>
      <c r="AN52">
        <v>0</v>
      </c>
    </row>
    <row r="53" spans="1:40" x14ac:dyDescent="0.2">
      <c r="A53">
        <v>951</v>
      </c>
      <c r="B53">
        <v>101853</v>
      </c>
      <c r="C53" s="1">
        <v>45000</v>
      </c>
      <c r="D53" s="1">
        <v>19685</v>
      </c>
      <c r="E53">
        <v>69.31</v>
      </c>
      <c r="F53">
        <v>4</v>
      </c>
      <c r="G53">
        <v>1</v>
      </c>
      <c r="H53">
        <v>1</v>
      </c>
      <c r="I53">
        <v>4</v>
      </c>
      <c r="J53">
        <v>0</v>
      </c>
      <c r="L53">
        <v>23</v>
      </c>
      <c r="M53">
        <v>3</v>
      </c>
      <c r="N53">
        <v>10</v>
      </c>
      <c r="O53">
        <v>999</v>
      </c>
      <c r="P53">
        <v>8</v>
      </c>
      <c r="Q53">
        <v>8</v>
      </c>
      <c r="R53">
        <v>999</v>
      </c>
      <c r="S53">
        <v>9</v>
      </c>
      <c r="T53">
        <v>4.0833333333333304</v>
      </c>
      <c r="U53">
        <v>6</v>
      </c>
      <c r="V53">
        <v>4</v>
      </c>
      <c r="W53">
        <v>7</v>
      </c>
      <c r="X53">
        <v>6</v>
      </c>
      <c r="AB53">
        <v>1</v>
      </c>
      <c r="AC53">
        <v>11793</v>
      </c>
      <c r="AD53">
        <v>7</v>
      </c>
      <c r="AE53">
        <v>1</v>
      </c>
      <c r="AN53">
        <v>5</v>
      </c>
    </row>
    <row r="54" spans="1:40" x14ac:dyDescent="0.2">
      <c r="A54">
        <v>953</v>
      </c>
      <c r="B54">
        <v>10259</v>
      </c>
      <c r="C54" s="1">
        <v>45000</v>
      </c>
      <c r="D54" s="1">
        <v>21650</v>
      </c>
      <c r="E54">
        <v>63.93</v>
      </c>
      <c r="F54">
        <v>3</v>
      </c>
      <c r="G54">
        <v>0</v>
      </c>
      <c r="H54">
        <v>2</v>
      </c>
      <c r="I54">
        <v>4</v>
      </c>
      <c r="J54">
        <v>0</v>
      </c>
      <c r="L54">
        <v>28</v>
      </c>
      <c r="M54">
        <v>2.1666666666666998</v>
      </c>
      <c r="N54">
        <v>9</v>
      </c>
      <c r="O54">
        <v>999</v>
      </c>
      <c r="P54">
        <v>6</v>
      </c>
      <c r="Q54">
        <v>1</v>
      </c>
      <c r="R54">
        <v>999</v>
      </c>
      <c r="S54">
        <v>7</v>
      </c>
      <c r="T54">
        <v>3.6666666666666998</v>
      </c>
      <c r="U54">
        <v>4</v>
      </c>
      <c r="V54">
        <v>0</v>
      </c>
      <c r="W54">
        <v>4</v>
      </c>
      <c r="X54">
        <v>4</v>
      </c>
      <c r="AC54">
        <v>19132</v>
      </c>
      <c r="AD54">
        <v>4</v>
      </c>
      <c r="AE54">
        <v>0</v>
      </c>
      <c r="AN54">
        <v>0</v>
      </c>
    </row>
    <row r="55" spans="1:40" x14ac:dyDescent="0.2">
      <c r="A55">
        <v>962</v>
      </c>
      <c r="B55">
        <v>31351</v>
      </c>
      <c r="C55" s="1">
        <v>45000</v>
      </c>
      <c r="D55" s="1">
        <v>18755</v>
      </c>
      <c r="E55">
        <v>71.86</v>
      </c>
      <c r="F55">
        <v>4</v>
      </c>
      <c r="G55">
        <v>1</v>
      </c>
      <c r="H55">
        <v>1</v>
      </c>
      <c r="I55">
        <v>0</v>
      </c>
      <c r="J55">
        <v>2</v>
      </c>
      <c r="L55">
        <v>29</v>
      </c>
      <c r="M55">
        <v>1.6666666666667</v>
      </c>
      <c r="N55">
        <v>9</v>
      </c>
      <c r="O55">
        <v>999</v>
      </c>
      <c r="P55">
        <v>3</v>
      </c>
      <c r="Q55">
        <v>1</v>
      </c>
      <c r="R55">
        <v>999</v>
      </c>
      <c r="S55">
        <v>5</v>
      </c>
      <c r="T55">
        <v>4.1666666666666998</v>
      </c>
      <c r="U55">
        <v>6</v>
      </c>
      <c r="V55">
        <v>1</v>
      </c>
      <c r="W55">
        <v>5</v>
      </c>
      <c r="X55">
        <v>6</v>
      </c>
      <c r="AB55">
        <v>1</v>
      </c>
      <c r="AC55">
        <v>19149</v>
      </c>
      <c r="AD55">
        <v>5</v>
      </c>
      <c r="AE55">
        <v>1</v>
      </c>
      <c r="AN55">
        <v>0</v>
      </c>
    </row>
    <row r="56" spans="1:40" x14ac:dyDescent="0.2">
      <c r="A56">
        <v>969</v>
      </c>
      <c r="B56">
        <v>30298</v>
      </c>
      <c r="C56" s="1">
        <v>45001</v>
      </c>
      <c r="D56" s="1">
        <v>36114</v>
      </c>
      <c r="E56">
        <v>24.33</v>
      </c>
      <c r="F56">
        <v>4</v>
      </c>
      <c r="G56">
        <v>1</v>
      </c>
      <c r="H56">
        <v>5</v>
      </c>
      <c r="I56">
        <v>0</v>
      </c>
      <c r="J56">
        <v>0</v>
      </c>
      <c r="L56">
        <v>0</v>
      </c>
      <c r="M56">
        <v>2.3333333333333002</v>
      </c>
      <c r="N56">
        <v>3</v>
      </c>
      <c r="O56">
        <v>999</v>
      </c>
      <c r="P56">
        <v>6</v>
      </c>
      <c r="Q56">
        <v>1</v>
      </c>
      <c r="R56">
        <v>999</v>
      </c>
      <c r="S56">
        <v>10</v>
      </c>
      <c r="T56">
        <v>4.5833333333333002</v>
      </c>
      <c r="U56">
        <v>5</v>
      </c>
      <c r="V56">
        <v>1</v>
      </c>
      <c r="W56">
        <v>6</v>
      </c>
      <c r="X56">
        <v>5</v>
      </c>
      <c r="AC56">
        <v>66212</v>
      </c>
      <c r="AD56">
        <v>6</v>
      </c>
      <c r="AE56">
        <v>0</v>
      </c>
    </row>
    <row r="57" spans="1:40" x14ac:dyDescent="0.2">
      <c r="A57">
        <v>974</v>
      </c>
      <c r="B57">
        <v>130294</v>
      </c>
      <c r="C57" s="1">
        <v>45000</v>
      </c>
      <c r="D57" s="1">
        <v>34536</v>
      </c>
      <c r="E57">
        <v>28.65</v>
      </c>
      <c r="F57">
        <v>4</v>
      </c>
      <c r="G57">
        <v>1</v>
      </c>
      <c r="H57">
        <v>2</v>
      </c>
      <c r="I57">
        <v>0</v>
      </c>
      <c r="J57">
        <v>0</v>
      </c>
      <c r="L57">
        <v>0</v>
      </c>
      <c r="M57">
        <v>1.7777777777778001</v>
      </c>
      <c r="N57">
        <v>3</v>
      </c>
      <c r="O57">
        <v>999</v>
      </c>
      <c r="P57">
        <v>4</v>
      </c>
      <c r="Q57">
        <v>0</v>
      </c>
      <c r="R57">
        <v>999</v>
      </c>
      <c r="S57">
        <v>9</v>
      </c>
      <c r="T57">
        <v>4.5</v>
      </c>
      <c r="U57">
        <v>6</v>
      </c>
      <c r="V57">
        <v>3</v>
      </c>
      <c r="W57">
        <v>6</v>
      </c>
      <c r="X57">
        <v>6</v>
      </c>
      <c r="AB57">
        <v>1</v>
      </c>
      <c r="AC57">
        <v>19382</v>
      </c>
      <c r="AD57">
        <v>6</v>
      </c>
      <c r="AE57">
        <v>0</v>
      </c>
    </row>
    <row r="58" spans="1:40" x14ac:dyDescent="0.2">
      <c r="A58">
        <v>982</v>
      </c>
      <c r="B58">
        <v>100774</v>
      </c>
      <c r="C58" s="1">
        <v>45008</v>
      </c>
      <c r="D58" s="1">
        <v>27189</v>
      </c>
      <c r="E58">
        <v>48.79</v>
      </c>
      <c r="F58">
        <v>4</v>
      </c>
      <c r="G58">
        <v>1</v>
      </c>
      <c r="H58">
        <v>3</v>
      </c>
      <c r="I58">
        <v>0</v>
      </c>
      <c r="J58">
        <v>0</v>
      </c>
      <c r="L58">
        <v>0</v>
      </c>
      <c r="M58">
        <v>2.6111111111111098</v>
      </c>
      <c r="N58">
        <v>8</v>
      </c>
      <c r="O58">
        <v>999</v>
      </c>
      <c r="P58">
        <v>6</v>
      </c>
      <c r="Q58">
        <v>8</v>
      </c>
      <c r="R58">
        <v>999</v>
      </c>
      <c r="S58">
        <v>8</v>
      </c>
      <c r="T58">
        <v>3.5</v>
      </c>
      <c r="U58">
        <v>5</v>
      </c>
      <c r="V58">
        <v>4</v>
      </c>
      <c r="W58">
        <v>5</v>
      </c>
      <c r="X58">
        <v>5</v>
      </c>
      <c r="AB58">
        <v>3</v>
      </c>
      <c r="AC58">
        <v>33069</v>
      </c>
      <c r="AD58">
        <v>5</v>
      </c>
      <c r="AE58">
        <v>0</v>
      </c>
    </row>
    <row r="59" spans="1:40" x14ac:dyDescent="0.2">
      <c r="A59">
        <v>986</v>
      </c>
      <c r="B59">
        <v>130300</v>
      </c>
      <c r="C59" s="1">
        <v>45009</v>
      </c>
      <c r="D59" s="1">
        <v>36609</v>
      </c>
      <c r="E59">
        <v>23</v>
      </c>
      <c r="F59">
        <v>4</v>
      </c>
      <c r="G59">
        <v>1</v>
      </c>
      <c r="O59">
        <v>999</v>
      </c>
      <c r="R59">
        <v>999</v>
      </c>
      <c r="AE59">
        <v>1</v>
      </c>
      <c r="AN59">
        <v>2</v>
      </c>
    </row>
    <row r="60" spans="1:40" x14ac:dyDescent="0.2">
      <c r="A60">
        <v>991</v>
      </c>
      <c r="B60">
        <v>200157</v>
      </c>
      <c r="C60" s="1">
        <v>45012</v>
      </c>
      <c r="D60" s="1">
        <v>20927</v>
      </c>
      <c r="E60">
        <v>65.94</v>
      </c>
      <c r="F60">
        <v>4</v>
      </c>
      <c r="G60">
        <v>1</v>
      </c>
      <c r="H60">
        <v>0</v>
      </c>
      <c r="I60">
        <v>0</v>
      </c>
      <c r="J60">
        <v>2</v>
      </c>
      <c r="L60">
        <v>28</v>
      </c>
      <c r="M60">
        <v>2.8333333333333002</v>
      </c>
      <c r="N60">
        <v>12</v>
      </c>
      <c r="O60">
        <v>999</v>
      </c>
      <c r="P60">
        <v>8</v>
      </c>
      <c r="Q60">
        <v>2</v>
      </c>
      <c r="R60">
        <v>999</v>
      </c>
      <c r="S60">
        <v>10</v>
      </c>
      <c r="T60">
        <v>4</v>
      </c>
      <c r="U60">
        <v>5</v>
      </c>
      <c r="V60">
        <v>3</v>
      </c>
      <c r="W60">
        <v>7</v>
      </c>
      <c r="X60">
        <v>5</v>
      </c>
      <c r="AB60">
        <v>1</v>
      </c>
      <c r="AC60">
        <v>19401</v>
      </c>
      <c r="AD60">
        <v>7</v>
      </c>
      <c r="AE60">
        <v>0</v>
      </c>
    </row>
    <row r="61" spans="1:40" x14ac:dyDescent="0.2">
      <c r="A61">
        <v>1000</v>
      </c>
      <c r="B61">
        <v>120270</v>
      </c>
      <c r="C61" s="1">
        <v>45012</v>
      </c>
      <c r="D61" s="1">
        <v>25872</v>
      </c>
      <c r="E61">
        <v>52.4</v>
      </c>
      <c r="F61">
        <v>4</v>
      </c>
      <c r="G61">
        <v>2</v>
      </c>
      <c r="H61">
        <v>2</v>
      </c>
      <c r="I61">
        <v>0</v>
      </c>
      <c r="J61">
        <v>2</v>
      </c>
      <c r="K61">
        <v>4</v>
      </c>
      <c r="L61">
        <v>28</v>
      </c>
      <c r="M61">
        <v>2.1666666666666998</v>
      </c>
      <c r="N61">
        <v>8</v>
      </c>
      <c r="O61">
        <v>999</v>
      </c>
      <c r="P61">
        <v>7</v>
      </c>
      <c r="Q61">
        <v>1</v>
      </c>
      <c r="R61">
        <v>999</v>
      </c>
      <c r="S61">
        <v>8</v>
      </c>
      <c r="T61">
        <v>4.1666666666666998</v>
      </c>
      <c r="U61">
        <v>5</v>
      </c>
      <c r="V61">
        <v>4</v>
      </c>
      <c r="W61">
        <v>6</v>
      </c>
      <c r="X61">
        <v>5</v>
      </c>
      <c r="AB61">
        <v>1</v>
      </c>
      <c r="AC61">
        <v>98901</v>
      </c>
      <c r="AD61">
        <v>6</v>
      </c>
      <c r="AE61">
        <v>0</v>
      </c>
    </row>
    <row r="62" spans="1:40" x14ac:dyDescent="0.2">
      <c r="A62">
        <v>1007</v>
      </c>
      <c r="B62">
        <v>41966</v>
      </c>
      <c r="C62" s="1">
        <v>45013</v>
      </c>
      <c r="D62" s="1">
        <v>24138</v>
      </c>
      <c r="E62">
        <v>57.15</v>
      </c>
      <c r="F62">
        <v>4</v>
      </c>
      <c r="G62">
        <v>0</v>
      </c>
      <c r="H62">
        <v>5</v>
      </c>
      <c r="I62">
        <v>0</v>
      </c>
      <c r="J62">
        <v>0</v>
      </c>
      <c r="K62">
        <v>1</v>
      </c>
      <c r="L62">
        <v>0</v>
      </c>
      <c r="M62">
        <v>2</v>
      </c>
      <c r="N62">
        <v>10</v>
      </c>
      <c r="O62">
        <v>999</v>
      </c>
      <c r="P62">
        <v>6</v>
      </c>
      <c r="Q62">
        <v>2</v>
      </c>
      <c r="R62">
        <v>999</v>
      </c>
      <c r="S62">
        <v>8</v>
      </c>
      <c r="T62">
        <v>3</v>
      </c>
      <c r="U62">
        <v>6</v>
      </c>
      <c r="V62">
        <v>5</v>
      </c>
      <c r="W62">
        <v>8</v>
      </c>
      <c r="X62">
        <v>6</v>
      </c>
      <c r="AB62">
        <v>2</v>
      </c>
      <c r="AC62">
        <v>19153</v>
      </c>
      <c r="AD62">
        <v>8</v>
      </c>
      <c r="AE62">
        <v>0</v>
      </c>
    </row>
    <row r="63" spans="1:40" x14ac:dyDescent="0.2">
      <c r="A63">
        <v>1012</v>
      </c>
      <c r="B63">
        <v>130692</v>
      </c>
      <c r="C63" s="1">
        <v>45017</v>
      </c>
      <c r="D63" s="1">
        <v>33887</v>
      </c>
      <c r="E63">
        <v>30.47</v>
      </c>
      <c r="F63">
        <v>3</v>
      </c>
      <c r="G63">
        <v>0</v>
      </c>
      <c r="H63">
        <v>2</v>
      </c>
      <c r="I63">
        <v>0</v>
      </c>
      <c r="J63">
        <v>2</v>
      </c>
      <c r="K63">
        <v>9</v>
      </c>
      <c r="L63">
        <v>0</v>
      </c>
      <c r="M63">
        <v>2.875</v>
      </c>
      <c r="N63">
        <v>12</v>
      </c>
      <c r="O63">
        <v>6</v>
      </c>
      <c r="P63">
        <v>8</v>
      </c>
      <c r="Q63">
        <v>1</v>
      </c>
      <c r="R63">
        <v>12</v>
      </c>
      <c r="S63">
        <v>7</v>
      </c>
      <c r="T63">
        <v>2.8333333333333299</v>
      </c>
      <c r="U63">
        <v>4</v>
      </c>
      <c r="V63">
        <v>2</v>
      </c>
      <c r="W63">
        <v>3</v>
      </c>
      <c r="X63">
        <v>4</v>
      </c>
      <c r="AB63">
        <v>1</v>
      </c>
      <c r="AC63">
        <v>19151</v>
      </c>
      <c r="AD63">
        <v>3</v>
      </c>
      <c r="AE63">
        <v>1</v>
      </c>
    </row>
    <row r="64" spans="1:40" x14ac:dyDescent="0.2">
      <c r="A64">
        <v>1013</v>
      </c>
      <c r="B64">
        <v>130882</v>
      </c>
      <c r="C64" s="1">
        <v>45013</v>
      </c>
      <c r="D64" s="1">
        <v>30117</v>
      </c>
      <c r="E64">
        <v>40.78</v>
      </c>
      <c r="F64">
        <v>4</v>
      </c>
      <c r="G64">
        <v>1</v>
      </c>
      <c r="H64">
        <v>1</v>
      </c>
      <c r="I64">
        <v>0</v>
      </c>
      <c r="J64">
        <v>0</v>
      </c>
      <c r="K64">
        <v>4</v>
      </c>
      <c r="L64">
        <v>28</v>
      </c>
      <c r="M64">
        <v>2.6666666666666998</v>
      </c>
      <c r="N64">
        <v>7</v>
      </c>
      <c r="O64">
        <v>999</v>
      </c>
      <c r="P64">
        <v>8</v>
      </c>
      <c r="Q64">
        <v>8</v>
      </c>
      <c r="R64">
        <v>999</v>
      </c>
      <c r="S64">
        <v>7</v>
      </c>
      <c r="T64">
        <v>4</v>
      </c>
      <c r="U64">
        <v>4</v>
      </c>
      <c r="V64">
        <v>2</v>
      </c>
      <c r="W64">
        <v>7</v>
      </c>
      <c r="X64">
        <v>4</v>
      </c>
      <c r="AB64">
        <v>1</v>
      </c>
      <c r="AC64">
        <v>19701</v>
      </c>
      <c r="AD64">
        <v>7</v>
      </c>
      <c r="AE64">
        <v>0</v>
      </c>
    </row>
    <row r="65" spans="1:40" x14ac:dyDescent="0.2">
      <c r="A65">
        <v>1016</v>
      </c>
      <c r="B65">
        <v>181801</v>
      </c>
      <c r="C65" s="1">
        <v>45013</v>
      </c>
      <c r="D65" s="1">
        <v>37204</v>
      </c>
      <c r="E65">
        <v>21.38</v>
      </c>
      <c r="F65">
        <v>3</v>
      </c>
      <c r="G65">
        <v>0</v>
      </c>
      <c r="H65">
        <v>0</v>
      </c>
      <c r="I65">
        <v>0</v>
      </c>
      <c r="J65">
        <v>2</v>
      </c>
      <c r="K65">
        <v>8</v>
      </c>
      <c r="L65">
        <v>0</v>
      </c>
      <c r="M65">
        <v>1.8333333333333299</v>
      </c>
      <c r="N65">
        <v>6</v>
      </c>
      <c r="O65">
        <v>999</v>
      </c>
      <c r="P65">
        <v>4</v>
      </c>
      <c r="Q65">
        <v>0</v>
      </c>
      <c r="R65">
        <v>999</v>
      </c>
      <c r="S65">
        <v>6</v>
      </c>
      <c r="T65">
        <v>3.4166666666666599</v>
      </c>
      <c r="U65">
        <v>1</v>
      </c>
      <c r="V65">
        <v>1</v>
      </c>
      <c r="W65">
        <v>5</v>
      </c>
      <c r="X65">
        <v>1</v>
      </c>
      <c r="AB65">
        <v>1</v>
      </c>
      <c r="AD65">
        <v>5</v>
      </c>
      <c r="AE65">
        <v>1</v>
      </c>
    </row>
    <row r="66" spans="1:40" x14ac:dyDescent="0.2">
      <c r="A66">
        <v>1017</v>
      </c>
      <c r="B66">
        <v>22364</v>
      </c>
      <c r="C66" s="1">
        <v>45013</v>
      </c>
      <c r="D66" s="1">
        <v>23497</v>
      </c>
      <c r="E66">
        <v>58.91</v>
      </c>
      <c r="F66">
        <v>4</v>
      </c>
      <c r="G66">
        <v>0</v>
      </c>
      <c r="H66">
        <v>4</v>
      </c>
      <c r="I66">
        <v>2</v>
      </c>
      <c r="J66">
        <v>1</v>
      </c>
      <c r="K66">
        <v>4</v>
      </c>
      <c r="L66">
        <v>28</v>
      </c>
      <c r="M66">
        <v>1.3888888888888999</v>
      </c>
      <c r="N66">
        <v>4</v>
      </c>
      <c r="O66">
        <v>999</v>
      </c>
      <c r="P66">
        <v>4</v>
      </c>
      <c r="Q66">
        <v>2</v>
      </c>
      <c r="R66">
        <v>999</v>
      </c>
      <c r="S66">
        <v>5</v>
      </c>
      <c r="T66">
        <v>3.75</v>
      </c>
      <c r="U66">
        <v>4</v>
      </c>
      <c r="V66">
        <v>3</v>
      </c>
      <c r="W66">
        <v>6</v>
      </c>
      <c r="X66">
        <v>4</v>
      </c>
      <c r="AC66">
        <v>8110</v>
      </c>
      <c r="AD66">
        <v>6</v>
      </c>
      <c r="AE66">
        <v>0</v>
      </c>
      <c r="AN66">
        <v>0</v>
      </c>
    </row>
    <row r="67" spans="1:40" x14ac:dyDescent="0.2">
      <c r="A67">
        <v>1022</v>
      </c>
      <c r="B67">
        <v>100356</v>
      </c>
      <c r="C67" s="1">
        <v>45014</v>
      </c>
      <c r="D67" s="1">
        <v>20579</v>
      </c>
      <c r="E67">
        <v>66.900000000000006</v>
      </c>
      <c r="F67">
        <v>4</v>
      </c>
      <c r="G67">
        <v>0</v>
      </c>
      <c r="H67">
        <v>10</v>
      </c>
      <c r="I67">
        <v>0</v>
      </c>
      <c r="J67">
        <v>0</v>
      </c>
      <c r="K67">
        <v>5</v>
      </c>
      <c r="L67">
        <v>0</v>
      </c>
      <c r="M67">
        <v>1.6111111111111001</v>
      </c>
      <c r="N67">
        <v>8</v>
      </c>
      <c r="O67">
        <v>999</v>
      </c>
      <c r="P67">
        <v>6</v>
      </c>
      <c r="Q67">
        <v>0</v>
      </c>
      <c r="R67">
        <v>999</v>
      </c>
      <c r="S67">
        <v>4</v>
      </c>
      <c r="T67">
        <v>2</v>
      </c>
      <c r="U67">
        <v>6</v>
      </c>
      <c r="V67">
        <v>4</v>
      </c>
      <c r="W67">
        <v>8</v>
      </c>
      <c r="X67">
        <v>6</v>
      </c>
      <c r="AB67">
        <v>0</v>
      </c>
      <c r="AC67">
        <v>11596</v>
      </c>
      <c r="AD67">
        <v>8</v>
      </c>
      <c r="AE67">
        <v>0</v>
      </c>
    </row>
    <row r="68" spans="1:40" x14ac:dyDescent="0.2">
      <c r="A68">
        <v>1035</v>
      </c>
      <c r="B68">
        <v>131073</v>
      </c>
      <c r="C68" s="1">
        <v>45014</v>
      </c>
      <c r="D68" s="1">
        <v>26742</v>
      </c>
      <c r="E68">
        <v>50.03</v>
      </c>
      <c r="F68">
        <v>4</v>
      </c>
      <c r="G68">
        <v>1</v>
      </c>
      <c r="H68">
        <v>0</v>
      </c>
      <c r="I68">
        <v>0</v>
      </c>
      <c r="J68">
        <v>2</v>
      </c>
      <c r="K68">
        <v>5</v>
      </c>
      <c r="L68">
        <v>28</v>
      </c>
      <c r="M68">
        <v>2.6111111111111098</v>
      </c>
      <c r="N68">
        <v>11</v>
      </c>
      <c r="O68">
        <v>999</v>
      </c>
      <c r="P68">
        <v>6</v>
      </c>
      <c r="Q68">
        <v>4</v>
      </c>
      <c r="R68">
        <v>999</v>
      </c>
      <c r="S68">
        <v>9</v>
      </c>
      <c r="T68">
        <v>3.75</v>
      </c>
      <c r="U68">
        <v>2</v>
      </c>
      <c r="V68">
        <v>1</v>
      </c>
      <c r="W68">
        <v>3</v>
      </c>
      <c r="X68">
        <v>2</v>
      </c>
      <c r="AB68">
        <v>1</v>
      </c>
      <c r="AC68">
        <v>19147</v>
      </c>
      <c r="AD68">
        <v>3</v>
      </c>
      <c r="AE68">
        <v>0</v>
      </c>
    </row>
    <row r="69" spans="1:40" x14ac:dyDescent="0.2">
      <c r="A69">
        <v>1037</v>
      </c>
      <c r="B69">
        <v>181861</v>
      </c>
      <c r="C69" s="1">
        <v>45014</v>
      </c>
      <c r="D69" s="1">
        <v>22331</v>
      </c>
      <c r="E69">
        <v>62.1</v>
      </c>
      <c r="F69">
        <v>3</v>
      </c>
      <c r="G69">
        <v>1</v>
      </c>
      <c r="H69">
        <v>0</v>
      </c>
      <c r="I69">
        <v>0</v>
      </c>
      <c r="J69">
        <v>3</v>
      </c>
      <c r="K69">
        <v>13</v>
      </c>
      <c r="L69">
        <v>27</v>
      </c>
      <c r="M69">
        <v>2.3333333333333002</v>
      </c>
      <c r="N69">
        <v>11</v>
      </c>
      <c r="O69">
        <v>999</v>
      </c>
      <c r="P69">
        <v>6</v>
      </c>
      <c r="Q69">
        <v>3</v>
      </c>
      <c r="R69">
        <v>999</v>
      </c>
      <c r="S69">
        <v>8</v>
      </c>
      <c r="T69">
        <v>3.8333333333333299</v>
      </c>
      <c r="U69">
        <v>5</v>
      </c>
      <c r="V69">
        <v>0</v>
      </c>
      <c r="W69">
        <v>5</v>
      </c>
      <c r="X69">
        <v>5</v>
      </c>
      <c r="AB69">
        <v>1</v>
      </c>
      <c r="AC69">
        <v>19144</v>
      </c>
      <c r="AD69">
        <v>5</v>
      </c>
      <c r="AE69">
        <v>0</v>
      </c>
      <c r="AN69">
        <v>0</v>
      </c>
    </row>
    <row r="70" spans="1:40" x14ac:dyDescent="0.2">
      <c r="A70">
        <v>1042</v>
      </c>
      <c r="B70">
        <v>50392</v>
      </c>
      <c r="C70" s="1">
        <v>45015</v>
      </c>
      <c r="D70" s="1">
        <v>33775</v>
      </c>
      <c r="E70">
        <v>30.77</v>
      </c>
      <c r="F70">
        <v>4</v>
      </c>
      <c r="G70">
        <v>1</v>
      </c>
      <c r="H70">
        <v>2</v>
      </c>
      <c r="I70">
        <v>0</v>
      </c>
      <c r="J70">
        <v>0</v>
      </c>
      <c r="K70">
        <v>1</v>
      </c>
      <c r="L70">
        <v>0</v>
      </c>
      <c r="M70">
        <v>3.7222222222222001</v>
      </c>
      <c r="N70">
        <v>11</v>
      </c>
      <c r="O70">
        <v>999</v>
      </c>
      <c r="P70">
        <v>8</v>
      </c>
      <c r="Q70">
        <v>12</v>
      </c>
      <c r="R70">
        <v>999</v>
      </c>
      <c r="S70">
        <v>12</v>
      </c>
      <c r="T70">
        <v>4.25</v>
      </c>
      <c r="U70">
        <v>5</v>
      </c>
      <c r="V70">
        <v>4</v>
      </c>
      <c r="W70">
        <v>7</v>
      </c>
      <c r="X70">
        <v>5</v>
      </c>
      <c r="AB70">
        <v>0</v>
      </c>
      <c r="AC70">
        <v>8028</v>
      </c>
      <c r="AD70">
        <v>7</v>
      </c>
      <c r="AE70">
        <v>1</v>
      </c>
    </row>
    <row r="71" spans="1:40" x14ac:dyDescent="0.2">
      <c r="A71">
        <v>1049</v>
      </c>
      <c r="B71">
        <v>191886</v>
      </c>
      <c r="C71" s="1">
        <v>45015</v>
      </c>
      <c r="D71" s="1">
        <v>31616</v>
      </c>
      <c r="E71">
        <v>36.69</v>
      </c>
      <c r="F71">
        <v>1</v>
      </c>
      <c r="G71">
        <v>1</v>
      </c>
      <c r="H71">
        <v>8</v>
      </c>
      <c r="I71">
        <v>0</v>
      </c>
      <c r="J71">
        <v>1</v>
      </c>
      <c r="K71">
        <v>11</v>
      </c>
      <c r="L71">
        <v>28</v>
      </c>
      <c r="M71">
        <v>2.6111111111111098</v>
      </c>
      <c r="N71">
        <v>9</v>
      </c>
      <c r="O71">
        <v>999</v>
      </c>
      <c r="P71">
        <v>8</v>
      </c>
      <c r="Q71">
        <v>3</v>
      </c>
      <c r="R71">
        <v>999</v>
      </c>
      <c r="S71">
        <v>7</v>
      </c>
      <c r="T71">
        <v>4.3333333333333304</v>
      </c>
      <c r="U71">
        <v>5</v>
      </c>
      <c r="V71">
        <v>2</v>
      </c>
      <c r="W71">
        <v>5</v>
      </c>
      <c r="X71">
        <v>5</v>
      </c>
      <c r="AC71">
        <v>19061</v>
      </c>
      <c r="AD71">
        <v>5</v>
      </c>
      <c r="AE71">
        <v>1</v>
      </c>
    </row>
    <row r="72" spans="1:40" x14ac:dyDescent="0.2">
      <c r="A72">
        <v>1054</v>
      </c>
      <c r="B72">
        <v>200703</v>
      </c>
      <c r="C72" s="1">
        <v>45016</v>
      </c>
      <c r="D72" s="1">
        <v>37671</v>
      </c>
      <c r="E72">
        <v>20.11</v>
      </c>
      <c r="F72">
        <v>3</v>
      </c>
      <c r="G72">
        <v>0</v>
      </c>
      <c r="H72">
        <v>0</v>
      </c>
      <c r="I72">
        <v>0</v>
      </c>
      <c r="J72">
        <v>0</v>
      </c>
      <c r="K72">
        <v>5</v>
      </c>
      <c r="L72">
        <v>0</v>
      </c>
      <c r="M72">
        <v>2.8333333333333002</v>
      </c>
      <c r="N72">
        <v>12</v>
      </c>
      <c r="O72">
        <v>999</v>
      </c>
      <c r="P72">
        <v>8</v>
      </c>
      <c r="Q72">
        <v>2</v>
      </c>
      <c r="R72">
        <v>999</v>
      </c>
      <c r="S72">
        <v>12</v>
      </c>
      <c r="T72">
        <v>5</v>
      </c>
      <c r="U72">
        <v>4</v>
      </c>
      <c r="V72">
        <v>0</v>
      </c>
      <c r="W72">
        <v>10</v>
      </c>
      <c r="X72">
        <v>4</v>
      </c>
      <c r="AC72">
        <v>19121</v>
      </c>
      <c r="AD72">
        <v>10</v>
      </c>
      <c r="AE72">
        <v>0</v>
      </c>
    </row>
    <row r="73" spans="1:40" x14ac:dyDescent="0.2">
      <c r="A73">
        <v>1056</v>
      </c>
      <c r="B73">
        <v>230494</v>
      </c>
      <c r="C73" s="1">
        <v>45016</v>
      </c>
      <c r="D73" s="1">
        <v>34689</v>
      </c>
      <c r="E73">
        <v>28.27</v>
      </c>
      <c r="F73">
        <v>1</v>
      </c>
      <c r="G73">
        <v>0</v>
      </c>
      <c r="H73">
        <v>0</v>
      </c>
      <c r="I73">
        <v>0</v>
      </c>
      <c r="J73">
        <v>4</v>
      </c>
      <c r="K73">
        <v>10</v>
      </c>
      <c r="L73">
        <v>0</v>
      </c>
      <c r="M73">
        <v>3.75</v>
      </c>
      <c r="N73">
        <v>12</v>
      </c>
      <c r="O73">
        <v>12</v>
      </c>
      <c r="P73">
        <v>12</v>
      </c>
      <c r="Q73">
        <v>2</v>
      </c>
      <c r="R73">
        <v>10</v>
      </c>
      <c r="S73">
        <v>12</v>
      </c>
      <c r="T73">
        <v>5</v>
      </c>
      <c r="U73">
        <v>5</v>
      </c>
      <c r="V73">
        <v>3</v>
      </c>
      <c r="W73">
        <v>4</v>
      </c>
      <c r="X73">
        <v>5</v>
      </c>
      <c r="AB73">
        <v>1</v>
      </c>
      <c r="AC73">
        <v>19406</v>
      </c>
      <c r="AD73">
        <v>4</v>
      </c>
      <c r="AE73">
        <v>0</v>
      </c>
    </row>
    <row r="74" spans="1:40" x14ac:dyDescent="0.2">
      <c r="A74">
        <v>1058</v>
      </c>
      <c r="B74">
        <v>130672</v>
      </c>
      <c r="C74" s="1">
        <v>45016</v>
      </c>
      <c r="D74" s="1">
        <v>26625</v>
      </c>
      <c r="E74">
        <v>50.35</v>
      </c>
      <c r="F74">
        <v>4</v>
      </c>
      <c r="G74">
        <v>0</v>
      </c>
      <c r="H74">
        <v>4</v>
      </c>
      <c r="I74">
        <v>0</v>
      </c>
      <c r="J74">
        <v>0</v>
      </c>
      <c r="K74">
        <v>2</v>
      </c>
      <c r="L74">
        <v>0</v>
      </c>
      <c r="M74">
        <v>4.125</v>
      </c>
      <c r="N74">
        <v>12</v>
      </c>
      <c r="O74">
        <v>12</v>
      </c>
      <c r="P74">
        <v>12</v>
      </c>
      <c r="Q74">
        <v>0</v>
      </c>
      <c r="R74">
        <v>18</v>
      </c>
      <c r="S74">
        <v>12</v>
      </c>
      <c r="T74">
        <v>5</v>
      </c>
      <c r="U74">
        <v>6</v>
      </c>
      <c r="V74">
        <v>4</v>
      </c>
      <c r="W74">
        <v>8</v>
      </c>
      <c r="X74">
        <v>6</v>
      </c>
      <c r="AB74">
        <v>3</v>
      </c>
      <c r="AC74">
        <v>19128</v>
      </c>
      <c r="AD74">
        <v>8</v>
      </c>
      <c r="AE74">
        <v>0</v>
      </c>
    </row>
    <row r="75" spans="1:40" x14ac:dyDescent="0.2">
      <c r="A75">
        <v>1062</v>
      </c>
      <c r="B75">
        <v>11088</v>
      </c>
      <c r="C75" s="1">
        <v>45016</v>
      </c>
      <c r="D75" s="1">
        <v>32309</v>
      </c>
      <c r="E75">
        <v>34.79</v>
      </c>
      <c r="F75">
        <v>3</v>
      </c>
      <c r="G75">
        <v>1</v>
      </c>
      <c r="H75">
        <v>1</v>
      </c>
      <c r="I75">
        <v>0</v>
      </c>
      <c r="J75">
        <v>1</v>
      </c>
      <c r="K75">
        <v>3</v>
      </c>
      <c r="L75">
        <v>0</v>
      </c>
      <c r="M75">
        <v>3.5625</v>
      </c>
      <c r="N75">
        <v>12</v>
      </c>
      <c r="O75">
        <v>12</v>
      </c>
      <c r="P75">
        <v>11</v>
      </c>
      <c r="Q75">
        <v>1</v>
      </c>
      <c r="R75">
        <v>9</v>
      </c>
      <c r="S75">
        <v>12</v>
      </c>
      <c r="T75">
        <v>4.6666666666666599</v>
      </c>
      <c r="U75">
        <v>4</v>
      </c>
      <c r="V75">
        <v>2</v>
      </c>
      <c r="W75">
        <v>4</v>
      </c>
      <c r="X75">
        <v>4</v>
      </c>
      <c r="AB75">
        <v>0</v>
      </c>
      <c r="AC75">
        <v>19132</v>
      </c>
      <c r="AD75">
        <v>4</v>
      </c>
      <c r="AE75">
        <v>0</v>
      </c>
    </row>
    <row r="76" spans="1:40" x14ac:dyDescent="0.2">
      <c r="A76">
        <v>1064</v>
      </c>
      <c r="B76">
        <v>11201</v>
      </c>
      <c r="C76" s="1">
        <v>45016</v>
      </c>
      <c r="D76" s="1">
        <v>36973</v>
      </c>
      <c r="E76">
        <v>22.02</v>
      </c>
      <c r="F76">
        <v>4</v>
      </c>
      <c r="G76">
        <v>1</v>
      </c>
      <c r="H76">
        <v>22</v>
      </c>
      <c r="I76">
        <v>32</v>
      </c>
      <c r="J76">
        <v>3</v>
      </c>
      <c r="K76">
        <v>15</v>
      </c>
      <c r="L76">
        <v>24</v>
      </c>
      <c r="M76">
        <v>3.8125</v>
      </c>
      <c r="N76">
        <v>12</v>
      </c>
      <c r="O76">
        <v>3</v>
      </c>
      <c r="P76">
        <v>11</v>
      </c>
      <c r="Q76">
        <v>8</v>
      </c>
      <c r="R76">
        <v>15</v>
      </c>
      <c r="S76">
        <v>12</v>
      </c>
      <c r="T76">
        <v>4.6666666666666599</v>
      </c>
      <c r="U76">
        <v>4</v>
      </c>
      <c r="V76">
        <v>2</v>
      </c>
      <c r="W76">
        <v>5</v>
      </c>
      <c r="X76">
        <v>4</v>
      </c>
      <c r="AC76">
        <v>7430</v>
      </c>
      <c r="AD76">
        <v>5</v>
      </c>
      <c r="AE76">
        <v>0</v>
      </c>
    </row>
    <row r="77" spans="1:40" x14ac:dyDescent="0.2">
      <c r="A77">
        <v>1070</v>
      </c>
      <c r="B77">
        <v>221289</v>
      </c>
      <c r="C77" s="1">
        <v>45017</v>
      </c>
      <c r="D77" s="1">
        <v>32656</v>
      </c>
      <c r="E77">
        <v>33.840000000000003</v>
      </c>
      <c r="F77">
        <v>1</v>
      </c>
      <c r="G77">
        <v>1</v>
      </c>
      <c r="H77">
        <v>0</v>
      </c>
      <c r="I77">
        <v>0</v>
      </c>
      <c r="J77">
        <v>1</v>
      </c>
      <c r="K77">
        <v>6</v>
      </c>
      <c r="L77">
        <v>0</v>
      </c>
      <c r="M77">
        <v>3.75</v>
      </c>
      <c r="N77">
        <v>12</v>
      </c>
      <c r="O77">
        <v>9</v>
      </c>
      <c r="P77">
        <v>9</v>
      </c>
      <c r="Q77">
        <v>3</v>
      </c>
      <c r="R77">
        <v>15</v>
      </c>
      <c r="S77">
        <v>12</v>
      </c>
      <c r="T77">
        <v>4.3333333333333304</v>
      </c>
      <c r="U77">
        <v>5</v>
      </c>
      <c r="V77">
        <v>2</v>
      </c>
      <c r="W77">
        <v>6</v>
      </c>
      <c r="X77">
        <v>5</v>
      </c>
      <c r="AC77">
        <v>19124</v>
      </c>
      <c r="AD77">
        <v>6</v>
      </c>
      <c r="AE77">
        <v>0</v>
      </c>
    </row>
    <row r="78" spans="1:40" x14ac:dyDescent="0.2">
      <c r="A78">
        <v>1071</v>
      </c>
      <c r="B78">
        <v>101186</v>
      </c>
      <c r="C78" s="1">
        <v>45017</v>
      </c>
      <c r="D78" s="1">
        <v>31763</v>
      </c>
      <c r="E78">
        <v>36.29</v>
      </c>
      <c r="F78">
        <v>4</v>
      </c>
      <c r="G78">
        <v>0</v>
      </c>
      <c r="H78">
        <v>5</v>
      </c>
      <c r="I78">
        <v>0</v>
      </c>
      <c r="J78">
        <v>2</v>
      </c>
      <c r="K78">
        <v>6</v>
      </c>
      <c r="L78">
        <v>28</v>
      </c>
      <c r="M78">
        <v>4.5625</v>
      </c>
      <c r="N78">
        <v>10</v>
      </c>
      <c r="O78">
        <v>12</v>
      </c>
      <c r="P78">
        <v>12</v>
      </c>
      <c r="Q78">
        <v>12</v>
      </c>
      <c r="R78">
        <v>15</v>
      </c>
      <c r="S78">
        <v>12</v>
      </c>
      <c r="T78">
        <v>3.9166666666666599</v>
      </c>
      <c r="U78">
        <v>0</v>
      </c>
      <c r="V78">
        <v>3</v>
      </c>
      <c r="W78">
        <v>6</v>
      </c>
      <c r="X78">
        <v>0</v>
      </c>
      <c r="AB78">
        <v>0</v>
      </c>
      <c r="AC78">
        <v>19147</v>
      </c>
      <c r="AD78">
        <v>6</v>
      </c>
      <c r="AE78">
        <v>0</v>
      </c>
    </row>
    <row r="79" spans="1:40" x14ac:dyDescent="0.2">
      <c r="A79">
        <v>1074</v>
      </c>
      <c r="B79">
        <v>101995</v>
      </c>
      <c r="C79" s="1">
        <v>45017</v>
      </c>
      <c r="D79" s="1">
        <v>34869</v>
      </c>
      <c r="E79">
        <v>27.78</v>
      </c>
      <c r="F79">
        <v>3</v>
      </c>
      <c r="G79">
        <v>0</v>
      </c>
      <c r="H79">
        <v>0</v>
      </c>
      <c r="I79">
        <v>0</v>
      </c>
      <c r="J79">
        <v>0</v>
      </c>
      <c r="K79">
        <v>11</v>
      </c>
      <c r="L79">
        <v>0</v>
      </c>
      <c r="M79">
        <v>2.9375</v>
      </c>
      <c r="N79">
        <v>12</v>
      </c>
      <c r="O79">
        <v>8</v>
      </c>
      <c r="P79">
        <v>8</v>
      </c>
      <c r="Q79">
        <v>0</v>
      </c>
      <c r="R79">
        <v>13</v>
      </c>
      <c r="S79">
        <v>6</v>
      </c>
      <c r="T79">
        <v>3.25</v>
      </c>
      <c r="U79">
        <v>5</v>
      </c>
      <c r="V79">
        <v>3</v>
      </c>
      <c r="W79">
        <v>3</v>
      </c>
      <c r="X79">
        <v>5</v>
      </c>
      <c r="AC79">
        <v>19151</v>
      </c>
      <c r="AD79">
        <v>3</v>
      </c>
      <c r="AE79">
        <v>1</v>
      </c>
    </row>
    <row r="80" spans="1:40" x14ac:dyDescent="0.2">
      <c r="A80">
        <v>1075</v>
      </c>
      <c r="B80">
        <v>41359</v>
      </c>
      <c r="C80" s="1">
        <v>45017</v>
      </c>
      <c r="D80" s="1">
        <v>21652</v>
      </c>
      <c r="E80">
        <v>63.97</v>
      </c>
      <c r="F80">
        <v>4</v>
      </c>
      <c r="G80">
        <v>0</v>
      </c>
      <c r="H80">
        <v>3</v>
      </c>
      <c r="I80">
        <v>0</v>
      </c>
      <c r="J80">
        <v>2</v>
      </c>
      <c r="K80">
        <v>12</v>
      </c>
      <c r="L80">
        <v>27</v>
      </c>
      <c r="M80">
        <v>3.125</v>
      </c>
      <c r="N80">
        <v>12</v>
      </c>
      <c r="O80">
        <v>6</v>
      </c>
      <c r="P80">
        <v>7</v>
      </c>
      <c r="Q80">
        <v>2</v>
      </c>
      <c r="R80">
        <v>14</v>
      </c>
      <c r="S80">
        <v>9</v>
      </c>
      <c r="T80">
        <v>2.75</v>
      </c>
      <c r="U80">
        <v>4</v>
      </c>
      <c r="V80">
        <v>0</v>
      </c>
      <c r="W80">
        <v>3</v>
      </c>
      <c r="X80">
        <v>4</v>
      </c>
      <c r="AB80">
        <v>0</v>
      </c>
      <c r="AC80">
        <v>19004</v>
      </c>
      <c r="AD80">
        <v>3</v>
      </c>
      <c r="AE80">
        <v>0</v>
      </c>
      <c r="AN80">
        <v>1</v>
      </c>
    </row>
    <row r="81" spans="1:31" x14ac:dyDescent="0.2">
      <c r="A81">
        <v>1078</v>
      </c>
      <c r="B81">
        <v>51469</v>
      </c>
      <c r="C81" s="1">
        <v>45017</v>
      </c>
      <c r="D81" s="1">
        <v>25509</v>
      </c>
      <c r="E81">
        <v>53.41</v>
      </c>
      <c r="F81">
        <v>4</v>
      </c>
      <c r="G81">
        <v>1</v>
      </c>
      <c r="H81">
        <v>1</v>
      </c>
      <c r="I81">
        <v>0</v>
      </c>
      <c r="J81">
        <v>0</v>
      </c>
      <c r="K81">
        <v>9</v>
      </c>
      <c r="L81">
        <v>28</v>
      </c>
      <c r="M81">
        <v>3.125</v>
      </c>
      <c r="N81">
        <v>10</v>
      </c>
      <c r="O81">
        <v>5</v>
      </c>
      <c r="P81">
        <v>9</v>
      </c>
      <c r="Q81">
        <v>2</v>
      </c>
      <c r="R81">
        <v>15</v>
      </c>
      <c r="S81">
        <v>9</v>
      </c>
      <c r="T81">
        <v>3.25</v>
      </c>
      <c r="U81">
        <v>6</v>
      </c>
      <c r="V81">
        <v>2</v>
      </c>
      <c r="W81">
        <v>5</v>
      </c>
      <c r="X81">
        <v>6</v>
      </c>
      <c r="AB81">
        <v>0</v>
      </c>
      <c r="AC81">
        <v>10003</v>
      </c>
      <c r="AD81">
        <v>5</v>
      </c>
      <c r="AE81">
        <v>1</v>
      </c>
    </row>
    <row r="82" spans="1:31" x14ac:dyDescent="0.2">
      <c r="A82">
        <v>1079</v>
      </c>
      <c r="B82">
        <v>131186</v>
      </c>
      <c r="C82" s="1">
        <v>45017</v>
      </c>
      <c r="D82" s="1">
        <v>31436</v>
      </c>
      <c r="E82">
        <v>37.18</v>
      </c>
      <c r="F82">
        <v>3</v>
      </c>
      <c r="G82">
        <v>1</v>
      </c>
      <c r="H82">
        <v>6</v>
      </c>
      <c r="I82">
        <v>0</v>
      </c>
      <c r="J82">
        <v>6</v>
      </c>
      <c r="K82">
        <v>11</v>
      </c>
      <c r="L82">
        <v>0</v>
      </c>
      <c r="M82">
        <v>4</v>
      </c>
      <c r="N82">
        <v>12</v>
      </c>
      <c r="O82">
        <v>12</v>
      </c>
      <c r="P82">
        <v>8</v>
      </c>
      <c r="Q82">
        <v>4</v>
      </c>
      <c r="R82">
        <v>16</v>
      </c>
      <c r="S82">
        <v>12</v>
      </c>
      <c r="T82">
        <v>2.75</v>
      </c>
      <c r="U82">
        <v>3</v>
      </c>
      <c r="V82">
        <v>0</v>
      </c>
      <c r="W82">
        <v>3</v>
      </c>
      <c r="X82">
        <v>3</v>
      </c>
      <c r="AB82">
        <v>3</v>
      </c>
      <c r="AC82">
        <v>19140</v>
      </c>
      <c r="AD82">
        <v>3</v>
      </c>
      <c r="AE82">
        <v>1</v>
      </c>
    </row>
    <row r="83" spans="1:31" x14ac:dyDescent="0.2">
      <c r="A83">
        <v>1090</v>
      </c>
      <c r="B83">
        <v>121463</v>
      </c>
      <c r="C83" s="1">
        <v>45017</v>
      </c>
      <c r="D83" s="1">
        <v>23183</v>
      </c>
      <c r="E83">
        <v>59.78</v>
      </c>
      <c r="F83">
        <v>4</v>
      </c>
      <c r="G83">
        <v>1</v>
      </c>
      <c r="H83">
        <v>7</v>
      </c>
      <c r="I83">
        <v>0</v>
      </c>
      <c r="J83">
        <v>0</v>
      </c>
      <c r="K83">
        <v>3</v>
      </c>
      <c r="L83">
        <v>28</v>
      </c>
      <c r="M83">
        <v>3.8125</v>
      </c>
      <c r="N83">
        <v>12</v>
      </c>
      <c r="O83">
        <v>9</v>
      </c>
      <c r="P83">
        <v>11</v>
      </c>
      <c r="Q83">
        <v>2</v>
      </c>
      <c r="R83">
        <v>15</v>
      </c>
      <c r="S83">
        <v>12</v>
      </c>
      <c r="T83">
        <v>4.5</v>
      </c>
      <c r="U83">
        <v>2</v>
      </c>
      <c r="V83">
        <v>1</v>
      </c>
      <c r="W83">
        <v>5</v>
      </c>
      <c r="X83">
        <v>2</v>
      </c>
      <c r="AB83">
        <v>0</v>
      </c>
      <c r="AC83">
        <v>19444</v>
      </c>
      <c r="AD83">
        <v>5</v>
      </c>
      <c r="AE83">
        <v>0</v>
      </c>
    </row>
    <row r="84" spans="1:31" x14ac:dyDescent="0.2">
      <c r="A84">
        <v>1113</v>
      </c>
      <c r="B84">
        <v>130688</v>
      </c>
      <c r="C84" s="1">
        <v>45018</v>
      </c>
      <c r="D84" s="1">
        <v>32281</v>
      </c>
      <c r="E84">
        <v>34.869999999999997</v>
      </c>
      <c r="F84">
        <v>4</v>
      </c>
      <c r="G84">
        <v>1</v>
      </c>
      <c r="H84">
        <v>4</v>
      </c>
      <c r="I84">
        <v>0</v>
      </c>
      <c r="J84">
        <v>0</v>
      </c>
      <c r="K84">
        <v>8</v>
      </c>
      <c r="L84">
        <v>0</v>
      </c>
      <c r="M84">
        <v>3</v>
      </c>
      <c r="N84">
        <v>8</v>
      </c>
      <c r="O84">
        <v>7</v>
      </c>
      <c r="P84">
        <v>9</v>
      </c>
      <c r="Q84">
        <v>1</v>
      </c>
      <c r="R84">
        <v>14</v>
      </c>
      <c r="S84">
        <v>9</v>
      </c>
      <c r="T84">
        <v>4</v>
      </c>
      <c r="U84">
        <v>6</v>
      </c>
      <c r="V84">
        <v>6</v>
      </c>
      <c r="W84">
        <v>7</v>
      </c>
      <c r="X84">
        <v>6</v>
      </c>
      <c r="AB84">
        <v>2</v>
      </c>
      <c r="AC84">
        <v>6066</v>
      </c>
      <c r="AD84">
        <v>7</v>
      </c>
      <c r="AE84">
        <v>0</v>
      </c>
    </row>
    <row r="85" spans="1:31" x14ac:dyDescent="0.2">
      <c r="A85">
        <v>1116</v>
      </c>
      <c r="B85">
        <v>121380</v>
      </c>
      <c r="C85" s="1">
        <v>45019</v>
      </c>
      <c r="D85" s="1">
        <v>29580</v>
      </c>
      <c r="E85">
        <v>42.27</v>
      </c>
      <c r="F85">
        <v>4</v>
      </c>
      <c r="G85">
        <v>1</v>
      </c>
      <c r="H85">
        <v>6</v>
      </c>
      <c r="I85">
        <v>2</v>
      </c>
      <c r="J85">
        <v>5</v>
      </c>
      <c r="K85">
        <v>18</v>
      </c>
      <c r="L85">
        <v>0</v>
      </c>
      <c r="M85">
        <v>3.1875</v>
      </c>
      <c r="N85">
        <v>9</v>
      </c>
      <c r="O85">
        <v>9</v>
      </c>
      <c r="P85">
        <v>9</v>
      </c>
      <c r="Q85">
        <v>0</v>
      </c>
      <c r="R85">
        <v>15</v>
      </c>
      <c r="S85">
        <v>9</v>
      </c>
      <c r="T85">
        <v>4.75</v>
      </c>
      <c r="U85">
        <v>4</v>
      </c>
      <c r="V85">
        <v>3</v>
      </c>
      <c r="W85">
        <v>4</v>
      </c>
      <c r="X85">
        <v>4</v>
      </c>
      <c r="AB85">
        <v>0</v>
      </c>
      <c r="AC85">
        <v>19018</v>
      </c>
      <c r="AD85">
        <v>4</v>
      </c>
      <c r="AE85">
        <v>0</v>
      </c>
    </row>
    <row r="86" spans="1:31" x14ac:dyDescent="0.2">
      <c r="A86">
        <v>1121</v>
      </c>
      <c r="B86">
        <v>30804</v>
      </c>
      <c r="C86" s="1">
        <v>45019</v>
      </c>
      <c r="D86" s="1">
        <v>38129</v>
      </c>
      <c r="E86">
        <v>18.86</v>
      </c>
      <c r="F86">
        <v>1</v>
      </c>
      <c r="G86">
        <v>1</v>
      </c>
      <c r="H86">
        <v>0</v>
      </c>
      <c r="I86">
        <v>0</v>
      </c>
      <c r="J86">
        <v>0</v>
      </c>
      <c r="K86">
        <v>5</v>
      </c>
      <c r="L86">
        <v>0</v>
      </c>
      <c r="M86">
        <v>3.125</v>
      </c>
      <c r="N86">
        <v>1</v>
      </c>
      <c r="O86">
        <v>12</v>
      </c>
      <c r="P86">
        <v>12</v>
      </c>
      <c r="Q86">
        <v>0</v>
      </c>
      <c r="R86">
        <v>15</v>
      </c>
      <c r="S86">
        <v>10</v>
      </c>
      <c r="T86">
        <v>4.1666666666666599</v>
      </c>
      <c r="U86">
        <v>4</v>
      </c>
      <c r="V86">
        <v>2</v>
      </c>
      <c r="W86">
        <v>5</v>
      </c>
      <c r="X86">
        <v>4</v>
      </c>
      <c r="AC86">
        <v>17821</v>
      </c>
      <c r="AD86">
        <v>5</v>
      </c>
      <c r="AE86">
        <v>0</v>
      </c>
    </row>
    <row r="87" spans="1:31" x14ac:dyDescent="0.2">
      <c r="A87">
        <v>1128</v>
      </c>
      <c r="B87">
        <v>50285</v>
      </c>
      <c r="C87" s="1">
        <v>45019</v>
      </c>
      <c r="D87" s="1">
        <v>31314</v>
      </c>
      <c r="E87">
        <v>37.520000000000003</v>
      </c>
      <c r="F87">
        <v>4</v>
      </c>
      <c r="G87">
        <v>0</v>
      </c>
      <c r="H87">
        <v>3</v>
      </c>
      <c r="I87">
        <v>0</v>
      </c>
      <c r="J87">
        <v>3</v>
      </c>
      <c r="K87">
        <v>10</v>
      </c>
      <c r="L87">
        <v>28</v>
      </c>
      <c r="M87">
        <v>4.6875</v>
      </c>
      <c r="N87">
        <v>12</v>
      </c>
      <c r="O87">
        <v>12</v>
      </c>
      <c r="P87">
        <v>11</v>
      </c>
      <c r="Q87">
        <v>11</v>
      </c>
      <c r="R87">
        <v>18</v>
      </c>
      <c r="S87">
        <v>11</v>
      </c>
      <c r="T87">
        <v>3.5833333333333299</v>
      </c>
      <c r="U87">
        <v>6</v>
      </c>
      <c r="V87">
        <v>1</v>
      </c>
      <c r="W87">
        <v>5</v>
      </c>
      <c r="X87">
        <v>6</v>
      </c>
      <c r="AB87">
        <v>0</v>
      </c>
      <c r="AC87">
        <v>19143</v>
      </c>
      <c r="AD87">
        <v>5</v>
      </c>
      <c r="AE87">
        <v>1</v>
      </c>
    </row>
    <row r="88" spans="1:31" x14ac:dyDescent="0.2">
      <c r="A88">
        <v>1138</v>
      </c>
      <c r="B88">
        <v>50274</v>
      </c>
      <c r="C88" s="1">
        <v>45019</v>
      </c>
      <c r="D88" s="1">
        <v>27295</v>
      </c>
      <c r="E88">
        <v>48.53</v>
      </c>
      <c r="F88">
        <v>4</v>
      </c>
      <c r="G88">
        <v>1</v>
      </c>
      <c r="H88">
        <v>6</v>
      </c>
      <c r="I88">
        <v>1</v>
      </c>
      <c r="J88">
        <v>3</v>
      </c>
      <c r="K88">
        <v>17</v>
      </c>
      <c r="L88">
        <v>28</v>
      </c>
      <c r="M88">
        <v>3.875</v>
      </c>
      <c r="N88">
        <v>12</v>
      </c>
      <c r="O88">
        <v>8</v>
      </c>
      <c r="P88">
        <v>12</v>
      </c>
      <c r="Q88">
        <v>0</v>
      </c>
      <c r="R88">
        <v>18</v>
      </c>
      <c r="S88">
        <v>12</v>
      </c>
      <c r="T88">
        <v>4.1666666666666599</v>
      </c>
      <c r="U88">
        <v>6</v>
      </c>
      <c r="V88">
        <v>2</v>
      </c>
      <c r="W88">
        <v>7</v>
      </c>
      <c r="X88">
        <v>6</v>
      </c>
      <c r="AB88">
        <v>0</v>
      </c>
      <c r="AC88">
        <v>19460</v>
      </c>
      <c r="AD88">
        <v>7</v>
      </c>
      <c r="AE88">
        <v>0</v>
      </c>
    </row>
    <row r="89" spans="1:31" x14ac:dyDescent="0.2">
      <c r="A89">
        <v>1140</v>
      </c>
      <c r="B89">
        <v>11190</v>
      </c>
      <c r="C89" s="1">
        <v>45019</v>
      </c>
      <c r="D89" s="1">
        <v>32924</v>
      </c>
      <c r="E89">
        <v>33.11</v>
      </c>
      <c r="F89">
        <v>3</v>
      </c>
      <c r="G89">
        <v>0</v>
      </c>
      <c r="H89">
        <v>0</v>
      </c>
      <c r="I89">
        <v>0</v>
      </c>
      <c r="J89">
        <v>2</v>
      </c>
      <c r="K89">
        <v>5</v>
      </c>
      <c r="L89">
        <v>0</v>
      </c>
      <c r="M89">
        <v>3.25</v>
      </c>
      <c r="N89">
        <v>12</v>
      </c>
      <c r="O89">
        <v>6</v>
      </c>
      <c r="P89">
        <v>12</v>
      </c>
      <c r="Q89">
        <v>2</v>
      </c>
      <c r="R89">
        <v>15</v>
      </c>
      <c r="S89">
        <v>5</v>
      </c>
      <c r="T89">
        <v>5</v>
      </c>
      <c r="U89">
        <v>6</v>
      </c>
      <c r="V89">
        <v>2</v>
      </c>
      <c r="W89">
        <v>6</v>
      </c>
      <c r="X89">
        <v>6</v>
      </c>
      <c r="AB89">
        <v>3</v>
      </c>
      <c r="AC89">
        <v>68136</v>
      </c>
      <c r="AD89">
        <v>6</v>
      </c>
      <c r="AE89">
        <v>0</v>
      </c>
    </row>
    <row r="90" spans="1:31" x14ac:dyDescent="0.2">
      <c r="A90">
        <v>1144</v>
      </c>
      <c r="B90">
        <v>100496</v>
      </c>
      <c r="C90" s="1">
        <v>45020</v>
      </c>
      <c r="D90" s="1">
        <v>35302</v>
      </c>
      <c r="E90">
        <v>26.61</v>
      </c>
      <c r="F90">
        <v>1</v>
      </c>
      <c r="G90">
        <v>1</v>
      </c>
      <c r="H90">
        <v>0</v>
      </c>
      <c r="I90">
        <v>0</v>
      </c>
      <c r="J90">
        <v>0</v>
      </c>
      <c r="K90">
        <v>7</v>
      </c>
      <c r="L90">
        <v>0</v>
      </c>
      <c r="M90">
        <v>3.0625</v>
      </c>
      <c r="N90">
        <v>11</v>
      </c>
      <c r="O90">
        <v>1</v>
      </c>
      <c r="P90">
        <v>11</v>
      </c>
      <c r="Q90">
        <v>0</v>
      </c>
      <c r="R90">
        <v>15</v>
      </c>
      <c r="S90">
        <v>11</v>
      </c>
      <c r="T90">
        <v>3.75</v>
      </c>
      <c r="U90">
        <v>5</v>
      </c>
      <c r="V90">
        <v>2</v>
      </c>
      <c r="W90">
        <v>7</v>
      </c>
      <c r="X90">
        <v>5</v>
      </c>
      <c r="AB90">
        <v>0</v>
      </c>
      <c r="AC90">
        <v>11766</v>
      </c>
      <c r="AD90">
        <v>7</v>
      </c>
      <c r="AE90">
        <v>0</v>
      </c>
    </row>
    <row r="91" spans="1:31" x14ac:dyDescent="0.2">
      <c r="A91">
        <v>1145</v>
      </c>
      <c r="B91">
        <v>102387</v>
      </c>
      <c r="C91" s="1">
        <v>45020</v>
      </c>
      <c r="D91" s="1">
        <v>31962</v>
      </c>
      <c r="E91">
        <v>35.75</v>
      </c>
      <c r="F91">
        <v>3</v>
      </c>
      <c r="G91">
        <v>0</v>
      </c>
      <c r="H91">
        <v>0</v>
      </c>
      <c r="I91">
        <v>0</v>
      </c>
      <c r="J91">
        <v>3</v>
      </c>
      <c r="K91">
        <v>14</v>
      </c>
      <c r="L91">
        <v>27</v>
      </c>
      <c r="M91">
        <v>3.75</v>
      </c>
      <c r="N91">
        <v>9</v>
      </c>
      <c r="O91">
        <v>9</v>
      </c>
      <c r="P91">
        <v>8</v>
      </c>
      <c r="Q91">
        <v>10</v>
      </c>
      <c r="R91">
        <v>15</v>
      </c>
      <c r="S91">
        <v>9</v>
      </c>
      <c r="T91">
        <v>3.75</v>
      </c>
      <c r="U91">
        <v>3</v>
      </c>
      <c r="V91">
        <v>4</v>
      </c>
      <c r="W91">
        <v>3</v>
      </c>
      <c r="X91">
        <v>3</v>
      </c>
      <c r="AB91">
        <v>2</v>
      </c>
      <c r="AC91">
        <v>19128</v>
      </c>
      <c r="AD91">
        <v>3</v>
      </c>
      <c r="AE91">
        <v>0</v>
      </c>
    </row>
    <row r="92" spans="1:31" x14ac:dyDescent="0.2">
      <c r="A92">
        <v>1146</v>
      </c>
      <c r="B92">
        <v>52089</v>
      </c>
      <c r="C92" s="1">
        <v>45020</v>
      </c>
      <c r="D92" s="1">
        <v>32861</v>
      </c>
      <c r="E92">
        <v>33.29</v>
      </c>
      <c r="F92">
        <v>3</v>
      </c>
      <c r="G92">
        <v>1</v>
      </c>
      <c r="H92">
        <v>1</v>
      </c>
      <c r="I92">
        <v>0</v>
      </c>
      <c r="J92">
        <v>1</v>
      </c>
      <c r="K92">
        <v>3</v>
      </c>
      <c r="L92">
        <v>28</v>
      </c>
      <c r="M92">
        <v>3.6875</v>
      </c>
      <c r="N92">
        <v>11</v>
      </c>
      <c r="O92">
        <v>9</v>
      </c>
      <c r="P92">
        <v>9</v>
      </c>
      <c r="Q92">
        <v>5</v>
      </c>
      <c r="R92">
        <v>15</v>
      </c>
      <c r="S92">
        <v>10</v>
      </c>
      <c r="T92">
        <v>4.5</v>
      </c>
      <c r="U92">
        <v>4</v>
      </c>
      <c r="V92">
        <v>2</v>
      </c>
      <c r="W92">
        <v>7</v>
      </c>
      <c r="X92">
        <v>4</v>
      </c>
      <c r="AB92">
        <v>1</v>
      </c>
      <c r="AC92">
        <v>19151</v>
      </c>
      <c r="AD92">
        <v>7</v>
      </c>
      <c r="AE92">
        <v>0</v>
      </c>
    </row>
    <row r="93" spans="1:31" x14ac:dyDescent="0.2">
      <c r="A93">
        <v>1151</v>
      </c>
      <c r="B93">
        <v>100295</v>
      </c>
      <c r="C93" s="1">
        <v>45020</v>
      </c>
      <c r="D93" s="1">
        <v>34990</v>
      </c>
      <c r="E93">
        <v>27.46</v>
      </c>
      <c r="F93">
        <v>4</v>
      </c>
      <c r="G93">
        <v>1</v>
      </c>
      <c r="H93">
        <v>2</v>
      </c>
      <c r="I93">
        <v>3</v>
      </c>
      <c r="J93">
        <v>0</v>
      </c>
      <c r="K93">
        <v>6</v>
      </c>
      <c r="L93">
        <v>0</v>
      </c>
      <c r="M93">
        <v>3.25</v>
      </c>
      <c r="N93">
        <v>12</v>
      </c>
      <c r="O93">
        <v>0</v>
      </c>
      <c r="P93">
        <v>12</v>
      </c>
      <c r="Q93">
        <v>2</v>
      </c>
      <c r="R93">
        <v>16</v>
      </c>
      <c r="S93">
        <v>10</v>
      </c>
      <c r="T93">
        <v>4.5833333333333304</v>
      </c>
      <c r="U93">
        <v>6</v>
      </c>
      <c r="V93">
        <v>3</v>
      </c>
      <c r="W93">
        <v>7</v>
      </c>
      <c r="X93">
        <v>6</v>
      </c>
      <c r="AB93">
        <v>3</v>
      </c>
      <c r="AC93">
        <v>19006</v>
      </c>
      <c r="AD93">
        <v>7</v>
      </c>
      <c r="AE93">
        <v>0</v>
      </c>
    </row>
    <row r="94" spans="1:31" x14ac:dyDescent="0.2">
      <c r="A94">
        <v>1154</v>
      </c>
      <c r="B94">
        <v>10704</v>
      </c>
      <c r="C94" s="1">
        <v>45020</v>
      </c>
      <c r="D94" s="1">
        <v>38277</v>
      </c>
      <c r="E94">
        <v>18.46</v>
      </c>
      <c r="F94">
        <v>4</v>
      </c>
      <c r="G94">
        <v>1</v>
      </c>
      <c r="H94">
        <v>0</v>
      </c>
      <c r="I94">
        <v>0</v>
      </c>
      <c r="J94">
        <v>1</v>
      </c>
      <c r="K94">
        <v>8</v>
      </c>
      <c r="L94">
        <v>28</v>
      </c>
      <c r="M94">
        <v>4.25</v>
      </c>
      <c r="N94">
        <v>12</v>
      </c>
      <c r="O94">
        <v>12</v>
      </c>
      <c r="P94">
        <v>12</v>
      </c>
      <c r="Q94">
        <v>4</v>
      </c>
      <c r="R94">
        <v>18</v>
      </c>
      <c r="S94">
        <v>10</v>
      </c>
      <c r="T94">
        <v>4.8333333333333304</v>
      </c>
      <c r="U94">
        <v>1</v>
      </c>
      <c r="V94">
        <v>3</v>
      </c>
      <c r="W94">
        <v>8</v>
      </c>
      <c r="X94">
        <v>1</v>
      </c>
      <c r="AB94">
        <v>3</v>
      </c>
      <c r="AC94">
        <v>19148</v>
      </c>
      <c r="AD94">
        <v>8</v>
      </c>
      <c r="AE94">
        <v>0</v>
      </c>
    </row>
    <row r="95" spans="1:31" x14ac:dyDescent="0.2">
      <c r="A95">
        <v>1158</v>
      </c>
      <c r="B95">
        <v>111902</v>
      </c>
      <c r="C95" s="1">
        <v>45020</v>
      </c>
      <c r="D95" s="1">
        <v>37583</v>
      </c>
      <c r="E95">
        <v>20.36</v>
      </c>
      <c r="F95">
        <v>1</v>
      </c>
      <c r="G95">
        <v>1</v>
      </c>
      <c r="H95">
        <v>1</v>
      </c>
      <c r="I95">
        <v>0</v>
      </c>
      <c r="J95">
        <v>4</v>
      </c>
      <c r="K95">
        <v>15</v>
      </c>
      <c r="L95">
        <v>0</v>
      </c>
      <c r="M95">
        <v>2.25</v>
      </c>
      <c r="N95">
        <v>5</v>
      </c>
      <c r="O95">
        <v>5</v>
      </c>
      <c r="P95">
        <v>6</v>
      </c>
      <c r="Q95">
        <v>1</v>
      </c>
      <c r="R95">
        <v>12</v>
      </c>
      <c r="S95">
        <v>7</v>
      </c>
      <c r="T95">
        <v>3.8333333333333299</v>
      </c>
      <c r="U95">
        <v>4</v>
      </c>
      <c r="V95">
        <v>0</v>
      </c>
      <c r="W95">
        <v>4</v>
      </c>
      <c r="X95">
        <v>4</v>
      </c>
      <c r="AC95">
        <v>19145</v>
      </c>
      <c r="AD95">
        <v>4</v>
      </c>
      <c r="AE95">
        <v>0</v>
      </c>
    </row>
    <row r="96" spans="1:31" x14ac:dyDescent="0.2">
      <c r="A96">
        <v>1160</v>
      </c>
      <c r="B96">
        <v>142681</v>
      </c>
      <c r="C96" s="1">
        <v>45021</v>
      </c>
      <c r="D96" s="1">
        <v>29949</v>
      </c>
      <c r="E96">
        <v>41.27</v>
      </c>
      <c r="F96">
        <v>4</v>
      </c>
      <c r="G96">
        <v>1</v>
      </c>
      <c r="H96">
        <v>1</v>
      </c>
      <c r="I96">
        <v>6</v>
      </c>
      <c r="J96">
        <v>6</v>
      </c>
      <c r="K96">
        <v>10</v>
      </c>
      <c r="L96">
        <v>0</v>
      </c>
      <c r="M96">
        <v>3.4375</v>
      </c>
      <c r="N96">
        <v>7</v>
      </c>
      <c r="O96">
        <v>12</v>
      </c>
      <c r="P96">
        <v>10</v>
      </c>
      <c r="Q96">
        <v>1</v>
      </c>
      <c r="R96">
        <v>16</v>
      </c>
      <c r="S96">
        <v>9</v>
      </c>
      <c r="T96">
        <v>4.5</v>
      </c>
      <c r="U96">
        <v>3</v>
      </c>
      <c r="V96">
        <v>1</v>
      </c>
      <c r="W96">
        <v>7</v>
      </c>
      <c r="X96">
        <v>3</v>
      </c>
      <c r="AB96">
        <v>0</v>
      </c>
      <c r="AC96">
        <v>7501</v>
      </c>
      <c r="AD96">
        <v>7</v>
      </c>
      <c r="AE96">
        <v>0</v>
      </c>
    </row>
    <row r="97" spans="1:40" x14ac:dyDescent="0.2">
      <c r="A97">
        <v>1161</v>
      </c>
      <c r="B97">
        <v>40492</v>
      </c>
      <c r="C97" s="1">
        <v>45021</v>
      </c>
      <c r="D97" s="1">
        <v>33654</v>
      </c>
      <c r="E97">
        <v>31.12</v>
      </c>
      <c r="F97">
        <v>5</v>
      </c>
      <c r="G97">
        <v>1</v>
      </c>
      <c r="H97">
        <v>3</v>
      </c>
      <c r="I97">
        <v>0</v>
      </c>
      <c r="J97">
        <v>1</v>
      </c>
      <c r="K97">
        <v>5</v>
      </c>
      <c r="L97">
        <v>0</v>
      </c>
      <c r="M97">
        <v>4.375</v>
      </c>
      <c r="N97">
        <v>11</v>
      </c>
      <c r="O97">
        <v>12</v>
      </c>
      <c r="P97">
        <v>9</v>
      </c>
      <c r="Q97">
        <v>12</v>
      </c>
      <c r="R97">
        <v>15</v>
      </c>
      <c r="S97">
        <v>11</v>
      </c>
      <c r="T97">
        <v>4.1666666666666599</v>
      </c>
      <c r="U97">
        <v>6</v>
      </c>
      <c r="V97">
        <v>3</v>
      </c>
      <c r="W97">
        <v>7</v>
      </c>
      <c r="X97">
        <v>6</v>
      </c>
      <c r="AB97">
        <v>1</v>
      </c>
      <c r="AD97">
        <v>7</v>
      </c>
      <c r="AE97">
        <v>0</v>
      </c>
    </row>
    <row r="98" spans="1:40" x14ac:dyDescent="0.2">
      <c r="A98">
        <v>1170</v>
      </c>
      <c r="B98">
        <v>130262</v>
      </c>
      <c r="C98" s="1">
        <v>45021</v>
      </c>
      <c r="D98" s="1">
        <v>22741</v>
      </c>
      <c r="E98">
        <v>61</v>
      </c>
      <c r="F98">
        <v>3</v>
      </c>
      <c r="G98">
        <v>1</v>
      </c>
      <c r="H98">
        <v>0</v>
      </c>
      <c r="I98">
        <v>0</v>
      </c>
      <c r="J98">
        <v>6</v>
      </c>
      <c r="K98">
        <v>8</v>
      </c>
      <c r="L98">
        <v>26</v>
      </c>
      <c r="M98">
        <v>3.9375</v>
      </c>
      <c r="N98">
        <v>9</v>
      </c>
      <c r="O98">
        <v>9</v>
      </c>
      <c r="P98">
        <v>9</v>
      </c>
      <c r="Q98">
        <v>9</v>
      </c>
      <c r="R98">
        <v>18</v>
      </c>
      <c r="S98">
        <v>9</v>
      </c>
      <c r="T98">
        <v>4.3333333333333304</v>
      </c>
      <c r="U98">
        <v>6</v>
      </c>
      <c r="V98">
        <v>1</v>
      </c>
      <c r="W98">
        <v>6</v>
      </c>
      <c r="X98">
        <v>6</v>
      </c>
      <c r="AB98">
        <v>0</v>
      </c>
      <c r="AC98">
        <v>19148</v>
      </c>
      <c r="AD98">
        <v>6</v>
      </c>
      <c r="AE98">
        <v>1</v>
      </c>
      <c r="AN98">
        <v>0</v>
      </c>
    </row>
    <row r="99" spans="1:40" x14ac:dyDescent="0.2">
      <c r="A99">
        <v>1174</v>
      </c>
      <c r="B99">
        <v>232057</v>
      </c>
      <c r="C99" s="1">
        <v>45021</v>
      </c>
      <c r="D99" s="1">
        <v>20882</v>
      </c>
      <c r="E99">
        <v>66.09</v>
      </c>
      <c r="F99">
        <v>3</v>
      </c>
      <c r="G99">
        <v>0</v>
      </c>
      <c r="H99">
        <v>0</v>
      </c>
      <c r="I99">
        <v>0</v>
      </c>
      <c r="J99">
        <v>0</v>
      </c>
      <c r="K99">
        <v>2</v>
      </c>
      <c r="L99">
        <v>28</v>
      </c>
      <c r="M99">
        <v>4</v>
      </c>
      <c r="N99">
        <v>12</v>
      </c>
      <c r="O99">
        <v>9</v>
      </c>
      <c r="P99">
        <v>9</v>
      </c>
      <c r="Q99">
        <v>4</v>
      </c>
      <c r="R99">
        <v>18</v>
      </c>
      <c r="S99">
        <v>12</v>
      </c>
      <c r="T99">
        <v>8.3333333333333301E-2</v>
      </c>
      <c r="U99">
        <v>3</v>
      </c>
      <c r="V99">
        <v>1</v>
      </c>
      <c r="W99">
        <v>6</v>
      </c>
      <c r="X99">
        <v>3</v>
      </c>
      <c r="AB99">
        <v>1</v>
      </c>
      <c r="AC99">
        <v>19138</v>
      </c>
      <c r="AD99">
        <v>6</v>
      </c>
      <c r="AE99">
        <v>0</v>
      </c>
      <c r="AN99">
        <v>0</v>
      </c>
    </row>
    <row r="100" spans="1:40" x14ac:dyDescent="0.2">
      <c r="A100">
        <v>1176</v>
      </c>
      <c r="B100">
        <v>110262</v>
      </c>
      <c r="C100" s="1">
        <v>45021</v>
      </c>
      <c r="D100" s="1">
        <v>23006</v>
      </c>
      <c r="E100">
        <v>60.27</v>
      </c>
      <c r="F100">
        <v>3</v>
      </c>
      <c r="G100">
        <v>1</v>
      </c>
      <c r="H100">
        <v>1</v>
      </c>
      <c r="I100">
        <v>0</v>
      </c>
      <c r="J100">
        <v>4</v>
      </c>
      <c r="K100">
        <v>8</v>
      </c>
      <c r="L100">
        <v>22</v>
      </c>
      <c r="M100">
        <v>3.1875</v>
      </c>
      <c r="N100">
        <v>10</v>
      </c>
      <c r="O100">
        <v>8</v>
      </c>
      <c r="P100">
        <v>10</v>
      </c>
      <c r="Q100">
        <v>0</v>
      </c>
      <c r="R100">
        <v>13</v>
      </c>
      <c r="S100">
        <v>10</v>
      </c>
      <c r="T100">
        <v>4.3333333333333304</v>
      </c>
      <c r="U100">
        <v>4</v>
      </c>
      <c r="V100">
        <v>1</v>
      </c>
      <c r="W100">
        <v>7</v>
      </c>
      <c r="X100">
        <v>4</v>
      </c>
      <c r="AB100">
        <v>0</v>
      </c>
      <c r="AC100">
        <v>19148</v>
      </c>
      <c r="AD100">
        <v>7</v>
      </c>
      <c r="AE100">
        <v>1</v>
      </c>
    </row>
    <row r="101" spans="1:40" x14ac:dyDescent="0.2">
      <c r="A101">
        <v>1178</v>
      </c>
      <c r="B101">
        <v>160254</v>
      </c>
      <c r="C101" s="1">
        <v>45021</v>
      </c>
      <c r="D101" s="1">
        <v>19934</v>
      </c>
      <c r="E101">
        <v>68.69</v>
      </c>
      <c r="F101">
        <v>4</v>
      </c>
      <c r="G101">
        <v>1</v>
      </c>
      <c r="H101">
        <v>1</v>
      </c>
      <c r="I101">
        <v>0</v>
      </c>
      <c r="J101">
        <v>0</v>
      </c>
      <c r="K101">
        <v>10</v>
      </c>
      <c r="L101">
        <v>27</v>
      </c>
      <c r="M101">
        <v>4.75</v>
      </c>
      <c r="N101">
        <v>12</v>
      </c>
      <c r="O101">
        <v>12</v>
      </c>
      <c r="P101">
        <v>12</v>
      </c>
      <c r="Q101">
        <v>10</v>
      </c>
      <c r="R101">
        <v>18</v>
      </c>
      <c r="S101">
        <v>12</v>
      </c>
      <c r="T101">
        <v>7</v>
      </c>
      <c r="U101">
        <v>5</v>
      </c>
      <c r="V101">
        <v>2</v>
      </c>
      <c r="W101">
        <v>6</v>
      </c>
      <c r="X101">
        <v>5</v>
      </c>
      <c r="AB101">
        <v>1</v>
      </c>
      <c r="AC101">
        <v>19012</v>
      </c>
      <c r="AD101">
        <v>6</v>
      </c>
      <c r="AE101">
        <v>1</v>
      </c>
    </row>
    <row r="102" spans="1:40" x14ac:dyDescent="0.2">
      <c r="A102">
        <v>1180</v>
      </c>
      <c r="B102">
        <v>200379</v>
      </c>
      <c r="C102" s="1">
        <v>45022</v>
      </c>
      <c r="D102" s="1">
        <v>28984</v>
      </c>
      <c r="E102">
        <v>43.91</v>
      </c>
      <c r="F102">
        <v>4</v>
      </c>
      <c r="G102">
        <v>0</v>
      </c>
      <c r="H102">
        <v>0</v>
      </c>
      <c r="I102">
        <v>0</v>
      </c>
      <c r="J102">
        <v>5</v>
      </c>
      <c r="K102">
        <v>10</v>
      </c>
      <c r="L102">
        <v>28</v>
      </c>
      <c r="M102">
        <v>4</v>
      </c>
      <c r="N102">
        <v>12</v>
      </c>
      <c r="O102">
        <v>12</v>
      </c>
      <c r="P102">
        <v>11</v>
      </c>
      <c r="Q102">
        <v>4</v>
      </c>
      <c r="R102">
        <v>14</v>
      </c>
      <c r="S102">
        <v>11</v>
      </c>
      <c r="T102">
        <v>4.5833333333333304</v>
      </c>
      <c r="U102">
        <v>1</v>
      </c>
      <c r="V102">
        <v>1</v>
      </c>
      <c r="W102">
        <v>6</v>
      </c>
      <c r="X102">
        <v>1</v>
      </c>
      <c r="AB102">
        <v>3</v>
      </c>
      <c r="AC102">
        <v>19401</v>
      </c>
      <c r="AD102">
        <v>6</v>
      </c>
      <c r="AE102">
        <v>0</v>
      </c>
    </row>
    <row r="103" spans="1:40" x14ac:dyDescent="0.2">
      <c r="A103">
        <v>1182</v>
      </c>
      <c r="B103">
        <v>130697</v>
      </c>
      <c r="C103" s="1">
        <v>45022</v>
      </c>
      <c r="D103" s="1">
        <v>35729</v>
      </c>
      <c r="E103">
        <v>25.44</v>
      </c>
      <c r="F103">
        <v>4</v>
      </c>
      <c r="G103">
        <v>1</v>
      </c>
      <c r="H103">
        <v>2</v>
      </c>
      <c r="I103">
        <v>0</v>
      </c>
      <c r="J103">
        <v>0</v>
      </c>
      <c r="K103">
        <v>9</v>
      </c>
      <c r="L103">
        <v>28</v>
      </c>
      <c r="M103">
        <v>3.25</v>
      </c>
      <c r="N103">
        <v>10</v>
      </c>
      <c r="O103">
        <v>2</v>
      </c>
      <c r="P103">
        <v>12</v>
      </c>
      <c r="Q103">
        <v>1</v>
      </c>
      <c r="R103">
        <v>18</v>
      </c>
      <c r="S103">
        <v>9</v>
      </c>
      <c r="T103">
        <v>3.4166666666666599</v>
      </c>
      <c r="U103">
        <v>6</v>
      </c>
      <c r="V103">
        <v>1</v>
      </c>
      <c r="W103">
        <v>7</v>
      </c>
      <c r="X103">
        <v>6</v>
      </c>
      <c r="AB103">
        <v>0</v>
      </c>
      <c r="AC103">
        <v>98125</v>
      </c>
      <c r="AD103">
        <v>7</v>
      </c>
      <c r="AE103">
        <v>0</v>
      </c>
    </row>
    <row r="104" spans="1:40" x14ac:dyDescent="0.2">
      <c r="A104">
        <v>1189</v>
      </c>
      <c r="B104">
        <v>130486</v>
      </c>
      <c r="C104" s="1">
        <v>45022</v>
      </c>
      <c r="D104" s="1">
        <v>31633</v>
      </c>
      <c r="E104">
        <v>36.659999999999997</v>
      </c>
      <c r="F104">
        <v>3</v>
      </c>
      <c r="G104">
        <v>0</v>
      </c>
      <c r="H104">
        <v>4</v>
      </c>
      <c r="I104">
        <v>5</v>
      </c>
      <c r="J104">
        <v>5</v>
      </c>
      <c r="K104">
        <v>7</v>
      </c>
      <c r="L104">
        <v>0</v>
      </c>
      <c r="M104">
        <v>3.25</v>
      </c>
      <c r="N104">
        <v>7</v>
      </c>
      <c r="O104">
        <v>10</v>
      </c>
      <c r="P104">
        <v>9</v>
      </c>
      <c r="Q104">
        <v>1</v>
      </c>
      <c r="R104">
        <v>16</v>
      </c>
      <c r="S104">
        <v>9</v>
      </c>
      <c r="T104">
        <v>5.75</v>
      </c>
      <c r="U104">
        <v>1</v>
      </c>
      <c r="V104">
        <v>2</v>
      </c>
      <c r="W104">
        <v>8</v>
      </c>
      <c r="X104">
        <v>1</v>
      </c>
      <c r="AB104">
        <v>0</v>
      </c>
      <c r="AC104">
        <v>19805</v>
      </c>
      <c r="AD104">
        <v>8</v>
      </c>
      <c r="AE104">
        <v>0</v>
      </c>
    </row>
    <row r="105" spans="1:40" x14ac:dyDescent="0.2">
      <c r="A105">
        <v>1194</v>
      </c>
      <c r="B105">
        <v>101389</v>
      </c>
      <c r="C105" s="1">
        <v>45022</v>
      </c>
      <c r="D105" s="1">
        <v>32538</v>
      </c>
      <c r="E105">
        <v>34.18</v>
      </c>
      <c r="F105">
        <v>3</v>
      </c>
      <c r="G105">
        <v>0</v>
      </c>
      <c r="H105">
        <v>3</v>
      </c>
      <c r="I105">
        <v>17</v>
      </c>
      <c r="J105">
        <v>0</v>
      </c>
      <c r="K105">
        <v>6</v>
      </c>
      <c r="L105">
        <v>0</v>
      </c>
      <c r="M105">
        <v>3.125</v>
      </c>
      <c r="N105">
        <v>10</v>
      </c>
      <c r="O105">
        <v>2</v>
      </c>
      <c r="P105">
        <v>9</v>
      </c>
      <c r="Q105">
        <v>4</v>
      </c>
      <c r="R105">
        <v>14</v>
      </c>
      <c r="S105">
        <v>11</v>
      </c>
      <c r="T105">
        <v>5.9166666666666599</v>
      </c>
      <c r="U105">
        <v>5</v>
      </c>
      <c r="V105">
        <v>1</v>
      </c>
      <c r="W105">
        <v>6</v>
      </c>
      <c r="X105">
        <v>5</v>
      </c>
      <c r="AC105">
        <v>18106</v>
      </c>
      <c r="AD105">
        <v>6</v>
      </c>
      <c r="AE105">
        <v>0</v>
      </c>
    </row>
    <row r="106" spans="1:40" x14ac:dyDescent="0.2">
      <c r="A106">
        <v>1198</v>
      </c>
      <c r="B106">
        <v>190861</v>
      </c>
      <c r="C106" s="1">
        <v>45023</v>
      </c>
      <c r="D106" s="1">
        <v>22500</v>
      </c>
      <c r="E106">
        <v>61.67</v>
      </c>
      <c r="F106">
        <v>4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40</v>
      </c>
      <c r="M106">
        <v>3.5625</v>
      </c>
      <c r="N106">
        <v>12</v>
      </c>
      <c r="O106">
        <v>6</v>
      </c>
      <c r="P106">
        <v>12</v>
      </c>
      <c r="Q106">
        <v>0</v>
      </c>
      <c r="R106">
        <v>15</v>
      </c>
      <c r="S106">
        <v>12</v>
      </c>
      <c r="T106">
        <v>4.75</v>
      </c>
      <c r="U106">
        <v>6</v>
      </c>
      <c r="V106">
        <v>3</v>
      </c>
      <c r="W106">
        <v>8</v>
      </c>
      <c r="X106">
        <v>6</v>
      </c>
      <c r="AB106">
        <v>0</v>
      </c>
      <c r="AC106">
        <v>19130</v>
      </c>
      <c r="AD106">
        <v>8</v>
      </c>
      <c r="AE106">
        <v>0</v>
      </c>
    </row>
    <row r="107" spans="1:40" x14ac:dyDescent="0.2">
      <c r="A107">
        <v>1205</v>
      </c>
      <c r="B107">
        <v>130293</v>
      </c>
      <c r="C107" s="1">
        <v>45023</v>
      </c>
      <c r="D107" s="1">
        <v>34126</v>
      </c>
      <c r="E107">
        <v>29.83</v>
      </c>
      <c r="F107">
        <v>4</v>
      </c>
      <c r="G107">
        <v>0</v>
      </c>
      <c r="H107">
        <v>4</v>
      </c>
      <c r="I107">
        <v>0</v>
      </c>
      <c r="J107">
        <v>2</v>
      </c>
      <c r="K107">
        <v>8</v>
      </c>
      <c r="L107">
        <v>0</v>
      </c>
      <c r="M107">
        <v>4.875</v>
      </c>
      <c r="N107">
        <v>12</v>
      </c>
      <c r="O107">
        <v>12</v>
      </c>
      <c r="P107">
        <v>12</v>
      </c>
      <c r="Q107">
        <v>12</v>
      </c>
      <c r="R107">
        <v>18</v>
      </c>
      <c r="S107">
        <v>12</v>
      </c>
      <c r="T107">
        <v>5.4166666666666599</v>
      </c>
      <c r="U107">
        <v>5</v>
      </c>
      <c r="V107">
        <v>1</v>
      </c>
      <c r="W107">
        <v>5</v>
      </c>
      <c r="X107">
        <v>5</v>
      </c>
      <c r="AB107">
        <v>0</v>
      </c>
      <c r="AC107">
        <v>19124</v>
      </c>
      <c r="AD107">
        <v>5</v>
      </c>
      <c r="AE107">
        <v>0</v>
      </c>
    </row>
    <row r="108" spans="1:40" x14ac:dyDescent="0.2">
      <c r="A108">
        <v>1209</v>
      </c>
      <c r="B108">
        <v>20799</v>
      </c>
      <c r="C108" s="1">
        <v>45023</v>
      </c>
      <c r="D108" s="1">
        <v>36241</v>
      </c>
      <c r="E108">
        <v>24.04</v>
      </c>
      <c r="F108">
        <v>4</v>
      </c>
      <c r="G108">
        <v>1</v>
      </c>
      <c r="H108">
        <v>4</v>
      </c>
      <c r="I108">
        <v>0</v>
      </c>
      <c r="J108">
        <v>0</v>
      </c>
      <c r="K108">
        <v>11</v>
      </c>
      <c r="L108">
        <v>32</v>
      </c>
      <c r="M108">
        <v>3.3125</v>
      </c>
      <c r="N108">
        <v>12</v>
      </c>
      <c r="O108">
        <v>0</v>
      </c>
      <c r="P108">
        <v>10</v>
      </c>
      <c r="Q108">
        <v>4</v>
      </c>
      <c r="R108">
        <v>15</v>
      </c>
      <c r="S108">
        <v>12</v>
      </c>
      <c r="T108">
        <v>4.75</v>
      </c>
      <c r="U108">
        <v>5</v>
      </c>
      <c r="V108">
        <v>6</v>
      </c>
      <c r="W108">
        <v>9</v>
      </c>
      <c r="X108">
        <v>5</v>
      </c>
      <c r="AB108">
        <v>0</v>
      </c>
      <c r="AC108">
        <v>8820</v>
      </c>
      <c r="AD108">
        <v>9</v>
      </c>
      <c r="AE108">
        <v>1</v>
      </c>
    </row>
    <row r="109" spans="1:40" x14ac:dyDescent="0.2">
      <c r="A109">
        <v>1211</v>
      </c>
      <c r="B109">
        <v>220862</v>
      </c>
      <c r="C109" s="1">
        <v>45023</v>
      </c>
      <c r="D109" s="1">
        <v>22965</v>
      </c>
      <c r="E109">
        <v>60.39</v>
      </c>
      <c r="F109">
        <v>4</v>
      </c>
      <c r="G109">
        <v>0</v>
      </c>
      <c r="H109">
        <v>3</v>
      </c>
      <c r="I109">
        <v>0</v>
      </c>
      <c r="J109">
        <v>0</v>
      </c>
      <c r="K109">
        <v>4</v>
      </c>
      <c r="L109">
        <v>34</v>
      </c>
      <c r="M109">
        <v>2.5</v>
      </c>
      <c r="N109">
        <v>9</v>
      </c>
      <c r="O109">
        <v>4</v>
      </c>
      <c r="P109">
        <v>4</v>
      </c>
      <c r="Q109">
        <v>3</v>
      </c>
      <c r="R109">
        <v>13</v>
      </c>
      <c r="S109">
        <v>7</v>
      </c>
      <c r="T109">
        <v>6.6666666666666599</v>
      </c>
      <c r="U109">
        <v>6</v>
      </c>
      <c r="V109">
        <v>6</v>
      </c>
      <c r="W109">
        <v>10</v>
      </c>
      <c r="X109">
        <v>6</v>
      </c>
      <c r="AB109">
        <v>4</v>
      </c>
      <c r="AC109">
        <v>19128</v>
      </c>
      <c r="AD109">
        <v>10</v>
      </c>
      <c r="AE109">
        <v>0</v>
      </c>
    </row>
    <row r="110" spans="1:40" x14ac:dyDescent="0.2">
      <c r="A110">
        <v>1216</v>
      </c>
      <c r="B110">
        <v>11868</v>
      </c>
      <c r="C110" s="1">
        <v>45023</v>
      </c>
      <c r="D110" s="1">
        <v>24923</v>
      </c>
      <c r="E110">
        <v>55.03</v>
      </c>
      <c r="F110">
        <v>4</v>
      </c>
      <c r="G110">
        <v>1</v>
      </c>
      <c r="H110">
        <v>2</v>
      </c>
      <c r="I110">
        <v>0</v>
      </c>
      <c r="J110">
        <v>0</v>
      </c>
      <c r="K110">
        <v>6</v>
      </c>
      <c r="L110">
        <v>28</v>
      </c>
      <c r="M110">
        <v>3.75</v>
      </c>
      <c r="N110">
        <v>10</v>
      </c>
      <c r="O110">
        <v>9</v>
      </c>
      <c r="P110">
        <v>9</v>
      </c>
      <c r="Q110">
        <v>8</v>
      </c>
      <c r="R110">
        <v>15</v>
      </c>
      <c r="S110">
        <v>9</v>
      </c>
      <c r="T110">
        <v>5</v>
      </c>
      <c r="U110">
        <v>5</v>
      </c>
      <c r="V110">
        <v>4</v>
      </c>
      <c r="W110">
        <v>6</v>
      </c>
      <c r="X110">
        <v>5</v>
      </c>
      <c r="AB110">
        <v>1</v>
      </c>
      <c r="AD110">
        <v>6</v>
      </c>
      <c r="AE110">
        <v>0</v>
      </c>
    </row>
    <row r="111" spans="1:40" x14ac:dyDescent="0.2">
      <c r="A111">
        <v>1218</v>
      </c>
      <c r="B111">
        <v>80476</v>
      </c>
      <c r="C111" s="1">
        <v>45023</v>
      </c>
      <c r="D111" s="1">
        <v>27892</v>
      </c>
      <c r="E111">
        <v>46.9</v>
      </c>
      <c r="F111">
        <v>3</v>
      </c>
      <c r="G111">
        <v>1</v>
      </c>
      <c r="H111">
        <v>2</v>
      </c>
      <c r="I111">
        <v>0</v>
      </c>
      <c r="J111">
        <v>1</v>
      </c>
      <c r="K111">
        <v>3</v>
      </c>
      <c r="L111">
        <v>0</v>
      </c>
      <c r="M111">
        <v>3.0625</v>
      </c>
      <c r="N111">
        <v>12</v>
      </c>
      <c r="O111">
        <v>5</v>
      </c>
      <c r="P111">
        <v>9</v>
      </c>
      <c r="Q111">
        <v>1</v>
      </c>
      <c r="R111">
        <v>12</v>
      </c>
      <c r="S111">
        <v>10</v>
      </c>
      <c r="T111">
        <v>0</v>
      </c>
      <c r="U111">
        <v>1</v>
      </c>
      <c r="V111">
        <v>3</v>
      </c>
      <c r="W111">
        <v>6</v>
      </c>
      <c r="X111">
        <v>1</v>
      </c>
      <c r="AB111">
        <v>1</v>
      </c>
      <c r="AC111">
        <v>19124</v>
      </c>
      <c r="AD111">
        <v>6</v>
      </c>
      <c r="AE111">
        <v>0</v>
      </c>
    </row>
    <row r="112" spans="1:40" x14ac:dyDescent="0.2">
      <c r="A112">
        <v>1219</v>
      </c>
      <c r="B112">
        <v>112001</v>
      </c>
      <c r="C112" s="1">
        <v>45024</v>
      </c>
      <c r="D112" s="1">
        <v>37076</v>
      </c>
      <c r="E112">
        <v>21.76</v>
      </c>
      <c r="F112">
        <v>1</v>
      </c>
      <c r="G112">
        <v>1</v>
      </c>
      <c r="H112">
        <v>3</v>
      </c>
      <c r="I112">
        <v>0</v>
      </c>
      <c r="J112">
        <v>1</v>
      </c>
      <c r="K112">
        <v>6</v>
      </c>
      <c r="L112">
        <v>28</v>
      </c>
      <c r="M112">
        <v>4.3125</v>
      </c>
      <c r="N112">
        <v>12</v>
      </c>
      <c r="O112">
        <v>12</v>
      </c>
      <c r="P112">
        <v>12</v>
      </c>
      <c r="Q112">
        <v>6</v>
      </c>
      <c r="R112">
        <v>16</v>
      </c>
      <c r="S112">
        <v>11</v>
      </c>
      <c r="T112">
        <v>6.3333333333333304</v>
      </c>
      <c r="U112">
        <v>4</v>
      </c>
      <c r="V112">
        <v>1</v>
      </c>
      <c r="W112">
        <v>5</v>
      </c>
      <c r="X112">
        <v>4</v>
      </c>
      <c r="AC112">
        <v>19115</v>
      </c>
      <c r="AD112">
        <v>5</v>
      </c>
      <c r="AE112">
        <v>0</v>
      </c>
    </row>
    <row r="113" spans="1:40" x14ac:dyDescent="0.2">
      <c r="A113">
        <v>1220</v>
      </c>
      <c r="B113">
        <v>130259</v>
      </c>
      <c r="C113" s="1">
        <v>45024</v>
      </c>
      <c r="D113" s="1">
        <v>21740</v>
      </c>
      <c r="E113">
        <v>63.75</v>
      </c>
      <c r="F113">
        <v>4</v>
      </c>
      <c r="G113">
        <v>1</v>
      </c>
      <c r="H113">
        <v>5</v>
      </c>
      <c r="I113">
        <v>0</v>
      </c>
      <c r="J113">
        <v>1</v>
      </c>
      <c r="K113">
        <v>2</v>
      </c>
      <c r="L113">
        <v>28</v>
      </c>
      <c r="M113">
        <v>4.5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7</v>
      </c>
      <c r="U113">
        <v>5</v>
      </c>
      <c r="V113">
        <v>5</v>
      </c>
      <c r="W113">
        <v>7</v>
      </c>
      <c r="X113">
        <v>5</v>
      </c>
      <c r="AB113">
        <v>1</v>
      </c>
      <c r="AC113">
        <v>8520</v>
      </c>
      <c r="AD113">
        <v>7</v>
      </c>
      <c r="AE113">
        <v>0</v>
      </c>
      <c r="AN113">
        <v>0</v>
      </c>
    </row>
    <row r="114" spans="1:40" x14ac:dyDescent="0.2">
      <c r="A114">
        <v>1237</v>
      </c>
      <c r="B114">
        <v>110282</v>
      </c>
      <c r="C114" s="1">
        <v>45025</v>
      </c>
      <c r="D114" s="1">
        <v>30088</v>
      </c>
      <c r="E114">
        <v>40.9</v>
      </c>
      <c r="F114">
        <v>4</v>
      </c>
      <c r="G114">
        <v>1</v>
      </c>
      <c r="H114">
        <v>0</v>
      </c>
      <c r="I114">
        <v>0</v>
      </c>
      <c r="J114">
        <v>5</v>
      </c>
      <c r="K114">
        <v>13</v>
      </c>
      <c r="L114">
        <v>40</v>
      </c>
      <c r="M114">
        <v>3.125</v>
      </c>
      <c r="N114">
        <v>12</v>
      </c>
      <c r="O114">
        <v>0</v>
      </c>
      <c r="P114">
        <v>12</v>
      </c>
      <c r="Q114">
        <v>0</v>
      </c>
      <c r="R114">
        <v>18</v>
      </c>
      <c r="S114">
        <v>8</v>
      </c>
      <c r="T114">
        <v>4.5833333333333002</v>
      </c>
      <c r="U114">
        <v>5</v>
      </c>
      <c r="V114">
        <v>2</v>
      </c>
      <c r="W114">
        <v>5</v>
      </c>
      <c r="X114">
        <v>5</v>
      </c>
      <c r="AC114">
        <v>50574</v>
      </c>
      <c r="AD114">
        <v>5</v>
      </c>
      <c r="AE114">
        <v>0</v>
      </c>
    </row>
    <row r="115" spans="1:40" x14ac:dyDescent="0.2">
      <c r="A115">
        <v>1239</v>
      </c>
      <c r="B115">
        <v>81695</v>
      </c>
      <c r="C115" s="1">
        <v>45025</v>
      </c>
      <c r="D115" s="1">
        <v>34973</v>
      </c>
      <c r="E115">
        <v>27.52</v>
      </c>
      <c r="F115">
        <v>4</v>
      </c>
      <c r="G115">
        <v>0</v>
      </c>
      <c r="H115">
        <v>5</v>
      </c>
      <c r="I115">
        <v>0</v>
      </c>
      <c r="J115">
        <v>4</v>
      </c>
      <c r="K115">
        <v>18</v>
      </c>
      <c r="L115">
        <v>0</v>
      </c>
      <c r="M115">
        <v>3.8125</v>
      </c>
      <c r="N115">
        <v>12</v>
      </c>
      <c r="O115">
        <v>7</v>
      </c>
      <c r="P115">
        <v>12</v>
      </c>
      <c r="Q115">
        <v>0</v>
      </c>
      <c r="R115">
        <v>18</v>
      </c>
      <c r="S115">
        <v>12</v>
      </c>
      <c r="T115">
        <v>5</v>
      </c>
      <c r="U115">
        <v>6</v>
      </c>
      <c r="V115">
        <v>2</v>
      </c>
      <c r="W115">
        <v>6</v>
      </c>
      <c r="X115">
        <v>6</v>
      </c>
      <c r="AC115">
        <v>19468</v>
      </c>
      <c r="AD115">
        <v>6</v>
      </c>
      <c r="AE115">
        <v>0</v>
      </c>
    </row>
    <row r="116" spans="1:40" x14ac:dyDescent="0.2">
      <c r="A116">
        <v>1245</v>
      </c>
      <c r="B116">
        <v>32278</v>
      </c>
      <c r="C116" s="1">
        <v>45025</v>
      </c>
      <c r="D116" s="1">
        <v>28785</v>
      </c>
      <c r="E116">
        <v>44.46</v>
      </c>
      <c r="F116">
        <v>4</v>
      </c>
      <c r="G116">
        <v>1</v>
      </c>
      <c r="H116">
        <v>1</v>
      </c>
      <c r="I116">
        <v>0</v>
      </c>
      <c r="J116">
        <v>0</v>
      </c>
      <c r="K116">
        <v>6</v>
      </c>
      <c r="L116">
        <v>28</v>
      </c>
      <c r="M116">
        <v>3.6875</v>
      </c>
      <c r="N116">
        <v>8</v>
      </c>
      <c r="O116">
        <v>9</v>
      </c>
      <c r="P116">
        <v>9</v>
      </c>
      <c r="Q116">
        <v>7</v>
      </c>
      <c r="R116">
        <v>18</v>
      </c>
      <c r="S116">
        <v>8</v>
      </c>
      <c r="T116">
        <v>5.1666666666666599</v>
      </c>
      <c r="U116">
        <v>6</v>
      </c>
      <c r="V116">
        <v>1</v>
      </c>
      <c r="W116">
        <v>4</v>
      </c>
      <c r="X116">
        <v>6</v>
      </c>
      <c r="AB116">
        <v>0</v>
      </c>
      <c r="AC116">
        <v>22307</v>
      </c>
      <c r="AD116">
        <v>4</v>
      </c>
      <c r="AE116">
        <v>1</v>
      </c>
    </row>
    <row r="117" spans="1:40" x14ac:dyDescent="0.2">
      <c r="A117">
        <v>1247</v>
      </c>
      <c r="B117">
        <v>130190</v>
      </c>
      <c r="C117" s="1">
        <v>45025</v>
      </c>
      <c r="D117" s="1">
        <v>32939</v>
      </c>
      <c r="E117">
        <v>33.090000000000003</v>
      </c>
      <c r="F117">
        <v>1</v>
      </c>
      <c r="G117">
        <v>1</v>
      </c>
      <c r="H117">
        <v>2</v>
      </c>
      <c r="I117">
        <v>3</v>
      </c>
      <c r="J117">
        <v>0</v>
      </c>
      <c r="K117">
        <v>6</v>
      </c>
      <c r="L117">
        <v>0</v>
      </c>
      <c r="M117">
        <v>3.4375</v>
      </c>
      <c r="N117">
        <v>11</v>
      </c>
      <c r="O117">
        <v>1</v>
      </c>
      <c r="P117">
        <v>10</v>
      </c>
      <c r="Q117">
        <v>4</v>
      </c>
      <c r="R117">
        <v>18</v>
      </c>
      <c r="S117">
        <v>11</v>
      </c>
      <c r="T117">
        <v>3.9166666666666599</v>
      </c>
      <c r="U117">
        <v>6</v>
      </c>
      <c r="V117">
        <v>2</v>
      </c>
      <c r="W117">
        <v>6</v>
      </c>
      <c r="X117">
        <v>6</v>
      </c>
      <c r="AB117">
        <v>1</v>
      </c>
      <c r="AC117">
        <v>19111</v>
      </c>
      <c r="AD117">
        <v>6</v>
      </c>
      <c r="AE117">
        <v>1</v>
      </c>
    </row>
    <row r="118" spans="1:40" x14ac:dyDescent="0.2">
      <c r="A118">
        <v>1252</v>
      </c>
      <c r="B118">
        <v>101967</v>
      </c>
      <c r="C118" s="1">
        <v>45025</v>
      </c>
      <c r="D118" s="1">
        <v>24665</v>
      </c>
      <c r="E118">
        <v>55.74</v>
      </c>
      <c r="F118">
        <v>5</v>
      </c>
      <c r="G118">
        <v>1</v>
      </c>
      <c r="H118">
        <v>0</v>
      </c>
      <c r="I118">
        <v>0</v>
      </c>
      <c r="J118">
        <v>2</v>
      </c>
      <c r="K118">
        <v>12</v>
      </c>
      <c r="L118">
        <v>23</v>
      </c>
      <c r="M118">
        <v>3.4375</v>
      </c>
      <c r="N118">
        <v>12</v>
      </c>
      <c r="O118">
        <v>1</v>
      </c>
      <c r="P118">
        <v>10</v>
      </c>
      <c r="Q118">
        <v>4</v>
      </c>
      <c r="R118">
        <v>17</v>
      </c>
      <c r="S118">
        <v>11</v>
      </c>
      <c r="T118">
        <v>4.75</v>
      </c>
      <c r="U118">
        <v>5</v>
      </c>
      <c r="V118">
        <v>5</v>
      </c>
      <c r="W118">
        <v>7</v>
      </c>
      <c r="X118">
        <v>5</v>
      </c>
      <c r="AB118">
        <v>2</v>
      </c>
      <c r="AC118">
        <v>8003</v>
      </c>
      <c r="AD118">
        <v>7</v>
      </c>
      <c r="AE118">
        <v>1</v>
      </c>
      <c r="AN118">
        <v>3</v>
      </c>
    </row>
    <row r="119" spans="1:40" x14ac:dyDescent="0.2">
      <c r="A119">
        <v>1265</v>
      </c>
      <c r="B119">
        <v>130765</v>
      </c>
      <c r="C119" s="1">
        <v>45026</v>
      </c>
      <c r="D119" s="1">
        <v>23779</v>
      </c>
      <c r="E119">
        <v>58.17</v>
      </c>
      <c r="F119">
        <v>4</v>
      </c>
      <c r="G119">
        <v>1</v>
      </c>
      <c r="H119">
        <v>3</v>
      </c>
      <c r="I119">
        <v>0</v>
      </c>
      <c r="J119">
        <v>4</v>
      </c>
      <c r="K119">
        <v>11</v>
      </c>
      <c r="L119">
        <v>24</v>
      </c>
      <c r="M119">
        <v>3.125</v>
      </c>
      <c r="N119">
        <v>9</v>
      </c>
      <c r="O119">
        <v>9</v>
      </c>
      <c r="P119">
        <v>7</v>
      </c>
      <c r="Q119">
        <v>1</v>
      </c>
      <c r="R119">
        <v>15</v>
      </c>
      <c r="S119">
        <v>9</v>
      </c>
      <c r="T119">
        <v>2.4166666666666599</v>
      </c>
      <c r="U119">
        <v>5</v>
      </c>
      <c r="V119">
        <v>0</v>
      </c>
      <c r="W119">
        <v>5</v>
      </c>
      <c r="X119">
        <v>5</v>
      </c>
      <c r="AB119">
        <v>0</v>
      </c>
      <c r="AC119">
        <v>19147</v>
      </c>
      <c r="AD119">
        <v>5</v>
      </c>
      <c r="AE119">
        <v>0</v>
      </c>
      <c r="AN119">
        <v>0</v>
      </c>
    </row>
    <row r="120" spans="1:40" x14ac:dyDescent="0.2">
      <c r="A120">
        <v>1266</v>
      </c>
      <c r="B120">
        <v>190700</v>
      </c>
      <c r="C120" s="1">
        <v>45026</v>
      </c>
      <c r="D120" s="1">
        <v>36590</v>
      </c>
      <c r="E120">
        <v>23.1</v>
      </c>
      <c r="F120">
        <v>4</v>
      </c>
      <c r="G120">
        <v>1</v>
      </c>
      <c r="H120">
        <v>3</v>
      </c>
      <c r="I120">
        <v>0</v>
      </c>
      <c r="J120">
        <v>1</v>
      </c>
      <c r="K120">
        <v>8</v>
      </c>
      <c r="L120">
        <v>0</v>
      </c>
      <c r="M120">
        <v>4.25</v>
      </c>
      <c r="N120">
        <v>12</v>
      </c>
      <c r="O120">
        <v>12</v>
      </c>
      <c r="P120">
        <v>12</v>
      </c>
      <c r="Q120">
        <v>6</v>
      </c>
      <c r="R120">
        <v>14</v>
      </c>
      <c r="S120">
        <v>12</v>
      </c>
      <c r="T120">
        <v>6.4166666666666599</v>
      </c>
      <c r="U120">
        <v>4</v>
      </c>
      <c r="V120">
        <v>4</v>
      </c>
      <c r="W120">
        <v>2</v>
      </c>
      <c r="X120">
        <v>4</v>
      </c>
      <c r="AB120">
        <v>3</v>
      </c>
      <c r="AC120">
        <v>19154</v>
      </c>
      <c r="AD120">
        <v>2</v>
      </c>
      <c r="AE120">
        <v>0</v>
      </c>
    </row>
    <row r="121" spans="1:40" x14ac:dyDescent="0.2">
      <c r="A121">
        <v>1267</v>
      </c>
      <c r="B121">
        <v>41390</v>
      </c>
      <c r="C121" s="1">
        <v>45026</v>
      </c>
      <c r="D121" s="1">
        <v>32960</v>
      </c>
      <c r="E121">
        <v>33.04</v>
      </c>
      <c r="F121">
        <v>4</v>
      </c>
      <c r="G121">
        <v>0</v>
      </c>
      <c r="H121">
        <v>3</v>
      </c>
      <c r="I121">
        <v>0</v>
      </c>
      <c r="J121">
        <v>4</v>
      </c>
      <c r="K121">
        <v>13</v>
      </c>
      <c r="L121">
        <v>0</v>
      </c>
      <c r="M121">
        <v>3.6875</v>
      </c>
      <c r="N121">
        <v>9</v>
      </c>
      <c r="O121">
        <v>9</v>
      </c>
      <c r="P121">
        <v>9</v>
      </c>
      <c r="Q121">
        <v>9</v>
      </c>
      <c r="R121">
        <v>14</v>
      </c>
      <c r="S121">
        <v>9</v>
      </c>
      <c r="T121">
        <v>3.5833333333333299</v>
      </c>
      <c r="U121">
        <v>5</v>
      </c>
      <c r="V121">
        <v>2</v>
      </c>
      <c r="W121">
        <v>4</v>
      </c>
      <c r="X121">
        <v>5</v>
      </c>
      <c r="AB121">
        <v>2</v>
      </c>
      <c r="AD121">
        <v>4</v>
      </c>
      <c r="AE121">
        <v>0</v>
      </c>
    </row>
    <row r="122" spans="1:40" x14ac:dyDescent="0.2">
      <c r="A122">
        <v>1273</v>
      </c>
      <c r="B122">
        <v>130367</v>
      </c>
      <c r="C122" s="1">
        <v>45026</v>
      </c>
      <c r="D122" s="1">
        <v>24528</v>
      </c>
      <c r="E122">
        <v>56.12</v>
      </c>
      <c r="F122">
        <v>4</v>
      </c>
      <c r="G122">
        <v>0</v>
      </c>
      <c r="H122">
        <v>3</v>
      </c>
      <c r="I122">
        <v>1</v>
      </c>
      <c r="J122">
        <v>1</v>
      </c>
      <c r="K122">
        <v>0</v>
      </c>
      <c r="L122">
        <v>26</v>
      </c>
      <c r="M122">
        <v>2.4375</v>
      </c>
      <c r="N122">
        <v>6</v>
      </c>
      <c r="O122">
        <v>5</v>
      </c>
      <c r="P122">
        <v>5</v>
      </c>
      <c r="Q122">
        <v>1</v>
      </c>
      <c r="R122">
        <v>13</v>
      </c>
      <c r="S122">
        <v>9</v>
      </c>
      <c r="T122">
        <v>4.0833333333333304</v>
      </c>
      <c r="U122">
        <v>6</v>
      </c>
      <c r="V122">
        <v>4</v>
      </c>
      <c r="W122">
        <v>6</v>
      </c>
      <c r="X122">
        <v>6</v>
      </c>
      <c r="AB122">
        <v>0</v>
      </c>
      <c r="AC122">
        <v>19401</v>
      </c>
      <c r="AD122">
        <v>6</v>
      </c>
      <c r="AE122">
        <v>0</v>
      </c>
      <c r="AN122">
        <v>0</v>
      </c>
    </row>
    <row r="123" spans="1:40" x14ac:dyDescent="0.2">
      <c r="A123">
        <v>1281</v>
      </c>
      <c r="B123">
        <v>181871</v>
      </c>
      <c r="C123" s="1">
        <v>45026</v>
      </c>
      <c r="D123" s="1">
        <v>26194</v>
      </c>
      <c r="E123">
        <v>51.56</v>
      </c>
      <c r="F123">
        <v>3</v>
      </c>
      <c r="G123">
        <v>1</v>
      </c>
      <c r="H123">
        <v>1</v>
      </c>
      <c r="I123">
        <v>0</v>
      </c>
      <c r="J123">
        <v>2</v>
      </c>
      <c r="K123">
        <v>0</v>
      </c>
      <c r="L123">
        <v>24</v>
      </c>
      <c r="M123">
        <v>2.1875</v>
      </c>
      <c r="N123">
        <v>9</v>
      </c>
      <c r="O123">
        <v>0</v>
      </c>
      <c r="P123">
        <v>1</v>
      </c>
      <c r="Q123">
        <v>0</v>
      </c>
      <c r="R123">
        <v>18</v>
      </c>
      <c r="S123">
        <v>7</v>
      </c>
      <c r="T123">
        <v>2.5</v>
      </c>
      <c r="U123">
        <v>1</v>
      </c>
      <c r="V123">
        <v>0</v>
      </c>
      <c r="W123">
        <v>5</v>
      </c>
      <c r="X123">
        <v>1</v>
      </c>
      <c r="AC123">
        <v>19142</v>
      </c>
      <c r="AD123">
        <v>5</v>
      </c>
      <c r="AE123">
        <v>0</v>
      </c>
    </row>
    <row r="124" spans="1:40" x14ac:dyDescent="0.2">
      <c r="A124">
        <v>1282</v>
      </c>
      <c r="B124">
        <v>191494</v>
      </c>
      <c r="C124" s="1">
        <v>45027</v>
      </c>
      <c r="D124" s="1">
        <v>34430</v>
      </c>
      <c r="E124">
        <v>29.01</v>
      </c>
      <c r="F124">
        <v>5</v>
      </c>
      <c r="G124">
        <v>1</v>
      </c>
      <c r="H124">
        <v>3</v>
      </c>
      <c r="I124">
        <v>0</v>
      </c>
      <c r="J124">
        <v>5</v>
      </c>
      <c r="K124">
        <v>9</v>
      </c>
      <c r="L124">
        <v>0</v>
      </c>
      <c r="M124">
        <v>3.75</v>
      </c>
      <c r="N124">
        <v>10</v>
      </c>
      <c r="O124">
        <v>8</v>
      </c>
      <c r="P124">
        <v>11</v>
      </c>
      <c r="Q124">
        <v>2</v>
      </c>
      <c r="R124">
        <v>18</v>
      </c>
      <c r="S124">
        <v>11</v>
      </c>
      <c r="T124">
        <v>4.0833333333333304</v>
      </c>
      <c r="U124">
        <v>4</v>
      </c>
      <c r="V124">
        <v>1</v>
      </c>
      <c r="W124">
        <v>4</v>
      </c>
      <c r="X124">
        <v>4</v>
      </c>
      <c r="AC124">
        <v>19139</v>
      </c>
      <c r="AD124">
        <v>4</v>
      </c>
      <c r="AE124">
        <v>0</v>
      </c>
    </row>
    <row r="125" spans="1:40" x14ac:dyDescent="0.2">
      <c r="A125">
        <v>1283</v>
      </c>
      <c r="B125">
        <v>51882</v>
      </c>
      <c r="C125" s="1">
        <v>45027</v>
      </c>
      <c r="D125" s="1">
        <v>30078</v>
      </c>
      <c r="E125">
        <v>40.93</v>
      </c>
      <c r="F125">
        <v>4</v>
      </c>
      <c r="G125">
        <v>1</v>
      </c>
      <c r="H125">
        <v>2</v>
      </c>
      <c r="I125">
        <v>0</v>
      </c>
      <c r="J125">
        <v>3</v>
      </c>
      <c r="K125">
        <v>6</v>
      </c>
      <c r="L125">
        <v>28</v>
      </c>
      <c r="M125">
        <v>3.3125</v>
      </c>
      <c r="N125">
        <v>8</v>
      </c>
      <c r="O125">
        <v>8</v>
      </c>
      <c r="P125">
        <v>9</v>
      </c>
      <c r="Q125">
        <v>1</v>
      </c>
      <c r="R125">
        <v>18</v>
      </c>
      <c r="S125">
        <v>9</v>
      </c>
      <c r="T125">
        <v>6.1666666666666599</v>
      </c>
      <c r="U125">
        <v>5</v>
      </c>
      <c r="V125">
        <v>2</v>
      </c>
      <c r="W125">
        <v>5</v>
      </c>
      <c r="X125">
        <v>5</v>
      </c>
      <c r="AC125">
        <v>93065</v>
      </c>
      <c r="AD125">
        <v>5</v>
      </c>
      <c r="AE125">
        <v>0</v>
      </c>
    </row>
    <row r="126" spans="1:40" x14ac:dyDescent="0.2">
      <c r="A126">
        <v>1284</v>
      </c>
      <c r="B126">
        <v>131952</v>
      </c>
      <c r="C126" s="1">
        <v>45027</v>
      </c>
      <c r="D126" s="1">
        <v>19038</v>
      </c>
      <c r="E126">
        <v>71.16</v>
      </c>
      <c r="F126">
        <v>4</v>
      </c>
      <c r="G126">
        <v>1</v>
      </c>
      <c r="H126">
        <v>1</v>
      </c>
      <c r="I126">
        <v>0</v>
      </c>
      <c r="J126">
        <v>0</v>
      </c>
      <c r="K126">
        <v>8</v>
      </c>
      <c r="L126">
        <v>3018</v>
      </c>
      <c r="M126">
        <v>2.0625</v>
      </c>
      <c r="N126">
        <v>8</v>
      </c>
      <c r="O126">
        <v>1</v>
      </c>
      <c r="P126">
        <v>2</v>
      </c>
      <c r="Q126">
        <v>0</v>
      </c>
      <c r="R126">
        <v>18</v>
      </c>
      <c r="S126">
        <v>4</v>
      </c>
      <c r="T126">
        <v>3.1666666666666599</v>
      </c>
      <c r="U126">
        <v>6</v>
      </c>
      <c r="V126">
        <v>1</v>
      </c>
      <c r="W126">
        <v>6</v>
      </c>
      <c r="X126">
        <v>6</v>
      </c>
      <c r="AB126">
        <v>1</v>
      </c>
      <c r="AC126">
        <v>19111</v>
      </c>
      <c r="AD126">
        <v>6</v>
      </c>
      <c r="AE126">
        <v>0</v>
      </c>
      <c r="AN126">
        <v>0</v>
      </c>
    </row>
    <row r="127" spans="1:40" x14ac:dyDescent="0.2">
      <c r="A127">
        <v>1289</v>
      </c>
      <c r="B127">
        <v>192599</v>
      </c>
      <c r="C127" s="1">
        <v>45028</v>
      </c>
      <c r="D127" s="1">
        <v>36448</v>
      </c>
      <c r="E127">
        <v>23.49</v>
      </c>
      <c r="F127">
        <v>1</v>
      </c>
      <c r="G127">
        <v>1</v>
      </c>
      <c r="H127">
        <v>2</v>
      </c>
      <c r="I127">
        <v>0</v>
      </c>
      <c r="J127">
        <v>2</v>
      </c>
      <c r="K127">
        <v>11</v>
      </c>
      <c r="L127">
        <v>0</v>
      </c>
      <c r="M127">
        <v>3.25</v>
      </c>
      <c r="N127">
        <v>1</v>
      </c>
      <c r="O127">
        <v>11</v>
      </c>
      <c r="P127">
        <v>10</v>
      </c>
      <c r="Q127">
        <v>5</v>
      </c>
      <c r="R127">
        <v>15</v>
      </c>
      <c r="S127">
        <v>10</v>
      </c>
      <c r="T127">
        <v>5.25</v>
      </c>
      <c r="U127">
        <v>5</v>
      </c>
      <c r="V127">
        <v>0</v>
      </c>
      <c r="W127">
        <v>7</v>
      </c>
      <c r="X127">
        <v>5</v>
      </c>
      <c r="AB127">
        <v>0</v>
      </c>
      <c r="AC127">
        <v>2129</v>
      </c>
      <c r="AD127">
        <v>7</v>
      </c>
      <c r="AE127">
        <v>0</v>
      </c>
    </row>
    <row r="128" spans="1:40" x14ac:dyDescent="0.2">
      <c r="A128">
        <v>1290</v>
      </c>
      <c r="B128">
        <v>131396</v>
      </c>
      <c r="C128" s="1">
        <v>45028</v>
      </c>
      <c r="D128" s="1">
        <v>35195</v>
      </c>
      <c r="E128">
        <v>26.92</v>
      </c>
      <c r="F128">
        <v>4</v>
      </c>
      <c r="G128">
        <v>0</v>
      </c>
      <c r="H128">
        <v>10</v>
      </c>
      <c r="I128">
        <v>2</v>
      </c>
      <c r="J128">
        <v>2</v>
      </c>
      <c r="K128">
        <v>8</v>
      </c>
      <c r="L128">
        <v>0</v>
      </c>
      <c r="M128">
        <v>2.6875</v>
      </c>
      <c r="N128">
        <v>8</v>
      </c>
      <c r="O128">
        <v>0</v>
      </c>
      <c r="P128">
        <v>8</v>
      </c>
      <c r="Q128">
        <v>1</v>
      </c>
      <c r="R128">
        <v>17</v>
      </c>
      <c r="S128">
        <v>9</v>
      </c>
      <c r="T128">
        <v>2.5833333333333299</v>
      </c>
      <c r="U128">
        <v>6</v>
      </c>
      <c r="V128">
        <v>3</v>
      </c>
      <c r="W128">
        <v>5</v>
      </c>
      <c r="X128">
        <v>6</v>
      </c>
      <c r="AB128">
        <v>1</v>
      </c>
      <c r="AC128">
        <v>15217</v>
      </c>
      <c r="AD128">
        <v>5</v>
      </c>
      <c r="AE128">
        <v>1</v>
      </c>
    </row>
    <row r="129" spans="1:40" x14ac:dyDescent="0.2">
      <c r="A129">
        <v>1292</v>
      </c>
      <c r="B129">
        <v>181900</v>
      </c>
      <c r="C129" s="1">
        <v>45032</v>
      </c>
      <c r="D129" s="1">
        <v>36741</v>
      </c>
      <c r="E129">
        <v>22.7</v>
      </c>
      <c r="F129">
        <v>4</v>
      </c>
      <c r="G129">
        <v>1</v>
      </c>
      <c r="H129">
        <v>7</v>
      </c>
      <c r="I129">
        <v>2</v>
      </c>
      <c r="J129">
        <v>1</v>
      </c>
      <c r="K129">
        <v>9</v>
      </c>
      <c r="L129">
        <v>28</v>
      </c>
      <c r="M129">
        <v>3.3125</v>
      </c>
      <c r="N129">
        <v>11</v>
      </c>
      <c r="O129">
        <v>3</v>
      </c>
      <c r="P129">
        <v>12</v>
      </c>
      <c r="Q129">
        <v>6</v>
      </c>
      <c r="R129">
        <v>18</v>
      </c>
      <c r="S129">
        <v>3</v>
      </c>
      <c r="T129">
        <v>4.5833333333333304</v>
      </c>
      <c r="U129">
        <v>5</v>
      </c>
      <c r="V129">
        <v>3</v>
      </c>
      <c r="W129">
        <v>7</v>
      </c>
      <c r="X129">
        <v>5</v>
      </c>
      <c r="AC129">
        <v>19026</v>
      </c>
      <c r="AD129">
        <v>7</v>
      </c>
      <c r="AE129">
        <v>0</v>
      </c>
    </row>
    <row r="130" spans="1:40" x14ac:dyDescent="0.2">
      <c r="A130">
        <v>1293</v>
      </c>
      <c r="B130">
        <v>181945</v>
      </c>
      <c r="C130" s="1">
        <v>45033</v>
      </c>
      <c r="D130" s="1">
        <v>16700</v>
      </c>
      <c r="E130">
        <v>77.569999999999993</v>
      </c>
      <c r="F130">
        <v>1</v>
      </c>
      <c r="G130">
        <v>1</v>
      </c>
      <c r="H130">
        <v>2</v>
      </c>
      <c r="I130">
        <v>0</v>
      </c>
      <c r="J130">
        <v>0</v>
      </c>
      <c r="K130">
        <v>0</v>
      </c>
      <c r="L130">
        <v>24</v>
      </c>
      <c r="M130">
        <v>3.125</v>
      </c>
      <c r="N130">
        <v>8</v>
      </c>
      <c r="O130">
        <v>6</v>
      </c>
      <c r="P130">
        <v>9</v>
      </c>
      <c r="Q130">
        <v>1</v>
      </c>
      <c r="R130">
        <v>18</v>
      </c>
      <c r="S130">
        <v>8</v>
      </c>
      <c r="T130">
        <v>5</v>
      </c>
      <c r="U130">
        <v>4</v>
      </c>
      <c r="V130">
        <v>1</v>
      </c>
      <c r="W130">
        <v>10</v>
      </c>
      <c r="X130">
        <v>4</v>
      </c>
      <c r="AB130">
        <v>0</v>
      </c>
      <c r="AD130">
        <v>10</v>
      </c>
      <c r="AE130">
        <v>0</v>
      </c>
    </row>
    <row r="131" spans="1:40" x14ac:dyDescent="0.2">
      <c r="A131">
        <v>1296</v>
      </c>
      <c r="B131">
        <v>181593</v>
      </c>
      <c r="C131" s="1">
        <v>45044</v>
      </c>
      <c r="D131" s="1">
        <v>34320</v>
      </c>
      <c r="E131">
        <v>29.36</v>
      </c>
      <c r="F131">
        <v>4</v>
      </c>
      <c r="G131">
        <v>1</v>
      </c>
      <c r="H131">
        <v>1</v>
      </c>
      <c r="I131">
        <v>0</v>
      </c>
      <c r="J131">
        <v>0</v>
      </c>
      <c r="K131">
        <v>3</v>
      </c>
      <c r="L131">
        <v>0</v>
      </c>
      <c r="M131">
        <v>3.0625</v>
      </c>
      <c r="N131">
        <v>8</v>
      </c>
      <c r="O131">
        <v>5</v>
      </c>
      <c r="P131">
        <v>9</v>
      </c>
      <c r="Q131">
        <v>3</v>
      </c>
      <c r="R131">
        <v>15</v>
      </c>
      <c r="S131">
        <v>9</v>
      </c>
      <c r="T131">
        <v>6.3333333333333002</v>
      </c>
      <c r="U131">
        <v>5</v>
      </c>
      <c r="V131">
        <v>4</v>
      </c>
      <c r="W131">
        <v>7</v>
      </c>
      <c r="X131">
        <v>5</v>
      </c>
      <c r="AB131">
        <v>0</v>
      </c>
      <c r="AC131">
        <v>19034</v>
      </c>
      <c r="AD131">
        <v>7</v>
      </c>
      <c r="AE131">
        <v>0</v>
      </c>
    </row>
    <row r="132" spans="1:40" x14ac:dyDescent="0.2">
      <c r="A132">
        <v>1298</v>
      </c>
      <c r="B132">
        <v>180354</v>
      </c>
      <c r="C132" s="1">
        <v>45064</v>
      </c>
      <c r="D132" s="1">
        <v>19907</v>
      </c>
      <c r="E132">
        <v>68.88</v>
      </c>
      <c r="F132">
        <v>3</v>
      </c>
      <c r="G132">
        <v>1</v>
      </c>
      <c r="H132">
        <v>4</v>
      </c>
      <c r="I132">
        <v>0</v>
      </c>
      <c r="J132">
        <v>0</v>
      </c>
      <c r="K132">
        <v>0</v>
      </c>
      <c r="L132">
        <v>28</v>
      </c>
      <c r="M132">
        <v>3.4375</v>
      </c>
      <c r="N132">
        <v>12</v>
      </c>
      <c r="O132">
        <v>7</v>
      </c>
      <c r="P132">
        <v>10</v>
      </c>
      <c r="Q132">
        <v>1</v>
      </c>
      <c r="R132">
        <v>16</v>
      </c>
      <c r="S132">
        <v>9</v>
      </c>
      <c r="T132">
        <v>6</v>
      </c>
      <c r="U132">
        <v>6</v>
      </c>
      <c r="V132">
        <v>5</v>
      </c>
      <c r="W132">
        <v>6</v>
      </c>
      <c r="X132">
        <v>6</v>
      </c>
      <c r="AB132">
        <v>1</v>
      </c>
      <c r="AC132">
        <v>11213</v>
      </c>
      <c r="AD132">
        <v>6</v>
      </c>
      <c r="AE132">
        <v>0</v>
      </c>
    </row>
    <row r="133" spans="1:40" x14ac:dyDescent="0.2">
      <c r="A133">
        <v>1303</v>
      </c>
      <c r="B133">
        <v>41354</v>
      </c>
      <c r="C133" s="1">
        <v>45077</v>
      </c>
      <c r="D133" s="1">
        <v>19853</v>
      </c>
      <c r="E133">
        <v>69.06</v>
      </c>
      <c r="F133">
        <v>4</v>
      </c>
      <c r="G133">
        <v>0</v>
      </c>
      <c r="H133">
        <v>4</v>
      </c>
      <c r="I133">
        <v>0</v>
      </c>
      <c r="J133">
        <v>0</v>
      </c>
      <c r="K133">
        <v>1</v>
      </c>
      <c r="L133">
        <v>0</v>
      </c>
      <c r="M133">
        <v>2.0625</v>
      </c>
      <c r="N133">
        <v>9</v>
      </c>
      <c r="O133">
        <v>3</v>
      </c>
      <c r="P133">
        <v>5</v>
      </c>
      <c r="Q133">
        <v>2</v>
      </c>
      <c r="R133">
        <v>11</v>
      </c>
      <c r="S133">
        <v>3</v>
      </c>
      <c r="T133">
        <v>6.25</v>
      </c>
      <c r="U133">
        <v>6</v>
      </c>
      <c r="V133">
        <v>5</v>
      </c>
      <c r="W133">
        <v>6</v>
      </c>
      <c r="X133">
        <v>6</v>
      </c>
      <c r="AB133">
        <v>1</v>
      </c>
      <c r="AC133">
        <v>19136</v>
      </c>
      <c r="AD133">
        <v>6</v>
      </c>
      <c r="AE133">
        <v>0</v>
      </c>
      <c r="AN133">
        <v>1</v>
      </c>
    </row>
    <row r="134" spans="1:40" x14ac:dyDescent="0.2">
      <c r="A134">
        <v>1304</v>
      </c>
      <c r="B134">
        <v>11901</v>
      </c>
      <c r="C134" s="1">
        <v>45079</v>
      </c>
      <c r="D134" s="1">
        <v>37216</v>
      </c>
      <c r="E134">
        <v>21.53</v>
      </c>
      <c r="F134">
        <v>3</v>
      </c>
      <c r="G134">
        <v>1</v>
      </c>
      <c r="H134">
        <v>0</v>
      </c>
      <c r="I134">
        <v>0</v>
      </c>
      <c r="J134">
        <v>0</v>
      </c>
      <c r="K134">
        <v>12</v>
      </c>
      <c r="L134">
        <v>0</v>
      </c>
      <c r="M134">
        <v>2.5625</v>
      </c>
      <c r="N134">
        <v>8</v>
      </c>
      <c r="O134">
        <v>4</v>
      </c>
      <c r="P134">
        <v>6</v>
      </c>
      <c r="Q134">
        <v>4</v>
      </c>
      <c r="R134">
        <v>13</v>
      </c>
      <c r="S134">
        <v>6</v>
      </c>
      <c r="T134">
        <v>2.5833333333333002</v>
      </c>
      <c r="U134">
        <v>4</v>
      </c>
      <c r="V134">
        <v>2</v>
      </c>
      <c r="W134">
        <v>5</v>
      </c>
      <c r="X134">
        <v>4</v>
      </c>
      <c r="AB134">
        <v>4</v>
      </c>
      <c r="AC134">
        <v>93727</v>
      </c>
      <c r="AD134">
        <v>5</v>
      </c>
      <c r="AE134">
        <v>0</v>
      </c>
    </row>
    <row r="135" spans="1:40" x14ac:dyDescent="0.2">
      <c r="A135">
        <v>1306</v>
      </c>
      <c r="B135">
        <v>141986</v>
      </c>
      <c r="C135" s="1">
        <v>45084</v>
      </c>
      <c r="D135" s="1">
        <v>31676</v>
      </c>
      <c r="E135">
        <v>36.71</v>
      </c>
      <c r="F135">
        <v>4</v>
      </c>
      <c r="G135">
        <v>1</v>
      </c>
      <c r="H135">
        <v>1</v>
      </c>
      <c r="I135">
        <v>5</v>
      </c>
      <c r="J135">
        <v>2</v>
      </c>
      <c r="K135">
        <v>7</v>
      </c>
      <c r="L135">
        <v>29</v>
      </c>
      <c r="M135">
        <v>3.75</v>
      </c>
      <c r="N135">
        <v>8</v>
      </c>
      <c r="O135">
        <v>8</v>
      </c>
      <c r="P135">
        <v>9</v>
      </c>
      <c r="Q135">
        <v>9</v>
      </c>
      <c r="R135">
        <v>18</v>
      </c>
      <c r="S135">
        <v>8</v>
      </c>
      <c r="T135">
        <v>4.4166666666666599</v>
      </c>
      <c r="U135">
        <v>4</v>
      </c>
      <c r="V135">
        <v>1</v>
      </c>
      <c r="W135">
        <v>4</v>
      </c>
      <c r="X135">
        <v>4</v>
      </c>
      <c r="AB135">
        <v>0</v>
      </c>
      <c r="AC135">
        <v>19154</v>
      </c>
      <c r="AD135">
        <v>4</v>
      </c>
      <c r="AE135">
        <v>0</v>
      </c>
    </row>
    <row r="136" spans="1:40" x14ac:dyDescent="0.2">
      <c r="A136">
        <v>1309</v>
      </c>
      <c r="B136">
        <v>11388</v>
      </c>
      <c r="C136" s="1">
        <v>45084</v>
      </c>
      <c r="D136" s="1">
        <v>32328</v>
      </c>
      <c r="E136">
        <v>34.92</v>
      </c>
      <c r="F136">
        <v>4</v>
      </c>
      <c r="G136">
        <v>1</v>
      </c>
      <c r="H136">
        <v>0</v>
      </c>
      <c r="I136">
        <v>0</v>
      </c>
      <c r="J136">
        <v>7</v>
      </c>
      <c r="K136">
        <v>18</v>
      </c>
      <c r="L136">
        <v>28</v>
      </c>
      <c r="M136">
        <v>2.8125</v>
      </c>
      <c r="N136">
        <v>10</v>
      </c>
      <c r="O136">
        <v>1</v>
      </c>
      <c r="P136">
        <v>12</v>
      </c>
      <c r="Q136">
        <v>0</v>
      </c>
      <c r="R136">
        <v>18</v>
      </c>
      <c r="S136">
        <v>4</v>
      </c>
      <c r="T136">
        <v>1.5</v>
      </c>
      <c r="U136">
        <v>6</v>
      </c>
      <c r="V136">
        <v>0</v>
      </c>
      <c r="W136">
        <v>6</v>
      </c>
      <c r="X136">
        <v>6</v>
      </c>
      <c r="AB136">
        <v>3</v>
      </c>
      <c r="AC136">
        <v>40475</v>
      </c>
      <c r="AD136">
        <v>6</v>
      </c>
      <c r="AE136">
        <v>1</v>
      </c>
    </row>
    <row r="137" spans="1:40" x14ac:dyDescent="0.2">
      <c r="A137">
        <v>1316</v>
      </c>
      <c r="B137">
        <v>101075</v>
      </c>
      <c r="C137" s="1">
        <v>45084</v>
      </c>
      <c r="D137" s="1">
        <v>27740</v>
      </c>
      <c r="E137">
        <v>47.49</v>
      </c>
      <c r="F137">
        <v>4</v>
      </c>
      <c r="G137">
        <v>1</v>
      </c>
      <c r="H137">
        <v>3</v>
      </c>
      <c r="I137">
        <v>0</v>
      </c>
      <c r="J137">
        <v>1</v>
      </c>
      <c r="K137">
        <v>9</v>
      </c>
      <c r="L137">
        <v>36</v>
      </c>
      <c r="M137">
        <v>3.4375</v>
      </c>
      <c r="N137">
        <v>12</v>
      </c>
      <c r="O137">
        <v>2</v>
      </c>
      <c r="P137">
        <v>12</v>
      </c>
      <c r="Q137">
        <v>0</v>
      </c>
      <c r="R137">
        <v>18</v>
      </c>
      <c r="S137">
        <v>11</v>
      </c>
      <c r="T137">
        <v>5.9166666666666599</v>
      </c>
      <c r="U137">
        <v>6</v>
      </c>
      <c r="V137">
        <v>2</v>
      </c>
      <c r="W137">
        <v>7</v>
      </c>
      <c r="X137">
        <v>6</v>
      </c>
      <c r="AB137">
        <v>1</v>
      </c>
      <c r="AC137">
        <v>7719</v>
      </c>
      <c r="AD137">
        <v>7</v>
      </c>
      <c r="AE137">
        <v>0</v>
      </c>
    </row>
    <row r="138" spans="1:40" x14ac:dyDescent="0.2">
      <c r="A138">
        <v>1317</v>
      </c>
      <c r="B138">
        <v>21299</v>
      </c>
      <c r="C138" s="1">
        <v>45084</v>
      </c>
      <c r="D138" s="1">
        <v>36285</v>
      </c>
      <c r="E138">
        <v>24.09</v>
      </c>
      <c r="F138">
        <v>1</v>
      </c>
      <c r="G138">
        <v>1</v>
      </c>
      <c r="H138">
        <v>3</v>
      </c>
      <c r="I138">
        <v>0</v>
      </c>
      <c r="J138">
        <v>0</v>
      </c>
      <c r="K138">
        <v>6</v>
      </c>
      <c r="L138">
        <v>28</v>
      </c>
      <c r="M138">
        <v>3.375</v>
      </c>
      <c r="N138">
        <v>8</v>
      </c>
      <c r="O138">
        <v>4</v>
      </c>
      <c r="P138">
        <v>12</v>
      </c>
      <c r="Q138">
        <v>0</v>
      </c>
      <c r="R138">
        <v>18</v>
      </c>
      <c r="S138">
        <v>12</v>
      </c>
      <c r="T138">
        <v>5</v>
      </c>
      <c r="U138">
        <v>5</v>
      </c>
      <c r="V138">
        <v>1</v>
      </c>
      <c r="W138">
        <v>5</v>
      </c>
      <c r="X138">
        <v>5</v>
      </c>
      <c r="AD138">
        <v>5</v>
      </c>
      <c r="AE138">
        <v>0</v>
      </c>
    </row>
    <row r="139" spans="1:40" x14ac:dyDescent="0.2">
      <c r="A139">
        <v>1320</v>
      </c>
      <c r="B139">
        <v>40863</v>
      </c>
      <c r="C139" s="1">
        <v>45084</v>
      </c>
      <c r="D139" s="1">
        <v>23014</v>
      </c>
      <c r="E139">
        <v>60.43</v>
      </c>
      <c r="F139">
        <v>4</v>
      </c>
      <c r="G139">
        <v>0</v>
      </c>
      <c r="H139">
        <v>2</v>
      </c>
      <c r="I139">
        <v>0</v>
      </c>
      <c r="J139">
        <v>0</v>
      </c>
      <c r="K139">
        <v>3</v>
      </c>
      <c r="L139">
        <v>28</v>
      </c>
      <c r="M139">
        <v>3.4375</v>
      </c>
      <c r="N139">
        <v>12</v>
      </c>
      <c r="O139">
        <v>5</v>
      </c>
      <c r="P139">
        <v>10</v>
      </c>
      <c r="Q139">
        <v>2</v>
      </c>
      <c r="R139">
        <v>15</v>
      </c>
      <c r="S139">
        <v>11</v>
      </c>
      <c r="T139">
        <v>7</v>
      </c>
      <c r="U139">
        <v>6</v>
      </c>
      <c r="V139">
        <v>5</v>
      </c>
      <c r="W139">
        <v>9</v>
      </c>
      <c r="X139">
        <v>6</v>
      </c>
      <c r="AB139">
        <v>1</v>
      </c>
      <c r="AC139">
        <v>19003</v>
      </c>
      <c r="AD139">
        <v>9</v>
      </c>
      <c r="AE139">
        <v>0</v>
      </c>
    </row>
    <row r="140" spans="1:40" x14ac:dyDescent="0.2">
      <c r="A140">
        <v>1323</v>
      </c>
      <c r="B140">
        <v>130292</v>
      </c>
      <c r="C140" s="1">
        <v>45085</v>
      </c>
      <c r="D140" s="1">
        <v>33872</v>
      </c>
      <c r="E140">
        <v>30.7</v>
      </c>
      <c r="F140">
        <v>4</v>
      </c>
      <c r="G140">
        <v>0</v>
      </c>
      <c r="H140">
        <v>0</v>
      </c>
      <c r="I140">
        <v>0</v>
      </c>
      <c r="J140">
        <v>2</v>
      </c>
      <c r="K140">
        <v>7</v>
      </c>
      <c r="L140">
        <v>28</v>
      </c>
      <c r="M140">
        <v>3.125</v>
      </c>
      <c r="N140">
        <v>9</v>
      </c>
      <c r="O140">
        <v>5</v>
      </c>
      <c r="P140">
        <v>8</v>
      </c>
      <c r="Q140">
        <v>3</v>
      </c>
      <c r="R140">
        <v>17</v>
      </c>
      <c r="S140">
        <v>8</v>
      </c>
      <c r="T140">
        <v>2.5</v>
      </c>
      <c r="U140">
        <v>4</v>
      </c>
      <c r="V140">
        <v>1</v>
      </c>
      <c r="W140">
        <v>4</v>
      </c>
      <c r="X140">
        <v>4</v>
      </c>
      <c r="AC140">
        <v>8057</v>
      </c>
      <c r="AD140">
        <v>4</v>
      </c>
      <c r="AE140">
        <v>0</v>
      </c>
    </row>
    <row r="141" spans="1:40" x14ac:dyDescent="0.2">
      <c r="A141">
        <v>1331</v>
      </c>
      <c r="B141">
        <v>31195</v>
      </c>
      <c r="C141" s="1">
        <v>45085</v>
      </c>
      <c r="D141" s="1">
        <v>34769</v>
      </c>
      <c r="E141">
        <v>28.24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9</v>
      </c>
      <c r="L141">
        <v>0</v>
      </c>
      <c r="M141">
        <v>3.0625</v>
      </c>
      <c r="N141">
        <v>9</v>
      </c>
      <c r="O141">
        <v>3</v>
      </c>
      <c r="P141">
        <v>9</v>
      </c>
      <c r="Q141">
        <v>2</v>
      </c>
      <c r="R141">
        <v>17</v>
      </c>
      <c r="S141">
        <v>9</v>
      </c>
      <c r="T141">
        <v>5</v>
      </c>
      <c r="U141">
        <v>6</v>
      </c>
      <c r="V141">
        <v>4</v>
      </c>
      <c r="W141">
        <v>8</v>
      </c>
      <c r="X141">
        <v>6</v>
      </c>
      <c r="AC141">
        <v>20832</v>
      </c>
      <c r="AD141">
        <v>8</v>
      </c>
      <c r="AE141">
        <v>0</v>
      </c>
    </row>
    <row r="142" spans="1:40" x14ac:dyDescent="0.2">
      <c r="A142">
        <v>1332</v>
      </c>
      <c r="B142">
        <v>20597</v>
      </c>
      <c r="C142" s="1">
        <v>45085</v>
      </c>
      <c r="D142" s="1">
        <v>35573</v>
      </c>
      <c r="E142">
        <v>26.04</v>
      </c>
      <c r="F142">
        <v>4</v>
      </c>
      <c r="G142">
        <v>2</v>
      </c>
      <c r="H142">
        <v>3</v>
      </c>
      <c r="I142">
        <v>0</v>
      </c>
      <c r="J142">
        <v>1</v>
      </c>
      <c r="K142">
        <v>12</v>
      </c>
      <c r="L142">
        <v>28</v>
      </c>
      <c r="M142">
        <v>3.375</v>
      </c>
      <c r="N142">
        <v>10</v>
      </c>
      <c r="O142">
        <v>2</v>
      </c>
      <c r="P142">
        <v>11</v>
      </c>
      <c r="Q142">
        <v>2</v>
      </c>
      <c r="R142">
        <v>18</v>
      </c>
      <c r="S142">
        <v>11</v>
      </c>
      <c r="T142">
        <v>6.4166666666666599</v>
      </c>
      <c r="U142">
        <v>5</v>
      </c>
      <c r="V142">
        <v>4</v>
      </c>
      <c r="W142">
        <v>6</v>
      </c>
      <c r="X142">
        <v>5</v>
      </c>
      <c r="AB142">
        <v>2</v>
      </c>
      <c r="AC142">
        <v>19020</v>
      </c>
      <c r="AD142">
        <v>6</v>
      </c>
      <c r="AE142">
        <v>0</v>
      </c>
    </row>
    <row r="143" spans="1:40" x14ac:dyDescent="0.2">
      <c r="A143">
        <v>1339</v>
      </c>
      <c r="B143">
        <v>30285</v>
      </c>
      <c r="C143" s="1">
        <v>45085</v>
      </c>
      <c r="D143" s="1">
        <v>31135</v>
      </c>
      <c r="E143">
        <v>38.19</v>
      </c>
      <c r="F143">
        <v>4</v>
      </c>
      <c r="G143">
        <v>0</v>
      </c>
      <c r="H143">
        <v>2</v>
      </c>
      <c r="I143">
        <v>7</v>
      </c>
      <c r="J143">
        <v>0</v>
      </c>
      <c r="K143">
        <v>5</v>
      </c>
      <c r="L143">
        <v>0</v>
      </c>
      <c r="M143">
        <v>3.25</v>
      </c>
      <c r="N143">
        <v>11</v>
      </c>
      <c r="O143">
        <v>5</v>
      </c>
      <c r="P143">
        <v>7</v>
      </c>
      <c r="Q143">
        <v>0</v>
      </c>
      <c r="R143">
        <v>18</v>
      </c>
      <c r="S143">
        <v>11</v>
      </c>
      <c r="T143">
        <v>5.1666666666666599</v>
      </c>
      <c r="U143">
        <v>2</v>
      </c>
      <c r="V143">
        <v>3</v>
      </c>
      <c r="W143">
        <v>4</v>
      </c>
      <c r="X143">
        <v>2</v>
      </c>
      <c r="AB143">
        <v>3</v>
      </c>
      <c r="AC143">
        <v>21017</v>
      </c>
      <c r="AD143">
        <v>4</v>
      </c>
      <c r="AE143">
        <v>0</v>
      </c>
    </row>
    <row r="144" spans="1:40" x14ac:dyDescent="0.2">
      <c r="A144">
        <v>1340</v>
      </c>
      <c r="B144">
        <v>101990</v>
      </c>
      <c r="C144" s="1">
        <v>45085</v>
      </c>
      <c r="D144" s="1">
        <v>32927</v>
      </c>
      <c r="E144">
        <v>33.29</v>
      </c>
      <c r="F144">
        <v>1</v>
      </c>
      <c r="G144">
        <v>1</v>
      </c>
      <c r="H144">
        <v>2</v>
      </c>
      <c r="I144">
        <v>0</v>
      </c>
      <c r="J144">
        <v>2</v>
      </c>
      <c r="K144">
        <v>5</v>
      </c>
      <c r="L144">
        <v>28</v>
      </c>
      <c r="M144">
        <v>3.0625</v>
      </c>
      <c r="N144">
        <v>8</v>
      </c>
      <c r="O144">
        <v>3</v>
      </c>
      <c r="P144">
        <v>12</v>
      </c>
      <c r="Q144">
        <v>4</v>
      </c>
      <c r="R144">
        <v>16</v>
      </c>
      <c r="S144">
        <v>6</v>
      </c>
      <c r="T144">
        <v>6</v>
      </c>
      <c r="U144">
        <v>6</v>
      </c>
      <c r="V144">
        <v>4</v>
      </c>
      <c r="W144">
        <v>9</v>
      </c>
      <c r="X144">
        <v>6</v>
      </c>
      <c r="AD144">
        <v>9</v>
      </c>
      <c r="AE144">
        <v>0</v>
      </c>
    </row>
    <row r="145" spans="1:40" x14ac:dyDescent="0.2">
      <c r="A145">
        <v>1346</v>
      </c>
      <c r="B145">
        <v>100271</v>
      </c>
      <c r="C145" s="1">
        <v>45085</v>
      </c>
      <c r="D145" s="1">
        <v>25941</v>
      </c>
      <c r="E145">
        <v>52.41</v>
      </c>
      <c r="F145">
        <v>4</v>
      </c>
      <c r="G145">
        <v>1</v>
      </c>
      <c r="H145">
        <v>2</v>
      </c>
      <c r="I145">
        <v>0</v>
      </c>
      <c r="J145">
        <v>0</v>
      </c>
      <c r="K145">
        <v>4</v>
      </c>
      <c r="L145">
        <v>0</v>
      </c>
      <c r="M145">
        <v>3.375</v>
      </c>
      <c r="N145">
        <v>11</v>
      </c>
      <c r="O145">
        <v>8</v>
      </c>
      <c r="P145">
        <v>8</v>
      </c>
      <c r="Q145">
        <v>2</v>
      </c>
      <c r="R145">
        <v>15</v>
      </c>
      <c r="S145">
        <v>10</v>
      </c>
      <c r="T145">
        <v>5</v>
      </c>
      <c r="U145">
        <v>6</v>
      </c>
      <c r="V145">
        <v>3</v>
      </c>
      <c r="W145">
        <v>6</v>
      </c>
      <c r="X145">
        <v>6</v>
      </c>
      <c r="AB145">
        <v>0</v>
      </c>
      <c r="AC145">
        <v>16110</v>
      </c>
      <c r="AD145">
        <v>6</v>
      </c>
      <c r="AE145">
        <v>1</v>
      </c>
    </row>
    <row r="146" spans="1:40" x14ac:dyDescent="0.2">
      <c r="A146">
        <v>1349</v>
      </c>
      <c r="B146">
        <v>120101</v>
      </c>
      <c r="C146" s="1">
        <v>45085</v>
      </c>
      <c r="D146" s="1">
        <v>37133</v>
      </c>
      <c r="E146">
        <v>21.77</v>
      </c>
      <c r="F146">
        <v>4</v>
      </c>
      <c r="G146">
        <v>1</v>
      </c>
      <c r="H146">
        <v>4</v>
      </c>
      <c r="I146">
        <v>0</v>
      </c>
      <c r="J146">
        <v>5</v>
      </c>
      <c r="K146">
        <v>10</v>
      </c>
      <c r="L146">
        <v>28</v>
      </c>
      <c r="M146">
        <v>3</v>
      </c>
      <c r="N146">
        <v>7</v>
      </c>
      <c r="O146">
        <v>6</v>
      </c>
      <c r="P146">
        <v>9</v>
      </c>
      <c r="Q146">
        <v>1</v>
      </c>
      <c r="R146">
        <v>16</v>
      </c>
      <c r="S146">
        <v>9</v>
      </c>
      <c r="T146">
        <v>2.5833333333333299</v>
      </c>
      <c r="U146">
        <v>4</v>
      </c>
      <c r="V146">
        <v>5</v>
      </c>
      <c r="W146">
        <v>5</v>
      </c>
      <c r="X146">
        <v>4</v>
      </c>
      <c r="AC146">
        <v>18976</v>
      </c>
      <c r="AD146">
        <v>5</v>
      </c>
      <c r="AE146">
        <v>0</v>
      </c>
    </row>
    <row r="147" spans="1:40" x14ac:dyDescent="0.2">
      <c r="A147">
        <v>1351</v>
      </c>
      <c r="B147">
        <v>131299</v>
      </c>
      <c r="C147" s="1">
        <v>45086</v>
      </c>
      <c r="D147" s="1">
        <v>36328</v>
      </c>
      <c r="E147">
        <v>23.98</v>
      </c>
      <c r="F147">
        <v>4</v>
      </c>
      <c r="G147">
        <v>0</v>
      </c>
      <c r="H147">
        <v>8</v>
      </c>
      <c r="I147">
        <v>0</v>
      </c>
      <c r="J147">
        <v>1</v>
      </c>
      <c r="K147">
        <v>3</v>
      </c>
      <c r="L147">
        <v>0</v>
      </c>
      <c r="M147">
        <v>3.5625</v>
      </c>
      <c r="N147">
        <v>12</v>
      </c>
      <c r="O147">
        <v>10</v>
      </c>
      <c r="P147">
        <v>9</v>
      </c>
      <c r="Q147">
        <v>2</v>
      </c>
      <c r="R147">
        <v>12</v>
      </c>
      <c r="S147">
        <v>12</v>
      </c>
      <c r="T147">
        <v>4.5833333333333304</v>
      </c>
      <c r="U147">
        <v>5</v>
      </c>
      <c r="V147">
        <v>1</v>
      </c>
      <c r="W147">
        <v>6</v>
      </c>
      <c r="X147">
        <v>5</v>
      </c>
      <c r="AB147">
        <v>0</v>
      </c>
      <c r="AC147">
        <v>19711</v>
      </c>
      <c r="AD147">
        <v>6</v>
      </c>
      <c r="AE147">
        <v>0</v>
      </c>
    </row>
    <row r="148" spans="1:40" x14ac:dyDescent="0.2">
      <c r="A148">
        <v>1352</v>
      </c>
      <c r="B148">
        <v>11965</v>
      </c>
      <c r="C148" s="1">
        <v>45086</v>
      </c>
      <c r="D148" s="1">
        <v>23961</v>
      </c>
      <c r="E148">
        <v>57.84</v>
      </c>
      <c r="F148">
        <v>4</v>
      </c>
      <c r="G148">
        <v>1</v>
      </c>
      <c r="H148">
        <v>1</v>
      </c>
      <c r="I148">
        <v>0</v>
      </c>
      <c r="J148">
        <v>0</v>
      </c>
      <c r="K148">
        <v>9</v>
      </c>
      <c r="L148">
        <v>27</v>
      </c>
      <c r="M148">
        <v>3</v>
      </c>
      <c r="N148">
        <v>9</v>
      </c>
      <c r="O148">
        <v>3</v>
      </c>
      <c r="P148">
        <v>9</v>
      </c>
      <c r="Q148">
        <v>3</v>
      </c>
      <c r="R148">
        <v>15</v>
      </c>
      <c r="S148">
        <v>9</v>
      </c>
      <c r="T148">
        <v>4.4166666666666599</v>
      </c>
      <c r="U148">
        <v>4</v>
      </c>
      <c r="V148">
        <v>5</v>
      </c>
      <c r="W148">
        <v>6</v>
      </c>
      <c r="X148">
        <v>4</v>
      </c>
      <c r="AB148">
        <v>1</v>
      </c>
      <c r="AC148">
        <v>19444</v>
      </c>
      <c r="AD148">
        <v>6</v>
      </c>
      <c r="AE148">
        <v>0</v>
      </c>
    </row>
    <row r="149" spans="1:40" x14ac:dyDescent="0.2">
      <c r="A149">
        <v>1361</v>
      </c>
      <c r="B149">
        <v>190275</v>
      </c>
      <c r="C149" s="1">
        <v>45086</v>
      </c>
      <c r="D149" s="1">
        <v>27471</v>
      </c>
      <c r="E149">
        <v>48.23</v>
      </c>
      <c r="F149">
        <v>4</v>
      </c>
      <c r="G149">
        <v>0</v>
      </c>
      <c r="H149">
        <v>0</v>
      </c>
      <c r="I149">
        <v>0</v>
      </c>
      <c r="J149">
        <v>3</v>
      </c>
      <c r="K149">
        <v>13</v>
      </c>
      <c r="L149">
        <v>0</v>
      </c>
      <c r="M149">
        <v>3</v>
      </c>
      <c r="N149">
        <v>10</v>
      </c>
      <c r="O149">
        <v>3</v>
      </c>
      <c r="P149">
        <v>9</v>
      </c>
      <c r="Q149">
        <v>1</v>
      </c>
      <c r="R149">
        <v>15</v>
      </c>
      <c r="S149">
        <v>10</v>
      </c>
      <c r="T149">
        <v>4</v>
      </c>
      <c r="U149">
        <v>1</v>
      </c>
      <c r="V149">
        <v>3</v>
      </c>
      <c r="W149">
        <v>6</v>
      </c>
      <c r="X149">
        <v>1</v>
      </c>
      <c r="AC149">
        <v>19082</v>
      </c>
      <c r="AD149">
        <v>6</v>
      </c>
      <c r="AE149">
        <v>1</v>
      </c>
    </row>
    <row r="150" spans="1:40" x14ac:dyDescent="0.2">
      <c r="A150">
        <v>1362</v>
      </c>
      <c r="B150">
        <v>11601</v>
      </c>
      <c r="C150" s="1">
        <v>45086</v>
      </c>
      <c r="D150" s="1">
        <v>37172</v>
      </c>
      <c r="E150">
        <v>21.67</v>
      </c>
      <c r="F150">
        <v>5</v>
      </c>
      <c r="G150">
        <v>0</v>
      </c>
      <c r="H150">
        <v>0</v>
      </c>
      <c r="I150">
        <v>0</v>
      </c>
      <c r="J150">
        <v>1</v>
      </c>
      <c r="K150">
        <v>9</v>
      </c>
      <c r="L150">
        <v>23</v>
      </c>
      <c r="M150">
        <v>1.9375</v>
      </c>
      <c r="N150">
        <v>0</v>
      </c>
      <c r="O150">
        <v>3</v>
      </c>
      <c r="P150">
        <v>5</v>
      </c>
      <c r="Q150">
        <v>4</v>
      </c>
      <c r="R150">
        <v>15</v>
      </c>
      <c r="S150">
        <v>4</v>
      </c>
      <c r="T150">
        <v>3.9166666666666599</v>
      </c>
      <c r="U150">
        <v>4</v>
      </c>
      <c r="V150">
        <v>3</v>
      </c>
      <c r="W150">
        <v>4</v>
      </c>
      <c r="X150">
        <v>4</v>
      </c>
      <c r="AB150">
        <v>2</v>
      </c>
      <c r="AC150">
        <v>19003</v>
      </c>
      <c r="AD150">
        <v>4</v>
      </c>
      <c r="AE150">
        <v>0</v>
      </c>
    </row>
    <row r="151" spans="1:40" x14ac:dyDescent="0.2">
      <c r="A151">
        <v>1377</v>
      </c>
      <c r="B151">
        <v>30303</v>
      </c>
      <c r="C151" s="1">
        <v>45087</v>
      </c>
      <c r="D151" s="1">
        <v>37645</v>
      </c>
      <c r="E151">
        <v>20.38</v>
      </c>
      <c r="F151">
        <v>4</v>
      </c>
      <c r="G151">
        <v>1</v>
      </c>
      <c r="H151">
        <v>2</v>
      </c>
      <c r="I151">
        <v>0</v>
      </c>
      <c r="J151">
        <v>5</v>
      </c>
      <c r="K151">
        <v>15</v>
      </c>
      <c r="L151">
        <v>28</v>
      </c>
      <c r="M151">
        <v>4.625</v>
      </c>
      <c r="N151">
        <v>8</v>
      </c>
      <c r="O151">
        <v>12</v>
      </c>
      <c r="P151">
        <v>12</v>
      </c>
      <c r="Q151">
        <v>12</v>
      </c>
      <c r="R151">
        <v>18</v>
      </c>
      <c r="S151">
        <v>12</v>
      </c>
      <c r="T151">
        <v>4.3333333333333002</v>
      </c>
      <c r="U151">
        <v>4</v>
      </c>
      <c r="V151">
        <v>0</v>
      </c>
      <c r="W151">
        <v>3</v>
      </c>
      <c r="X151">
        <v>4</v>
      </c>
      <c r="AB151">
        <v>0</v>
      </c>
      <c r="AC151">
        <v>19145</v>
      </c>
      <c r="AD151">
        <v>3</v>
      </c>
      <c r="AE151">
        <v>0</v>
      </c>
    </row>
    <row r="152" spans="1:40" x14ac:dyDescent="0.2">
      <c r="A152">
        <v>1382</v>
      </c>
      <c r="B152">
        <v>11302</v>
      </c>
      <c r="C152" s="1">
        <v>45087</v>
      </c>
      <c r="D152" s="1">
        <v>37453</v>
      </c>
      <c r="E152">
        <v>20.9</v>
      </c>
      <c r="F152">
        <v>4</v>
      </c>
      <c r="G152">
        <v>0</v>
      </c>
      <c r="H152">
        <v>4</v>
      </c>
      <c r="I152">
        <v>2</v>
      </c>
      <c r="J152">
        <v>0</v>
      </c>
      <c r="K152">
        <v>2</v>
      </c>
      <c r="L152">
        <v>0</v>
      </c>
      <c r="M152">
        <v>3.1875</v>
      </c>
      <c r="N152">
        <v>9</v>
      </c>
      <c r="O152">
        <v>5</v>
      </c>
      <c r="P152">
        <v>10</v>
      </c>
      <c r="Q152">
        <v>1</v>
      </c>
      <c r="R152">
        <v>15</v>
      </c>
      <c r="S152">
        <v>11</v>
      </c>
      <c r="T152">
        <v>5</v>
      </c>
      <c r="U152">
        <v>4</v>
      </c>
      <c r="V152">
        <v>5</v>
      </c>
      <c r="W152">
        <v>8</v>
      </c>
      <c r="X152">
        <v>4</v>
      </c>
      <c r="AC152">
        <v>19026</v>
      </c>
      <c r="AD152">
        <v>8</v>
      </c>
      <c r="AE152">
        <v>0</v>
      </c>
    </row>
    <row r="153" spans="1:40" x14ac:dyDescent="0.2">
      <c r="A153">
        <v>1386</v>
      </c>
      <c r="B153">
        <v>182351</v>
      </c>
      <c r="C153" s="1">
        <v>45088</v>
      </c>
      <c r="D153" s="1">
        <v>18849</v>
      </c>
      <c r="E153">
        <v>71.84</v>
      </c>
      <c r="F153">
        <v>0</v>
      </c>
      <c r="G153">
        <v>1</v>
      </c>
      <c r="H153">
        <v>2</v>
      </c>
      <c r="I153">
        <v>0</v>
      </c>
      <c r="J153">
        <v>0</v>
      </c>
      <c r="K153">
        <v>11</v>
      </c>
      <c r="L153">
        <v>27</v>
      </c>
      <c r="M153">
        <v>3.375</v>
      </c>
      <c r="N153">
        <v>10</v>
      </c>
      <c r="O153">
        <v>7</v>
      </c>
      <c r="P153">
        <v>9</v>
      </c>
      <c r="Q153">
        <v>4</v>
      </c>
      <c r="R153">
        <v>14</v>
      </c>
      <c r="S153">
        <v>10</v>
      </c>
      <c r="T153">
        <v>5.3333333333333304</v>
      </c>
      <c r="U153">
        <v>5</v>
      </c>
      <c r="V153">
        <v>2</v>
      </c>
      <c r="W153">
        <v>7</v>
      </c>
      <c r="X153">
        <v>5</v>
      </c>
      <c r="AB153">
        <v>2</v>
      </c>
      <c r="AC153">
        <v>19136</v>
      </c>
      <c r="AD153">
        <v>7</v>
      </c>
      <c r="AE153">
        <v>0</v>
      </c>
      <c r="AN153">
        <v>0</v>
      </c>
    </row>
    <row r="154" spans="1:40" x14ac:dyDescent="0.2">
      <c r="A154">
        <v>1387</v>
      </c>
      <c r="B154">
        <v>190463</v>
      </c>
      <c r="C154" s="1">
        <v>45088</v>
      </c>
      <c r="D154" s="1">
        <v>23273</v>
      </c>
      <c r="E154">
        <v>59.73</v>
      </c>
      <c r="F154">
        <v>4</v>
      </c>
      <c r="G154">
        <v>1</v>
      </c>
      <c r="H154">
        <v>7</v>
      </c>
      <c r="I154">
        <v>0</v>
      </c>
      <c r="J154">
        <v>0</v>
      </c>
      <c r="K154">
        <v>2</v>
      </c>
      <c r="L154">
        <v>25</v>
      </c>
      <c r="M154">
        <v>2.5625</v>
      </c>
      <c r="N154">
        <v>10</v>
      </c>
      <c r="O154">
        <v>0</v>
      </c>
      <c r="P154">
        <v>7</v>
      </c>
      <c r="Q154">
        <v>1</v>
      </c>
      <c r="R154">
        <v>15</v>
      </c>
      <c r="S154">
        <v>8</v>
      </c>
      <c r="T154">
        <v>4.6666666666666599</v>
      </c>
      <c r="U154">
        <v>6</v>
      </c>
      <c r="V154">
        <v>4</v>
      </c>
      <c r="W154">
        <v>7</v>
      </c>
      <c r="X154">
        <v>6</v>
      </c>
      <c r="AB154">
        <v>0</v>
      </c>
      <c r="AC154">
        <v>19713</v>
      </c>
      <c r="AD154">
        <v>7</v>
      </c>
      <c r="AE154">
        <v>0</v>
      </c>
    </row>
    <row r="155" spans="1:40" x14ac:dyDescent="0.2">
      <c r="A155">
        <v>1400</v>
      </c>
      <c r="B155">
        <v>190360</v>
      </c>
      <c r="C155" s="1">
        <v>45088</v>
      </c>
      <c r="D155" s="1">
        <v>22146</v>
      </c>
      <c r="E155">
        <v>62.81</v>
      </c>
      <c r="F155">
        <v>4</v>
      </c>
      <c r="G155">
        <v>1</v>
      </c>
      <c r="H155">
        <v>1</v>
      </c>
      <c r="I155">
        <v>0</v>
      </c>
      <c r="J155">
        <v>4</v>
      </c>
      <c r="K155">
        <v>8</v>
      </c>
      <c r="L155">
        <v>24</v>
      </c>
      <c r="M155">
        <v>2.625</v>
      </c>
      <c r="N155">
        <v>9</v>
      </c>
      <c r="O155">
        <v>7</v>
      </c>
      <c r="P155">
        <v>6</v>
      </c>
      <c r="Q155">
        <v>0</v>
      </c>
      <c r="R155">
        <v>12</v>
      </c>
      <c r="S155">
        <v>8</v>
      </c>
      <c r="T155">
        <v>3.9166666666666599</v>
      </c>
      <c r="U155">
        <v>5</v>
      </c>
      <c r="V155">
        <v>0</v>
      </c>
      <c r="W155">
        <v>6</v>
      </c>
      <c r="X155">
        <v>5</v>
      </c>
      <c r="AB155">
        <v>0</v>
      </c>
      <c r="AC155">
        <v>19152</v>
      </c>
      <c r="AD155">
        <v>6</v>
      </c>
      <c r="AE155">
        <v>0</v>
      </c>
      <c r="AI155">
        <v>19</v>
      </c>
      <c r="AJ155">
        <v>19</v>
      </c>
      <c r="AK155">
        <v>21</v>
      </c>
      <c r="AL155">
        <v>12</v>
      </c>
      <c r="AM155">
        <v>13</v>
      </c>
      <c r="AN155">
        <v>0</v>
      </c>
    </row>
    <row r="156" spans="1:40" x14ac:dyDescent="0.2">
      <c r="A156">
        <v>1409</v>
      </c>
      <c r="B156">
        <v>132396</v>
      </c>
      <c r="C156" s="1">
        <v>45089</v>
      </c>
      <c r="D156" s="1">
        <v>35396</v>
      </c>
      <c r="E156">
        <v>26.54</v>
      </c>
      <c r="F156">
        <v>4</v>
      </c>
      <c r="G156">
        <v>0</v>
      </c>
      <c r="H156">
        <v>1</v>
      </c>
      <c r="I156">
        <v>0</v>
      </c>
      <c r="J156">
        <v>0</v>
      </c>
      <c r="K156">
        <v>6</v>
      </c>
      <c r="L156">
        <v>28</v>
      </c>
      <c r="M156">
        <v>3.8125</v>
      </c>
      <c r="N156">
        <v>12</v>
      </c>
      <c r="O156">
        <v>5</v>
      </c>
      <c r="P156">
        <v>10</v>
      </c>
      <c r="Q156">
        <v>7</v>
      </c>
      <c r="R156">
        <v>17</v>
      </c>
      <c r="S156">
        <v>10</v>
      </c>
      <c r="T156">
        <v>3.5833333333333002</v>
      </c>
      <c r="U156">
        <v>5</v>
      </c>
      <c r="V156">
        <v>0</v>
      </c>
      <c r="W156">
        <v>6</v>
      </c>
      <c r="X156">
        <v>5</v>
      </c>
      <c r="AC156">
        <v>18966</v>
      </c>
      <c r="AD156">
        <v>6</v>
      </c>
      <c r="AE156">
        <v>1</v>
      </c>
      <c r="AI156">
        <v>15</v>
      </c>
      <c r="AJ156">
        <v>19</v>
      </c>
      <c r="AK156">
        <v>11</v>
      </c>
      <c r="AL156">
        <v>14</v>
      </c>
      <c r="AM156">
        <v>16</v>
      </c>
    </row>
    <row r="157" spans="1:40" x14ac:dyDescent="0.2">
      <c r="A157">
        <v>1410</v>
      </c>
      <c r="B157">
        <v>101398</v>
      </c>
      <c r="C157" s="1">
        <v>45097</v>
      </c>
      <c r="D157" s="1">
        <v>35796</v>
      </c>
      <c r="E157">
        <v>25.47</v>
      </c>
      <c r="F157">
        <v>4</v>
      </c>
      <c r="G157">
        <v>0</v>
      </c>
      <c r="H157">
        <v>6</v>
      </c>
      <c r="I157">
        <v>0</v>
      </c>
      <c r="J157">
        <v>2</v>
      </c>
      <c r="K157">
        <v>5</v>
      </c>
      <c r="L157">
        <v>28</v>
      </c>
      <c r="M157">
        <v>3.25</v>
      </c>
      <c r="N157">
        <v>10</v>
      </c>
      <c r="O157">
        <v>6</v>
      </c>
      <c r="P157">
        <v>11</v>
      </c>
      <c r="Q157">
        <v>1</v>
      </c>
      <c r="R157">
        <v>15</v>
      </c>
      <c r="S157">
        <v>9</v>
      </c>
      <c r="T157">
        <v>4.8333333333333304</v>
      </c>
      <c r="U157">
        <v>6</v>
      </c>
      <c r="V157">
        <v>3</v>
      </c>
      <c r="W157">
        <v>7</v>
      </c>
      <c r="X157">
        <v>6</v>
      </c>
      <c r="AC157">
        <v>35242</v>
      </c>
      <c r="AD157">
        <v>7</v>
      </c>
      <c r="AE157">
        <v>0</v>
      </c>
      <c r="AI157">
        <v>14</v>
      </c>
      <c r="AJ157">
        <v>17</v>
      </c>
      <c r="AK157">
        <v>14</v>
      </c>
      <c r="AL157">
        <v>19</v>
      </c>
      <c r="AM157">
        <v>17</v>
      </c>
    </row>
    <row r="158" spans="1:40" x14ac:dyDescent="0.2">
      <c r="A158">
        <v>1413</v>
      </c>
      <c r="B158">
        <v>12002</v>
      </c>
      <c r="C158" s="1">
        <v>45089</v>
      </c>
      <c r="D158" s="1">
        <v>37487</v>
      </c>
      <c r="E158">
        <v>20.81</v>
      </c>
      <c r="F158">
        <v>1</v>
      </c>
      <c r="G158">
        <v>1</v>
      </c>
      <c r="H158">
        <v>2</v>
      </c>
      <c r="I158">
        <v>3</v>
      </c>
      <c r="J158">
        <v>2</v>
      </c>
      <c r="K158">
        <v>6</v>
      </c>
      <c r="L158">
        <v>28</v>
      </c>
      <c r="M158">
        <v>4.0625</v>
      </c>
      <c r="N158">
        <v>5</v>
      </c>
      <c r="O158">
        <v>11</v>
      </c>
      <c r="P158">
        <v>10</v>
      </c>
      <c r="Q158">
        <v>12</v>
      </c>
      <c r="R158">
        <v>17</v>
      </c>
      <c r="S158">
        <v>10</v>
      </c>
      <c r="T158">
        <v>3.5833333333333002</v>
      </c>
      <c r="U158">
        <v>4</v>
      </c>
      <c r="V158">
        <v>1</v>
      </c>
      <c r="W158">
        <v>5</v>
      </c>
      <c r="X158">
        <v>4</v>
      </c>
      <c r="AB158">
        <v>4</v>
      </c>
      <c r="AC158">
        <v>19142</v>
      </c>
      <c r="AD158">
        <v>5</v>
      </c>
      <c r="AE158">
        <v>1</v>
      </c>
      <c r="AI158">
        <v>10</v>
      </c>
      <c r="AJ158">
        <v>12</v>
      </c>
      <c r="AK158">
        <v>15</v>
      </c>
      <c r="AL158">
        <v>14</v>
      </c>
      <c r="AM158">
        <v>15</v>
      </c>
    </row>
    <row r="159" spans="1:40" x14ac:dyDescent="0.2">
      <c r="A159">
        <v>1420</v>
      </c>
      <c r="B159">
        <v>131960</v>
      </c>
      <c r="C159" s="1">
        <v>45089</v>
      </c>
      <c r="D159" s="1">
        <v>22225</v>
      </c>
      <c r="E159">
        <v>62.6</v>
      </c>
      <c r="F159">
        <v>3</v>
      </c>
      <c r="G159">
        <v>0</v>
      </c>
      <c r="H159">
        <v>3</v>
      </c>
      <c r="I159">
        <v>0</v>
      </c>
      <c r="J159">
        <v>0</v>
      </c>
      <c r="K159">
        <v>2</v>
      </c>
      <c r="L159">
        <v>0</v>
      </c>
      <c r="M159">
        <v>3.875</v>
      </c>
      <c r="N159">
        <v>12</v>
      </c>
      <c r="O159">
        <v>12</v>
      </c>
      <c r="P159">
        <v>8</v>
      </c>
      <c r="Q159">
        <v>6</v>
      </c>
      <c r="R159">
        <v>12</v>
      </c>
      <c r="S159">
        <v>12</v>
      </c>
      <c r="T159">
        <v>7</v>
      </c>
      <c r="U159">
        <v>1</v>
      </c>
      <c r="V159">
        <v>1</v>
      </c>
      <c r="W159">
        <v>7</v>
      </c>
      <c r="X159">
        <v>1</v>
      </c>
      <c r="AB159">
        <v>0</v>
      </c>
      <c r="AC159">
        <v>19121</v>
      </c>
      <c r="AD159">
        <v>7</v>
      </c>
      <c r="AE159">
        <v>0</v>
      </c>
      <c r="AI159">
        <v>18</v>
      </c>
      <c r="AJ159">
        <v>14</v>
      </c>
      <c r="AK159">
        <v>20</v>
      </c>
      <c r="AL159">
        <v>21</v>
      </c>
      <c r="AM159">
        <v>15</v>
      </c>
      <c r="AN159">
        <v>0</v>
      </c>
    </row>
    <row r="160" spans="1:40" x14ac:dyDescent="0.2">
      <c r="A160">
        <v>1442</v>
      </c>
      <c r="B160">
        <v>141804</v>
      </c>
      <c r="C160" s="1">
        <v>45091</v>
      </c>
      <c r="D160" s="1">
        <v>38034</v>
      </c>
      <c r="E160">
        <v>19.32</v>
      </c>
      <c r="F160">
        <v>5</v>
      </c>
      <c r="G160">
        <v>0</v>
      </c>
      <c r="H160">
        <v>5</v>
      </c>
      <c r="I160">
        <v>2</v>
      </c>
      <c r="J160">
        <v>1</v>
      </c>
      <c r="K160">
        <v>9</v>
      </c>
      <c r="L160">
        <v>28</v>
      </c>
      <c r="M160">
        <v>4.3125</v>
      </c>
      <c r="N160">
        <v>12</v>
      </c>
      <c r="O160">
        <v>10</v>
      </c>
      <c r="P160">
        <v>12</v>
      </c>
      <c r="Q160">
        <v>7</v>
      </c>
      <c r="R160">
        <v>16</v>
      </c>
      <c r="S160">
        <v>12</v>
      </c>
      <c r="T160">
        <v>6.8333333333333002</v>
      </c>
      <c r="U160">
        <v>1</v>
      </c>
      <c r="V160">
        <v>3</v>
      </c>
      <c r="W160">
        <v>5</v>
      </c>
      <c r="X160">
        <v>1</v>
      </c>
      <c r="AB160">
        <v>3</v>
      </c>
      <c r="AC160">
        <v>19083</v>
      </c>
      <c r="AD160">
        <v>5</v>
      </c>
      <c r="AE160">
        <v>0</v>
      </c>
      <c r="AI160">
        <v>15</v>
      </c>
      <c r="AJ160">
        <v>14</v>
      </c>
      <c r="AK160">
        <v>14</v>
      </c>
      <c r="AL160">
        <v>13</v>
      </c>
      <c r="AM160">
        <v>15</v>
      </c>
    </row>
    <row r="161" spans="1:39" x14ac:dyDescent="0.2">
      <c r="A161">
        <v>1467</v>
      </c>
      <c r="B161">
        <v>191897</v>
      </c>
      <c r="C161" s="1">
        <v>45092</v>
      </c>
      <c r="D161" s="1">
        <v>35460</v>
      </c>
      <c r="E161">
        <v>26.37</v>
      </c>
      <c r="F161">
        <v>1</v>
      </c>
      <c r="G161">
        <v>1</v>
      </c>
      <c r="H161">
        <v>0</v>
      </c>
      <c r="I161">
        <v>0</v>
      </c>
      <c r="J161">
        <v>3</v>
      </c>
      <c r="K161">
        <v>12</v>
      </c>
      <c r="L161">
        <v>0</v>
      </c>
      <c r="M161">
        <v>1.875</v>
      </c>
      <c r="N161">
        <v>3</v>
      </c>
      <c r="O161">
        <v>3</v>
      </c>
      <c r="P161">
        <v>3</v>
      </c>
      <c r="Q161">
        <v>3</v>
      </c>
      <c r="R161">
        <v>15</v>
      </c>
      <c r="S161">
        <v>3</v>
      </c>
      <c r="T161">
        <v>1</v>
      </c>
      <c r="U161">
        <v>4</v>
      </c>
      <c r="V161">
        <v>0</v>
      </c>
      <c r="W161">
        <v>6</v>
      </c>
      <c r="X161">
        <v>4</v>
      </c>
      <c r="AB161">
        <v>4</v>
      </c>
      <c r="AC161">
        <v>19152</v>
      </c>
      <c r="AD161">
        <v>6</v>
      </c>
      <c r="AE161">
        <v>0</v>
      </c>
      <c r="AI161">
        <v>7</v>
      </c>
      <c r="AJ161">
        <v>12</v>
      </c>
      <c r="AK161">
        <v>6</v>
      </c>
      <c r="AL161">
        <v>10</v>
      </c>
      <c r="AM161">
        <v>6</v>
      </c>
    </row>
    <row r="162" spans="1:39" x14ac:dyDescent="0.2">
      <c r="A162">
        <v>1468</v>
      </c>
      <c r="B162">
        <v>110892</v>
      </c>
      <c r="C162" s="1">
        <v>45092</v>
      </c>
      <c r="D162" s="1">
        <v>33660</v>
      </c>
      <c r="E162">
        <v>31.3</v>
      </c>
      <c r="F162">
        <v>3</v>
      </c>
      <c r="G162">
        <v>1</v>
      </c>
      <c r="H162">
        <v>2</v>
      </c>
      <c r="I162">
        <v>11</v>
      </c>
      <c r="J162">
        <v>4</v>
      </c>
      <c r="K162">
        <v>18</v>
      </c>
      <c r="L162">
        <v>0</v>
      </c>
      <c r="M162">
        <v>3.5625</v>
      </c>
      <c r="N162">
        <v>10</v>
      </c>
      <c r="O162">
        <v>9</v>
      </c>
      <c r="P162">
        <v>9</v>
      </c>
      <c r="Q162">
        <v>9</v>
      </c>
      <c r="R162">
        <v>12</v>
      </c>
      <c r="S162">
        <v>8</v>
      </c>
      <c r="T162">
        <v>3</v>
      </c>
      <c r="U162">
        <v>6</v>
      </c>
      <c r="V162">
        <v>4</v>
      </c>
      <c r="W162">
        <v>7</v>
      </c>
      <c r="X162">
        <v>6</v>
      </c>
      <c r="AC162">
        <v>60644</v>
      </c>
      <c r="AD162">
        <v>7</v>
      </c>
      <c r="AE162">
        <v>0</v>
      </c>
      <c r="AI162">
        <v>13</v>
      </c>
      <c r="AJ162">
        <v>9</v>
      </c>
      <c r="AK162">
        <v>17</v>
      </c>
      <c r="AL162">
        <v>13</v>
      </c>
      <c r="AM162">
        <v>23</v>
      </c>
    </row>
    <row r="163" spans="1:39" x14ac:dyDescent="0.2">
      <c r="A163">
        <v>1471</v>
      </c>
      <c r="B163">
        <v>130262</v>
      </c>
      <c r="C163" s="1">
        <v>45092</v>
      </c>
      <c r="D163" s="1">
        <v>22738</v>
      </c>
      <c r="E163">
        <v>61.2</v>
      </c>
      <c r="F163">
        <v>3</v>
      </c>
      <c r="G163">
        <v>1</v>
      </c>
      <c r="H163">
        <v>2</v>
      </c>
      <c r="I163">
        <v>0</v>
      </c>
      <c r="J163">
        <v>1</v>
      </c>
      <c r="K163">
        <v>9</v>
      </c>
      <c r="L163">
        <v>26</v>
      </c>
      <c r="M163">
        <v>3.5625</v>
      </c>
      <c r="N163">
        <v>12</v>
      </c>
      <c r="O163">
        <v>8</v>
      </c>
      <c r="P163">
        <v>9</v>
      </c>
      <c r="Q163">
        <v>2</v>
      </c>
      <c r="R163">
        <v>15</v>
      </c>
      <c r="S163">
        <v>11</v>
      </c>
      <c r="T163">
        <v>4.3333333333333304</v>
      </c>
      <c r="U163">
        <v>6</v>
      </c>
      <c r="V163">
        <v>1</v>
      </c>
      <c r="W163">
        <v>6</v>
      </c>
      <c r="X163">
        <v>6</v>
      </c>
      <c r="AB163">
        <v>1</v>
      </c>
      <c r="AC163">
        <v>19148</v>
      </c>
      <c r="AD163">
        <v>6</v>
      </c>
      <c r="AE163">
        <v>1</v>
      </c>
      <c r="AI163">
        <v>17</v>
      </c>
      <c r="AJ163">
        <v>12</v>
      </c>
      <c r="AK163">
        <v>16</v>
      </c>
      <c r="AL163">
        <v>16</v>
      </c>
      <c r="AM163">
        <v>17</v>
      </c>
    </row>
    <row r="164" spans="1:39" x14ac:dyDescent="0.2">
      <c r="A164">
        <v>1476</v>
      </c>
      <c r="B164">
        <v>160856</v>
      </c>
      <c r="C164" s="1">
        <v>45093</v>
      </c>
      <c r="D164" s="1">
        <v>20493</v>
      </c>
      <c r="E164">
        <v>67.349999999999994</v>
      </c>
      <c r="F164">
        <v>4</v>
      </c>
      <c r="G164">
        <v>1</v>
      </c>
      <c r="H164">
        <v>4</v>
      </c>
      <c r="I164">
        <v>0</v>
      </c>
      <c r="J164">
        <v>0</v>
      </c>
      <c r="K164">
        <v>4</v>
      </c>
      <c r="L164">
        <v>28</v>
      </c>
      <c r="M164">
        <v>3.8125</v>
      </c>
      <c r="N164">
        <v>12</v>
      </c>
      <c r="O164">
        <v>8</v>
      </c>
      <c r="P164">
        <v>12</v>
      </c>
      <c r="Q164">
        <v>2</v>
      </c>
      <c r="R164">
        <v>16</v>
      </c>
      <c r="S164">
        <v>11</v>
      </c>
      <c r="T164">
        <v>7</v>
      </c>
      <c r="U164">
        <v>6</v>
      </c>
      <c r="V164">
        <v>3</v>
      </c>
      <c r="W164">
        <v>10</v>
      </c>
      <c r="X164">
        <v>6</v>
      </c>
      <c r="AB164">
        <v>2</v>
      </c>
      <c r="AC164">
        <v>15108</v>
      </c>
      <c r="AD164">
        <v>10</v>
      </c>
      <c r="AE164">
        <v>1</v>
      </c>
      <c r="AI164">
        <v>15</v>
      </c>
      <c r="AJ164">
        <v>13</v>
      </c>
      <c r="AK164">
        <v>11</v>
      </c>
      <c r="AL164">
        <v>13</v>
      </c>
      <c r="AM164">
        <v>13</v>
      </c>
    </row>
    <row r="165" spans="1:39" x14ac:dyDescent="0.2">
      <c r="A165">
        <v>1477</v>
      </c>
      <c r="B165">
        <v>11868</v>
      </c>
      <c r="C165" s="1">
        <v>45093</v>
      </c>
      <c r="D165" s="1">
        <v>24923</v>
      </c>
      <c r="E165">
        <v>55.22</v>
      </c>
      <c r="F165">
        <v>4</v>
      </c>
      <c r="G165">
        <v>1</v>
      </c>
      <c r="H165">
        <v>2</v>
      </c>
      <c r="I165">
        <v>0</v>
      </c>
      <c r="J165">
        <v>0</v>
      </c>
      <c r="K165">
        <v>0</v>
      </c>
      <c r="L165">
        <v>28</v>
      </c>
      <c r="M165">
        <v>3.9375</v>
      </c>
      <c r="N165">
        <v>10</v>
      </c>
      <c r="O165">
        <v>9</v>
      </c>
      <c r="P165">
        <v>9</v>
      </c>
      <c r="Q165">
        <v>8</v>
      </c>
      <c r="R165">
        <v>18</v>
      </c>
      <c r="S165">
        <v>9</v>
      </c>
      <c r="T165">
        <v>5.1666666666666599</v>
      </c>
      <c r="U165">
        <v>5</v>
      </c>
      <c r="V165">
        <v>5</v>
      </c>
      <c r="W165">
        <v>6</v>
      </c>
      <c r="X165">
        <v>5</v>
      </c>
      <c r="AB165">
        <v>3</v>
      </c>
      <c r="AD165">
        <v>6</v>
      </c>
      <c r="AE165">
        <v>0</v>
      </c>
      <c r="AI165">
        <v>13</v>
      </c>
      <c r="AJ165">
        <v>12</v>
      </c>
      <c r="AK165">
        <v>15</v>
      </c>
      <c r="AL165">
        <v>11</v>
      </c>
      <c r="AM165">
        <v>14</v>
      </c>
    </row>
    <row r="166" spans="1:39" x14ac:dyDescent="0.2">
      <c r="A166">
        <v>1479</v>
      </c>
      <c r="B166">
        <v>51902</v>
      </c>
      <c r="C166" s="1">
        <v>45093</v>
      </c>
      <c r="D166" s="1">
        <v>37405</v>
      </c>
      <c r="E166">
        <v>21.05</v>
      </c>
      <c r="F166">
        <v>4</v>
      </c>
      <c r="G166">
        <v>0</v>
      </c>
      <c r="H166">
        <v>3</v>
      </c>
      <c r="I166">
        <v>0</v>
      </c>
      <c r="J166">
        <v>2</v>
      </c>
      <c r="K166">
        <v>10</v>
      </c>
      <c r="L166">
        <v>0</v>
      </c>
      <c r="M166">
        <v>3.375</v>
      </c>
      <c r="N166">
        <v>8</v>
      </c>
      <c r="O166">
        <v>11</v>
      </c>
      <c r="P166">
        <v>12</v>
      </c>
      <c r="Q166">
        <v>2</v>
      </c>
      <c r="R166">
        <v>15</v>
      </c>
      <c r="S166">
        <v>6</v>
      </c>
      <c r="T166">
        <v>3.5833333333333299</v>
      </c>
      <c r="U166">
        <v>5</v>
      </c>
      <c r="V166">
        <v>1</v>
      </c>
      <c r="W166">
        <v>7</v>
      </c>
      <c r="X166">
        <v>5</v>
      </c>
      <c r="AB166">
        <v>0</v>
      </c>
      <c r="AC166">
        <v>19380</v>
      </c>
      <c r="AD166">
        <v>7</v>
      </c>
      <c r="AE166">
        <v>0</v>
      </c>
      <c r="AI166">
        <v>16</v>
      </c>
      <c r="AJ166">
        <v>16</v>
      </c>
      <c r="AK166">
        <v>11</v>
      </c>
      <c r="AL166">
        <v>13</v>
      </c>
      <c r="AM166">
        <v>18</v>
      </c>
    </row>
    <row r="167" spans="1:39" x14ac:dyDescent="0.2">
      <c r="A167">
        <v>1498</v>
      </c>
      <c r="B167">
        <v>111994</v>
      </c>
      <c r="C167" s="1">
        <v>45094</v>
      </c>
      <c r="D167" s="1">
        <v>34535</v>
      </c>
      <c r="E167">
        <v>28.91</v>
      </c>
      <c r="F167">
        <v>4</v>
      </c>
      <c r="G167">
        <v>0</v>
      </c>
      <c r="H167">
        <v>3</v>
      </c>
      <c r="I167">
        <v>0</v>
      </c>
      <c r="J167">
        <v>0</v>
      </c>
      <c r="K167">
        <v>4</v>
      </c>
      <c r="L167">
        <v>27</v>
      </c>
      <c r="M167">
        <v>3.4375</v>
      </c>
      <c r="N167">
        <v>11</v>
      </c>
      <c r="O167">
        <v>7</v>
      </c>
      <c r="P167">
        <v>10</v>
      </c>
      <c r="Q167">
        <v>2</v>
      </c>
      <c r="R167">
        <v>15</v>
      </c>
      <c r="S167">
        <v>10</v>
      </c>
      <c r="T167">
        <v>4.8333333333333304</v>
      </c>
      <c r="U167">
        <v>5</v>
      </c>
      <c r="V167">
        <v>4</v>
      </c>
      <c r="W167">
        <v>3</v>
      </c>
      <c r="X167">
        <v>5</v>
      </c>
      <c r="AB167">
        <v>2</v>
      </c>
      <c r="AC167">
        <v>18013</v>
      </c>
      <c r="AD167">
        <v>3</v>
      </c>
      <c r="AE167">
        <v>0</v>
      </c>
      <c r="AI167">
        <v>15</v>
      </c>
      <c r="AJ167">
        <v>12</v>
      </c>
      <c r="AK167">
        <v>17</v>
      </c>
      <c r="AL167">
        <v>16</v>
      </c>
      <c r="AM167">
        <v>17</v>
      </c>
    </row>
    <row r="168" spans="1:39" x14ac:dyDescent="0.2">
      <c r="A168">
        <v>1501</v>
      </c>
      <c r="B168">
        <v>200892</v>
      </c>
      <c r="C168" s="1">
        <v>45094</v>
      </c>
      <c r="D168" s="1">
        <v>33898</v>
      </c>
      <c r="E168">
        <v>30.65</v>
      </c>
      <c r="F168">
        <v>3</v>
      </c>
      <c r="G168">
        <v>0</v>
      </c>
      <c r="H168">
        <v>3</v>
      </c>
      <c r="I168">
        <v>0</v>
      </c>
      <c r="J168">
        <v>1</v>
      </c>
      <c r="K168">
        <v>6</v>
      </c>
      <c r="L168">
        <v>0</v>
      </c>
      <c r="M168">
        <v>4.625</v>
      </c>
      <c r="N168">
        <v>12</v>
      </c>
      <c r="O168">
        <v>12</v>
      </c>
      <c r="P168">
        <v>12</v>
      </c>
      <c r="Q168">
        <v>12</v>
      </c>
      <c r="R168">
        <v>14</v>
      </c>
      <c r="S168">
        <v>12</v>
      </c>
      <c r="T168">
        <v>4.75</v>
      </c>
      <c r="U168">
        <v>4</v>
      </c>
      <c r="V168">
        <v>4</v>
      </c>
      <c r="W168">
        <v>7</v>
      </c>
      <c r="X168">
        <v>4</v>
      </c>
      <c r="AB168">
        <v>0</v>
      </c>
      <c r="AC168">
        <v>19446</v>
      </c>
      <c r="AD168">
        <v>7</v>
      </c>
      <c r="AE168">
        <v>0</v>
      </c>
      <c r="AI168">
        <v>14</v>
      </c>
      <c r="AJ168">
        <v>21</v>
      </c>
      <c r="AK168">
        <v>24</v>
      </c>
      <c r="AL168">
        <v>19</v>
      </c>
      <c r="AM168">
        <v>15</v>
      </c>
    </row>
    <row r="169" spans="1:39" x14ac:dyDescent="0.2">
      <c r="A169">
        <v>1509</v>
      </c>
      <c r="B169">
        <v>41291</v>
      </c>
      <c r="C169" s="1">
        <v>45095</v>
      </c>
      <c r="D169" s="1">
        <v>33331</v>
      </c>
      <c r="E169">
        <v>32.21</v>
      </c>
      <c r="F169">
        <v>1</v>
      </c>
      <c r="G169">
        <v>1</v>
      </c>
      <c r="H169">
        <v>0</v>
      </c>
      <c r="I169">
        <v>0</v>
      </c>
      <c r="J169">
        <v>2</v>
      </c>
      <c r="K169">
        <v>6</v>
      </c>
      <c r="L169">
        <v>0</v>
      </c>
      <c r="M169">
        <v>3.5625</v>
      </c>
      <c r="N169">
        <v>12</v>
      </c>
      <c r="O169">
        <v>9</v>
      </c>
      <c r="P169">
        <v>10</v>
      </c>
      <c r="Q169">
        <v>3</v>
      </c>
      <c r="R169">
        <v>16</v>
      </c>
      <c r="S169">
        <v>7</v>
      </c>
      <c r="T169">
        <v>5.5</v>
      </c>
      <c r="U169">
        <v>5</v>
      </c>
      <c r="V169">
        <v>3</v>
      </c>
      <c r="W169">
        <v>7</v>
      </c>
      <c r="X169">
        <v>5</v>
      </c>
      <c r="AC169">
        <v>19020</v>
      </c>
      <c r="AD169">
        <v>7</v>
      </c>
      <c r="AE169">
        <v>0</v>
      </c>
      <c r="AI169">
        <v>15</v>
      </c>
      <c r="AJ169">
        <v>9</v>
      </c>
      <c r="AK169">
        <v>10</v>
      </c>
      <c r="AL169">
        <v>11</v>
      </c>
      <c r="AM169">
        <v>15</v>
      </c>
    </row>
    <row r="170" spans="1:39" x14ac:dyDescent="0.2">
      <c r="A170">
        <v>1510</v>
      </c>
      <c r="B170">
        <v>180278</v>
      </c>
      <c r="C170" s="1">
        <v>45095</v>
      </c>
      <c r="D170" s="1">
        <v>28620</v>
      </c>
      <c r="E170">
        <v>45.11</v>
      </c>
      <c r="F170">
        <v>3</v>
      </c>
      <c r="G170">
        <v>1</v>
      </c>
      <c r="H170">
        <v>0</v>
      </c>
      <c r="I170">
        <v>0</v>
      </c>
      <c r="J170">
        <v>4</v>
      </c>
      <c r="K170">
        <v>11</v>
      </c>
      <c r="L170">
        <v>30</v>
      </c>
      <c r="M170">
        <v>3.4375</v>
      </c>
      <c r="N170">
        <v>12</v>
      </c>
      <c r="O170">
        <v>5</v>
      </c>
      <c r="P170">
        <v>9</v>
      </c>
      <c r="Q170">
        <v>0</v>
      </c>
      <c r="R170">
        <v>17</v>
      </c>
      <c r="S170">
        <v>12</v>
      </c>
      <c r="T170">
        <v>6.5</v>
      </c>
      <c r="U170">
        <v>6</v>
      </c>
      <c r="V170">
        <v>0</v>
      </c>
      <c r="W170">
        <v>4</v>
      </c>
      <c r="X170">
        <v>6</v>
      </c>
      <c r="AC170">
        <v>19422</v>
      </c>
      <c r="AD170">
        <v>4</v>
      </c>
      <c r="AE170">
        <v>0</v>
      </c>
      <c r="AI170">
        <v>16</v>
      </c>
      <c r="AJ170">
        <v>19</v>
      </c>
      <c r="AK170">
        <v>20</v>
      </c>
      <c r="AL170">
        <v>21</v>
      </c>
      <c r="AM170">
        <v>14</v>
      </c>
    </row>
    <row r="171" spans="1:39" x14ac:dyDescent="0.2">
      <c r="A171">
        <v>1520</v>
      </c>
      <c r="B171">
        <v>30860</v>
      </c>
      <c r="C171" s="1">
        <v>45095</v>
      </c>
      <c r="D171" s="1">
        <v>22281</v>
      </c>
      <c r="E171">
        <v>62.46</v>
      </c>
      <c r="F171">
        <v>4</v>
      </c>
      <c r="G171">
        <v>1</v>
      </c>
      <c r="H171">
        <v>0</v>
      </c>
      <c r="I171">
        <v>0</v>
      </c>
      <c r="J171">
        <v>1</v>
      </c>
      <c r="K171">
        <v>10</v>
      </c>
      <c r="L171">
        <v>0</v>
      </c>
      <c r="M171">
        <v>2.625</v>
      </c>
      <c r="N171">
        <v>12</v>
      </c>
      <c r="O171">
        <v>1</v>
      </c>
      <c r="P171">
        <v>6</v>
      </c>
      <c r="Q171">
        <v>1</v>
      </c>
      <c r="R171">
        <v>14</v>
      </c>
      <c r="S171">
        <v>8</v>
      </c>
      <c r="T171">
        <v>1.1666666666666601</v>
      </c>
      <c r="U171">
        <v>6</v>
      </c>
      <c r="V171">
        <v>1</v>
      </c>
      <c r="W171">
        <v>7</v>
      </c>
      <c r="X171">
        <v>6</v>
      </c>
      <c r="AB171">
        <v>0</v>
      </c>
      <c r="AC171">
        <v>19018</v>
      </c>
      <c r="AD171">
        <v>7</v>
      </c>
      <c r="AE171">
        <v>0</v>
      </c>
      <c r="AI171">
        <v>12</v>
      </c>
      <c r="AJ171">
        <v>6</v>
      </c>
      <c r="AK171">
        <v>6</v>
      </c>
      <c r="AL171">
        <v>6</v>
      </c>
      <c r="AM171">
        <v>13</v>
      </c>
    </row>
    <row r="172" spans="1:39" x14ac:dyDescent="0.2">
      <c r="A172">
        <v>1522</v>
      </c>
      <c r="B172">
        <v>101388</v>
      </c>
      <c r="C172" s="1">
        <v>45095</v>
      </c>
      <c r="D172" s="1">
        <v>32149</v>
      </c>
      <c r="E172">
        <v>35.44</v>
      </c>
      <c r="F172">
        <v>4</v>
      </c>
      <c r="G172">
        <v>0</v>
      </c>
      <c r="H172">
        <v>0</v>
      </c>
      <c r="I172">
        <v>0</v>
      </c>
      <c r="J172">
        <v>5</v>
      </c>
      <c r="K172">
        <v>16</v>
      </c>
      <c r="L172">
        <v>28</v>
      </c>
      <c r="M172">
        <v>2.75</v>
      </c>
      <c r="N172">
        <v>7</v>
      </c>
      <c r="O172">
        <v>1</v>
      </c>
      <c r="P172">
        <v>10</v>
      </c>
      <c r="Q172">
        <v>0</v>
      </c>
      <c r="R172">
        <v>15</v>
      </c>
      <c r="S172">
        <v>11</v>
      </c>
      <c r="T172">
        <v>5.25</v>
      </c>
      <c r="U172">
        <v>6</v>
      </c>
      <c r="V172">
        <v>4</v>
      </c>
      <c r="W172">
        <v>6</v>
      </c>
      <c r="X172">
        <v>6</v>
      </c>
      <c r="AD172">
        <v>6</v>
      </c>
      <c r="AE172">
        <v>0</v>
      </c>
      <c r="AI172">
        <v>13</v>
      </c>
      <c r="AJ172">
        <v>14</v>
      </c>
      <c r="AK172">
        <v>13</v>
      </c>
      <c r="AL172">
        <v>16</v>
      </c>
      <c r="AM172">
        <v>23</v>
      </c>
    </row>
    <row r="173" spans="1:39" x14ac:dyDescent="0.2">
      <c r="A173">
        <v>1528</v>
      </c>
      <c r="B173">
        <v>121570</v>
      </c>
      <c r="C173" s="1">
        <v>45096</v>
      </c>
      <c r="D173" s="1">
        <v>25746</v>
      </c>
      <c r="E173">
        <v>52.98</v>
      </c>
      <c r="F173">
        <v>4</v>
      </c>
      <c r="G173">
        <v>1</v>
      </c>
      <c r="H173">
        <v>3</v>
      </c>
      <c r="I173">
        <v>0</v>
      </c>
      <c r="J173">
        <v>1</v>
      </c>
      <c r="K173">
        <v>6</v>
      </c>
      <c r="L173">
        <v>29</v>
      </c>
      <c r="M173">
        <v>3.875</v>
      </c>
      <c r="N173">
        <v>12</v>
      </c>
      <c r="O173">
        <v>8</v>
      </c>
      <c r="P173">
        <v>10</v>
      </c>
      <c r="Q173">
        <v>8</v>
      </c>
      <c r="R173">
        <v>12</v>
      </c>
      <c r="S173">
        <v>12</v>
      </c>
      <c r="T173">
        <v>4.3333333333333304</v>
      </c>
      <c r="U173">
        <v>6</v>
      </c>
      <c r="V173">
        <v>5</v>
      </c>
      <c r="W173">
        <v>7</v>
      </c>
      <c r="X173">
        <v>6</v>
      </c>
      <c r="AB173">
        <v>2</v>
      </c>
      <c r="AC173">
        <v>19003</v>
      </c>
      <c r="AD173">
        <v>7</v>
      </c>
      <c r="AE173">
        <v>0</v>
      </c>
      <c r="AI173">
        <v>17</v>
      </c>
      <c r="AJ173">
        <v>16</v>
      </c>
      <c r="AK173">
        <v>19</v>
      </c>
      <c r="AL173">
        <v>17</v>
      </c>
      <c r="AM173">
        <v>14</v>
      </c>
    </row>
    <row r="174" spans="1:39" x14ac:dyDescent="0.2">
      <c r="A174">
        <v>1532</v>
      </c>
      <c r="B174">
        <v>130798</v>
      </c>
      <c r="C174" s="1">
        <v>45096</v>
      </c>
      <c r="D174" s="1">
        <v>35821</v>
      </c>
      <c r="E174">
        <v>25.39</v>
      </c>
      <c r="F174">
        <v>4</v>
      </c>
      <c r="G174">
        <v>1</v>
      </c>
      <c r="H174">
        <v>2</v>
      </c>
      <c r="I174">
        <v>0</v>
      </c>
      <c r="J174">
        <v>4</v>
      </c>
      <c r="K174">
        <v>14</v>
      </c>
      <c r="L174">
        <v>27</v>
      </c>
      <c r="M174">
        <v>3.375</v>
      </c>
      <c r="N174">
        <v>5</v>
      </c>
      <c r="O174">
        <v>8</v>
      </c>
      <c r="P174">
        <v>11</v>
      </c>
      <c r="Q174">
        <v>3</v>
      </c>
      <c r="R174">
        <v>15</v>
      </c>
      <c r="S174">
        <v>12</v>
      </c>
      <c r="T174">
        <v>4.8333333333333304</v>
      </c>
      <c r="U174">
        <v>5</v>
      </c>
      <c r="V174">
        <v>0</v>
      </c>
      <c r="W174">
        <v>5</v>
      </c>
      <c r="X174">
        <v>5</v>
      </c>
      <c r="AB174">
        <v>0</v>
      </c>
      <c r="AC174">
        <v>95129</v>
      </c>
      <c r="AD174">
        <v>5</v>
      </c>
      <c r="AE174">
        <v>0</v>
      </c>
      <c r="AI174">
        <v>14</v>
      </c>
      <c r="AJ174">
        <v>14</v>
      </c>
      <c r="AK174">
        <v>12</v>
      </c>
      <c r="AL174">
        <v>12</v>
      </c>
      <c r="AM174">
        <v>16</v>
      </c>
    </row>
    <row r="175" spans="1:39" x14ac:dyDescent="0.2">
      <c r="A175">
        <v>1533</v>
      </c>
      <c r="B175">
        <v>130468</v>
      </c>
      <c r="C175" s="1">
        <v>45096</v>
      </c>
      <c r="D175" s="1">
        <v>24922</v>
      </c>
      <c r="E175">
        <v>55.23</v>
      </c>
      <c r="F175">
        <v>4</v>
      </c>
      <c r="G175">
        <v>0</v>
      </c>
      <c r="H175">
        <v>10</v>
      </c>
      <c r="I175">
        <v>8</v>
      </c>
      <c r="J175">
        <v>0</v>
      </c>
      <c r="K175">
        <v>6</v>
      </c>
      <c r="L175">
        <v>26</v>
      </c>
      <c r="M175">
        <v>3.75</v>
      </c>
      <c r="N175">
        <v>10</v>
      </c>
      <c r="O175">
        <v>7</v>
      </c>
      <c r="P175">
        <v>12</v>
      </c>
      <c r="Q175">
        <v>2</v>
      </c>
      <c r="R175">
        <v>18</v>
      </c>
      <c r="S175">
        <v>11</v>
      </c>
      <c r="T175">
        <v>3.5833333333333299</v>
      </c>
      <c r="U175">
        <v>6</v>
      </c>
      <c r="V175">
        <v>4</v>
      </c>
      <c r="W175">
        <v>8</v>
      </c>
      <c r="X175">
        <v>6</v>
      </c>
      <c r="AB175">
        <v>2</v>
      </c>
      <c r="AC175">
        <v>10024</v>
      </c>
      <c r="AD175">
        <v>8</v>
      </c>
      <c r="AE175">
        <v>1</v>
      </c>
      <c r="AI175">
        <v>14</v>
      </c>
      <c r="AJ175">
        <v>19</v>
      </c>
      <c r="AK175">
        <v>18</v>
      </c>
      <c r="AL175">
        <v>17</v>
      </c>
      <c r="AM175">
        <v>19</v>
      </c>
    </row>
    <row r="176" spans="1:39" x14ac:dyDescent="0.2">
      <c r="A176">
        <v>1545</v>
      </c>
      <c r="B176">
        <v>11378</v>
      </c>
      <c r="C176" s="1">
        <v>45097</v>
      </c>
      <c r="D176" s="1">
        <v>28706</v>
      </c>
      <c r="E176">
        <v>44.88</v>
      </c>
      <c r="F176">
        <v>4</v>
      </c>
      <c r="G176">
        <v>1</v>
      </c>
      <c r="H176">
        <v>1</v>
      </c>
      <c r="I176">
        <v>0</v>
      </c>
      <c r="J176">
        <v>2</v>
      </c>
      <c r="K176">
        <v>13</v>
      </c>
      <c r="L176">
        <v>0</v>
      </c>
      <c r="M176">
        <v>4</v>
      </c>
      <c r="N176">
        <v>12</v>
      </c>
      <c r="O176">
        <v>11</v>
      </c>
      <c r="P176">
        <v>9</v>
      </c>
      <c r="Q176">
        <v>6</v>
      </c>
      <c r="R176">
        <v>15</v>
      </c>
      <c r="S176">
        <v>11</v>
      </c>
      <c r="T176">
        <v>4.1666666666666599</v>
      </c>
      <c r="U176">
        <v>4</v>
      </c>
      <c r="V176">
        <v>4</v>
      </c>
      <c r="W176">
        <v>4</v>
      </c>
      <c r="X176">
        <v>4</v>
      </c>
      <c r="AC176">
        <v>19137</v>
      </c>
      <c r="AD176">
        <v>4</v>
      </c>
      <c r="AE176">
        <v>0</v>
      </c>
      <c r="AI176">
        <v>15</v>
      </c>
      <c r="AJ176">
        <v>17</v>
      </c>
      <c r="AK176">
        <v>20</v>
      </c>
      <c r="AL176">
        <v>18</v>
      </c>
      <c r="AM176">
        <v>16</v>
      </c>
    </row>
    <row r="177" spans="1:40" x14ac:dyDescent="0.2">
      <c r="A177">
        <v>1550</v>
      </c>
      <c r="B177">
        <v>30704</v>
      </c>
      <c r="C177" s="1">
        <v>45097</v>
      </c>
      <c r="D177" s="1">
        <v>38157</v>
      </c>
      <c r="E177">
        <v>19</v>
      </c>
      <c r="F177">
        <v>4</v>
      </c>
      <c r="G177">
        <v>2</v>
      </c>
      <c r="H177">
        <v>6</v>
      </c>
      <c r="I177">
        <v>17</v>
      </c>
      <c r="J177">
        <v>1</v>
      </c>
      <c r="K177">
        <v>15</v>
      </c>
      <c r="L177">
        <v>28</v>
      </c>
      <c r="M177">
        <v>3.5</v>
      </c>
      <c r="N177">
        <v>11</v>
      </c>
      <c r="O177">
        <v>4</v>
      </c>
      <c r="P177">
        <v>11</v>
      </c>
      <c r="Q177">
        <v>3</v>
      </c>
      <c r="R177">
        <v>18</v>
      </c>
      <c r="S177">
        <v>9</v>
      </c>
      <c r="T177">
        <v>5</v>
      </c>
      <c r="U177">
        <v>1</v>
      </c>
      <c r="V177">
        <v>2</v>
      </c>
      <c r="W177">
        <v>4</v>
      </c>
      <c r="X177">
        <v>1</v>
      </c>
      <c r="AB177">
        <v>2</v>
      </c>
      <c r="AC177">
        <v>19119</v>
      </c>
      <c r="AD177">
        <v>4</v>
      </c>
      <c r="AE177">
        <v>0</v>
      </c>
      <c r="AI177">
        <v>14</v>
      </c>
      <c r="AJ177">
        <v>11</v>
      </c>
      <c r="AK177">
        <v>8</v>
      </c>
      <c r="AL177">
        <v>14</v>
      </c>
      <c r="AM177">
        <v>19</v>
      </c>
    </row>
    <row r="178" spans="1:40" x14ac:dyDescent="0.2">
      <c r="A178">
        <v>1554</v>
      </c>
      <c r="B178">
        <v>22098</v>
      </c>
      <c r="C178" s="1">
        <v>45097</v>
      </c>
      <c r="D178" s="1">
        <v>36027</v>
      </c>
      <c r="E178">
        <v>24.83</v>
      </c>
      <c r="F178">
        <v>1</v>
      </c>
      <c r="G178">
        <v>0</v>
      </c>
      <c r="H178">
        <v>3</v>
      </c>
      <c r="I178">
        <v>0</v>
      </c>
      <c r="J178">
        <v>0</v>
      </c>
      <c r="K178">
        <v>1</v>
      </c>
      <c r="L178">
        <v>0</v>
      </c>
      <c r="M178">
        <v>4.5625</v>
      </c>
      <c r="N178">
        <v>9</v>
      </c>
      <c r="O178">
        <v>10</v>
      </c>
      <c r="P178">
        <v>12</v>
      </c>
      <c r="Q178">
        <v>12</v>
      </c>
      <c r="R178">
        <v>18</v>
      </c>
      <c r="S178">
        <v>12</v>
      </c>
      <c r="T178">
        <v>6.6666666666666998</v>
      </c>
      <c r="U178">
        <v>5</v>
      </c>
      <c r="V178">
        <v>4</v>
      </c>
      <c r="W178">
        <v>6</v>
      </c>
      <c r="X178">
        <v>5</v>
      </c>
      <c r="AB178">
        <v>2</v>
      </c>
      <c r="AC178">
        <v>19012</v>
      </c>
      <c r="AD178">
        <v>6</v>
      </c>
      <c r="AE178">
        <v>0</v>
      </c>
      <c r="AI178">
        <v>8</v>
      </c>
      <c r="AJ178">
        <v>11</v>
      </c>
      <c r="AK178">
        <v>13</v>
      </c>
      <c r="AL178">
        <v>17</v>
      </c>
      <c r="AM178">
        <v>17</v>
      </c>
    </row>
    <row r="179" spans="1:40" x14ac:dyDescent="0.2">
      <c r="A179">
        <v>1556</v>
      </c>
      <c r="B179">
        <v>162094</v>
      </c>
      <c r="C179" s="1">
        <v>45097</v>
      </c>
      <c r="D179" s="1">
        <v>34450</v>
      </c>
      <c r="E179">
        <v>29.15</v>
      </c>
      <c r="F179">
        <v>1</v>
      </c>
      <c r="G179">
        <v>1</v>
      </c>
      <c r="H179">
        <v>7</v>
      </c>
      <c r="I179">
        <v>0</v>
      </c>
      <c r="J179">
        <v>2</v>
      </c>
      <c r="K179">
        <v>3</v>
      </c>
      <c r="L179">
        <v>0</v>
      </c>
      <c r="M179">
        <v>3</v>
      </c>
      <c r="N179">
        <v>10</v>
      </c>
      <c r="O179">
        <v>7</v>
      </c>
      <c r="P179">
        <v>9</v>
      </c>
      <c r="Q179">
        <v>0</v>
      </c>
      <c r="R179">
        <v>11</v>
      </c>
      <c r="S179">
        <v>11</v>
      </c>
      <c r="T179">
        <v>4</v>
      </c>
      <c r="U179">
        <v>5</v>
      </c>
      <c r="V179">
        <v>3</v>
      </c>
      <c r="W179">
        <v>7</v>
      </c>
      <c r="X179">
        <v>5</v>
      </c>
      <c r="AC179">
        <v>19012</v>
      </c>
      <c r="AD179">
        <v>7</v>
      </c>
      <c r="AE179">
        <v>0</v>
      </c>
      <c r="AI179">
        <v>14</v>
      </c>
      <c r="AJ179">
        <v>11</v>
      </c>
      <c r="AK179">
        <v>13</v>
      </c>
      <c r="AL179">
        <v>15</v>
      </c>
      <c r="AM179">
        <v>19</v>
      </c>
    </row>
    <row r="180" spans="1:40" x14ac:dyDescent="0.2">
      <c r="A180">
        <v>1560</v>
      </c>
      <c r="B180">
        <v>161364</v>
      </c>
      <c r="C180" s="1">
        <v>45098</v>
      </c>
      <c r="D180" s="1">
        <v>23506</v>
      </c>
      <c r="E180">
        <v>59.12</v>
      </c>
      <c r="F180">
        <v>3</v>
      </c>
      <c r="G180">
        <v>0</v>
      </c>
      <c r="H180">
        <v>4</v>
      </c>
      <c r="I180">
        <v>0</v>
      </c>
      <c r="J180">
        <v>1</v>
      </c>
      <c r="K180">
        <v>14</v>
      </c>
      <c r="L180">
        <v>28</v>
      </c>
      <c r="M180">
        <v>3.375</v>
      </c>
      <c r="N180">
        <v>12</v>
      </c>
      <c r="O180">
        <v>0</v>
      </c>
      <c r="P180">
        <v>12</v>
      </c>
      <c r="Q180">
        <v>3</v>
      </c>
      <c r="R180">
        <v>17</v>
      </c>
      <c r="S180">
        <v>10</v>
      </c>
      <c r="T180">
        <v>6.0833333333333002</v>
      </c>
      <c r="U180">
        <v>5</v>
      </c>
      <c r="V180">
        <v>1</v>
      </c>
      <c r="W180">
        <v>1</v>
      </c>
      <c r="X180">
        <v>5</v>
      </c>
      <c r="AC180">
        <v>5701</v>
      </c>
      <c r="AD180">
        <v>1</v>
      </c>
      <c r="AE180">
        <v>0</v>
      </c>
      <c r="AI180">
        <v>9</v>
      </c>
      <c r="AJ180">
        <v>12</v>
      </c>
      <c r="AK180">
        <v>20</v>
      </c>
      <c r="AL180">
        <v>17</v>
      </c>
      <c r="AM180">
        <v>13</v>
      </c>
    </row>
    <row r="181" spans="1:40" x14ac:dyDescent="0.2">
      <c r="A181">
        <v>1573</v>
      </c>
      <c r="B181">
        <v>10259</v>
      </c>
      <c r="C181" s="1">
        <v>45098</v>
      </c>
      <c r="D181" s="1">
        <v>21650</v>
      </c>
      <c r="E181">
        <v>64.2</v>
      </c>
      <c r="F181">
        <v>3</v>
      </c>
      <c r="G181">
        <v>0</v>
      </c>
      <c r="H181">
        <v>2</v>
      </c>
      <c r="I181">
        <v>12</v>
      </c>
      <c r="J181">
        <v>0</v>
      </c>
      <c r="K181">
        <v>6</v>
      </c>
      <c r="L181">
        <v>28</v>
      </c>
      <c r="M181">
        <v>3.3125</v>
      </c>
      <c r="N181">
        <v>8</v>
      </c>
      <c r="O181">
        <v>8</v>
      </c>
      <c r="P181">
        <v>9</v>
      </c>
      <c r="Q181">
        <v>6</v>
      </c>
      <c r="R181">
        <v>14</v>
      </c>
      <c r="S181">
        <v>8</v>
      </c>
      <c r="T181">
        <v>3.8333333333333299</v>
      </c>
      <c r="U181">
        <v>1</v>
      </c>
      <c r="V181">
        <v>0</v>
      </c>
      <c r="W181">
        <v>5</v>
      </c>
      <c r="X181">
        <v>1</v>
      </c>
      <c r="AB181">
        <v>0</v>
      </c>
      <c r="AC181">
        <v>19132</v>
      </c>
      <c r="AD181">
        <v>5</v>
      </c>
      <c r="AE181">
        <v>0</v>
      </c>
      <c r="AI181">
        <v>15</v>
      </c>
      <c r="AJ181">
        <v>7</v>
      </c>
      <c r="AK181">
        <v>9</v>
      </c>
      <c r="AL181">
        <v>6</v>
      </c>
      <c r="AM181">
        <v>15</v>
      </c>
      <c r="AN181">
        <v>0</v>
      </c>
    </row>
    <row r="182" spans="1:40" x14ac:dyDescent="0.2">
      <c r="A182">
        <v>1580</v>
      </c>
      <c r="B182">
        <v>30288</v>
      </c>
      <c r="C182" s="1">
        <v>45099</v>
      </c>
      <c r="D182" s="1">
        <v>32417</v>
      </c>
      <c r="E182">
        <v>34.72</v>
      </c>
      <c r="F182">
        <v>4</v>
      </c>
      <c r="G182">
        <v>1</v>
      </c>
      <c r="H182">
        <v>3</v>
      </c>
      <c r="I182">
        <v>0</v>
      </c>
      <c r="J182">
        <v>2</v>
      </c>
      <c r="K182">
        <v>12</v>
      </c>
      <c r="L182">
        <v>12</v>
      </c>
      <c r="M182">
        <v>4.8125</v>
      </c>
      <c r="N182">
        <v>11</v>
      </c>
      <c r="O182">
        <v>12</v>
      </c>
      <c r="P182">
        <v>12</v>
      </c>
      <c r="Q182">
        <v>12</v>
      </c>
      <c r="R182">
        <v>18</v>
      </c>
      <c r="S182">
        <v>12</v>
      </c>
      <c r="T182">
        <v>6.1666666666666599</v>
      </c>
      <c r="U182">
        <v>6</v>
      </c>
      <c r="V182">
        <v>3</v>
      </c>
      <c r="W182">
        <v>4</v>
      </c>
      <c r="X182">
        <v>6</v>
      </c>
      <c r="AB182">
        <v>2</v>
      </c>
      <c r="AC182">
        <v>18704</v>
      </c>
      <c r="AD182">
        <v>4</v>
      </c>
      <c r="AE182">
        <v>0</v>
      </c>
      <c r="AI182">
        <v>14</v>
      </c>
      <c r="AJ182">
        <v>11</v>
      </c>
      <c r="AK182">
        <v>15</v>
      </c>
      <c r="AL182">
        <v>11</v>
      </c>
      <c r="AM182">
        <v>15</v>
      </c>
    </row>
    <row r="183" spans="1:40" x14ac:dyDescent="0.2">
      <c r="A183">
        <v>1593</v>
      </c>
      <c r="B183">
        <v>101857</v>
      </c>
      <c r="C183" s="1">
        <v>45113</v>
      </c>
      <c r="D183" s="1">
        <v>20988</v>
      </c>
      <c r="E183">
        <v>66.05</v>
      </c>
      <c r="F183">
        <v>4</v>
      </c>
      <c r="G183">
        <v>1</v>
      </c>
      <c r="H183">
        <v>0</v>
      </c>
      <c r="I183">
        <v>0</v>
      </c>
      <c r="J183">
        <v>0</v>
      </c>
      <c r="K183">
        <v>5</v>
      </c>
      <c r="L183">
        <v>28</v>
      </c>
      <c r="M183">
        <v>3.3125</v>
      </c>
      <c r="N183">
        <v>12</v>
      </c>
      <c r="O183">
        <v>5</v>
      </c>
      <c r="P183">
        <v>6</v>
      </c>
      <c r="Q183">
        <v>2</v>
      </c>
      <c r="R183">
        <v>18</v>
      </c>
      <c r="S183">
        <v>10</v>
      </c>
      <c r="T183">
        <v>4</v>
      </c>
      <c r="U183">
        <v>6</v>
      </c>
      <c r="V183">
        <v>3</v>
      </c>
      <c r="W183">
        <v>7</v>
      </c>
      <c r="X183">
        <v>6</v>
      </c>
      <c r="AC183">
        <v>19054</v>
      </c>
      <c r="AD183">
        <v>7</v>
      </c>
      <c r="AE183">
        <v>1</v>
      </c>
      <c r="AI183">
        <v>13</v>
      </c>
      <c r="AJ183">
        <v>12</v>
      </c>
      <c r="AK183">
        <v>15</v>
      </c>
      <c r="AL183">
        <v>15</v>
      </c>
      <c r="AM183">
        <v>23</v>
      </c>
    </row>
    <row r="184" spans="1:40" x14ac:dyDescent="0.2">
      <c r="A184">
        <v>1611</v>
      </c>
      <c r="B184">
        <v>201685</v>
      </c>
      <c r="C184" s="1">
        <v>45114</v>
      </c>
      <c r="D184" s="1">
        <v>31049</v>
      </c>
      <c r="E184">
        <v>38.51</v>
      </c>
      <c r="F184">
        <v>4</v>
      </c>
      <c r="G184">
        <v>1</v>
      </c>
      <c r="H184">
        <v>2</v>
      </c>
      <c r="I184">
        <v>2</v>
      </c>
      <c r="J184">
        <v>3</v>
      </c>
      <c r="K184">
        <v>12</v>
      </c>
      <c r="L184">
        <v>25</v>
      </c>
      <c r="M184">
        <v>3.4375</v>
      </c>
      <c r="N184">
        <v>12</v>
      </c>
      <c r="O184">
        <v>3</v>
      </c>
      <c r="P184">
        <v>10</v>
      </c>
      <c r="Q184">
        <v>3</v>
      </c>
      <c r="R184">
        <v>15</v>
      </c>
      <c r="S184">
        <v>12</v>
      </c>
      <c r="T184">
        <v>4.6666666666666599</v>
      </c>
      <c r="U184">
        <v>5</v>
      </c>
      <c r="V184">
        <v>3</v>
      </c>
      <c r="W184">
        <v>4</v>
      </c>
      <c r="X184">
        <v>5</v>
      </c>
      <c r="AB184">
        <v>1</v>
      </c>
      <c r="AC184">
        <v>19810</v>
      </c>
      <c r="AD184">
        <v>4</v>
      </c>
      <c r="AE184">
        <v>0</v>
      </c>
      <c r="AI184">
        <v>16</v>
      </c>
      <c r="AJ184">
        <v>14</v>
      </c>
      <c r="AK184">
        <v>15</v>
      </c>
      <c r="AL184">
        <v>15</v>
      </c>
      <c r="AM184">
        <v>24</v>
      </c>
    </row>
    <row r="185" spans="1:40" x14ac:dyDescent="0.2">
      <c r="A185">
        <v>1616</v>
      </c>
      <c r="B185">
        <v>42089</v>
      </c>
      <c r="C185" s="1">
        <v>45114</v>
      </c>
      <c r="D185" s="1">
        <v>32608</v>
      </c>
      <c r="E185">
        <v>34.24</v>
      </c>
      <c r="F185">
        <v>1</v>
      </c>
      <c r="G185">
        <v>0</v>
      </c>
      <c r="H185">
        <v>4</v>
      </c>
      <c r="I185">
        <v>0</v>
      </c>
      <c r="J185">
        <v>0</v>
      </c>
      <c r="K185">
        <v>4</v>
      </c>
      <c r="L185">
        <v>0</v>
      </c>
      <c r="M185">
        <v>3.9375</v>
      </c>
      <c r="N185">
        <v>12</v>
      </c>
      <c r="O185">
        <v>11</v>
      </c>
      <c r="P185">
        <v>10</v>
      </c>
      <c r="Q185">
        <v>3</v>
      </c>
      <c r="R185">
        <v>15</v>
      </c>
      <c r="S185">
        <v>12</v>
      </c>
      <c r="T185">
        <v>7</v>
      </c>
      <c r="U185">
        <v>6</v>
      </c>
      <c r="V185">
        <v>6</v>
      </c>
      <c r="W185">
        <v>7</v>
      </c>
      <c r="X185">
        <v>6</v>
      </c>
      <c r="AB185">
        <v>2</v>
      </c>
      <c r="AC185">
        <v>19112</v>
      </c>
      <c r="AD185">
        <v>7</v>
      </c>
      <c r="AE185">
        <v>0</v>
      </c>
      <c r="AI185">
        <v>17</v>
      </c>
      <c r="AJ185">
        <v>17</v>
      </c>
      <c r="AK185">
        <v>18</v>
      </c>
      <c r="AL185">
        <v>19</v>
      </c>
      <c r="AM185">
        <v>14</v>
      </c>
    </row>
    <row r="186" spans="1:40" x14ac:dyDescent="0.2">
      <c r="A186">
        <v>1624</v>
      </c>
      <c r="B186">
        <v>180892</v>
      </c>
      <c r="C186" s="1">
        <v>45115</v>
      </c>
      <c r="D186" s="1">
        <v>33803</v>
      </c>
      <c r="E186">
        <v>30.97</v>
      </c>
      <c r="F186">
        <v>4</v>
      </c>
      <c r="G186">
        <v>1</v>
      </c>
      <c r="H186">
        <v>1</v>
      </c>
      <c r="I186">
        <v>0</v>
      </c>
      <c r="J186">
        <v>1</v>
      </c>
      <c r="K186">
        <v>6</v>
      </c>
      <c r="L186">
        <v>0</v>
      </c>
      <c r="M186">
        <v>3.0625</v>
      </c>
      <c r="N186">
        <v>10</v>
      </c>
      <c r="O186">
        <v>2</v>
      </c>
      <c r="P186">
        <v>10</v>
      </c>
      <c r="Q186">
        <v>2</v>
      </c>
      <c r="R186">
        <v>15</v>
      </c>
      <c r="S186">
        <v>10</v>
      </c>
      <c r="T186">
        <v>5.5</v>
      </c>
      <c r="U186">
        <v>6</v>
      </c>
      <c r="V186">
        <v>5</v>
      </c>
      <c r="W186">
        <v>6</v>
      </c>
      <c r="X186">
        <v>6</v>
      </c>
      <c r="AB186">
        <v>0</v>
      </c>
      <c r="AC186">
        <v>34952</v>
      </c>
      <c r="AD186">
        <v>6</v>
      </c>
      <c r="AE186">
        <v>0</v>
      </c>
      <c r="AI186">
        <v>11</v>
      </c>
      <c r="AJ186">
        <v>9</v>
      </c>
      <c r="AK186">
        <v>7</v>
      </c>
      <c r="AL186">
        <v>12</v>
      </c>
      <c r="AM186">
        <v>12</v>
      </c>
    </row>
    <row r="187" spans="1:40" x14ac:dyDescent="0.2">
      <c r="A187">
        <v>1635</v>
      </c>
      <c r="B187">
        <v>41376</v>
      </c>
      <c r="C187" s="1">
        <v>45116</v>
      </c>
      <c r="D187" s="1">
        <v>28026</v>
      </c>
      <c r="E187">
        <v>46.79</v>
      </c>
      <c r="F187">
        <v>0</v>
      </c>
      <c r="G187">
        <v>1</v>
      </c>
      <c r="H187">
        <v>2</v>
      </c>
      <c r="I187">
        <v>2</v>
      </c>
      <c r="J187">
        <v>0</v>
      </c>
      <c r="K187">
        <v>0</v>
      </c>
      <c r="L187">
        <v>0</v>
      </c>
      <c r="M187">
        <v>3.875</v>
      </c>
      <c r="N187">
        <v>12</v>
      </c>
      <c r="O187">
        <v>6</v>
      </c>
      <c r="P187">
        <v>12</v>
      </c>
      <c r="Q187">
        <v>4</v>
      </c>
      <c r="R187">
        <v>18</v>
      </c>
      <c r="S187">
        <v>10</v>
      </c>
      <c r="T187">
        <v>6.3333333333333304</v>
      </c>
      <c r="U187">
        <v>6</v>
      </c>
      <c r="V187">
        <v>4</v>
      </c>
      <c r="W187">
        <v>8</v>
      </c>
      <c r="X187">
        <v>6</v>
      </c>
      <c r="AB187">
        <v>1</v>
      </c>
      <c r="AC187">
        <v>8024</v>
      </c>
      <c r="AD187">
        <v>8</v>
      </c>
      <c r="AE187">
        <v>0</v>
      </c>
      <c r="AI187">
        <v>12</v>
      </c>
      <c r="AJ187">
        <v>13</v>
      </c>
      <c r="AK187">
        <v>15</v>
      </c>
      <c r="AL187">
        <v>19</v>
      </c>
      <c r="AM187">
        <v>16</v>
      </c>
    </row>
    <row r="188" spans="1:40" x14ac:dyDescent="0.2">
      <c r="A188">
        <v>1636</v>
      </c>
      <c r="B188">
        <v>130465</v>
      </c>
      <c r="C188" s="1">
        <v>45116</v>
      </c>
      <c r="D188" s="1">
        <v>23779</v>
      </c>
      <c r="E188">
        <v>58.42</v>
      </c>
      <c r="F188">
        <v>4</v>
      </c>
      <c r="G188">
        <v>1</v>
      </c>
      <c r="H188">
        <v>3</v>
      </c>
      <c r="I188">
        <v>0</v>
      </c>
      <c r="J188">
        <v>4</v>
      </c>
      <c r="K188">
        <v>10</v>
      </c>
      <c r="L188">
        <v>0</v>
      </c>
      <c r="M188">
        <v>3.375</v>
      </c>
      <c r="N188">
        <v>12</v>
      </c>
      <c r="O188">
        <v>9</v>
      </c>
      <c r="P188">
        <v>9</v>
      </c>
      <c r="Q188">
        <v>1</v>
      </c>
      <c r="R188">
        <v>13</v>
      </c>
      <c r="S188">
        <v>10</v>
      </c>
      <c r="T188">
        <v>3.9166666666666599</v>
      </c>
      <c r="U188">
        <v>1</v>
      </c>
      <c r="V188">
        <v>2</v>
      </c>
      <c r="W188">
        <v>6</v>
      </c>
      <c r="X188">
        <v>1</v>
      </c>
      <c r="AB188">
        <v>2</v>
      </c>
      <c r="AC188">
        <v>19148</v>
      </c>
      <c r="AD188">
        <v>6</v>
      </c>
      <c r="AE188">
        <v>0</v>
      </c>
      <c r="AI188">
        <v>14</v>
      </c>
      <c r="AJ188">
        <v>13</v>
      </c>
      <c r="AK188">
        <v>14</v>
      </c>
      <c r="AL188">
        <v>15</v>
      </c>
      <c r="AM188">
        <v>15</v>
      </c>
    </row>
    <row r="189" spans="1:40" x14ac:dyDescent="0.2">
      <c r="A189">
        <v>1640</v>
      </c>
      <c r="B189">
        <v>41358</v>
      </c>
      <c r="C189" s="1">
        <v>45117</v>
      </c>
      <c r="D189" s="1">
        <v>21483</v>
      </c>
      <c r="E189">
        <v>64.709999999999994</v>
      </c>
      <c r="F189">
        <v>4</v>
      </c>
      <c r="G189">
        <v>1</v>
      </c>
      <c r="H189">
        <v>21</v>
      </c>
      <c r="I189">
        <v>2</v>
      </c>
      <c r="J189">
        <v>2</v>
      </c>
      <c r="K189">
        <v>8</v>
      </c>
      <c r="L189">
        <v>27</v>
      </c>
      <c r="M189">
        <v>4.625</v>
      </c>
      <c r="N189">
        <v>11</v>
      </c>
      <c r="O189">
        <v>12</v>
      </c>
      <c r="P189">
        <v>12</v>
      </c>
      <c r="Q189">
        <v>12</v>
      </c>
      <c r="R189">
        <v>15</v>
      </c>
      <c r="S189">
        <v>12</v>
      </c>
      <c r="T189">
        <v>5</v>
      </c>
      <c r="U189">
        <v>5</v>
      </c>
      <c r="V189">
        <v>1</v>
      </c>
      <c r="W189">
        <v>7</v>
      </c>
      <c r="X189">
        <v>5</v>
      </c>
      <c r="AB189">
        <v>0</v>
      </c>
      <c r="AC189">
        <v>19135</v>
      </c>
      <c r="AD189">
        <v>7</v>
      </c>
      <c r="AE189">
        <v>0</v>
      </c>
      <c r="AI189">
        <v>15</v>
      </c>
      <c r="AJ189">
        <v>12</v>
      </c>
      <c r="AK189">
        <v>15</v>
      </c>
      <c r="AL189">
        <v>12</v>
      </c>
      <c r="AM189">
        <v>16</v>
      </c>
      <c r="AN189">
        <v>0</v>
      </c>
    </row>
    <row r="190" spans="1:40" x14ac:dyDescent="0.2">
      <c r="A190">
        <v>1642</v>
      </c>
      <c r="B190">
        <v>11151</v>
      </c>
      <c r="C190" s="1">
        <v>45117</v>
      </c>
      <c r="D190" s="1">
        <v>18834</v>
      </c>
      <c r="E190">
        <v>71.959999999999994</v>
      </c>
      <c r="F190">
        <v>4</v>
      </c>
      <c r="G190">
        <v>1</v>
      </c>
      <c r="H190">
        <v>1</v>
      </c>
      <c r="I190">
        <v>0</v>
      </c>
      <c r="J190">
        <v>0</v>
      </c>
      <c r="K190">
        <v>4</v>
      </c>
      <c r="L190">
        <v>0</v>
      </c>
      <c r="M190">
        <v>2.5625</v>
      </c>
      <c r="N190">
        <v>9</v>
      </c>
      <c r="O190">
        <v>1</v>
      </c>
      <c r="P190">
        <v>8</v>
      </c>
      <c r="Q190">
        <v>1</v>
      </c>
      <c r="R190">
        <v>15</v>
      </c>
      <c r="S190">
        <v>7</v>
      </c>
      <c r="T190">
        <v>3.8333333333333002</v>
      </c>
      <c r="U190">
        <v>4</v>
      </c>
      <c r="V190">
        <v>3</v>
      </c>
      <c r="W190">
        <v>5</v>
      </c>
      <c r="X190">
        <v>4</v>
      </c>
      <c r="AB190">
        <v>2</v>
      </c>
      <c r="AC190">
        <v>19002</v>
      </c>
      <c r="AD190">
        <v>5</v>
      </c>
      <c r="AE190">
        <v>1</v>
      </c>
      <c r="AI190">
        <v>12</v>
      </c>
      <c r="AJ190">
        <v>9</v>
      </c>
      <c r="AK190">
        <v>7</v>
      </c>
      <c r="AL190">
        <v>15</v>
      </c>
      <c r="AM190">
        <v>12</v>
      </c>
    </row>
    <row r="191" spans="1:40" x14ac:dyDescent="0.2">
      <c r="A191">
        <v>1649</v>
      </c>
      <c r="B191">
        <v>161685</v>
      </c>
      <c r="C191" s="1">
        <v>45117</v>
      </c>
      <c r="D191" s="1">
        <v>31129</v>
      </c>
      <c r="E191">
        <v>38.299999999999997</v>
      </c>
      <c r="F191">
        <v>4</v>
      </c>
      <c r="G191">
        <v>0</v>
      </c>
      <c r="H191">
        <v>9</v>
      </c>
      <c r="I191">
        <v>12</v>
      </c>
      <c r="J191">
        <v>5</v>
      </c>
      <c r="K191">
        <v>17</v>
      </c>
      <c r="L191">
        <v>28</v>
      </c>
      <c r="M191">
        <v>3.0625</v>
      </c>
      <c r="N191">
        <v>2</v>
      </c>
      <c r="O191">
        <v>9</v>
      </c>
      <c r="P191">
        <v>8</v>
      </c>
      <c r="Q191">
        <v>7</v>
      </c>
      <c r="R191">
        <v>15</v>
      </c>
      <c r="S191">
        <v>8</v>
      </c>
      <c r="T191">
        <v>3.6666666666666599</v>
      </c>
      <c r="U191">
        <v>5</v>
      </c>
      <c r="V191">
        <v>2</v>
      </c>
      <c r="W191">
        <v>3</v>
      </c>
      <c r="X191">
        <v>5</v>
      </c>
      <c r="AB191">
        <v>0</v>
      </c>
      <c r="AC191">
        <v>85234</v>
      </c>
      <c r="AD191">
        <v>3</v>
      </c>
      <c r="AE191">
        <v>1</v>
      </c>
      <c r="AI191">
        <v>18</v>
      </c>
      <c r="AJ191">
        <v>20</v>
      </c>
      <c r="AK191">
        <v>22</v>
      </c>
      <c r="AL191">
        <v>22</v>
      </c>
      <c r="AM191">
        <v>21</v>
      </c>
    </row>
    <row r="192" spans="1:40" x14ac:dyDescent="0.2">
      <c r="A192">
        <v>1656</v>
      </c>
      <c r="B192">
        <v>180361</v>
      </c>
      <c r="C192" s="1">
        <v>45118</v>
      </c>
      <c r="D192" s="1">
        <v>22480</v>
      </c>
      <c r="E192">
        <v>61.98</v>
      </c>
      <c r="F192">
        <v>5</v>
      </c>
      <c r="G192">
        <v>0</v>
      </c>
      <c r="H192">
        <v>0</v>
      </c>
      <c r="I192">
        <v>0</v>
      </c>
      <c r="J192">
        <v>2</v>
      </c>
      <c r="K192">
        <v>3</v>
      </c>
      <c r="M192">
        <v>3.5625</v>
      </c>
      <c r="N192">
        <v>11</v>
      </c>
      <c r="O192">
        <v>8</v>
      </c>
      <c r="P192">
        <v>10</v>
      </c>
      <c r="Q192">
        <v>1</v>
      </c>
      <c r="R192">
        <v>18</v>
      </c>
      <c r="S192">
        <v>9</v>
      </c>
      <c r="T192">
        <v>5.75</v>
      </c>
      <c r="U192">
        <v>5</v>
      </c>
      <c r="V192">
        <v>0</v>
      </c>
      <c r="W192">
        <v>4</v>
      </c>
      <c r="X192">
        <v>5</v>
      </c>
      <c r="AB192">
        <v>0</v>
      </c>
      <c r="AC192">
        <v>19135</v>
      </c>
      <c r="AD192">
        <v>4</v>
      </c>
      <c r="AE192">
        <v>0</v>
      </c>
      <c r="AI192">
        <v>10</v>
      </c>
      <c r="AJ192">
        <v>10</v>
      </c>
      <c r="AK192">
        <v>8</v>
      </c>
      <c r="AL192">
        <v>12</v>
      </c>
      <c r="AM192">
        <v>12</v>
      </c>
    </row>
    <row r="193" spans="1:40" x14ac:dyDescent="0.2">
      <c r="A193">
        <v>1660</v>
      </c>
      <c r="B193">
        <v>191269</v>
      </c>
      <c r="C193" s="1">
        <v>45118</v>
      </c>
      <c r="D193" s="1">
        <v>25556</v>
      </c>
      <c r="E193">
        <v>53.56</v>
      </c>
      <c r="F193">
        <v>4</v>
      </c>
      <c r="G193">
        <v>1</v>
      </c>
      <c r="H193">
        <v>2</v>
      </c>
      <c r="I193">
        <v>0</v>
      </c>
      <c r="J193">
        <v>0</v>
      </c>
      <c r="K193">
        <v>0</v>
      </c>
      <c r="L193">
        <v>28</v>
      </c>
      <c r="M193">
        <v>2</v>
      </c>
      <c r="N193">
        <v>6</v>
      </c>
      <c r="O193">
        <v>0</v>
      </c>
      <c r="P193">
        <v>7</v>
      </c>
      <c r="Q193">
        <v>0</v>
      </c>
      <c r="R193">
        <v>15</v>
      </c>
      <c r="S193">
        <v>4</v>
      </c>
      <c r="T193">
        <v>4.1666666666666599</v>
      </c>
      <c r="U193">
        <v>5</v>
      </c>
      <c r="V193">
        <v>4</v>
      </c>
      <c r="W193">
        <v>6</v>
      </c>
      <c r="X193">
        <v>5</v>
      </c>
      <c r="AB193">
        <v>3</v>
      </c>
      <c r="AC193">
        <v>19006</v>
      </c>
      <c r="AD193">
        <v>6</v>
      </c>
      <c r="AE193">
        <v>0</v>
      </c>
      <c r="AI193">
        <v>13</v>
      </c>
      <c r="AJ193">
        <v>10</v>
      </c>
      <c r="AK193">
        <v>16</v>
      </c>
      <c r="AL193">
        <v>16</v>
      </c>
      <c r="AM193">
        <v>18</v>
      </c>
    </row>
    <row r="194" spans="1:40" x14ac:dyDescent="0.2">
      <c r="A194">
        <v>1663</v>
      </c>
      <c r="B194">
        <v>190360</v>
      </c>
      <c r="C194" s="1">
        <v>45118</v>
      </c>
      <c r="D194" s="1">
        <v>22146</v>
      </c>
      <c r="E194">
        <v>62.9</v>
      </c>
      <c r="F194">
        <v>4</v>
      </c>
      <c r="G194">
        <v>1</v>
      </c>
      <c r="H194">
        <v>0</v>
      </c>
      <c r="I194">
        <v>0</v>
      </c>
      <c r="J194">
        <v>2</v>
      </c>
      <c r="K194">
        <v>8</v>
      </c>
      <c r="L194">
        <v>28</v>
      </c>
      <c r="M194">
        <v>2.875</v>
      </c>
      <c r="N194">
        <v>11</v>
      </c>
      <c r="O194">
        <v>8</v>
      </c>
      <c r="P194">
        <v>5</v>
      </c>
      <c r="Q194">
        <v>0</v>
      </c>
      <c r="R194">
        <v>13</v>
      </c>
      <c r="S194">
        <v>9</v>
      </c>
      <c r="T194">
        <v>2.75</v>
      </c>
      <c r="U194">
        <v>5</v>
      </c>
      <c r="V194">
        <v>0</v>
      </c>
      <c r="W194">
        <v>5</v>
      </c>
      <c r="X194">
        <v>5</v>
      </c>
      <c r="AB194">
        <v>0</v>
      </c>
      <c r="AC194">
        <v>19152</v>
      </c>
      <c r="AD194">
        <v>5</v>
      </c>
      <c r="AE194">
        <v>0</v>
      </c>
      <c r="AI194">
        <v>23</v>
      </c>
      <c r="AJ194">
        <v>13</v>
      </c>
      <c r="AK194">
        <v>23</v>
      </c>
      <c r="AL194">
        <v>16</v>
      </c>
      <c r="AM194">
        <v>12</v>
      </c>
      <c r="AN194">
        <v>0</v>
      </c>
    </row>
    <row r="195" spans="1:40" x14ac:dyDescent="0.2">
      <c r="A195">
        <v>1665</v>
      </c>
      <c r="B195">
        <v>191986</v>
      </c>
      <c r="C195" s="1">
        <v>45118</v>
      </c>
      <c r="D195" s="1">
        <v>31426</v>
      </c>
      <c r="E195">
        <v>37.49</v>
      </c>
      <c r="F195">
        <v>4</v>
      </c>
      <c r="G195">
        <v>0</v>
      </c>
      <c r="H195">
        <v>10</v>
      </c>
      <c r="I195">
        <v>3</v>
      </c>
      <c r="J195">
        <v>1</v>
      </c>
      <c r="K195">
        <v>8</v>
      </c>
      <c r="L195">
        <v>0</v>
      </c>
      <c r="M195">
        <v>3.4375</v>
      </c>
      <c r="N195">
        <v>12</v>
      </c>
      <c r="O195">
        <v>5</v>
      </c>
      <c r="P195">
        <v>10</v>
      </c>
      <c r="Q195">
        <v>2</v>
      </c>
      <c r="R195">
        <v>15</v>
      </c>
      <c r="S195">
        <v>11</v>
      </c>
      <c r="T195">
        <v>6.1666666666666599</v>
      </c>
      <c r="U195">
        <v>5</v>
      </c>
      <c r="V195">
        <v>1</v>
      </c>
      <c r="W195">
        <v>7</v>
      </c>
      <c r="X195">
        <v>5</v>
      </c>
      <c r="AB195">
        <v>1</v>
      </c>
      <c r="AC195">
        <v>19009</v>
      </c>
      <c r="AD195">
        <v>7</v>
      </c>
      <c r="AE195">
        <v>0</v>
      </c>
      <c r="AI195">
        <v>13</v>
      </c>
      <c r="AJ195">
        <v>18</v>
      </c>
      <c r="AK195">
        <v>16</v>
      </c>
      <c r="AL195">
        <v>14</v>
      </c>
      <c r="AM195">
        <v>20</v>
      </c>
    </row>
    <row r="196" spans="1:40" x14ac:dyDescent="0.2">
      <c r="A196">
        <v>1669</v>
      </c>
      <c r="B196">
        <v>101983</v>
      </c>
      <c r="C196" s="1">
        <v>45118</v>
      </c>
      <c r="D196" s="1">
        <v>30462</v>
      </c>
      <c r="E196">
        <v>40.130000000000003</v>
      </c>
      <c r="F196">
        <v>6</v>
      </c>
      <c r="G196">
        <v>0</v>
      </c>
      <c r="H196">
        <v>3</v>
      </c>
      <c r="I196">
        <v>0</v>
      </c>
      <c r="J196">
        <v>4</v>
      </c>
      <c r="K196">
        <v>13</v>
      </c>
      <c r="L196">
        <v>28</v>
      </c>
      <c r="M196">
        <v>3</v>
      </c>
      <c r="N196">
        <v>8</v>
      </c>
      <c r="O196">
        <v>12</v>
      </c>
      <c r="P196">
        <v>6</v>
      </c>
      <c r="Q196">
        <v>9</v>
      </c>
      <c r="R196">
        <v>7</v>
      </c>
      <c r="S196">
        <v>6</v>
      </c>
      <c r="T196">
        <v>3.5833333333333002</v>
      </c>
      <c r="U196">
        <v>6</v>
      </c>
      <c r="V196">
        <v>0</v>
      </c>
      <c r="W196">
        <v>1</v>
      </c>
      <c r="X196">
        <v>6</v>
      </c>
      <c r="AC196">
        <v>8822</v>
      </c>
      <c r="AD196">
        <v>1</v>
      </c>
      <c r="AE196">
        <v>1</v>
      </c>
      <c r="AI196">
        <v>12</v>
      </c>
      <c r="AJ196">
        <v>11</v>
      </c>
      <c r="AK196">
        <v>7</v>
      </c>
      <c r="AL196">
        <v>15</v>
      </c>
      <c r="AM196">
        <v>12</v>
      </c>
    </row>
    <row r="197" spans="1:40" x14ac:dyDescent="0.2">
      <c r="A197">
        <v>1677</v>
      </c>
      <c r="B197">
        <v>111298</v>
      </c>
      <c r="C197" s="1">
        <v>45119</v>
      </c>
      <c r="D197" s="1">
        <v>35796</v>
      </c>
      <c r="E197">
        <v>25.53</v>
      </c>
      <c r="F197">
        <v>4</v>
      </c>
      <c r="G197">
        <v>1</v>
      </c>
      <c r="H197">
        <v>3</v>
      </c>
      <c r="I197">
        <v>3</v>
      </c>
      <c r="J197">
        <v>5</v>
      </c>
      <c r="K197">
        <v>5</v>
      </c>
      <c r="L197">
        <v>0</v>
      </c>
      <c r="M197">
        <v>3.0625</v>
      </c>
      <c r="N197">
        <v>9</v>
      </c>
      <c r="O197">
        <v>6</v>
      </c>
      <c r="P197">
        <v>9</v>
      </c>
      <c r="Q197">
        <v>1</v>
      </c>
      <c r="R197">
        <v>15</v>
      </c>
      <c r="S197">
        <v>9</v>
      </c>
      <c r="T197">
        <v>5</v>
      </c>
      <c r="U197">
        <v>5</v>
      </c>
      <c r="V197">
        <v>2</v>
      </c>
      <c r="W197">
        <v>7</v>
      </c>
      <c r="X197">
        <v>5</v>
      </c>
      <c r="AC197">
        <v>16686</v>
      </c>
      <c r="AD197">
        <v>7</v>
      </c>
      <c r="AE197">
        <v>0</v>
      </c>
      <c r="AI197">
        <v>17</v>
      </c>
      <c r="AJ197">
        <v>12</v>
      </c>
      <c r="AK197">
        <v>17</v>
      </c>
      <c r="AL197">
        <v>16</v>
      </c>
      <c r="AM197">
        <v>17</v>
      </c>
    </row>
    <row r="198" spans="1:40" x14ac:dyDescent="0.2">
      <c r="A198">
        <v>1678</v>
      </c>
      <c r="B198">
        <v>132376</v>
      </c>
      <c r="C198" s="1">
        <v>45119</v>
      </c>
      <c r="D198" s="1">
        <v>27980</v>
      </c>
      <c r="E198">
        <v>46.92</v>
      </c>
      <c r="F198">
        <v>4</v>
      </c>
      <c r="G198">
        <v>0</v>
      </c>
      <c r="H198">
        <v>13</v>
      </c>
      <c r="I198">
        <v>7</v>
      </c>
      <c r="J198">
        <v>2</v>
      </c>
      <c r="K198">
        <v>9</v>
      </c>
      <c r="L198">
        <v>28</v>
      </c>
      <c r="M198">
        <v>2.5</v>
      </c>
      <c r="N198">
        <v>2</v>
      </c>
      <c r="O198">
        <v>3</v>
      </c>
      <c r="P198">
        <v>9</v>
      </c>
      <c r="Q198">
        <v>5</v>
      </c>
      <c r="R198">
        <v>12</v>
      </c>
      <c r="S198">
        <v>9</v>
      </c>
      <c r="T198">
        <v>4.8333333333333002</v>
      </c>
      <c r="U198">
        <v>1</v>
      </c>
      <c r="V198">
        <v>2</v>
      </c>
      <c r="W198">
        <v>4</v>
      </c>
      <c r="X198">
        <v>1</v>
      </c>
      <c r="AC198">
        <v>19525</v>
      </c>
      <c r="AD198">
        <v>4</v>
      </c>
      <c r="AE198">
        <v>1</v>
      </c>
      <c r="AI198">
        <v>17</v>
      </c>
      <c r="AJ198">
        <v>13</v>
      </c>
      <c r="AK198">
        <v>14</v>
      </c>
      <c r="AL198">
        <v>20</v>
      </c>
      <c r="AM198">
        <v>17</v>
      </c>
    </row>
    <row r="199" spans="1:40" x14ac:dyDescent="0.2">
      <c r="A199">
        <v>1681</v>
      </c>
      <c r="B199">
        <v>120472</v>
      </c>
      <c r="C199" s="1">
        <v>45120</v>
      </c>
      <c r="D199" s="1">
        <v>26436</v>
      </c>
      <c r="E199">
        <v>51.16</v>
      </c>
      <c r="F199">
        <v>3</v>
      </c>
      <c r="G199">
        <v>1</v>
      </c>
      <c r="H199">
        <v>1</v>
      </c>
      <c r="I199">
        <v>0</v>
      </c>
      <c r="J199">
        <v>4</v>
      </c>
      <c r="K199">
        <v>10</v>
      </c>
      <c r="L199">
        <v>12</v>
      </c>
      <c r="M199">
        <v>3.5</v>
      </c>
      <c r="N199">
        <v>12</v>
      </c>
      <c r="O199">
        <v>5</v>
      </c>
      <c r="P199">
        <v>9</v>
      </c>
      <c r="Q199">
        <v>0</v>
      </c>
      <c r="R199">
        <v>18</v>
      </c>
      <c r="S199">
        <v>12</v>
      </c>
      <c r="T199">
        <v>5.6666666666666599</v>
      </c>
      <c r="U199">
        <v>5</v>
      </c>
      <c r="V199">
        <v>1</v>
      </c>
      <c r="W199">
        <v>6</v>
      </c>
      <c r="X199">
        <v>5</v>
      </c>
      <c r="AB199">
        <v>2</v>
      </c>
      <c r="AC199">
        <v>19038</v>
      </c>
      <c r="AD199">
        <v>6</v>
      </c>
      <c r="AE199">
        <v>0</v>
      </c>
      <c r="AI199">
        <v>15</v>
      </c>
      <c r="AJ199">
        <v>15</v>
      </c>
      <c r="AK199">
        <v>19</v>
      </c>
      <c r="AL199">
        <v>16</v>
      </c>
      <c r="AM199">
        <v>17</v>
      </c>
    </row>
    <row r="200" spans="1:40" x14ac:dyDescent="0.2">
      <c r="A200">
        <v>1686</v>
      </c>
      <c r="B200">
        <v>100281</v>
      </c>
      <c r="C200" s="1">
        <v>45120</v>
      </c>
      <c r="D200" s="1">
        <v>29725</v>
      </c>
      <c r="E200">
        <v>42.15</v>
      </c>
      <c r="F200">
        <v>3</v>
      </c>
      <c r="G200">
        <v>0</v>
      </c>
      <c r="H200">
        <v>5</v>
      </c>
      <c r="I200">
        <v>0</v>
      </c>
      <c r="J200">
        <v>0</v>
      </c>
      <c r="K200">
        <v>2</v>
      </c>
      <c r="L200">
        <v>0</v>
      </c>
      <c r="M200">
        <v>3.75</v>
      </c>
      <c r="N200">
        <v>12</v>
      </c>
      <c r="O200">
        <v>6</v>
      </c>
      <c r="P200">
        <v>12</v>
      </c>
      <c r="Q200">
        <v>2</v>
      </c>
      <c r="R200">
        <v>16</v>
      </c>
      <c r="S200">
        <v>12</v>
      </c>
      <c r="T200">
        <v>4.3333333333333304</v>
      </c>
      <c r="U200">
        <v>2</v>
      </c>
      <c r="V200">
        <v>1</v>
      </c>
      <c r="W200">
        <v>6</v>
      </c>
      <c r="X200">
        <v>2</v>
      </c>
      <c r="AC200">
        <v>19143</v>
      </c>
      <c r="AD200">
        <v>6</v>
      </c>
      <c r="AE200">
        <v>0</v>
      </c>
      <c r="AI200">
        <v>16</v>
      </c>
      <c r="AJ200">
        <v>11</v>
      </c>
      <c r="AK200">
        <v>15</v>
      </c>
      <c r="AL200">
        <v>16</v>
      </c>
      <c r="AM200">
        <v>14</v>
      </c>
    </row>
    <row r="201" spans="1:40" x14ac:dyDescent="0.2">
      <c r="A201">
        <v>1692</v>
      </c>
      <c r="B201">
        <v>201162</v>
      </c>
      <c r="C201" s="1">
        <v>45121</v>
      </c>
      <c r="D201" s="1">
        <v>22841</v>
      </c>
      <c r="E201">
        <v>61</v>
      </c>
      <c r="F201">
        <v>4</v>
      </c>
      <c r="G201">
        <v>1</v>
      </c>
      <c r="H201">
        <v>0</v>
      </c>
      <c r="I201">
        <v>0</v>
      </c>
      <c r="J201">
        <v>2</v>
      </c>
      <c r="K201">
        <v>13</v>
      </c>
      <c r="L201">
        <v>27</v>
      </c>
      <c r="M201">
        <v>2.6875</v>
      </c>
      <c r="N201">
        <v>12</v>
      </c>
      <c r="O201">
        <v>2</v>
      </c>
      <c r="P201">
        <v>6</v>
      </c>
      <c r="Q201">
        <v>2</v>
      </c>
      <c r="R201">
        <v>11</v>
      </c>
      <c r="S201">
        <v>10</v>
      </c>
      <c r="T201">
        <v>2.75</v>
      </c>
      <c r="U201">
        <v>5</v>
      </c>
      <c r="V201">
        <v>1</v>
      </c>
      <c r="W201">
        <v>5</v>
      </c>
      <c r="X201">
        <v>5</v>
      </c>
      <c r="AB201">
        <v>1</v>
      </c>
      <c r="AC201">
        <v>16125</v>
      </c>
      <c r="AD201">
        <v>5</v>
      </c>
      <c r="AE201">
        <v>1</v>
      </c>
      <c r="AI201">
        <v>18</v>
      </c>
      <c r="AJ201">
        <v>11</v>
      </c>
      <c r="AK201">
        <v>14</v>
      </c>
      <c r="AL201">
        <v>17</v>
      </c>
      <c r="AM201">
        <v>15</v>
      </c>
      <c r="AN201">
        <v>0</v>
      </c>
    </row>
    <row r="202" spans="1:40" x14ac:dyDescent="0.2">
      <c r="A202">
        <v>1706</v>
      </c>
      <c r="B202">
        <v>120560</v>
      </c>
      <c r="C202" s="1">
        <v>45122</v>
      </c>
      <c r="D202" s="1">
        <v>22275</v>
      </c>
      <c r="E202">
        <v>62.55</v>
      </c>
      <c r="F202">
        <v>4</v>
      </c>
      <c r="G202">
        <v>1</v>
      </c>
      <c r="H202">
        <v>3</v>
      </c>
      <c r="I202">
        <v>0</v>
      </c>
      <c r="J202">
        <v>0</v>
      </c>
      <c r="K202">
        <v>8</v>
      </c>
      <c r="L202">
        <v>28</v>
      </c>
      <c r="M202">
        <v>3.375</v>
      </c>
      <c r="N202">
        <v>10</v>
      </c>
      <c r="O202">
        <v>8</v>
      </c>
      <c r="P202">
        <v>7</v>
      </c>
      <c r="Q202">
        <v>7</v>
      </c>
      <c r="R202">
        <v>13</v>
      </c>
      <c r="S202">
        <v>9</v>
      </c>
      <c r="T202">
        <v>6.8333333333333304</v>
      </c>
      <c r="U202">
        <v>4</v>
      </c>
      <c r="V202">
        <v>2</v>
      </c>
      <c r="W202">
        <v>7</v>
      </c>
      <c r="X202">
        <v>4</v>
      </c>
      <c r="AB202">
        <v>1</v>
      </c>
      <c r="AC202">
        <v>63042</v>
      </c>
      <c r="AD202">
        <v>7</v>
      </c>
      <c r="AE202">
        <v>0</v>
      </c>
      <c r="AI202">
        <v>16</v>
      </c>
      <c r="AJ202">
        <v>12</v>
      </c>
      <c r="AK202">
        <v>16</v>
      </c>
      <c r="AL202">
        <v>15</v>
      </c>
      <c r="AM202">
        <v>16</v>
      </c>
    </row>
    <row r="203" spans="1:40" x14ac:dyDescent="0.2">
      <c r="A203">
        <v>1711</v>
      </c>
      <c r="B203">
        <v>51078</v>
      </c>
      <c r="C203" s="1">
        <v>45122</v>
      </c>
      <c r="D203" s="1">
        <v>28708</v>
      </c>
      <c r="E203">
        <v>44.94</v>
      </c>
      <c r="F203">
        <v>5</v>
      </c>
      <c r="G203">
        <v>1</v>
      </c>
      <c r="H203">
        <v>13</v>
      </c>
      <c r="I203">
        <v>26</v>
      </c>
      <c r="J203">
        <v>6</v>
      </c>
      <c r="K203">
        <v>16</v>
      </c>
      <c r="L203">
        <v>0</v>
      </c>
      <c r="M203">
        <v>3.375</v>
      </c>
      <c r="N203">
        <v>10</v>
      </c>
      <c r="O203">
        <v>1</v>
      </c>
      <c r="P203">
        <v>11</v>
      </c>
      <c r="Q203">
        <v>6</v>
      </c>
      <c r="R203">
        <v>16</v>
      </c>
      <c r="S203">
        <v>10</v>
      </c>
      <c r="T203">
        <v>2.5833333333333299</v>
      </c>
      <c r="U203">
        <v>1</v>
      </c>
      <c r="V203">
        <v>3</v>
      </c>
      <c r="W203">
        <v>3</v>
      </c>
      <c r="X203">
        <v>1</v>
      </c>
      <c r="AB203">
        <v>3</v>
      </c>
      <c r="AC203">
        <v>19148</v>
      </c>
      <c r="AD203">
        <v>3</v>
      </c>
      <c r="AE203">
        <v>0</v>
      </c>
      <c r="AI203">
        <v>12</v>
      </c>
      <c r="AJ203">
        <v>14</v>
      </c>
      <c r="AK203">
        <v>10</v>
      </c>
      <c r="AL203">
        <v>13</v>
      </c>
      <c r="AM203">
        <v>20</v>
      </c>
    </row>
    <row r="204" spans="1:40" x14ac:dyDescent="0.2">
      <c r="A204">
        <v>1712</v>
      </c>
      <c r="B204">
        <v>101854</v>
      </c>
      <c r="C204" s="1">
        <v>45122</v>
      </c>
      <c r="D204" s="1">
        <v>20043</v>
      </c>
      <c r="E204">
        <v>68.66</v>
      </c>
      <c r="F204">
        <v>4</v>
      </c>
      <c r="G204">
        <v>0</v>
      </c>
      <c r="H204">
        <v>4</v>
      </c>
      <c r="I204">
        <v>4</v>
      </c>
      <c r="J204">
        <v>0</v>
      </c>
      <c r="K204">
        <v>2</v>
      </c>
      <c r="L204">
        <v>0</v>
      </c>
      <c r="M204">
        <v>2.6875</v>
      </c>
      <c r="N204">
        <v>6</v>
      </c>
      <c r="O204">
        <v>7</v>
      </c>
      <c r="P204">
        <v>6</v>
      </c>
      <c r="Q204">
        <v>8</v>
      </c>
      <c r="R204">
        <v>13</v>
      </c>
      <c r="S204">
        <v>3</v>
      </c>
      <c r="T204">
        <v>0.91666666666666596</v>
      </c>
      <c r="U204">
        <v>4</v>
      </c>
      <c r="V204">
        <v>4</v>
      </c>
      <c r="W204">
        <v>7</v>
      </c>
      <c r="X204">
        <v>4</v>
      </c>
      <c r="AB204">
        <v>1</v>
      </c>
      <c r="AC204">
        <v>19137</v>
      </c>
      <c r="AD204">
        <v>7</v>
      </c>
      <c r="AE204">
        <v>0</v>
      </c>
      <c r="AI204">
        <v>16</v>
      </c>
      <c r="AJ204">
        <v>13</v>
      </c>
      <c r="AK204">
        <v>20</v>
      </c>
      <c r="AL204">
        <v>14</v>
      </c>
      <c r="AM204">
        <v>16</v>
      </c>
      <c r="AN204">
        <v>0</v>
      </c>
    </row>
    <row r="205" spans="1:40" x14ac:dyDescent="0.2">
      <c r="A205">
        <v>1713</v>
      </c>
      <c r="B205">
        <v>110464</v>
      </c>
      <c r="C205" s="1">
        <v>45122</v>
      </c>
      <c r="D205" s="1">
        <v>23547</v>
      </c>
      <c r="E205">
        <v>59.07</v>
      </c>
      <c r="F205">
        <v>4</v>
      </c>
      <c r="G205">
        <v>1</v>
      </c>
      <c r="H205">
        <v>1</v>
      </c>
      <c r="I205">
        <v>0</v>
      </c>
      <c r="J205">
        <v>4</v>
      </c>
      <c r="K205">
        <v>6</v>
      </c>
      <c r="L205">
        <v>0</v>
      </c>
      <c r="M205">
        <v>2.625</v>
      </c>
      <c r="N205">
        <v>9</v>
      </c>
      <c r="O205">
        <v>3</v>
      </c>
      <c r="P205">
        <v>9</v>
      </c>
      <c r="Q205">
        <v>3</v>
      </c>
      <c r="R205">
        <v>11</v>
      </c>
      <c r="S205">
        <v>7</v>
      </c>
      <c r="T205">
        <v>4</v>
      </c>
      <c r="U205">
        <v>6</v>
      </c>
      <c r="V205">
        <v>0</v>
      </c>
      <c r="W205">
        <v>5</v>
      </c>
      <c r="X205">
        <v>6</v>
      </c>
      <c r="AB205">
        <v>2</v>
      </c>
      <c r="AC205">
        <v>19149</v>
      </c>
      <c r="AD205">
        <v>5</v>
      </c>
      <c r="AE205">
        <v>0</v>
      </c>
      <c r="AI205">
        <v>13</v>
      </c>
      <c r="AJ205">
        <v>11</v>
      </c>
      <c r="AK205">
        <v>14</v>
      </c>
      <c r="AL205">
        <v>19</v>
      </c>
      <c r="AM205">
        <v>16</v>
      </c>
    </row>
    <row r="206" spans="1:40" x14ac:dyDescent="0.2">
      <c r="A206">
        <v>1715</v>
      </c>
      <c r="B206">
        <v>202374</v>
      </c>
      <c r="C206" s="1">
        <v>45122</v>
      </c>
      <c r="D206" s="1">
        <v>27267</v>
      </c>
      <c r="E206">
        <v>48.89</v>
      </c>
      <c r="F206">
        <v>4</v>
      </c>
      <c r="G206">
        <v>1</v>
      </c>
      <c r="H206">
        <v>3</v>
      </c>
      <c r="I206">
        <v>4</v>
      </c>
      <c r="J206">
        <v>0</v>
      </c>
      <c r="K206">
        <v>10</v>
      </c>
      <c r="L206">
        <v>25</v>
      </c>
      <c r="M206">
        <v>3.75</v>
      </c>
      <c r="N206">
        <v>12</v>
      </c>
      <c r="O206">
        <v>11</v>
      </c>
      <c r="P206">
        <v>10</v>
      </c>
      <c r="Q206">
        <v>1</v>
      </c>
      <c r="R206">
        <v>18</v>
      </c>
      <c r="S206">
        <v>8</v>
      </c>
      <c r="T206">
        <v>3.3333333333333299</v>
      </c>
      <c r="U206">
        <v>5</v>
      </c>
      <c r="V206">
        <v>4</v>
      </c>
      <c r="W206">
        <v>4</v>
      </c>
      <c r="X206">
        <v>5</v>
      </c>
      <c r="AB206">
        <v>4</v>
      </c>
      <c r="AC206">
        <v>17329</v>
      </c>
      <c r="AD206">
        <v>4</v>
      </c>
      <c r="AE206">
        <v>0</v>
      </c>
      <c r="AI206">
        <v>19</v>
      </c>
      <c r="AJ206">
        <v>12</v>
      </c>
      <c r="AK206">
        <v>12</v>
      </c>
      <c r="AL206">
        <v>21</v>
      </c>
      <c r="AM206">
        <v>21</v>
      </c>
    </row>
    <row r="207" spans="1:40" x14ac:dyDescent="0.2">
      <c r="A207">
        <v>1721</v>
      </c>
      <c r="B207">
        <v>12396</v>
      </c>
      <c r="C207" s="1">
        <v>45123</v>
      </c>
      <c r="D207" s="1">
        <v>35292</v>
      </c>
      <c r="E207">
        <v>26.92</v>
      </c>
      <c r="F207">
        <v>4</v>
      </c>
      <c r="G207">
        <v>3</v>
      </c>
      <c r="H207">
        <v>5</v>
      </c>
      <c r="I207">
        <v>5</v>
      </c>
      <c r="J207">
        <v>5</v>
      </c>
      <c r="K207">
        <v>14</v>
      </c>
      <c r="L207">
        <v>28</v>
      </c>
      <c r="M207">
        <v>2.375</v>
      </c>
      <c r="N207">
        <v>0</v>
      </c>
      <c r="O207">
        <v>0</v>
      </c>
      <c r="P207">
        <v>7</v>
      </c>
      <c r="Q207">
        <v>7</v>
      </c>
      <c r="R207">
        <v>18</v>
      </c>
      <c r="S207">
        <v>6</v>
      </c>
      <c r="T207">
        <v>5</v>
      </c>
      <c r="U207">
        <v>6</v>
      </c>
      <c r="V207">
        <v>0</v>
      </c>
      <c r="W207">
        <v>4</v>
      </c>
      <c r="X207">
        <v>6</v>
      </c>
      <c r="AB207">
        <v>0</v>
      </c>
      <c r="AC207">
        <v>70810</v>
      </c>
      <c r="AD207">
        <v>4</v>
      </c>
      <c r="AE207">
        <v>0</v>
      </c>
      <c r="AI207">
        <v>15</v>
      </c>
      <c r="AJ207">
        <v>10</v>
      </c>
      <c r="AK207">
        <v>11</v>
      </c>
      <c r="AL207">
        <v>14</v>
      </c>
      <c r="AM207">
        <v>15</v>
      </c>
    </row>
    <row r="208" spans="1:40" x14ac:dyDescent="0.2">
      <c r="A208">
        <v>1728</v>
      </c>
      <c r="B208">
        <v>112654</v>
      </c>
      <c r="C208" s="1">
        <v>45123</v>
      </c>
      <c r="D208" s="1">
        <v>19789</v>
      </c>
      <c r="E208">
        <v>69.36</v>
      </c>
      <c r="F208">
        <v>4</v>
      </c>
      <c r="G208">
        <v>1</v>
      </c>
      <c r="H208">
        <v>2</v>
      </c>
      <c r="I208">
        <v>0</v>
      </c>
      <c r="J208">
        <v>0</v>
      </c>
      <c r="K208">
        <v>1</v>
      </c>
      <c r="L208">
        <v>28</v>
      </c>
      <c r="M208">
        <v>3.25</v>
      </c>
      <c r="N208">
        <v>11</v>
      </c>
      <c r="O208">
        <v>2</v>
      </c>
      <c r="P208">
        <v>11</v>
      </c>
      <c r="Q208">
        <v>4</v>
      </c>
      <c r="R208">
        <v>14</v>
      </c>
      <c r="S208">
        <v>10</v>
      </c>
      <c r="T208">
        <v>5</v>
      </c>
      <c r="U208">
        <v>6</v>
      </c>
      <c r="V208">
        <v>2</v>
      </c>
      <c r="W208">
        <v>7</v>
      </c>
      <c r="X208">
        <v>6</v>
      </c>
      <c r="AC208">
        <v>19147</v>
      </c>
      <c r="AD208">
        <v>7</v>
      </c>
      <c r="AE208">
        <v>0</v>
      </c>
      <c r="AI208">
        <v>13</v>
      </c>
      <c r="AJ208">
        <v>13</v>
      </c>
      <c r="AK208">
        <v>13</v>
      </c>
      <c r="AL208">
        <v>12</v>
      </c>
      <c r="AM208">
        <v>14</v>
      </c>
    </row>
    <row r="209" spans="1:40" x14ac:dyDescent="0.2">
      <c r="A209">
        <v>1729</v>
      </c>
      <c r="B209">
        <v>11991</v>
      </c>
      <c r="C209" s="1">
        <v>45123</v>
      </c>
      <c r="D209" s="1">
        <v>33390</v>
      </c>
      <c r="E209">
        <v>32.119999999999997</v>
      </c>
      <c r="F209">
        <v>3</v>
      </c>
      <c r="G209">
        <v>1</v>
      </c>
      <c r="H209">
        <v>1</v>
      </c>
      <c r="I209">
        <v>0</v>
      </c>
      <c r="J209">
        <v>1</v>
      </c>
      <c r="K209">
        <v>1</v>
      </c>
      <c r="L209">
        <v>0</v>
      </c>
      <c r="M209">
        <v>2.8125</v>
      </c>
      <c r="N209">
        <v>9</v>
      </c>
      <c r="O209">
        <v>5</v>
      </c>
      <c r="P209">
        <v>6</v>
      </c>
      <c r="Q209">
        <v>4</v>
      </c>
      <c r="R209">
        <v>15</v>
      </c>
      <c r="S209">
        <v>6</v>
      </c>
      <c r="T209">
        <v>2.6666666666666599</v>
      </c>
      <c r="U209">
        <v>2</v>
      </c>
      <c r="V209">
        <v>0</v>
      </c>
      <c r="W209">
        <v>10</v>
      </c>
      <c r="X209">
        <v>2</v>
      </c>
      <c r="AD209">
        <v>10</v>
      </c>
      <c r="AE209">
        <v>0</v>
      </c>
      <c r="AI209">
        <v>18</v>
      </c>
      <c r="AJ209">
        <v>13</v>
      </c>
      <c r="AK209">
        <v>16</v>
      </c>
      <c r="AL209">
        <v>16</v>
      </c>
      <c r="AM209">
        <v>18</v>
      </c>
    </row>
    <row r="210" spans="1:40" x14ac:dyDescent="0.2">
      <c r="A210">
        <v>1733</v>
      </c>
      <c r="B210">
        <v>181589</v>
      </c>
      <c r="C210" s="1">
        <v>45123</v>
      </c>
      <c r="D210" s="1">
        <v>32585</v>
      </c>
      <c r="E210">
        <v>34.33</v>
      </c>
      <c r="F210">
        <v>5</v>
      </c>
      <c r="G210">
        <v>0</v>
      </c>
      <c r="H210">
        <v>0</v>
      </c>
      <c r="I210">
        <v>0</v>
      </c>
      <c r="J210">
        <v>3</v>
      </c>
      <c r="K210">
        <v>12</v>
      </c>
      <c r="L210">
        <v>0</v>
      </c>
      <c r="M210">
        <v>2.625</v>
      </c>
      <c r="N210">
        <v>6</v>
      </c>
      <c r="O210">
        <v>6</v>
      </c>
      <c r="P210">
        <v>6</v>
      </c>
      <c r="Q210">
        <v>6</v>
      </c>
      <c r="R210">
        <v>12</v>
      </c>
      <c r="S210">
        <v>6</v>
      </c>
      <c r="T210">
        <v>2.8333333333333002</v>
      </c>
      <c r="U210">
        <v>1</v>
      </c>
      <c r="V210">
        <v>0</v>
      </c>
      <c r="W210">
        <v>6</v>
      </c>
      <c r="X210">
        <v>1</v>
      </c>
      <c r="AB210">
        <v>0</v>
      </c>
      <c r="AC210">
        <v>19124</v>
      </c>
      <c r="AD210">
        <v>6</v>
      </c>
      <c r="AE210">
        <v>0</v>
      </c>
      <c r="AI210">
        <v>11</v>
      </c>
      <c r="AJ210">
        <v>12</v>
      </c>
      <c r="AK210">
        <v>14</v>
      </c>
      <c r="AL210">
        <v>18</v>
      </c>
      <c r="AM210">
        <v>17</v>
      </c>
    </row>
    <row r="211" spans="1:40" x14ac:dyDescent="0.2">
      <c r="A211">
        <v>1736</v>
      </c>
      <c r="B211">
        <v>130492</v>
      </c>
      <c r="C211" s="1">
        <v>45123</v>
      </c>
      <c r="D211" s="1">
        <v>33724</v>
      </c>
      <c r="E211">
        <v>31.21</v>
      </c>
      <c r="F211">
        <v>3</v>
      </c>
      <c r="G211">
        <v>1</v>
      </c>
      <c r="H211">
        <v>1</v>
      </c>
      <c r="I211">
        <v>0</v>
      </c>
      <c r="J211">
        <v>2</v>
      </c>
      <c r="K211">
        <v>12</v>
      </c>
      <c r="L211">
        <v>0</v>
      </c>
      <c r="M211">
        <v>2.625</v>
      </c>
      <c r="N211">
        <v>6</v>
      </c>
      <c r="O211">
        <v>6</v>
      </c>
      <c r="P211">
        <v>6</v>
      </c>
      <c r="Q211">
        <v>6</v>
      </c>
      <c r="R211">
        <v>12</v>
      </c>
      <c r="S211">
        <v>6</v>
      </c>
      <c r="T211">
        <v>3.3333333333333002</v>
      </c>
      <c r="U211">
        <v>5</v>
      </c>
      <c r="V211">
        <v>1</v>
      </c>
      <c r="W211">
        <v>5</v>
      </c>
      <c r="X211">
        <v>5</v>
      </c>
      <c r="AB211">
        <v>2</v>
      </c>
      <c r="AC211">
        <v>8002</v>
      </c>
      <c r="AD211">
        <v>5</v>
      </c>
      <c r="AE211">
        <v>0</v>
      </c>
      <c r="AI211">
        <v>16</v>
      </c>
      <c r="AJ211">
        <v>10</v>
      </c>
      <c r="AK211">
        <v>12</v>
      </c>
      <c r="AL211">
        <v>14</v>
      </c>
      <c r="AM211">
        <v>17</v>
      </c>
    </row>
    <row r="212" spans="1:40" x14ac:dyDescent="0.2">
      <c r="A212">
        <v>1742</v>
      </c>
      <c r="B212">
        <v>200884</v>
      </c>
      <c r="C212" s="1">
        <v>45124</v>
      </c>
      <c r="D212" s="1">
        <v>30707</v>
      </c>
      <c r="E212">
        <v>39.47</v>
      </c>
      <c r="F212">
        <v>3</v>
      </c>
      <c r="G212">
        <v>0</v>
      </c>
      <c r="H212">
        <v>0</v>
      </c>
      <c r="I212">
        <v>0</v>
      </c>
      <c r="J212">
        <v>2</v>
      </c>
      <c r="K212">
        <v>12</v>
      </c>
      <c r="L212">
        <v>0</v>
      </c>
      <c r="M212">
        <v>3.5625</v>
      </c>
      <c r="N212">
        <v>10</v>
      </c>
      <c r="O212">
        <v>6</v>
      </c>
      <c r="P212">
        <v>12</v>
      </c>
      <c r="Q212">
        <v>2</v>
      </c>
      <c r="R212">
        <v>15</v>
      </c>
      <c r="S212">
        <v>12</v>
      </c>
      <c r="T212">
        <v>4.6666666666666599</v>
      </c>
      <c r="U212">
        <v>5</v>
      </c>
      <c r="V212">
        <v>1</v>
      </c>
      <c r="W212">
        <v>2</v>
      </c>
      <c r="X212">
        <v>5</v>
      </c>
      <c r="AB212">
        <v>0</v>
      </c>
      <c r="AC212">
        <v>19131</v>
      </c>
      <c r="AD212">
        <v>2</v>
      </c>
      <c r="AE212">
        <v>1</v>
      </c>
      <c r="AI212">
        <v>14</v>
      </c>
      <c r="AJ212">
        <v>14</v>
      </c>
      <c r="AK212">
        <v>15</v>
      </c>
      <c r="AL212">
        <v>20</v>
      </c>
      <c r="AM212">
        <v>18</v>
      </c>
    </row>
    <row r="213" spans="1:40" x14ac:dyDescent="0.2">
      <c r="A213">
        <v>1746</v>
      </c>
      <c r="B213">
        <v>60355</v>
      </c>
      <c r="C213" s="1">
        <v>45124</v>
      </c>
      <c r="D213" s="1">
        <v>20256</v>
      </c>
      <c r="E213">
        <v>68.09</v>
      </c>
      <c r="F213">
        <v>4</v>
      </c>
      <c r="G213">
        <v>1</v>
      </c>
      <c r="H213">
        <v>0</v>
      </c>
      <c r="I213">
        <v>0</v>
      </c>
      <c r="J213">
        <v>0</v>
      </c>
      <c r="K213">
        <v>3</v>
      </c>
      <c r="L213">
        <v>28</v>
      </c>
      <c r="M213">
        <v>3</v>
      </c>
      <c r="N213">
        <v>12</v>
      </c>
      <c r="O213">
        <v>2</v>
      </c>
      <c r="P213">
        <v>10</v>
      </c>
      <c r="Q213">
        <v>2</v>
      </c>
      <c r="R213">
        <v>13</v>
      </c>
      <c r="S213">
        <v>9</v>
      </c>
      <c r="T213">
        <v>4.5833333333333304</v>
      </c>
      <c r="U213">
        <v>4</v>
      </c>
      <c r="V213">
        <v>4</v>
      </c>
      <c r="W213">
        <v>8</v>
      </c>
      <c r="X213">
        <v>4</v>
      </c>
      <c r="AB213">
        <v>1</v>
      </c>
      <c r="AC213">
        <v>19468</v>
      </c>
      <c r="AD213">
        <v>8</v>
      </c>
      <c r="AE213">
        <v>0</v>
      </c>
      <c r="AI213">
        <v>16</v>
      </c>
      <c r="AJ213">
        <v>13</v>
      </c>
      <c r="AK213">
        <v>15</v>
      </c>
      <c r="AL213">
        <v>17</v>
      </c>
      <c r="AM213">
        <v>21</v>
      </c>
      <c r="AN213">
        <v>0</v>
      </c>
    </row>
    <row r="214" spans="1:40" x14ac:dyDescent="0.2">
      <c r="A214">
        <v>1747</v>
      </c>
      <c r="B214">
        <v>122367</v>
      </c>
      <c r="C214" s="1">
        <v>45124</v>
      </c>
      <c r="D214" s="1">
        <v>24690</v>
      </c>
      <c r="E214">
        <v>55.95</v>
      </c>
      <c r="F214">
        <v>3</v>
      </c>
      <c r="G214">
        <v>0</v>
      </c>
      <c r="H214">
        <v>0</v>
      </c>
      <c r="I214">
        <v>0</v>
      </c>
      <c r="J214">
        <v>1</v>
      </c>
      <c r="K214">
        <v>13</v>
      </c>
      <c r="L214">
        <v>0</v>
      </c>
      <c r="M214">
        <v>3.0625</v>
      </c>
      <c r="N214">
        <v>12</v>
      </c>
      <c r="O214">
        <v>4</v>
      </c>
      <c r="P214">
        <v>0</v>
      </c>
      <c r="Q214">
        <v>4</v>
      </c>
      <c r="R214">
        <v>18</v>
      </c>
      <c r="S214">
        <v>11</v>
      </c>
      <c r="T214">
        <v>4.0833333333333002</v>
      </c>
      <c r="U214">
        <v>3</v>
      </c>
      <c r="V214">
        <v>1</v>
      </c>
      <c r="W214">
        <v>6</v>
      </c>
      <c r="X214">
        <v>3</v>
      </c>
      <c r="AB214">
        <v>2</v>
      </c>
      <c r="AC214">
        <v>19104</v>
      </c>
      <c r="AD214">
        <v>6</v>
      </c>
      <c r="AE214">
        <v>1</v>
      </c>
      <c r="AI214">
        <v>6</v>
      </c>
      <c r="AJ214">
        <v>6</v>
      </c>
      <c r="AK214">
        <v>6</v>
      </c>
      <c r="AL214">
        <v>6</v>
      </c>
      <c r="AM214">
        <v>6</v>
      </c>
    </row>
    <row r="215" spans="1:40" x14ac:dyDescent="0.2">
      <c r="A215">
        <v>1752</v>
      </c>
      <c r="B215">
        <v>30200</v>
      </c>
      <c r="C215" s="1">
        <v>45124</v>
      </c>
      <c r="D215" s="1">
        <v>36641</v>
      </c>
      <c r="E215">
        <v>23.23</v>
      </c>
      <c r="F215">
        <v>4</v>
      </c>
      <c r="G215">
        <v>1</v>
      </c>
      <c r="H215">
        <v>7</v>
      </c>
      <c r="I215">
        <v>5</v>
      </c>
      <c r="J215">
        <v>1</v>
      </c>
      <c r="K215">
        <v>12</v>
      </c>
      <c r="L215">
        <v>27</v>
      </c>
      <c r="M215">
        <v>2.8125</v>
      </c>
      <c r="N215">
        <v>10</v>
      </c>
      <c r="O215">
        <v>3</v>
      </c>
      <c r="P215">
        <v>12</v>
      </c>
      <c r="Q215">
        <v>0</v>
      </c>
      <c r="R215">
        <v>9</v>
      </c>
      <c r="S215">
        <v>11</v>
      </c>
      <c r="T215">
        <v>3.5833333333333299</v>
      </c>
      <c r="U215">
        <v>5</v>
      </c>
      <c r="V215">
        <v>2</v>
      </c>
      <c r="W215">
        <v>6</v>
      </c>
      <c r="X215">
        <v>5</v>
      </c>
      <c r="AC215">
        <v>16127</v>
      </c>
      <c r="AD215">
        <v>6</v>
      </c>
      <c r="AE215">
        <v>0</v>
      </c>
      <c r="AI215">
        <v>16</v>
      </c>
      <c r="AJ215">
        <v>22</v>
      </c>
      <c r="AK215">
        <v>15</v>
      </c>
      <c r="AL215">
        <v>22</v>
      </c>
      <c r="AM215">
        <v>19</v>
      </c>
    </row>
    <row r="216" spans="1:40" x14ac:dyDescent="0.2">
      <c r="A216">
        <v>1756</v>
      </c>
      <c r="B216">
        <v>161381</v>
      </c>
      <c r="C216" s="1">
        <v>45125</v>
      </c>
      <c r="D216" s="1">
        <v>29654</v>
      </c>
      <c r="E216">
        <v>42.36</v>
      </c>
      <c r="F216">
        <v>5</v>
      </c>
      <c r="G216">
        <v>1</v>
      </c>
      <c r="H216">
        <v>3</v>
      </c>
      <c r="I216">
        <v>0</v>
      </c>
      <c r="J216">
        <v>1</v>
      </c>
      <c r="K216">
        <v>9</v>
      </c>
      <c r="L216">
        <v>23</v>
      </c>
      <c r="M216">
        <v>3.375</v>
      </c>
      <c r="N216">
        <v>12</v>
      </c>
      <c r="O216">
        <v>7</v>
      </c>
      <c r="P216">
        <v>9</v>
      </c>
      <c r="Q216">
        <v>0</v>
      </c>
      <c r="R216">
        <v>15</v>
      </c>
      <c r="S216">
        <v>11</v>
      </c>
      <c r="T216">
        <v>2.1666666666666599</v>
      </c>
      <c r="U216">
        <v>6</v>
      </c>
      <c r="V216">
        <v>2</v>
      </c>
      <c r="W216">
        <v>5</v>
      </c>
      <c r="X216">
        <v>6</v>
      </c>
      <c r="AB216">
        <v>2</v>
      </c>
      <c r="AC216">
        <v>19144</v>
      </c>
      <c r="AD216">
        <v>5</v>
      </c>
      <c r="AE216">
        <v>0</v>
      </c>
      <c r="AI216">
        <v>22</v>
      </c>
      <c r="AJ216">
        <v>17</v>
      </c>
      <c r="AK216">
        <v>19</v>
      </c>
      <c r="AL216">
        <v>19</v>
      </c>
      <c r="AM216">
        <v>17</v>
      </c>
    </row>
    <row r="217" spans="1:40" x14ac:dyDescent="0.2">
      <c r="A217">
        <v>1757</v>
      </c>
      <c r="B217">
        <v>101961</v>
      </c>
      <c r="C217" s="1">
        <v>45125</v>
      </c>
      <c r="D217" s="1">
        <v>22626</v>
      </c>
      <c r="E217">
        <v>61.6</v>
      </c>
      <c r="F217">
        <v>3</v>
      </c>
      <c r="G217">
        <v>0</v>
      </c>
      <c r="H217">
        <v>0</v>
      </c>
      <c r="I217">
        <v>0</v>
      </c>
      <c r="J217">
        <v>2</v>
      </c>
      <c r="K217">
        <v>6</v>
      </c>
      <c r="L217">
        <v>0</v>
      </c>
      <c r="M217">
        <v>1.875</v>
      </c>
      <c r="N217">
        <v>12</v>
      </c>
      <c r="O217">
        <v>0</v>
      </c>
      <c r="P217">
        <v>0</v>
      </c>
      <c r="Q217">
        <v>0</v>
      </c>
      <c r="R217">
        <v>18</v>
      </c>
      <c r="S217">
        <v>0</v>
      </c>
      <c r="T217">
        <v>5.5833333333333002</v>
      </c>
      <c r="U217">
        <v>1</v>
      </c>
      <c r="V217">
        <v>3</v>
      </c>
      <c r="W217">
        <v>5</v>
      </c>
      <c r="X217">
        <v>1</v>
      </c>
      <c r="AB217">
        <v>1</v>
      </c>
      <c r="AC217">
        <v>19121</v>
      </c>
      <c r="AD217">
        <v>5</v>
      </c>
      <c r="AE217">
        <v>0</v>
      </c>
      <c r="AI217">
        <v>16</v>
      </c>
      <c r="AJ217">
        <v>10</v>
      </c>
      <c r="AK217">
        <v>14</v>
      </c>
      <c r="AL217">
        <v>11</v>
      </c>
      <c r="AM217">
        <v>15</v>
      </c>
    </row>
    <row r="218" spans="1:40" x14ac:dyDescent="0.2">
      <c r="A218">
        <v>1761</v>
      </c>
      <c r="B218">
        <v>11396</v>
      </c>
      <c r="C218" s="1">
        <v>45125</v>
      </c>
      <c r="D218" s="1">
        <v>35383</v>
      </c>
      <c r="E218">
        <v>26.67</v>
      </c>
      <c r="F218">
        <v>4</v>
      </c>
      <c r="G218">
        <v>1</v>
      </c>
      <c r="H218">
        <v>2</v>
      </c>
      <c r="I218">
        <v>0</v>
      </c>
      <c r="J218">
        <v>0</v>
      </c>
      <c r="K218">
        <v>7</v>
      </c>
      <c r="L218">
        <v>0</v>
      </c>
      <c r="M218">
        <v>3.1875</v>
      </c>
      <c r="N218">
        <v>9</v>
      </c>
      <c r="O218">
        <v>3</v>
      </c>
      <c r="P218">
        <v>11</v>
      </c>
      <c r="Q218">
        <v>3</v>
      </c>
      <c r="R218">
        <v>16</v>
      </c>
      <c r="S218">
        <v>9</v>
      </c>
      <c r="T218">
        <v>4.4166666666666599</v>
      </c>
      <c r="U218">
        <v>5</v>
      </c>
      <c r="V218">
        <v>4</v>
      </c>
      <c r="W218">
        <v>5</v>
      </c>
      <c r="X218">
        <v>5</v>
      </c>
      <c r="AB218">
        <v>0</v>
      </c>
      <c r="AC218">
        <v>17241</v>
      </c>
      <c r="AD218">
        <v>5</v>
      </c>
      <c r="AE218">
        <v>0</v>
      </c>
      <c r="AI218">
        <v>16</v>
      </c>
      <c r="AJ218">
        <v>10</v>
      </c>
      <c r="AK218">
        <v>13</v>
      </c>
      <c r="AL218">
        <v>15</v>
      </c>
      <c r="AM218">
        <v>14</v>
      </c>
    </row>
    <row r="219" spans="1:40" x14ac:dyDescent="0.2">
      <c r="A219">
        <v>1766</v>
      </c>
      <c r="B219">
        <v>52296</v>
      </c>
      <c r="C219" s="1">
        <v>45125</v>
      </c>
      <c r="D219" s="1">
        <v>35345</v>
      </c>
      <c r="E219">
        <v>26.78</v>
      </c>
      <c r="F219">
        <v>5</v>
      </c>
      <c r="G219">
        <v>1</v>
      </c>
      <c r="H219">
        <v>1</v>
      </c>
      <c r="I219">
        <v>0</v>
      </c>
      <c r="J219">
        <v>1</v>
      </c>
      <c r="K219">
        <v>6</v>
      </c>
      <c r="L219">
        <v>0</v>
      </c>
      <c r="M219">
        <v>3.875</v>
      </c>
      <c r="N219">
        <v>10</v>
      </c>
      <c r="O219">
        <v>11</v>
      </c>
      <c r="P219">
        <v>10</v>
      </c>
      <c r="Q219">
        <v>4</v>
      </c>
      <c r="R219">
        <v>15</v>
      </c>
      <c r="S219">
        <v>12</v>
      </c>
      <c r="T219">
        <v>5.9166666666666599</v>
      </c>
      <c r="U219">
        <v>4</v>
      </c>
      <c r="V219">
        <v>1</v>
      </c>
      <c r="W219">
        <v>4</v>
      </c>
      <c r="X219">
        <v>4</v>
      </c>
      <c r="AC219">
        <v>13350</v>
      </c>
      <c r="AD219">
        <v>4</v>
      </c>
      <c r="AE219">
        <v>0</v>
      </c>
      <c r="AI219">
        <v>14</v>
      </c>
      <c r="AJ219">
        <v>12</v>
      </c>
      <c r="AK219">
        <v>8</v>
      </c>
      <c r="AL219">
        <v>18</v>
      </c>
      <c r="AM219">
        <v>12</v>
      </c>
    </row>
    <row r="220" spans="1:40" x14ac:dyDescent="0.2">
      <c r="A220">
        <v>1769</v>
      </c>
      <c r="B220">
        <v>30889</v>
      </c>
      <c r="C220" s="1">
        <v>45125</v>
      </c>
      <c r="D220" s="1">
        <v>32535</v>
      </c>
      <c r="E220">
        <v>34.47</v>
      </c>
      <c r="F220">
        <v>3</v>
      </c>
      <c r="G220">
        <v>1</v>
      </c>
      <c r="H220">
        <v>2</v>
      </c>
      <c r="I220">
        <v>5</v>
      </c>
      <c r="J220">
        <v>2</v>
      </c>
      <c r="K220">
        <v>9</v>
      </c>
      <c r="L220">
        <v>0</v>
      </c>
      <c r="M220">
        <v>3.125</v>
      </c>
      <c r="N220">
        <v>9</v>
      </c>
      <c r="O220">
        <v>1</v>
      </c>
      <c r="P220">
        <v>9</v>
      </c>
      <c r="Q220">
        <v>7</v>
      </c>
      <c r="R220">
        <v>16</v>
      </c>
      <c r="S220">
        <v>8</v>
      </c>
      <c r="T220">
        <v>2.5833333333333299</v>
      </c>
      <c r="U220">
        <v>5</v>
      </c>
      <c r="V220">
        <v>1</v>
      </c>
      <c r="W220">
        <v>3</v>
      </c>
      <c r="X220">
        <v>5</v>
      </c>
      <c r="AB220">
        <v>0</v>
      </c>
      <c r="AD220">
        <v>3</v>
      </c>
      <c r="AE220">
        <v>0</v>
      </c>
      <c r="AI220">
        <v>9</v>
      </c>
      <c r="AJ220">
        <v>13</v>
      </c>
      <c r="AK220">
        <v>12</v>
      </c>
      <c r="AL220">
        <v>19</v>
      </c>
      <c r="AM220">
        <v>19</v>
      </c>
    </row>
    <row r="221" spans="1:40" x14ac:dyDescent="0.2">
      <c r="A221">
        <v>1770</v>
      </c>
      <c r="B221">
        <v>50380</v>
      </c>
      <c r="C221" s="1">
        <v>45125</v>
      </c>
      <c r="D221" s="1">
        <v>29563</v>
      </c>
      <c r="E221">
        <v>42.61</v>
      </c>
      <c r="F221">
        <v>4</v>
      </c>
      <c r="G221">
        <v>1</v>
      </c>
      <c r="H221">
        <v>1</v>
      </c>
      <c r="I221">
        <v>0</v>
      </c>
      <c r="J221">
        <v>2</v>
      </c>
      <c r="K221">
        <v>11</v>
      </c>
      <c r="L221">
        <v>28</v>
      </c>
      <c r="M221">
        <v>3.6875</v>
      </c>
      <c r="N221">
        <v>11</v>
      </c>
      <c r="O221">
        <v>2</v>
      </c>
      <c r="P221">
        <v>12</v>
      </c>
      <c r="Q221">
        <v>5</v>
      </c>
      <c r="R221">
        <v>18</v>
      </c>
      <c r="S221">
        <v>11</v>
      </c>
      <c r="T221">
        <v>6.4166666666666599</v>
      </c>
      <c r="U221">
        <v>6</v>
      </c>
      <c r="V221">
        <v>0</v>
      </c>
      <c r="W221">
        <v>7</v>
      </c>
      <c r="X221">
        <v>6</v>
      </c>
      <c r="AB221">
        <v>0</v>
      </c>
      <c r="AC221">
        <v>17584</v>
      </c>
      <c r="AD221">
        <v>7</v>
      </c>
      <c r="AE221">
        <v>1</v>
      </c>
      <c r="AI221">
        <v>15</v>
      </c>
      <c r="AJ221">
        <v>13</v>
      </c>
      <c r="AK221">
        <v>17</v>
      </c>
      <c r="AL221">
        <v>17</v>
      </c>
      <c r="AM221">
        <v>17</v>
      </c>
    </row>
    <row r="222" spans="1:40" x14ac:dyDescent="0.2">
      <c r="A222">
        <v>1780</v>
      </c>
      <c r="B222">
        <v>22601</v>
      </c>
      <c r="C222" s="1">
        <v>45126</v>
      </c>
      <c r="D222" s="1">
        <v>37242</v>
      </c>
      <c r="E222">
        <v>21.59</v>
      </c>
      <c r="F222">
        <v>1</v>
      </c>
      <c r="G222">
        <v>1</v>
      </c>
      <c r="H222">
        <v>0</v>
      </c>
      <c r="I222">
        <v>0</v>
      </c>
      <c r="J222">
        <v>1</v>
      </c>
      <c r="K222">
        <v>3</v>
      </c>
      <c r="L222">
        <v>0</v>
      </c>
      <c r="M222">
        <v>2.9375</v>
      </c>
      <c r="N222">
        <v>11</v>
      </c>
      <c r="O222">
        <v>2</v>
      </c>
      <c r="P222">
        <v>9</v>
      </c>
      <c r="Q222">
        <v>6</v>
      </c>
      <c r="R222">
        <v>15</v>
      </c>
      <c r="S222">
        <v>4</v>
      </c>
      <c r="T222">
        <v>4.1666666666666599</v>
      </c>
      <c r="U222">
        <v>4</v>
      </c>
      <c r="V222">
        <v>1</v>
      </c>
      <c r="W222">
        <v>6</v>
      </c>
      <c r="X222">
        <v>4</v>
      </c>
      <c r="AB222">
        <v>3</v>
      </c>
      <c r="AC222">
        <v>11220</v>
      </c>
      <c r="AD222">
        <v>6</v>
      </c>
      <c r="AE222">
        <v>0</v>
      </c>
      <c r="AI222">
        <v>11</v>
      </c>
      <c r="AJ222">
        <v>9</v>
      </c>
      <c r="AK222">
        <v>10</v>
      </c>
      <c r="AL222">
        <v>15</v>
      </c>
      <c r="AM222">
        <v>14</v>
      </c>
    </row>
    <row r="223" spans="1:40" x14ac:dyDescent="0.2">
      <c r="A223">
        <v>1789</v>
      </c>
      <c r="B223">
        <v>120798</v>
      </c>
      <c r="C223" s="1">
        <v>45127</v>
      </c>
      <c r="D223" s="1">
        <v>35838</v>
      </c>
      <c r="E223">
        <v>25.43</v>
      </c>
      <c r="F223">
        <v>5</v>
      </c>
      <c r="G223">
        <v>1</v>
      </c>
      <c r="H223">
        <v>1</v>
      </c>
      <c r="I223">
        <v>0</v>
      </c>
      <c r="J223">
        <v>4</v>
      </c>
      <c r="K223">
        <v>9</v>
      </c>
      <c r="L223">
        <v>0</v>
      </c>
      <c r="M223">
        <v>3.5</v>
      </c>
      <c r="N223">
        <v>6</v>
      </c>
      <c r="O223">
        <v>7</v>
      </c>
      <c r="P223">
        <v>10</v>
      </c>
      <c r="Q223">
        <v>8</v>
      </c>
      <c r="R223">
        <v>15</v>
      </c>
      <c r="S223">
        <v>10</v>
      </c>
      <c r="T223">
        <v>4.25</v>
      </c>
      <c r="U223">
        <v>4</v>
      </c>
      <c r="V223">
        <v>0</v>
      </c>
      <c r="W223">
        <v>3</v>
      </c>
      <c r="X223">
        <v>4</v>
      </c>
      <c r="AB223">
        <v>0</v>
      </c>
      <c r="AC223">
        <v>7307</v>
      </c>
      <c r="AD223">
        <v>3</v>
      </c>
      <c r="AE223">
        <v>1</v>
      </c>
      <c r="AI223">
        <v>10</v>
      </c>
      <c r="AJ223">
        <v>13</v>
      </c>
      <c r="AK223">
        <v>11</v>
      </c>
      <c r="AL223">
        <v>12</v>
      </c>
      <c r="AM223">
        <v>16</v>
      </c>
    </row>
    <row r="224" spans="1:40" x14ac:dyDescent="0.2">
      <c r="A224">
        <v>1794</v>
      </c>
      <c r="B224">
        <v>122389</v>
      </c>
      <c r="C224" s="1">
        <v>45127</v>
      </c>
      <c r="D224" s="1">
        <v>32652</v>
      </c>
      <c r="E224">
        <v>34.159999999999997</v>
      </c>
      <c r="F224">
        <v>4</v>
      </c>
      <c r="G224">
        <v>1</v>
      </c>
      <c r="H224">
        <v>4</v>
      </c>
      <c r="I224">
        <v>4</v>
      </c>
      <c r="J224">
        <v>3</v>
      </c>
      <c r="K224">
        <v>15</v>
      </c>
      <c r="L224">
        <v>27</v>
      </c>
      <c r="M224">
        <v>3.8125</v>
      </c>
      <c r="N224">
        <v>9</v>
      </c>
      <c r="O224">
        <v>9</v>
      </c>
      <c r="P224">
        <v>9</v>
      </c>
      <c r="Q224">
        <v>8</v>
      </c>
      <c r="R224">
        <v>17</v>
      </c>
      <c r="S224">
        <v>9</v>
      </c>
      <c r="T224">
        <v>4.5833333333333304</v>
      </c>
      <c r="U224">
        <v>4</v>
      </c>
      <c r="V224">
        <v>1</v>
      </c>
      <c r="W224">
        <v>3</v>
      </c>
      <c r="X224">
        <v>4</v>
      </c>
      <c r="AB224">
        <v>3</v>
      </c>
      <c r="AC224">
        <v>8030</v>
      </c>
      <c r="AD224">
        <v>3</v>
      </c>
      <c r="AE224">
        <v>0</v>
      </c>
      <c r="AI224">
        <v>14</v>
      </c>
      <c r="AJ224">
        <v>10</v>
      </c>
      <c r="AK224">
        <v>15</v>
      </c>
      <c r="AL224">
        <v>17</v>
      </c>
      <c r="AM224">
        <v>15</v>
      </c>
    </row>
    <row r="225" spans="1:40" x14ac:dyDescent="0.2">
      <c r="A225">
        <v>1796</v>
      </c>
      <c r="B225">
        <v>21253</v>
      </c>
      <c r="C225" s="1">
        <v>45127</v>
      </c>
      <c r="D225" s="1">
        <v>19615</v>
      </c>
      <c r="E225">
        <v>69.849999999999994</v>
      </c>
      <c r="F225">
        <v>5</v>
      </c>
      <c r="G225">
        <v>1</v>
      </c>
      <c r="H225">
        <v>3</v>
      </c>
      <c r="I225">
        <v>0</v>
      </c>
      <c r="J225">
        <v>3</v>
      </c>
      <c r="K225">
        <v>14</v>
      </c>
      <c r="L225">
        <v>27</v>
      </c>
      <c r="M225">
        <v>2.875</v>
      </c>
      <c r="N225">
        <v>9</v>
      </c>
      <c r="O225">
        <v>5</v>
      </c>
      <c r="P225">
        <v>7</v>
      </c>
      <c r="Q225">
        <v>3</v>
      </c>
      <c r="R225">
        <v>14</v>
      </c>
      <c r="S225">
        <v>8</v>
      </c>
      <c r="T225">
        <v>2.9166666666666998</v>
      </c>
      <c r="U225">
        <v>5</v>
      </c>
      <c r="V225">
        <v>2</v>
      </c>
      <c r="W225">
        <v>4</v>
      </c>
      <c r="X225">
        <v>5</v>
      </c>
      <c r="AB225">
        <v>1</v>
      </c>
      <c r="AC225">
        <v>8620</v>
      </c>
      <c r="AD225">
        <v>4</v>
      </c>
      <c r="AE225">
        <v>1</v>
      </c>
      <c r="AI225">
        <v>16</v>
      </c>
      <c r="AJ225">
        <v>11</v>
      </c>
      <c r="AK225">
        <v>9</v>
      </c>
      <c r="AL225">
        <v>12</v>
      </c>
      <c r="AM225">
        <v>17</v>
      </c>
    </row>
    <row r="226" spans="1:40" x14ac:dyDescent="0.2">
      <c r="A226">
        <v>1798</v>
      </c>
      <c r="B226">
        <v>150896</v>
      </c>
      <c r="C226" s="1">
        <v>45127</v>
      </c>
      <c r="D226" s="1">
        <v>35315</v>
      </c>
      <c r="E226">
        <v>26.86</v>
      </c>
      <c r="F226">
        <v>6</v>
      </c>
      <c r="G226">
        <v>0</v>
      </c>
      <c r="H226">
        <v>7</v>
      </c>
      <c r="I226">
        <v>2</v>
      </c>
      <c r="J226">
        <v>0</v>
      </c>
      <c r="K226">
        <v>1</v>
      </c>
      <c r="L226">
        <v>0</v>
      </c>
      <c r="M226">
        <v>2.875</v>
      </c>
      <c r="N226">
        <v>10</v>
      </c>
      <c r="O226">
        <v>5</v>
      </c>
      <c r="P226">
        <v>9</v>
      </c>
      <c r="Q226">
        <v>0</v>
      </c>
      <c r="R226">
        <v>15</v>
      </c>
      <c r="S226">
        <v>7</v>
      </c>
      <c r="T226">
        <v>2.9166666666666599</v>
      </c>
      <c r="U226">
        <v>5</v>
      </c>
      <c r="V226">
        <v>0</v>
      </c>
      <c r="W226">
        <v>7</v>
      </c>
      <c r="X226">
        <v>5</v>
      </c>
      <c r="AB226">
        <v>0</v>
      </c>
      <c r="AC226">
        <v>7828</v>
      </c>
      <c r="AD226">
        <v>7</v>
      </c>
      <c r="AE226">
        <v>0</v>
      </c>
      <c r="AI226">
        <v>18</v>
      </c>
      <c r="AJ226">
        <v>18</v>
      </c>
      <c r="AK226">
        <v>17</v>
      </c>
      <c r="AL226">
        <v>20</v>
      </c>
      <c r="AM226">
        <v>20</v>
      </c>
    </row>
    <row r="227" spans="1:40" x14ac:dyDescent="0.2">
      <c r="A227">
        <v>1803</v>
      </c>
      <c r="B227">
        <v>81389</v>
      </c>
      <c r="C227" s="1">
        <v>45144</v>
      </c>
      <c r="D227" s="1">
        <v>32873</v>
      </c>
      <c r="E227">
        <v>33.6</v>
      </c>
      <c r="F227">
        <v>1</v>
      </c>
      <c r="G227">
        <v>0</v>
      </c>
      <c r="H227">
        <v>0</v>
      </c>
      <c r="I227">
        <v>0</v>
      </c>
      <c r="J227">
        <v>2</v>
      </c>
      <c r="K227">
        <v>6</v>
      </c>
      <c r="L227">
        <v>0</v>
      </c>
      <c r="M227">
        <v>4.75</v>
      </c>
      <c r="N227">
        <v>12</v>
      </c>
      <c r="O227">
        <v>10</v>
      </c>
      <c r="P227">
        <v>12</v>
      </c>
      <c r="Q227">
        <v>12</v>
      </c>
      <c r="R227">
        <v>18</v>
      </c>
      <c r="S227">
        <v>12</v>
      </c>
      <c r="T227">
        <v>7</v>
      </c>
      <c r="U227">
        <v>4</v>
      </c>
      <c r="V227">
        <v>1</v>
      </c>
      <c r="W227">
        <v>5</v>
      </c>
      <c r="X227">
        <v>4</v>
      </c>
      <c r="AB227">
        <v>3</v>
      </c>
      <c r="AC227">
        <v>19154</v>
      </c>
      <c r="AD227">
        <v>5</v>
      </c>
      <c r="AE227">
        <v>0</v>
      </c>
      <c r="AI227">
        <v>8</v>
      </c>
      <c r="AJ227">
        <v>9</v>
      </c>
      <c r="AK227">
        <v>16</v>
      </c>
      <c r="AL227">
        <v>12</v>
      </c>
      <c r="AM227">
        <v>13</v>
      </c>
    </row>
    <row r="228" spans="1:40" x14ac:dyDescent="0.2">
      <c r="A228">
        <v>1804</v>
      </c>
      <c r="B228">
        <v>191103</v>
      </c>
      <c r="C228" s="1">
        <v>45145</v>
      </c>
      <c r="D228" s="1">
        <v>37877</v>
      </c>
      <c r="E228">
        <v>19.899999999999999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9</v>
      </c>
      <c r="L228">
        <v>0</v>
      </c>
      <c r="M228">
        <v>3.9375</v>
      </c>
      <c r="N228">
        <v>4</v>
      </c>
      <c r="O228">
        <v>12</v>
      </c>
      <c r="P228">
        <v>12</v>
      </c>
      <c r="Q228">
        <v>11</v>
      </c>
      <c r="R228">
        <v>18</v>
      </c>
      <c r="S228">
        <v>6</v>
      </c>
      <c r="T228">
        <v>4.3333333333333002</v>
      </c>
      <c r="U228">
        <v>1</v>
      </c>
      <c r="V228">
        <v>5</v>
      </c>
      <c r="W228">
        <v>7</v>
      </c>
      <c r="X228">
        <v>1</v>
      </c>
      <c r="AB228">
        <v>3</v>
      </c>
      <c r="AC228">
        <v>19355</v>
      </c>
      <c r="AD228">
        <v>7</v>
      </c>
      <c r="AE228">
        <v>0</v>
      </c>
      <c r="AI228">
        <v>12</v>
      </c>
      <c r="AJ228">
        <v>13</v>
      </c>
      <c r="AK228">
        <v>22</v>
      </c>
      <c r="AL228">
        <v>17</v>
      </c>
      <c r="AM228">
        <v>15</v>
      </c>
    </row>
    <row r="229" spans="1:40" x14ac:dyDescent="0.2">
      <c r="A229">
        <v>1813</v>
      </c>
      <c r="B229">
        <v>190304</v>
      </c>
      <c r="C229" s="1">
        <v>45180</v>
      </c>
      <c r="D229" s="1">
        <v>38197</v>
      </c>
      <c r="E229">
        <v>19.12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5</v>
      </c>
      <c r="L229">
        <v>0</v>
      </c>
      <c r="M229">
        <v>2.875</v>
      </c>
      <c r="N229">
        <v>3</v>
      </c>
      <c r="O229">
        <v>9</v>
      </c>
      <c r="P229">
        <v>9</v>
      </c>
      <c r="Q229">
        <v>3</v>
      </c>
      <c r="R229">
        <v>13</v>
      </c>
      <c r="S229">
        <v>9</v>
      </c>
      <c r="T229">
        <v>4.75</v>
      </c>
      <c r="U229">
        <v>4</v>
      </c>
      <c r="V229">
        <v>6</v>
      </c>
      <c r="W229">
        <v>7</v>
      </c>
      <c r="X229">
        <v>4</v>
      </c>
      <c r="AC229">
        <v>19119</v>
      </c>
      <c r="AD229">
        <v>7</v>
      </c>
      <c r="AE229">
        <v>0</v>
      </c>
      <c r="AI229">
        <v>15</v>
      </c>
      <c r="AJ229">
        <v>12</v>
      </c>
      <c r="AK229">
        <v>13</v>
      </c>
      <c r="AL229">
        <v>14</v>
      </c>
      <c r="AM229">
        <v>15</v>
      </c>
    </row>
    <row r="230" spans="1:40" x14ac:dyDescent="0.2">
      <c r="A230">
        <v>1816</v>
      </c>
      <c r="B230">
        <v>61877</v>
      </c>
      <c r="C230" s="1">
        <v>45181</v>
      </c>
      <c r="D230" s="1">
        <v>28248</v>
      </c>
      <c r="E230">
        <v>46.36</v>
      </c>
      <c r="F230">
        <v>3</v>
      </c>
      <c r="G230">
        <v>0</v>
      </c>
      <c r="H230">
        <v>6</v>
      </c>
      <c r="I230">
        <v>3</v>
      </c>
      <c r="J230">
        <v>0</v>
      </c>
      <c r="K230">
        <v>11</v>
      </c>
      <c r="L230">
        <v>0</v>
      </c>
      <c r="M230">
        <v>3.3125</v>
      </c>
      <c r="N230">
        <v>9</v>
      </c>
      <c r="O230">
        <v>9</v>
      </c>
      <c r="P230">
        <v>8</v>
      </c>
      <c r="Q230">
        <v>7</v>
      </c>
      <c r="R230">
        <v>12</v>
      </c>
      <c r="S230">
        <v>8</v>
      </c>
      <c r="T230">
        <v>3.4166666666666998</v>
      </c>
      <c r="U230">
        <v>1</v>
      </c>
      <c r="V230">
        <v>0</v>
      </c>
      <c r="W230">
        <v>6</v>
      </c>
      <c r="X230">
        <v>1</v>
      </c>
      <c r="AB230">
        <v>0</v>
      </c>
      <c r="AC230">
        <v>19133</v>
      </c>
      <c r="AD230">
        <v>6</v>
      </c>
      <c r="AE230">
        <v>1</v>
      </c>
      <c r="AI230">
        <v>14</v>
      </c>
      <c r="AJ230">
        <v>16</v>
      </c>
      <c r="AK230">
        <v>17</v>
      </c>
      <c r="AL230">
        <v>19</v>
      </c>
      <c r="AM230">
        <v>18</v>
      </c>
    </row>
    <row r="231" spans="1:40" x14ac:dyDescent="0.2">
      <c r="A231">
        <v>1819</v>
      </c>
      <c r="B231">
        <v>180255</v>
      </c>
      <c r="C231" s="1">
        <v>45181</v>
      </c>
      <c r="D231" s="1">
        <v>20096</v>
      </c>
      <c r="E231">
        <v>68.680000000000007</v>
      </c>
      <c r="F231">
        <v>4</v>
      </c>
      <c r="G231">
        <v>0</v>
      </c>
      <c r="H231">
        <v>4</v>
      </c>
      <c r="I231">
        <v>4</v>
      </c>
      <c r="J231">
        <v>1</v>
      </c>
      <c r="K231">
        <v>15</v>
      </c>
      <c r="L231">
        <v>26</v>
      </c>
      <c r="M231">
        <v>3.25</v>
      </c>
      <c r="N231">
        <v>9</v>
      </c>
      <c r="O231">
        <v>6</v>
      </c>
      <c r="P231">
        <v>10</v>
      </c>
      <c r="Q231">
        <v>1</v>
      </c>
      <c r="R231">
        <v>18</v>
      </c>
      <c r="S231">
        <v>8</v>
      </c>
      <c r="T231">
        <v>4</v>
      </c>
      <c r="U231">
        <v>4</v>
      </c>
      <c r="V231">
        <v>0</v>
      </c>
      <c r="W231">
        <v>4</v>
      </c>
      <c r="X231">
        <v>4</v>
      </c>
      <c r="AB231">
        <v>0</v>
      </c>
      <c r="AC231">
        <v>19111</v>
      </c>
      <c r="AD231">
        <v>4</v>
      </c>
      <c r="AE231">
        <v>0</v>
      </c>
      <c r="AI231">
        <v>12</v>
      </c>
      <c r="AJ231">
        <v>10</v>
      </c>
      <c r="AK231">
        <v>9</v>
      </c>
      <c r="AL231">
        <v>10</v>
      </c>
      <c r="AM231">
        <v>19</v>
      </c>
    </row>
    <row r="232" spans="1:40" x14ac:dyDescent="0.2">
      <c r="A232">
        <v>1820</v>
      </c>
      <c r="B232">
        <v>11971</v>
      </c>
      <c r="C232" s="1">
        <v>45181</v>
      </c>
      <c r="D232" s="1">
        <v>26208</v>
      </c>
      <c r="E232">
        <v>51.95</v>
      </c>
      <c r="F232">
        <v>4</v>
      </c>
      <c r="G232">
        <v>1</v>
      </c>
      <c r="H232">
        <v>1</v>
      </c>
      <c r="I232">
        <v>0</v>
      </c>
      <c r="J232">
        <v>5</v>
      </c>
      <c r="K232">
        <v>11</v>
      </c>
      <c r="L232">
        <v>0</v>
      </c>
      <c r="M232">
        <v>3.25</v>
      </c>
      <c r="N232">
        <v>12</v>
      </c>
      <c r="O232">
        <v>9</v>
      </c>
      <c r="P232">
        <v>10</v>
      </c>
      <c r="Q232">
        <v>3</v>
      </c>
      <c r="R232">
        <v>10</v>
      </c>
      <c r="S232">
        <v>8</v>
      </c>
      <c r="T232">
        <v>3.4166666666666998</v>
      </c>
      <c r="U232">
        <v>5</v>
      </c>
      <c r="V232">
        <v>3</v>
      </c>
      <c r="W232">
        <v>3</v>
      </c>
      <c r="X232">
        <v>5</v>
      </c>
      <c r="AB232">
        <v>2</v>
      </c>
      <c r="AC232">
        <v>19152</v>
      </c>
      <c r="AD232">
        <v>3</v>
      </c>
      <c r="AE232">
        <v>1</v>
      </c>
      <c r="AI232">
        <v>16</v>
      </c>
      <c r="AJ232">
        <v>14</v>
      </c>
      <c r="AK232">
        <v>17</v>
      </c>
      <c r="AL232">
        <v>20</v>
      </c>
      <c r="AM232">
        <v>17</v>
      </c>
    </row>
    <row r="233" spans="1:40" x14ac:dyDescent="0.2">
      <c r="A233">
        <v>1821</v>
      </c>
      <c r="B233">
        <v>112055</v>
      </c>
      <c r="C233" s="1">
        <v>45181</v>
      </c>
      <c r="D233" s="1">
        <v>20204</v>
      </c>
      <c r="E233">
        <v>68.38</v>
      </c>
      <c r="F233">
        <v>4</v>
      </c>
      <c r="G233">
        <v>0</v>
      </c>
      <c r="H233">
        <v>4</v>
      </c>
      <c r="I233">
        <v>0</v>
      </c>
      <c r="J233">
        <v>0</v>
      </c>
      <c r="K233">
        <v>6</v>
      </c>
      <c r="L233">
        <v>12</v>
      </c>
      <c r="M233">
        <v>4.75</v>
      </c>
      <c r="N233">
        <v>12</v>
      </c>
      <c r="O233">
        <v>12</v>
      </c>
      <c r="P233">
        <v>12</v>
      </c>
      <c r="Q233">
        <v>11</v>
      </c>
      <c r="R233">
        <v>17</v>
      </c>
      <c r="S233">
        <v>12</v>
      </c>
      <c r="T233">
        <v>7</v>
      </c>
      <c r="U233">
        <v>4</v>
      </c>
      <c r="V233">
        <v>4</v>
      </c>
      <c r="W233">
        <v>7</v>
      </c>
      <c r="X233">
        <v>4</v>
      </c>
      <c r="AB233">
        <v>1</v>
      </c>
      <c r="AC233">
        <v>11963</v>
      </c>
      <c r="AD233">
        <v>7</v>
      </c>
      <c r="AE233">
        <v>0</v>
      </c>
      <c r="AI233">
        <v>16</v>
      </c>
      <c r="AJ233">
        <v>15</v>
      </c>
      <c r="AK233">
        <v>13</v>
      </c>
      <c r="AL233">
        <v>15</v>
      </c>
      <c r="AM233">
        <v>13</v>
      </c>
      <c r="AN233">
        <v>2</v>
      </c>
    </row>
    <row r="234" spans="1:40" x14ac:dyDescent="0.2">
      <c r="A234">
        <v>1833</v>
      </c>
      <c r="B234">
        <v>12365</v>
      </c>
      <c r="C234" s="1">
        <v>45181</v>
      </c>
      <c r="D234" s="1">
        <v>23995</v>
      </c>
      <c r="E234">
        <v>58.01</v>
      </c>
      <c r="F234">
        <v>3</v>
      </c>
      <c r="G234">
        <v>0</v>
      </c>
      <c r="H234">
        <v>0</v>
      </c>
      <c r="I234">
        <v>0</v>
      </c>
      <c r="J234">
        <v>3</v>
      </c>
      <c r="K234">
        <v>14</v>
      </c>
      <c r="L234">
        <v>12</v>
      </c>
      <c r="M234">
        <v>4.3125</v>
      </c>
      <c r="N234">
        <v>12</v>
      </c>
      <c r="O234">
        <v>12</v>
      </c>
      <c r="P234">
        <v>12</v>
      </c>
      <c r="Q234">
        <v>3</v>
      </c>
      <c r="R234">
        <v>18</v>
      </c>
      <c r="S234">
        <v>12</v>
      </c>
      <c r="T234">
        <v>7</v>
      </c>
      <c r="U234">
        <v>4</v>
      </c>
      <c r="V234">
        <v>1</v>
      </c>
      <c r="W234">
        <v>4</v>
      </c>
      <c r="X234">
        <v>4</v>
      </c>
      <c r="AB234">
        <v>4</v>
      </c>
      <c r="AC234">
        <v>10301</v>
      </c>
      <c r="AD234">
        <v>4</v>
      </c>
      <c r="AE234">
        <v>0</v>
      </c>
      <c r="AI234">
        <v>14</v>
      </c>
      <c r="AJ234">
        <v>15</v>
      </c>
      <c r="AK234">
        <v>10</v>
      </c>
      <c r="AL234">
        <v>13</v>
      </c>
      <c r="AM234">
        <v>26</v>
      </c>
    </row>
    <row r="235" spans="1:40" x14ac:dyDescent="0.2">
      <c r="A235">
        <v>1836</v>
      </c>
      <c r="B235">
        <v>111078</v>
      </c>
      <c r="C235" s="1">
        <v>45181</v>
      </c>
      <c r="D235" s="1">
        <v>28706</v>
      </c>
      <c r="E235">
        <v>45.11</v>
      </c>
      <c r="F235">
        <v>3</v>
      </c>
      <c r="G235">
        <v>1</v>
      </c>
      <c r="H235">
        <v>1</v>
      </c>
      <c r="I235">
        <v>0</v>
      </c>
      <c r="J235">
        <v>1</v>
      </c>
      <c r="K235">
        <v>6</v>
      </c>
      <c r="L235">
        <v>0</v>
      </c>
      <c r="M235">
        <v>3</v>
      </c>
      <c r="N235">
        <v>11</v>
      </c>
      <c r="O235">
        <v>9</v>
      </c>
      <c r="P235">
        <v>9</v>
      </c>
      <c r="Q235">
        <v>0</v>
      </c>
      <c r="R235">
        <v>15</v>
      </c>
      <c r="S235">
        <v>4</v>
      </c>
      <c r="T235">
        <v>2.75</v>
      </c>
      <c r="U235">
        <v>3</v>
      </c>
      <c r="V235">
        <v>0</v>
      </c>
      <c r="W235">
        <v>5</v>
      </c>
      <c r="X235">
        <v>3</v>
      </c>
      <c r="AC235">
        <v>19139</v>
      </c>
      <c r="AD235">
        <v>5</v>
      </c>
      <c r="AE235">
        <v>1</v>
      </c>
      <c r="AI235">
        <v>15</v>
      </c>
      <c r="AJ235">
        <v>17</v>
      </c>
      <c r="AK235">
        <v>16</v>
      </c>
      <c r="AL235">
        <v>17</v>
      </c>
      <c r="AM235">
        <v>22</v>
      </c>
    </row>
    <row r="236" spans="1:40" x14ac:dyDescent="0.2">
      <c r="A236">
        <v>1839</v>
      </c>
      <c r="B236">
        <v>51673</v>
      </c>
      <c r="C236" s="1">
        <v>45181</v>
      </c>
      <c r="D236" s="1">
        <v>26715</v>
      </c>
      <c r="E236">
        <v>50.56</v>
      </c>
      <c r="F236">
        <v>4</v>
      </c>
      <c r="G236">
        <v>1</v>
      </c>
      <c r="H236">
        <v>12</v>
      </c>
      <c r="I236">
        <v>0</v>
      </c>
      <c r="J236">
        <v>0</v>
      </c>
      <c r="K236">
        <v>1</v>
      </c>
      <c r="L236">
        <v>28</v>
      </c>
      <c r="M236">
        <v>3.4375</v>
      </c>
      <c r="N236">
        <v>10</v>
      </c>
      <c r="O236">
        <v>7</v>
      </c>
      <c r="P236">
        <v>9</v>
      </c>
      <c r="Q236">
        <v>2</v>
      </c>
      <c r="R236">
        <v>18</v>
      </c>
      <c r="S236">
        <v>9</v>
      </c>
      <c r="T236">
        <v>5.1666666666666998</v>
      </c>
      <c r="U236">
        <v>5</v>
      </c>
      <c r="V236">
        <v>6</v>
      </c>
      <c r="W236">
        <v>5</v>
      </c>
      <c r="X236">
        <v>5</v>
      </c>
      <c r="AB236">
        <v>2</v>
      </c>
      <c r="AC236">
        <v>8002</v>
      </c>
      <c r="AD236">
        <v>5</v>
      </c>
      <c r="AE236">
        <v>0</v>
      </c>
      <c r="AI236">
        <v>10</v>
      </c>
      <c r="AJ236">
        <v>15</v>
      </c>
      <c r="AK236">
        <v>19</v>
      </c>
      <c r="AL236">
        <v>16</v>
      </c>
      <c r="AM236">
        <v>15</v>
      </c>
    </row>
    <row r="237" spans="1:40" x14ac:dyDescent="0.2">
      <c r="A237">
        <v>1848</v>
      </c>
      <c r="B237">
        <v>111077</v>
      </c>
      <c r="C237" s="1">
        <v>45182</v>
      </c>
      <c r="D237" s="1">
        <v>28302</v>
      </c>
      <c r="E237">
        <v>46.22</v>
      </c>
      <c r="F237">
        <v>4</v>
      </c>
      <c r="G237">
        <v>1</v>
      </c>
      <c r="H237">
        <v>0</v>
      </c>
      <c r="I237">
        <v>0</v>
      </c>
      <c r="J237">
        <v>5</v>
      </c>
      <c r="K237">
        <v>8</v>
      </c>
      <c r="L237">
        <v>28</v>
      </c>
      <c r="M237">
        <v>4.0625</v>
      </c>
      <c r="N237">
        <v>12</v>
      </c>
      <c r="O237">
        <v>12</v>
      </c>
      <c r="P237">
        <v>12</v>
      </c>
      <c r="Q237">
        <v>0</v>
      </c>
      <c r="R237">
        <v>17</v>
      </c>
      <c r="S237">
        <v>12</v>
      </c>
      <c r="T237">
        <v>5.6666666666666998</v>
      </c>
      <c r="U237">
        <v>4</v>
      </c>
      <c r="V237">
        <v>2</v>
      </c>
      <c r="W237">
        <v>6</v>
      </c>
      <c r="X237">
        <v>4</v>
      </c>
      <c r="AB237">
        <v>4</v>
      </c>
      <c r="AD237">
        <v>6</v>
      </c>
      <c r="AE237">
        <v>0</v>
      </c>
      <c r="AI237">
        <v>15</v>
      </c>
      <c r="AJ237">
        <v>15</v>
      </c>
      <c r="AK237">
        <v>16</v>
      </c>
      <c r="AL237">
        <v>12</v>
      </c>
      <c r="AM237">
        <v>17</v>
      </c>
    </row>
    <row r="238" spans="1:40" x14ac:dyDescent="0.2">
      <c r="A238">
        <v>1853</v>
      </c>
      <c r="B238">
        <v>120885</v>
      </c>
      <c r="C238" s="1">
        <v>45182</v>
      </c>
      <c r="D238" s="1">
        <v>31320</v>
      </c>
      <c r="E238">
        <v>37.950000000000003</v>
      </c>
      <c r="F238">
        <v>4</v>
      </c>
      <c r="G238">
        <v>1</v>
      </c>
      <c r="H238">
        <v>1</v>
      </c>
      <c r="I238">
        <v>0</v>
      </c>
      <c r="J238">
        <v>1</v>
      </c>
      <c r="K238">
        <v>10</v>
      </c>
      <c r="L238">
        <v>25</v>
      </c>
      <c r="M238">
        <v>3.25</v>
      </c>
      <c r="N238">
        <v>12</v>
      </c>
      <c r="O238">
        <v>2</v>
      </c>
      <c r="P238">
        <v>10</v>
      </c>
      <c r="Q238">
        <v>1</v>
      </c>
      <c r="R238">
        <v>18</v>
      </c>
      <c r="S238">
        <v>9</v>
      </c>
      <c r="T238">
        <v>4.9166666666666998</v>
      </c>
      <c r="U238">
        <v>4</v>
      </c>
      <c r="V238">
        <v>2</v>
      </c>
      <c r="W238">
        <v>4</v>
      </c>
      <c r="X238">
        <v>4</v>
      </c>
      <c r="AB238">
        <v>2</v>
      </c>
      <c r="AC238">
        <v>7731</v>
      </c>
      <c r="AD238">
        <v>4</v>
      </c>
      <c r="AE238">
        <v>0</v>
      </c>
      <c r="AI238">
        <v>10</v>
      </c>
      <c r="AJ238">
        <v>9</v>
      </c>
      <c r="AK238">
        <v>10</v>
      </c>
      <c r="AL238">
        <v>17</v>
      </c>
      <c r="AM238">
        <v>14</v>
      </c>
    </row>
    <row r="239" spans="1:40" x14ac:dyDescent="0.2">
      <c r="A239">
        <v>1865</v>
      </c>
      <c r="B239">
        <v>221380</v>
      </c>
      <c r="C239" s="1">
        <v>45182</v>
      </c>
      <c r="D239" s="1">
        <v>29281</v>
      </c>
      <c r="E239">
        <v>43.54</v>
      </c>
      <c r="F239">
        <v>4</v>
      </c>
      <c r="G239">
        <v>1</v>
      </c>
      <c r="H239">
        <v>2</v>
      </c>
      <c r="I239">
        <v>5</v>
      </c>
      <c r="J239">
        <v>0</v>
      </c>
      <c r="K239">
        <v>0</v>
      </c>
      <c r="L239">
        <v>28</v>
      </c>
      <c r="M239">
        <v>4.625</v>
      </c>
      <c r="N239">
        <v>11</v>
      </c>
      <c r="O239">
        <v>12</v>
      </c>
      <c r="P239">
        <v>12</v>
      </c>
      <c r="Q239">
        <v>11</v>
      </c>
      <c r="R239">
        <v>17</v>
      </c>
      <c r="S239">
        <v>11</v>
      </c>
      <c r="T239">
        <v>4.75</v>
      </c>
      <c r="U239">
        <v>5</v>
      </c>
      <c r="V239">
        <v>1</v>
      </c>
      <c r="W239">
        <v>3</v>
      </c>
      <c r="X239">
        <v>5</v>
      </c>
      <c r="AB239">
        <v>1</v>
      </c>
      <c r="AC239">
        <v>18974</v>
      </c>
      <c r="AD239">
        <v>3</v>
      </c>
      <c r="AE239">
        <v>1</v>
      </c>
      <c r="AI239">
        <v>8</v>
      </c>
      <c r="AJ239">
        <v>11</v>
      </c>
      <c r="AK239">
        <v>11</v>
      </c>
      <c r="AL239">
        <v>10</v>
      </c>
      <c r="AM239">
        <v>15</v>
      </c>
    </row>
    <row r="240" spans="1:40" x14ac:dyDescent="0.2">
      <c r="A240">
        <v>1866</v>
      </c>
      <c r="B240">
        <v>130171</v>
      </c>
      <c r="C240" s="1">
        <v>45182</v>
      </c>
      <c r="D240" s="1">
        <v>26279</v>
      </c>
      <c r="E240">
        <v>51.75</v>
      </c>
      <c r="F240">
        <v>4</v>
      </c>
      <c r="G240">
        <v>0</v>
      </c>
      <c r="H240">
        <v>2</v>
      </c>
      <c r="I240">
        <v>0</v>
      </c>
      <c r="J240">
        <v>4</v>
      </c>
      <c r="K240">
        <v>14</v>
      </c>
      <c r="L240">
        <v>0</v>
      </c>
      <c r="M240">
        <v>3.5625</v>
      </c>
      <c r="N240">
        <v>11</v>
      </c>
      <c r="O240">
        <v>8</v>
      </c>
      <c r="P240">
        <v>10</v>
      </c>
      <c r="Q240">
        <v>2</v>
      </c>
      <c r="R240">
        <v>15</v>
      </c>
      <c r="S240">
        <v>11</v>
      </c>
      <c r="T240">
        <v>3.8333333333333299</v>
      </c>
      <c r="U240">
        <v>6</v>
      </c>
      <c r="V240">
        <v>5</v>
      </c>
      <c r="W240">
        <v>6</v>
      </c>
      <c r="X240">
        <v>6</v>
      </c>
      <c r="AB240">
        <v>1</v>
      </c>
      <c r="AC240">
        <v>8534</v>
      </c>
      <c r="AD240">
        <v>6</v>
      </c>
      <c r="AE240">
        <v>1</v>
      </c>
      <c r="AI240">
        <v>13</v>
      </c>
      <c r="AJ240">
        <v>12</v>
      </c>
      <c r="AK240">
        <v>14</v>
      </c>
      <c r="AL240">
        <v>14</v>
      </c>
      <c r="AM240">
        <v>12</v>
      </c>
    </row>
    <row r="241" spans="1:40" x14ac:dyDescent="0.2">
      <c r="A241">
        <v>1870</v>
      </c>
      <c r="B241">
        <v>131960</v>
      </c>
      <c r="C241" s="1">
        <v>45182</v>
      </c>
      <c r="D241" s="1">
        <v>22225</v>
      </c>
      <c r="E241">
        <v>62.85</v>
      </c>
      <c r="F241">
        <v>3</v>
      </c>
      <c r="G241">
        <v>0</v>
      </c>
      <c r="H241">
        <v>3</v>
      </c>
      <c r="I241">
        <v>0</v>
      </c>
      <c r="J241">
        <v>1</v>
      </c>
      <c r="K241">
        <v>2</v>
      </c>
      <c r="L241">
        <v>0</v>
      </c>
      <c r="M241">
        <v>3.375</v>
      </c>
      <c r="N241">
        <v>12</v>
      </c>
      <c r="O241">
        <v>8</v>
      </c>
      <c r="P241">
        <v>9</v>
      </c>
      <c r="Q241">
        <v>0</v>
      </c>
      <c r="R241">
        <v>15</v>
      </c>
      <c r="S241">
        <v>10</v>
      </c>
      <c r="T241">
        <v>5.3333333333333304</v>
      </c>
      <c r="U241">
        <v>1</v>
      </c>
      <c r="V241">
        <v>1</v>
      </c>
      <c r="W241">
        <v>4</v>
      </c>
      <c r="X241">
        <v>1</v>
      </c>
      <c r="AC241">
        <v>19121</v>
      </c>
      <c r="AD241">
        <v>4</v>
      </c>
      <c r="AE241">
        <v>0</v>
      </c>
      <c r="AI241">
        <v>17</v>
      </c>
      <c r="AJ241">
        <v>13</v>
      </c>
      <c r="AK241">
        <v>21</v>
      </c>
      <c r="AL241">
        <v>20</v>
      </c>
      <c r="AM241">
        <v>18</v>
      </c>
      <c r="AN241">
        <v>0</v>
      </c>
    </row>
    <row r="242" spans="1:40" x14ac:dyDescent="0.2">
      <c r="A242">
        <v>1871</v>
      </c>
      <c r="B242">
        <v>120251</v>
      </c>
      <c r="C242" s="1">
        <v>45182</v>
      </c>
      <c r="D242" s="1">
        <v>18964</v>
      </c>
      <c r="E242">
        <v>71.78</v>
      </c>
      <c r="F242">
        <v>4</v>
      </c>
      <c r="G242">
        <v>1</v>
      </c>
      <c r="H242">
        <v>1</v>
      </c>
      <c r="I242">
        <v>0</v>
      </c>
      <c r="J242">
        <v>0</v>
      </c>
      <c r="K242">
        <v>8</v>
      </c>
      <c r="L242">
        <v>26</v>
      </c>
      <c r="M242">
        <v>3.5625</v>
      </c>
      <c r="N242">
        <v>8</v>
      </c>
      <c r="O242">
        <v>9</v>
      </c>
      <c r="P242">
        <v>8</v>
      </c>
      <c r="Q242">
        <v>6</v>
      </c>
      <c r="R242">
        <v>18</v>
      </c>
      <c r="S242">
        <v>8</v>
      </c>
      <c r="T242">
        <v>3.3333333333333002</v>
      </c>
      <c r="U242">
        <v>5</v>
      </c>
      <c r="V242">
        <v>3</v>
      </c>
      <c r="W242">
        <v>5</v>
      </c>
      <c r="X242">
        <v>5</v>
      </c>
      <c r="AB242">
        <v>0</v>
      </c>
      <c r="AC242">
        <v>19057</v>
      </c>
      <c r="AD242">
        <v>5</v>
      </c>
      <c r="AE242">
        <v>0</v>
      </c>
      <c r="AI242">
        <v>13</v>
      </c>
      <c r="AJ242">
        <v>6</v>
      </c>
      <c r="AK242">
        <v>6</v>
      </c>
      <c r="AL242">
        <v>11</v>
      </c>
      <c r="AM242">
        <v>13</v>
      </c>
    </row>
    <row r="243" spans="1:40" x14ac:dyDescent="0.2">
      <c r="A243">
        <v>1873</v>
      </c>
      <c r="B243">
        <v>181890</v>
      </c>
      <c r="C243" s="1">
        <v>45207</v>
      </c>
      <c r="D243" s="1">
        <v>33087</v>
      </c>
      <c r="E243">
        <v>33.18</v>
      </c>
      <c r="F243">
        <v>6</v>
      </c>
      <c r="G243">
        <v>0</v>
      </c>
      <c r="H243">
        <v>3</v>
      </c>
      <c r="I243">
        <v>0</v>
      </c>
      <c r="J243">
        <v>2</v>
      </c>
      <c r="K243">
        <v>1</v>
      </c>
      <c r="L243">
        <v>0</v>
      </c>
      <c r="M243">
        <v>3.375</v>
      </c>
      <c r="N243">
        <v>12</v>
      </c>
      <c r="O243">
        <v>4</v>
      </c>
      <c r="P243">
        <v>12</v>
      </c>
      <c r="Q243">
        <v>0</v>
      </c>
      <c r="R243">
        <v>18</v>
      </c>
      <c r="S243">
        <v>8</v>
      </c>
      <c r="T243">
        <v>3.3333333333333002</v>
      </c>
      <c r="U243">
        <v>4</v>
      </c>
      <c r="V243">
        <v>0</v>
      </c>
      <c r="W243">
        <v>10</v>
      </c>
      <c r="X243">
        <v>4</v>
      </c>
      <c r="AB243">
        <v>1</v>
      </c>
      <c r="AC243">
        <v>19134</v>
      </c>
      <c r="AD243">
        <v>10</v>
      </c>
      <c r="AE243">
        <v>0</v>
      </c>
      <c r="AI243">
        <v>12</v>
      </c>
      <c r="AJ243">
        <v>12</v>
      </c>
      <c r="AK243">
        <v>22</v>
      </c>
      <c r="AL243">
        <v>14</v>
      </c>
      <c r="AM243">
        <v>15</v>
      </c>
    </row>
    <row r="244" spans="1:40" x14ac:dyDescent="0.2">
      <c r="A244">
        <v>1879</v>
      </c>
      <c r="B244">
        <v>10204</v>
      </c>
      <c r="C244" s="1">
        <v>45182</v>
      </c>
      <c r="D244" s="1">
        <v>38222</v>
      </c>
      <c r="E244">
        <v>19.059999999999999</v>
      </c>
      <c r="F244">
        <v>4</v>
      </c>
      <c r="G244">
        <v>1</v>
      </c>
      <c r="H244">
        <v>7</v>
      </c>
      <c r="I244">
        <v>0</v>
      </c>
      <c r="J244">
        <v>0</v>
      </c>
      <c r="K244">
        <v>14</v>
      </c>
      <c r="L244">
        <v>30</v>
      </c>
      <c r="M244">
        <v>2.9375</v>
      </c>
      <c r="N244">
        <v>3</v>
      </c>
      <c r="O244">
        <v>7</v>
      </c>
      <c r="P244">
        <v>9</v>
      </c>
      <c r="Q244">
        <v>7</v>
      </c>
      <c r="R244">
        <v>12</v>
      </c>
      <c r="S244">
        <v>9</v>
      </c>
      <c r="T244">
        <v>3.25</v>
      </c>
      <c r="U244">
        <v>4</v>
      </c>
      <c r="V244">
        <v>3</v>
      </c>
      <c r="W244">
        <v>5</v>
      </c>
      <c r="X244">
        <v>4</v>
      </c>
      <c r="AC244">
        <v>19136</v>
      </c>
      <c r="AD244">
        <v>5</v>
      </c>
      <c r="AE244">
        <v>0</v>
      </c>
      <c r="AI244">
        <v>15</v>
      </c>
      <c r="AJ244">
        <v>13</v>
      </c>
      <c r="AK244">
        <v>15</v>
      </c>
      <c r="AL244">
        <v>15</v>
      </c>
      <c r="AM244">
        <v>12</v>
      </c>
    </row>
    <row r="245" spans="1:40" x14ac:dyDescent="0.2">
      <c r="A245">
        <v>1884</v>
      </c>
      <c r="B245">
        <v>32360</v>
      </c>
      <c r="C245" s="1">
        <v>45182</v>
      </c>
      <c r="D245" s="1">
        <v>22107</v>
      </c>
      <c r="E245">
        <v>63.18</v>
      </c>
      <c r="F245">
        <v>3</v>
      </c>
      <c r="G245">
        <v>1</v>
      </c>
      <c r="H245">
        <v>1</v>
      </c>
      <c r="I245">
        <v>0</v>
      </c>
      <c r="J245">
        <v>1</v>
      </c>
      <c r="K245">
        <v>6</v>
      </c>
      <c r="L245">
        <v>1021</v>
      </c>
      <c r="M245">
        <v>3.8125</v>
      </c>
      <c r="N245">
        <v>12</v>
      </c>
      <c r="O245">
        <v>8</v>
      </c>
      <c r="P245">
        <v>8</v>
      </c>
      <c r="Q245">
        <v>3</v>
      </c>
      <c r="R245">
        <v>18</v>
      </c>
      <c r="S245">
        <v>12</v>
      </c>
      <c r="T245">
        <v>4.3333333333333304</v>
      </c>
      <c r="U245">
        <v>5</v>
      </c>
      <c r="V245">
        <v>2</v>
      </c>
      <c r="W245">
        <v>4</v>
      </c>
      <c r="X245">
        <v>5</v>
      </c>
      <c r="AC245">
        <v>19133</v>
      </c>
      <c r="AD245">
        <v>4</v>
      </c>
      <c r="AE245">
        <v>0</v>
      </c>
      <c r="AI245">
        <v>18</v>
      </c>
      <c r="AJ245">
        <v>10</v>
      </c>
      <c r="AK245">
        <v>6</v>
      </c>
      <c r="AL245">
        <v>7</v>
      </c>
      <c r="AM245">
        <v>14</v>
      </c>
    </row>
    <row r="246" spans="1:40" x14ac:dyDescent="0.2">
      <c r="A246">
        <v>1893</v>
      </c>
      <c r="B246">
        <v>130372</v>
      </c>
      <c r="C246" s="1">
        <v>45183</v>
      </c>
      <c r="D246" s="1">
        <v>26561</v>
      </c>
      <c r="E246">
        <v>50.99</v>
      </c>
      <c r="F246">
        <v>4</v>
      </c>
      <c r="G246">
        <v>1</v>
      </c>
      <c r="H246">
        <v>2</v>
      </c>
      <c r="I246">
        <v>0</v>
      </c>
      <c r="J246">
        <v>7</v>
      </c>
      <c r="K246">
        <v>13</v>
      </c>
      <c r="L246">
        <v>0</v>
      </c>
      <c r="M246">
        <v>3.125</v>
      </c>
      <c r="N246">
        <v>11</v>
      </c>
      <c r="O246">
        <v>11</v>
      </c>
      <c r="P246">
        <v>9</v>
      </c>
      <c r="Q246">
        <v>0</v>
      </c>
      <c r="R246">
        <v>12</v>
      </c>
      <c r="S246">
        <v>7</v>
      </c>
      <c r="T246">
        <v>0.66666666666666996</v>
      </c>
      <c r="U246">
        <v>4</v>
      </c>
      <c r="V246">
        <v>0</v>
      </c>
      <c r="W246">
        <v>2</v>
      </c>
      <c r="X246">
        <v>4</v>
      </c>
      <c r="AB246">
        <v>0</v>
      </c>
      <c r="AC246">
        <v>19038</v>
      </c>
      <c r="AD246">
        <v>2</v>
      </c>
      <c r="AE246">
        <v>0</v>
      </c>
      <c r="AI246">
        <v>15</v>
      </c>
      <c r="AJ246">
        <v>14</v>
      </c>
      <c r="AK246">
        <v>14</v>
      </c>
      <c r="AL246">
        <v>16</v>
      </c>
      <c r="AM246">
        <v>19</v>
      </c>
    </row>
    <row r="247" spans="1:40" x14ac:dyDescent="0.2">
      <c r="A247">
        <v>1900</v>
      </c>
      <c r="B247">
        <v>230848</v>
      </c>
      <c r="C247" s="1">
        <v>45183</v>
      </c>
      <c r="D247" s="1">
        <v>17708</v>
      </c>
      <c r="E247">
        <v>75.22</v>
      </c>
      <c r="F247">
        <v>0</v>
      </c>
      <c r="G247">
        <v>0</v>
      </c>
      <c r="H247">
        <v>0</v>
      </c>
      <c r="I247">
        <v>0</v>
      </c>
      <c r="J247">
        <v>2</v>
      </c>
      <c r="K247">
        <v>4</v>
      </c>
      <c r="L247">
        <v>28</v>
      </c>
      <c r="M247">
        <v>4.0625</v>
      </c>
      <c r="N247">
        <v>9</v>
      </c>
      <c r="O247">
        <v>12</v>
      </c>
      <c r="P247">
        <v>12</v>
      </c>
      <c r="Q247">
        <v>8</v>
      </c>
      <c r="R247">
        <v>17</v>
      </c>
      <c r="S247">
        <v>7</v>
      </c>
      <c r="T247">
        <v>3.5</v>
      </c>
      <c r="U247">
        <v>4</v>
      </c>
      <c r="V247">
        <v>0</v>
      </c>
      <c r="W247">
        <v>3</v>
      </c>
      <c r="X247">
        <v>4</v>
      </c>
      <c r="AB247">
        <v>2</v>
      </c>
      <c r="AC247">
        <v>95838</v>
      </c>
      <c r="AD247">
        <v>3</v>
      </c>
      <c r="AE247">
        <v>0</v>
      </c>
      <c r="AI247">
        <v>17</v>
      </c>
      <c r="AJ247">
        <v>10</v>
      </c>
      <c r="AK247">
        <v>15</v>
      </c>
      <c r="AL247">
        <v>14</v>
      </c>
      <c r="AM247">
        <v>15</v>
      </c>
    </row>
    <row r="248" spans="1:40" x14ac:dyDescent="0.2">
      <c r="A248">
        <v>1901</v>
      </c>
      <c r="B248">
        <v>110802</v>
      </c>
      <c r="C248" s="1">
        <v>45183</v>
      </c>
      <c r="D248" s="1">
        <v>37483</v>
      </c>
      <c r="E248">
        <v>21.08</v>
      </c>
      <c r="F248">
        <v>4</v>
      </c>
      <c r="G248">
        <v>1</v>
      </c>
      <c r="H248">
        <v>3</v>
      </c>
      <c r="I248">
        <v>30</v>
      </c>
      <c r="J248">
        <v>6</v>
      </c>
      <c r="K248">
        <v>16</v>
      </c>
      <c r="L248">
        <v>0</v>
      </c>
      <c r="M248">
        <v>2.75</v>
      </c>
      <c r="N248">
        <v>9</v>
      </c>
      <c r="O248">
        <v>2</v>
      </c>
      <c r="P248">
        <v>7</v>
      </c>
      <c r="Q248">
        <v>1</v>
      </c>
      <c r="R248">
        <v>16</v>
      </c>
      <c r="S248">
        <v>9</v>
      </c>
      <c r="T248">
        <v>2.5</v>
      </c>
      <c r="U248">
        <v>4</v>
      </c>
      <c r="V248">
        <v>1</v>
      </c>
      <c r="W248">
        <v>4</v>
      </c>
      <c r="X248">
        <v>4</v>
      </c>
      <c r="AB248">
        <v>0</v>
      </c>
      <c r="AC248">
        <v>19342</v>
      </c>
      <c r="AD248">
        <v>4</v>
      </c>
      <c r="AE248">
        <v>0</v>
      </c>
      <c r="AI248">
        <v>14</v>
      </c>
      <c r="AJ248">
        <v>11</v>
      </c>
      <c r="AK248">
        <v>12</v>
      </c>
      <c r="AL248">
        <v>12</v>
      </c>
      <c r="AM248">
        <v>19</v>
      </c>
    </row>
    <row r="249" spans="1:40" x14ac:dyDescent="0.2">
      <c r="A249">
        <v>1904</v>
      </c>
      <c r="B249">
        <v>121281</v>
      </c>
      <c r="C249" s="1">
        <v>45183</v>
      </c>
      <c r="D249" s="1">
        <v>29749</v>
      </c>
      <c r="E249">
        <v>42.26</v>
      </c>
      <c r="F249">
        <v>4</v>
      </c>
      <c r="G249">
        <v>1</v>
      </c>
      <c r="H249">
        <v>5</v>
      </c>
      <c r="I249">
        <v>0</v>
      </c>
      <c r="J249">
        <v>2</v>
      </c>
      <c r="K249">
        <v>13</v>
      </c>
      <c r="L249">
        <v>28</v>
      </c>
      <c r="M249">
        <v>3.4375</v>
      </c>
      <c r="N249">
        <v>8</v>
      </c>
      <c r="O249">
        <v>7</v>
      </c>
      <c r="P249">
        <v>7</v>
      </c>
      <c r="Q249">
        <v>7</v>
      </c>
      <c r="R249">
        <v>17</v>
      </c>
      <c r="S249">
        <v>9</v>
      </c>
      <c r="T249">
        <v>5</v>
      </c>
      <c r="U249">
        <v>4</v>
      </c>
      <c r="V249">
        <v>0</v>
      </c>
      <c r="W249">
        <v>3</v>
      </c>
      <c r="X249">
        <v>4</v>
      </c>
      <c r="AC249">
        <v>18704</v>
      </c>
      <c r="AD249">
        <v>3</v>
      </c>
      <c r="AE249">
        <v>1</v>
      </c>
      <c r="AI249">
        <v>16</v>
      </c>
      <c r="AJ249">
        <v>9</v>
      </c>
      <c r="AK249">
        <v>6</v>
      </c>
      <c r="AL249">
        <v>15</v>
      </c>
      <c r="AM249">
        <v>12</v>
      </c>
    </row>
    <row r="250" spans="1:40" x14ac:dyDescent="0.2">
      <c r="A250">
        <v>1909</v>
      </c>
      <c r="B250">
        <v>71245</v>
      </c>
      <c r="C250" s="1">
        <v>45183</v>
      </c>
      <c r="D250" s="1">
        <v>16698</v>
      </c>
      <c r="E250">
        <v>77.989999999999995</v>
      </c>
      <c r="F250">
        <v>4</v>
      </c>
      <c r="G250">
        <v>0</v>
      </c>
      <c r="H250">
        <v>2</v>
      </c>
      <c r="I250">
        <v>0</v>
      </c>
      <c r="J250">
        <v>0</v>
      </c>
      <c r="K250">
        <v>0</v>
      </c>
      <c r="L250">
        <v>32</v>
      </c>
      <c r="M250">
        <v>1.9375</v>
      </c>
      <c r="N250">
        <v>0</v>
      </c>
      <c r="O250">
        <v>5</v>
      </c>
      <c r="P250">
        <v>7</v>
      </c>
      <c r="Q250">
        <v>0</v>
      </c>
      <c r="R250">
        <v>12</v>
      </c>
      <c r="S250">
        <v>7</v>
      </c>
      <c r="T250">
        <v>4.1666666666666998</v>
      </c>
      <c r="U250">
        <v>6</v>
      </c>
      <c r="V250">
        <v>3</v>
      </c>
      <c r="W250">
        <v>9</v>
      </c>
      <c r="X250">
        <v>6</v>
      </c>
      <c r="AC250">
        <v>48009</v>
      </c>
      <c r="AD250">
        <v>9</v>
      </c>
      <c r="AE250">
        <v>0</v>
      </c>
      <c r="AI250">
        <v>13</v>
      </c>
      <c r="AJ250">
        <v>12</v>
      </c>
      <c r="AK250">
        <v>14</v>
      </c>
      <c r="AL250">
        <v>18</v>
      </c>
      <c r="AM250">
        <v>17</v>
      </c>
    </row>
    <row r="251" spans="1:40" x14ac:dyDescent="0.2">
      <c r="A251">
        <v>1923</v>
      </c>
      <c r="B251">
        <v>191190</v>
      </c>
      <c r="C251" s="1">
        <v>45183</v>
      </c>
      <c r="D251" s="1">
        <v>32933</v>
      </c>
      <c r="E251">
        <v>33.54</v>
      </c>
      <c r="F251">
        <v>4</v>
      </c>
      <c r="G251">
        <v>1</v>
      </c>
      <c r="H251">
        <v>6</v>
      </c>
      <c r="I251">
        <v>0</v>
      </c>
      <c r="J251">
        <v>4</v>
      </c>
      <c r="K251">
        <v>9</v>
      </c>
      <c r="L251">
        <v>0</v>
      </c>
      <c r="M251">
        <v>3.625</v>
      </c>
      <c r="N251">
        <v>12</v>
      </c>
      <c r="O251">
        <v>10</v>
      </c>
      <c r="P251">
        <v>12</v>
      </c>
      <c r="Q251">
        <v>0</v>
      </c>
      <c r="R251">
        <v>12</v>
      </c>
      <c r="S251">
        <v>12</v>
      </c>
      <c r="T251">
        <v>2</v>
      </c>
      <c r="U251">
        <v>1</v>
      </c>
      <c r="V251">
        <v>0</v>
      </c>
      <c r="W251">
        <v>4</v>
      </c>
      <c r="X251">
        <v>1</v>
      </c>
      <c r="AB251">
        <v>0</v>
      </c>
      <c r="AC251">
        <v>13207</v>
      </c>
      <c r="AD251">
        <v>4</v>
      </c>
      <c r="AE251">
        <v>0</v>
      </c>
      <c r="AI251">
        <v>12</v>
      </c>
      <c r="AJ251">
        <v>13</v>
      </c>
      <c r="AK251">
        <v>18</v>
      </c>
      <c r="AL251">
        <v>19</v>
      </c>
      <c r="AM251">
        <v>16</v>
      </c>
    </row>
    <row r="252" spans="1:40" x14ac:dyDescent="0.2">
      <c r="A252">
        <v>1925</v>
      </c>
      <c r="B252">
        <v>192362</v>
      </c>
      <c r="C252" s="1">
        <v>45184</v>
      </c>
      <c r="D252" s="1">
        <v>22906</v>
      </c>
      <c r="E252">
        <v>61</v>
      </c>
      <c r="F252">
        <v>4</v>
      </c>
      <c r="G252">
        <v>0</v>
      </c>
      <c r="H252">
        <v>7</v>
      </c>
      <c r="I252">
        <v>10</v>
      </c>
      <c r="J252">
        <v>6</v>
      </c>
      <c r="K252">
        <v>8</v>
      </c>
      <c r="L252">
        <v>29</v>
      </c>
      <c r="M252">
        <v>3.3125</v>
      </c>
      <c r="N252">
        <v>9</v>
      </c>
      <c r="O252">
        <v>10</v>
      </c>
      <c r="P252">
        <v>9</v>
      </c>
      <c r="Q252">
        <v>2</v>
      </c>
      <c r="R252">
        <v>16</v>
      </c>
      <c r="S252">
        <v>7</v>
      </c>
      <c r="T252">
        <v>5</v>
      </c>
      <c r="U252">
        <v>4</v>
      </c>
      <c r="V252">
        <v>0</v>
      </c>
      <c r="W252">
        <v>4</v>
      </c>
      <c r="X252">
        <v>4</v>
      </c>
      <c r="AC252">
        <v>19134</v>
      </c>
      <c r="AD252">
        <v>4</v>
      </c>
      <c r="AE252">
        <v>0</v>
      </c>
      <c r="AI252">
        <v>14</v>
      </c>
      <c r="AJ252">
        <v>13</v>
      </c>
      <c r="AK252">
        <v>16</v>
      </c>
      <c r="AL252">
        <v>12</v>
      </c>
      <c r="AM252">
        <v>17</v>
      </c>
    </row>
    <row r="253" spans="1:40" x14ac:dyDescent="0.2">
      <c r="A253">
        <v>1933</v>
      </c>
      <c r="B253">
        <v>160293</v>
      </c>
      <c r="C253" s="1">
        <v>45184</v>
      </c>
      <c r="D253" s="1">
        <v>34213</v>
      </c>
      <c r="E253">
        <v>30.04</v>
      </c>
      <c r="F253">
        <v>1</v>
      </c>
      <c r="G253">
        <v>1</v>
      </c>
      <c r="H253">
        <v>1</v>
      </c>
      <c r="I253">
        <v>0</v>
      </c>
      <c r="J253">
        <v>2</v>
      </c>
      <c r="K253">
        <v>16</v>
      </c>
      <c r="L253">
        <v>0</v>
      </c>
      <c r="M253">
        <v>4.875</v>
      </c>
      <c r="N253">
        <v>12</v>
      </c>
      <c r="O253">
        <v>12</v>
      </c>
      <c r="P253">
        <v>12</v>
      </c>
      <c r="Q253">
        <v>12</v>
      </c>
      <c r="R253">
        <v>18</v>
      </c>
      <c r="S253">
        <v>12</v>
      </c>
      <c r="T253">
        <v>7</v>
      </c>
      <c r="U253">
        <v>6</v>
      </c>
      <c r="V253">
        <v>0</v>
      </c>
      <c r="W253">
        <v>7</v>
      </c>
      <c r="X253">
        <v>6</v>
      </c>
      <c r="AB253">
        <v>3</v>
      </c>
      <c r="AD253">
        <v>7</v>
      </c>
      <c r="AE253">
        <v>0</v>
      </c>
      <c r="AI253">
        <v>8</v>
      </c>
      <c r="AJ253">
        <v>13</v>
      </c>
      <c r="AK253">
        <v>14</v>
      </c>
      <c r="AL253">
        <v>16</v>
      </c>
      <c r="AM253">
        <v>11</v>
      </c>
    </row>
    <row r="254" spans="1:40" x14ac:dyDescent="0.2">
      <c r="A254">
        <v>1937</v>
      </c>
      <c r="B254">
        <v>31104</v>
      </c>
      <c r="C254" s="1">
        <v>45184</v>
      </c>
      <c r="D254" s="1">
        <v>38080</v>
      </c>
      <c r="E254">
        <v>19.45</v>
      </c>
      <c r="F254">
        <v>4</v>
      </c>
      <c r="G254">
        <v>0</v>
      </c>
      <c r="H254">
        <v>1</v>
      </c>
      <c r="I254">
        <v>2</v>
      </c>
      <c r="J254">
        <v>0</v>
      </c>
      <c r="K254">
        <v>4</v>
      </c>
      <c r="L254">
        <v>7984</v>
      </c>
      <c r="M254">
        <v>3.5</v>
      </c>
      <c r="N254">
        <v>12</v>
      </c>
      <c r="O254">
        <v>12</v>
      </c>
      <c r="P254">
        <v>11</v>
      </c>
      <c r="Q254">
        <v>3</v>
      </c>
      <c r="R254">
        <v>9</v>
      </c>
      <c r="S254">
        <v>9</v>
      </c>
      <c r="T254">
        <v>7</v>
      </c>
      <c r="U254">
        <v>4</v>
      </c>
      <c r="V254">
        <v>1</v>
      </c>
      <c r="W254">
        <v>3</v>
      </c>
      <c r="X254">
        <v>4</v>
      </c>
      <c r="AB254">
        <v>1</v>
      </c>
      <c r="AC254">
        <v>8010</v>
      </c>
      <c r="AD254">
        <v>3</v>
      </c>
      <c r="AE254">
        <v>0</v>
      </c>
      <c r="AI254">
        <v>16</v>
      </c>
      <c r="AJ254">
        <v>10</v>
      </c>
      <c r="AK254">
        <v>13</v>
      </c>
      <c r="AL254">
        <v>11</v>
      </c>
      <c r="AM254">
        <v>17</v>
      </c>
    </row>
    <row r="255" spans="1:40" x14ac:dyDescent="0.2">
      <c r="A255">
        <v>1947</v>
      </c>
      <c r="B255">
        <v>111681</v>
      </c>
      <c r="C255" s="1">
        <v>45184</v>
      </c>
      <c r="D255" s="1">
        <v>29796</v>
      </c>
      <c r="E255">
        <v>42.13</v>
      </c>
      <c r="F255">
        <v>4</v>
      </c>
      <c r="G255">
        <v>1</v>
      </c>
      <c r="H255">
        <v>0</v>
      </c>
      <c r="I255">
        <v>9</v>
      </c>
      <c r="J255">
        <v>4</v>
      </c>
      <c r="K255">
        <v>17</v>
      </c>
      <c r="L255">
        <v>0</v>
      </c>
      <c r="M255">
        <v>1.625</v>
      </c>
      <c r="N255">
        <v>8</v>
      </c>
      <c r="O255">
        <v>3</v>
      </c>
      <c r="P255">
        <v>1</v>
      </c>
      <c r="Q255">
        <v>5</v>
      </c>
      <c r="R255">
        <v>7</v>
      </c>
      <c r="S255">
        <v>2</v>
      </c>
      <c r="T255">
        <v>2.5</v>
      </c>
      <c r="U255">
        <v>3</v>
      </c>
      <c r="V255">
        <v>0</v>
      </c>
      <c r="W255">
        <v>2</v>
      </c>
      <c r="X255">
        <v>3</v>
      </c>
      <c r="AC255">
        <v>19047</v>
      </c>
      <c r="AD255">
        <v>2</v>
      </c>
      <c r="AE255">
        <v>0</v>
      </c>
      <c r="AI255">
        <v>14</v>
      </c>
      <c r="AJ255">
        <v>16</v>
      </c>
      <c r="AK255">
        <v>10</v>
      </c>
      <c r="AL255">
        <v>10</v>
      </c>
      <c r="AM255">
        <v>21</v>
      </c>
    </row>
    <row r="256" spans="1:40" x14ac:dyDescent="0.2">
      <c r="A256">
        <v>1952</v>
      </c>
      <c r="B256">
        <v>50703</v>
      </c>
      <c r="C256" s="1">
        <v>45184</v>
      </c>
      <c r="D256" s="1">
        <v>37939</v>
      </c>
      <c r="E256">
        <v>19.84</v>
      </c>
      <c r="F256">
        <v>4</v>
      </c>
      <c r="G256">
        <v>0</v>
      </c>
      <c r="H256">
        <v>8</v>
      </c>
      <c r="I256">
        <v>0</v>
      </c>
      <c r="J256">
        <v>2</v>
      </c>
      <c r="K256">
        <v>14</v>
      </c>
      <c r="L256">
        <v>0</v>
      </c>
      <c r="M256">
        <v>2.875</v>
      </c>
      <c r="N256">
        <v>9</v>
      </c>
      <c r="O256">
        <v>9</v>
      </c>
      <c r="P256">
        <v>6</v>
      </c>
      <c r="Q256">
        <v>4</v>
      </c>
      <c r="R256">
        <v>10</v>
      </c>
      <c r="S256">
        <v>8</v>
      </c>
      <c r="T256">
        <v>1.8333333333333299</v>
      </c>
      <c r="U256">
        <v>4</v>
      </c>
      <c r="V256">
        <v>3</v>
      </c>
      <c r="W256">
        <v>4</v>
      </c>
      <c r="X256">
        <v>4</v>
      </c>
      <c r="AC256">
        <v>8330</v>
      </c>
      <c r="AD256">
        <v>4</v>
      </c>
      <c r="AE256">
        <v>0</v>
      </c>
      <c r="AI256">
        <v>19</v>
      </c>
      <c r="AJ256">
        <v>19</v>
      </c>
      <c r="AK256">
        <v>20</v>
      </c>
      <c r="AL256">
        <v>16</v>
      </c>
      <c r="AM256">
        <v>22</v>
      </c>
    </row>
    <row r="257" spans="1:39" x14ac:dyDescent="0.2">
      <c r="A257">
        <v>1955</v>
      </c>
      <c r="B257">
        <v>131394</v>
      </c>
      <c r="C257" s="1">
        <v>45184</v>
      </c>
      <c r="D257" s="1">
        <v>34671</v>
      </c>
      <c r="E257">
        <v>28.78</v>
      </c>
      <c r="F257">
        <v>4</v>
      </c>
      <c r="G257">
        <v>1</v>
      </c>
      <c r="H257">
        <v>0</v>
      </c>
      <c r="I257">
        <v>0</v>
      </c>
      <c r="J257">
        <v>2</v>
      </c>
      <c r="K257">
        <v>5</v>
      </c>
      <c r="L257">
        <v>0</v>
      </c>
      <c r="M257">
        <v>3.5625</v>
      </c>
      <c r="N257">
        <v>9</v>
      </c>
      <c r="O257">
        <v>8</v>
      </c>
      <c r="P257">
        <v>9</v>
      </c>
      <c r="Q257">
        <v>9</v>
      </c>
      <c r="R257">
        <v>13</v>
      </c>
      <c r="S257">
        <v>9</v>
      </c>
      <c r="T257">
        <v>5</v>
      </c>
      <c r="U257">
        <v>4</v>
      </c>
      <c r="V257">
        <v>2</v>
      </c>
      <c r="W257">
        <v>5</v>
      </c>
      <c r="X257">
        <v>4</v>
      </c>
      <c r="AB257">
        <v>3</v>
      </c>
      <c r="AC257">
        <v>19508</v>
      </c>
      <c r="AD257">
        <v>5</v>
      </c>
      <c r="AE257">
        <v>0</v>
      </c>
      <c r="AI257">
        <v>16</v>
      </c>
      <c r="AJ257">
        <v>7</v>
      </c>
      <c r="AK257">
        <v>11</v>
      </c>
      <c r="AL257">
        <v>13</v>
      </c>
      <c r="AM257">
        <v>16</v>
      </c>
    </row>
    <row r="258" spans="1:39" x14ac:dyDescent="0.2">
      <c r="A258">
        <v>1963</v>
      </c>
      <c r="B258">
        <v>131977</v>
      </c>
      <c r="C258" s="1">
        <v>45184</v>
      </c>
      <c r="D258" s="1">
        <v>28245</v>
      </c>
      <c r="E258">
        <v>46.38</v>
      </c>
      <c r="F258">
        <v>4</v>
      </c>
      <c r="G258">
        <v>0</v>
      </c>
      <c r="H258">
        <v>2</v>
      </c>
      <c r="I258">
        <v>2</v>
      </c>
      <c r="J258">
        <v>8</v>
      </c>
      <c r="K258">
        <v>10</v>
      </c>
      <c r="L258">
        <v>32</v>
      </c>
      <c r="M258">
        <v>2.625</v>
      </c>
      <c r="N258">
        <v>8</v>
      </c>
      <c r="O258">
        <v>4</v>
      </c>
      <c r="P258">
        <v>8</v>
      </c>
      <c r="Q258">
        <v>0</v>
      </c>
      <c r="R258">
        <v>15</v>
      </c>
      <c r="S258">
        <v>7</v>
      </c>
      <c r="T258">
        <v>1.6666666666666601</v>
      </c>
      <c r="U258">
        <v>4</v>
      </c>
      <c r="V258">
        <v>0</v>
      </c>
      <c r="W258">
        <v>4</v>
      </c>
      <c r="X258">
        <v>4</v>
      </c>
      <c r="AB258">
        <v>0</v>
      </c>
      <c r="AC258">
        <v>17050</v>
      </c>
      <c r="AD258">
        <v>4</v>
      </c>
      <c r="AE258">
        <v>1</v>
      </c>
      <c r="AI258">
        <v>15</v>
      </c>
      <c r="AJ258">
        <v>15</v>
      </c>
      <c r="AK258">
        <v>19</v>
      </c>
      <c r="AL258">
        <v>19</v>
      </c>
      <c r="AM258">
        <v>17</v>
      </c>
    </row>
    <row r="259" spans="1:39" x14ac:dyDescent="0.2">
      <c r="A259">
        <v>1967</v>
      </c>
      <c r="B259">
        <v>160481</v>
      </c>
      <c r="C259" s="1">
        <v>45184</v>
      </c>
      <c r="D259" s="1">
        <v>29590</v>
      </c>
      <c r="E259">
        <v>42.69</v>
      </c>
      <c r="F259">
        <v>4</v>
      </c>
      <c r="G259">
        <v>1</v>
      </c>
      <c r="H259">
        <v>0</v>
      </c>
      <c r="I259">
        <v>0</v>
      </c>
      <c r="J259">
        <v>5</v>
      </c>
      <c r="K259">
        <v>13</v>
      </c>
      <c r="L259">
        <v>28</v>
      </c>
      <c r="M259">
        <v>3.375</v>
      </c>
      <c r="N259">
        <v>9</v>
      </c>
      <c r="O259">
        <v>6</v>
      </c>
      <c r="P259">
        <v>9</v>
      </c>
      <c r="Q259">
        <v>3</v>
      </c>
      <c r="R259">
        <v>18</v>
      </c>
      <c r="S259">
        <v>9</v>
      </c>
      <c r="T259">
        <v>4.4166666666666998</v>
      </c>
      <c r="U259">
        <v>4</v>
      </c>
      <c r="V259">
        <v>0</v>
      </c>
      <c r="W259">
        <v>7</v>
      </c>
      <c r="X259">
        <v>4</v>
      </c>
      <c r="AB259">
        <v>1</v>
      </c>
      <c r="AC259">
        <v>19020</v>
      </c>
      <c r="AD259">
        <v>7</v>
      </c>
      <c r="AE259">
        <v>0</v>
      </c>
      <c r="AI259">
        <v>18</v>
      </c>
      <c r="AJ259">
        <v>14</v>
      </c>
      <c r="AK259">
        <v>15</v>
      </c>
      <c r="AL259">
        <v>14</v>
      </c>
      <c r="AM259">
        <v>8</v>
      </c>
    </row>
    <row r="260" spans="1:39" x14ac:dyDescent="0.2">
      <c r="A260">
        <v>1969</v>
      </c>
      <c r="B260">
        <v>100279</v>
      </c>
      <c r="C260" s="1">
        <v>45184</v>
      </c>
      <c r="D260" s="1">
        <v>29030</v>
      </c>
      <c r="E260">
        <v>44.23</v>
      </c>
      <c r="F260">
        <v>4</v>
      </c>
      <c r="G260">
        <v>0</v>
      </c>
      <c r="H260">
        <v>3</v>
      </c>
      <c r="I260">
        <v>0</v>
      </c>
      <c r="J260">
        <v>0</v>
      </c>
      <c r="K260">
        <v>2</v>
      </c>
      <c r="L260">
        <v>28</v>
      </c>
      <c r="M260">
        <v>4.625</v>
      </c>
      <c r="N260">
        <v>12</v>
      </c>
      <c r="O260">
        <v>12</v>
      </c>
      <c r="P260">
        <v>12</v>
      </c>
      <c r="Q260">
        <v>11</v>
      </c>
      <c r="R260">
        <v>15</v>
      </c>
      <c r="S260">
        <v>12</v>
      </c>
      <c r="T260">
        <v>7</v>
      </c>
      <c r="U260">
        <v>4</v>
      </c>
      <c r="V260">
        <v>5</v>
      </c>
      <c r="W260">
        <v>6</v>
      </c>
      <c r="X260">
        <v>4</v>
      </c>
      <c r="AB260">
        <v>1</v>
      </c>
      <c r="AC260">
        <v>21234</v>
      </c>
      <c r="AD260">
        <v>6</v>
      </c>
      <c r="AE260">
        <v>0</v>
      </c>
      <c r="AI260">
        <v>13</v>
      </c>
      <c r="AJ260">
        <v>11</v>
      </c>
      <c r="AK260">
        <v>10</v>
      </c>
      <c r="AL260">
        <v>14</v>
      </c>
      <c r="AM260">
        <v>15</v>
      </c>
    </row>
    <row r="261" spans="1:39" x14ac:dyDescent="0.2">
      <c r="A261">
        <v>1970</v>
      </c>
      <c r="B261">
        <v>232302</v>
      </c>
      <c r="C261" s="1">
        <v>45184</v>
      </c>
      <c r="D261" s="1">
        <v>37273</v>
      </c>
      <c r="E261">
        <v>21.66</v>
      </c>
      <c r="F261">
        <v>1</v>
      </c>
      <c r="G261">
        <v>1</v>
      </c>
      <c r="H261">
        <v>1</v>
      </c>
      <c r="I261">
        <v>2</v>
      </c>
      <c r="J261">
        <v>5</v>
      </c>
      <c r="K261">
        <v>4</v>
      </c>
      <c r="L261">
        <v>0</v>
      </c>
      <c r="M261">
        <v>3.4375</v>
      </c>
      <c r="N261">
        <v>9</v>
      </c>
      <c r="O261">
        <v>10</v>
      </c>
      <c r="P261">
        <v>9</v>
      </c>
      <c r="Q261">
        <v>1</v>
      </c>
      <c r="R261">
        <v>18</v>
      </c>
      <c r="S261">
        <v>8</v>
      </c>
      <c r="T261">
        <v>2.75</v>
      </c>
      <c r="U261">
        <v>4</v>
      </c>
      <c r="V261">
        <v>1</v>
      </c>
      <c r="W261">
        <v>5</v>
      </c>
      <c r="X261">
        <v>4</v>
      </c>
      <c r="AC261">
        <v>19148</v>
      </c>
      <c r="AD261">
        <v>5</v>
      </c>
      <c r="AE261">
        <v>1</v>
      </c>
      <c r="AI261">
        <v>10</v>
      </c>
      <c r="AJ261">
        <v>8</v>
      </c>
      <c r="AK261">
        <v>14</v>
      </c>
      <c r="AL261">
        <v>15</v>
      </c>
      <c r="AM261">
        <v>15</v>
      </c>
    </row>
    <row r="262" spans="1:39" x14ac:dyDescent="0.2">
      <c r="A262">
        <v>1973</v>
      </c>
      <c r="B262">
        <v>51289</v>
      </c>
      <c r="C262" s="1">
        <v>45184</v>
      </c>
      <c r="D262" s="1">
        <v>32782</v>
      </c>
      <c r="E262">
        <v>33.96</v>
      </c>
      <c r="F262">
        <v>4</v>
      </c>
      <c r="G262">
        <v>1</v>
      </c>
      <c r="H262">
        <v>2</v>
      </c>
      <c r="I262">
        <v>0</v>
      </c>
      <c r="J262">
        <v>6</v>
      </c>
      <c r="K262">
        <v>11</v>
      </c>
      <c r="L262">
        <v>29</v>
      </c>
      <c r="M262">
        <v>3.5</v>
      </c>
      <c r="N262">
        <v>9</v>
      </c>
      <c r="O262">
        <v>9</v>
      </c>
      <c r="P262">
        <v>9</v>
      </c>
      <c r="Q262">
        <v>8</v>
      </c>
      <c r="R262">
        <v>14</v>
      </c>
      <c r="S262">
        <v>7</v>
      </c>
      <c r="T262">
        <v>3.1666666666666998</v>
      </c>
      <c r="U262">
        <v>4</v>
      </c>
      <c r="V262">
        <v>1</v>
      </c>
      <c r="W262">
        <v>5</v>
      </c>
      <c r="X262">
        <v>4</v>
      </c>
      <c r="AB262">
        <v>0</v>
      </c>
      <c r="AC262">
        <v>18702</v>
      </c>
      <c r="AD262">
        <v>5</v>
      </c>
      <c r="AE262">
        <v>1</v>
      </c>
      <c r="AI262">
        <v>14</v>
      </c>
      <c r="AJ262">
        <v>13</v>
      </c>
      <c r="AK262">
        <v>17</v>
      </c>
      <c r="AL262">
        <v>12</v>
      </c>
      <c r="AM262">
        <v>23</v>
      </c>
    </row>
    <row r="263" spans="1:39" x14ac:dyDescent="0.2">
      <c r="A263">
        <v>1974</v>
      </c>
      <c r="B263">
        <v>41656</v>
      </c>
      <c r="C263" s="1">
        <v>45184</v>
      </c>
      <c r="D263" s="1">
        <v>20721</v>
      </c>
      <c r="E263">
        <v>66.98</v>
      </c>
      <c r="F263">
        <v>4</v>
      </c>
      <c r="G263">
        <v>1</v>
      </c>
      <c r="H263">
        <v>1</v>
      </c>
      <c r="I263">
        <v>0</v>
      </c>
      <c r="J263">
        <v>0</v>
      </c>
      <c r="K263">
        <v>1</v>
      </c>
      <c r="L263">
        <v>28</v>
      </c>
      <c r="M263">
        <v>3.5625</v>
      </c>
      <c r="N263">
        <v>12</v>
      </c>
      <c r="O263">
        <v>10</v>
      </c>
      <c r="P263">
        <v>10</v>
      </c>
      <c r="Q263">
        <v>1</v>
      </c>
      <c r="R263">
        <v>12</v>
      </c>
      <c r="S263">
        <v>12</v>
      </c>
      <c r="T263">
        <v>7</v>
      </c>
      <c r="U263">
        <v>5</v>
      </c>
      <c r="V263">
        <v>3</v>
      </c>
      <c r="W263">
        <v>8</v>
      </c>
      <c r="X263">
        <v>5</v>
      </c>
      <c r="AB263">
        <v>0</v>
      </c>
      <c r="AC263">
        <v>7470</v>
      </c>
      <c r="AD263">
        <v>8</v>
      </c>
      <c r="AE263">
        <v>0</v>
      </c>
      <c r="AI263">
        <v>16</v>
      </c>
      <c r="AJ263">
        <v>10</v>
      </c>
      <c r="AK263">
        <v>13</v>
      </c>
      <c r="AL263">
        <v>12</v>
      </c>
      <c r="AM263">
        <v>15</v>
      </c>
    </row>
    <row r="264" spans="1:39" x14ac:dyDescent="0.2">
      <c r="A264">
        <v>1978</v>
      </c>
      <c r="B264">
        <v>181971</v>
      </c>
      <c r="C264" s="1">
        <v>45185</v>
      </c>
      <c r="D264" s="1">
        <v>26238</v>
      </c>
      <c r="E264">
        <v>51.88</v>
      </c>
      <c r="F264">
        <v>3</v>
      </c>
      <c r="G264">
        <v>0</v>
      </c>
      <c r="H264">
        <v>0</v>
      </c>
      <c r="I264">
        <v>0</v>
      </c>
      <c r="J264">
        <v>4</v>
      </c>
      <c r="K264">
        <v>2</v>
      </c>
      <c r="L264">
        <v>27</v>
      </c>
      <c r="M264">
        <v>3.9375</v>
      </c>
      <c r="N264">
        <v>11</v>
      </c>
      <c r="O264">
        <v>12</v>
      </c>
      <c r="P264">
        <v>12</v>
      </c>
      <c r="Q264">
        <v>1</v>
      </c>
      <c r="R264">
        <v>15</v>
      </c>
      <c r="S264">
        <v>12</v>
      </c>
      <c r="T264">
        <v>6.4166666666666599</v>
      </c>
      <c r="U264">
        <v>4</v>
      </c>
      <c r="V264">
        <v>0</v>
      </c>
      <c r="W264">
        <v>6</v>
      </c>
      <c r="X264">
        <v>4</v>
      </c>
      <c r="AB264">
        <v>2</v>
      </c>
      <c r="AC264">
        <v>7728</v>
      </c>
      <c r="AD264">
        <v>6</v>
      </c>
      <c r="AE264">
        <v>0</v>
      </c>
      <c r="AI264">
        <v>17</v>
      </c>
      <c r="AJ264">
        <v>12</v>
      </c>
      <c r="AK264">
        <v>15</v>
      </c>
      <c r="AL264">
        <v>8</v>
      </c>
      <c r="AM264">
        <v>14</v>
      </c>
    </row>
    <row r="265" spans="1:39" x14ac:dyDescent="0.2">
      <c r="A265">
        <v>1987</v>
      </c>
      <c r="B265">
        <v>101377</v>
      </c>
      <c r="C265" s="1">
        <v>45185</v>
      </c>
      <c r="D265" s="1">
        <v>28138</v>
      </c>
      <c r="E265">
        <v>46.67</v>
      </c>
      <c r="F265">
        <v>4</v>
      </c>
      <c r="G265">
        <v>1</v>
      </c>
      <c r="H265">
        <v>5</v>
      </c>
      <c r="I265">
        <v>4</v>
      </c>
      <c r="J265">
        <v>7</v>
      </c>
      <c r="K265">
        <v>12</v>
      </c>
      <c r="L265">
        <v>0</v>
      </c>
      <c r="M265">
        <v>3.3125</v>
      </c>
      <c r="N265">
        <v>9</v>
      </c>
      <c r="O265">
        <v>9</v>
      </c>
      <c r="P265">
        <v>9</v>
      </c>
      <c r="Q265">
        <v>2</v>
      </c>
      <c r="R265">
        <v>15</v>
      </c>
      <c r="S265">
        <v>9</v>
      </c>
      <c r="T265">
        <v>3.25</v>
      </c>
      <c r="U265">
        <v>4</v>
      </c>
      <c r="V265">
        <v>0</v>
      </c>
      <c r="W265">
        <v>5</v>
      </c>
      <c r="X265">
        <v>4</v>
      </c>
      <c r="AB265">
        <v>0</v>
      </c>
      <c r="AC265">
        <v>8108</v>
      </c>
      <c r="AD265">
        <v>5</v>
      </c>
      <c r="AE265">
        <v>0</v>
      </c>
      <c r="AI265">
        <v>14</v>
      </c>
      <c r="AJ265">
        <v>8</v>
      </c>
      <c r="AK265">
        <v>16</v>
      </c>
      <c r="AL265">
        <v>15</v>
      </c>
      <c r="AM265">
        <v>18</v>
      </c>
    </row>
    <row r="266" spans="1:39" x14ac:dyDescent="0.2">
      <c r="A266">
        <v>1988</v>
      </c>
      <c r="B266">
        <v>42094</v>
      </c>
      <c r="C266" s="1">
        <v>45185</v>
      </c>
      <c r="D266" s="1">
        <v>34598</v>
      </c>
      <c r="E266">
        <v>28.99</v>
      </c>
      <c r="F266">
        <v>4</v>
      </c>
      <c r="G266">
        <v>1</v>
      </c>
      <c r="H266">
        <v>1</v>
      </c>
      <c r="I266">
        <v>0</v>
      </c>
      <c r="J266">
        <v>1</v>
      </c>
      <c r="K266">
        <v>2</v>
      </c>
      <c r="L266">
        <v>28</v>
      </c>
      <c r="M266">
        <v>3.8125</v>
      </c>
      <c r="N266">
        <v>11</v>
      </c>
      <c r="O266">
        <v>6</v>
      </c>
      <c r="P266">
        <v>12</v>
      </c>
      <c r="Q266">
        <v>3</v>
      </c>
      <c r="R266">
        <v>18</v>
      </c>
      <c r="S266">
        <v>11</v>
      </c>
      <c r="T266">
        <v>6.5</v>
      </c>
      <c r="U266">
        <v>6</v>
      </c>
      <c r="V266">
        <v>0</v>
      </c>
      <c r="W266">
        <v>9</v>
      </c>
      <c r="X266">
        <v>6</v>
      </c>
      <c r="AC266">
        <v>19103</v>
      </c>
      <c r="AD266">
        <v>9</v>
      </c>
      <c r="AE266">
        <v>0</v>
      </c>
      <c r="AI266">
        <v>10</v>
      </c>
      <c r="AJ266">
        <v>12</v>
      </c>
      <c r="AK266">
        <v>9</v>
      </c>
      <c r="AL266">
        <v>12</v>
      </c>
      <c r="AM266">
        <v>14</v>
      </c>
    </row>
    <row r="267" spans="1:39" x14ac:dyDescent="0.2">
      <c r="A267">
        <v>1995</v>
      </c>
      <c r="B267">
        <v>191189</v>
      </c>
      <c r="C267" s="1">
        <v>45185</v>
      </c>
      <c r="D267" s="1">
        <v>32649</v>
      </c>
      <c r="E267">
        <v>34.32</v>
      </c>
      <c r="F267">
        <v>4</v>
      </c>
      <c r="G267">
        <v>1</v>
      </c>
      <c r="H267">
        <v>0</v>
      </c>
      <c r="I267">
        <v>0</v>
      </c>
      <c r="J267">
        <v>4</v>
      </c>
      <c r="K267">
        <v>10</v>
      </c>
      <c r="L267">
        <v>28</v>
      </c>
      <c r="M267">
        <v>3.5</v>
      </c>
      <c r="N267">
        <v>9</v>
      </c>
      <c r="O267">
        <v>6</v>
      </c>
      <c r="P267">
        <v>9</v>
      </c>
      <c r="Q267">
        <v>8</v>
      </c>
      <c r="R267">
        <v>15</v>
      </c>
      <c r="S267">
        <v>9</v>
      </c>
      <c r="T267">
        <v>4.6666666666666998</v>
      </c>
      <c r="U267">
        <v>4</v>
      </c>
      <c r="V267">
        <v>0</v>
      </c>
      <c r="W267">
        <v>7</v>
      </c>
      <c r="X267">
        <v>4</v>
      </c>
      <c r="AB267">
        <v>0</v>
      </c>
      <c r="AC267">
        <v>17872</v>
      </c>
      <c r="AD267">
        <v>7</v>
      </c>
      <c r="AE267">
        <v>0</v>
      </c>
      <c r="AI267">
        <v>15</v>
      </c>
      <c r="AJ267">
        <v>10</v>
      </c>
      <c r="AK267">
        <v>14</v>
      </c>
      <c r="AL267">
        <v>18</v>
      </c>
      <c r="AM267">
        <v>23</v>
      </c>
    </row>
    <row r="268" spans="1:39" x14ac:dyDescent="0.2">
      <c r="A268">
        <v>2001</v>
      </c>
      <c r="B268">
        <v>40298</v>
      </c>
      <c r="C268" s="1">
        <v>45185</v>
      </c>
      <c r="D268" s="1">
        <v>35920</v>
      </c>
      <c r="E268">
        <v>25.37</v>
      </c>
      <c r="F268">
        <v>4</v>
      </c>
      <c r="G268">
        <v>0</v>
      </c>
      <c r="H268">
        <v>5</v>
      </c>
      <c r="I268">
        <v>5</v>
      </c>
      <c r="J268">
        <v>4</v>
      </c>
      <c r="K268">
        <v>17</v>
      </c>
      <c r="L268">
        <v>33</v>
      </c>
      <c r="M268">
        <v>4.1875</v>
      </c>
      <c r="N268">
        <v>12</v>
      </c>
      <c r="O268">
        <v>12</v>
      </c>
      <c r="P268">
        <v>11</v>
      </c>
      <c r="Q268">
        <v>12</v>
      </c>
      <c r="R268">
        <v>8</v>
      </c>
      <c r="S268">
        <v>12</v>
      </c>
      <c r="T268">
        <v>4.75</v>
      </c>
      <c r="U268">
        <v>5</v>
      </c>
      <c r="V268">
        <v>1</v>
      </c>
      <c r="W268">
        <v>4</v>
      </c>
      <c r="X268">
        <v>5</v>
      </c>
      <c r="AB268">
        <v>1</v>
      </c>
      <c r="AC268">
        <v>19406</v>
      </c>
      <c r="AD268">
        <v>4</v>
      </c>
      <c r="AE268">
        <v>0</v>
      </c>
      <c r="AI268">
        <v>14</v>
      </c>
      <c r="AJ268">
        <v>10</v>
      </c>
      <c r="AK268">
        <v>7</v>
      </c>
      <c r="AL268">
        <v>12</v>
      </c>
      <c r="AM268">
        <v>16</v>
      </c>
    </row>
    <row r="269" spans="1:39" x14ac:dyDescent="0.2">
      <c r="A269">
        <v>2005</v>
      </c>
      <c r="B269">
        <v>32057</v>
      </c>
      <c r="C269" s="1">
        <v>45185</v>
      </c>
      <c r="D269" s="1">
        <v>20938</v>
      </c>
      <c r="E269">
        <v>66.39</v>
      </c>
      <c r="F269">
        <v>4</v>
      </c>
      <c r="G269">
        <v>1</v>
      </c>
      <c r="H269">
        <v>1</v>
      </c>
      <c r="I269">
        <v>0</v>
      </c>
      <c r="J269">
        <v>0</v>
      </c>
      <c r="K269">
        <v>6</v>
      </c>
      <c r="L269">
        <v>28</v>
      </c>
      <c r="M269">
        <v>2.9375</v>
      </c>
      <c r="N269">
        <v>9</v>
      </c>
      <c r="O269">
        <v>8</v>
      </c>
      <c r="P269">
        <v>6</v>
      </c>
      <c r="Q269">
        <v>3</v>
      </c>
      <c r="R269">
        <v>13</v>
      </c>
      <c r="S269">
        <v>8</v>
      </c>
      <c r="T269">
        <v>4.0833333333333002</v>
      </c>
      <c r="U269">
        <v>4</v>
      </c>
      <c r="V269">
        <v>3</v>
      </c>
      <c r="W269">
        <v>8</v>
      </c>
      <c r="X269">
        <v>4</v>
      </c>
      <c r="AB269">
        <v>3</v>
      </c>
      <c r="AC269">
        <v>19140</v>
      </c>
      <c r="AD269">
        <v>8</v>
      </c>
      <c r="AE269">
        <v>1</v>
      </c>
      <c r="AI269">
        <v>11</v>
      </c>
      <c r="AJ269">
        <v>17</v>
      </c>
      <c r="AK269">
        <v>16</v>
      </c>
      <c r="AL269">
        <v>10</v>
      </c>
      <c r="AM269">
        <v>18</v>
      </c>
    </row>
    <row r="270" spans="1:39" x14ac:dyDescent="0.2">
      <c r="A270">
        <v>2007</v>
      </c>
      <c r="B270">
        <v>191365</v>
      </c>
      <c r="C270" s="1">
        <v>45185</v>
      </c>
      <c r="D270" s="1">
        <v>24091</v>
      </c>
      <c r="E270">
        <v>57.75</v>
      </c>
      <c r="F270">
        <v>4</v>
      </c>
      <c r="G270">
        <v>1</v>
      </c>
      <c r="H270">
        <v>2</v>
      </c>
      <c r="I270">
        <v>0</v>
      </c>
      <c r="J270">
        <v>0</v>
      </c>
      <c r="K270">
        <v>5</v>
      </c>
      <c r="L270">
        <v>28</v>
      </c>
      <c r="M270">
        <v>3</v>
      </c>
      <c r="N270">
        <v>9</v>
      </c>
      <c r="O270">
        <v>5</v>
      </c>
      <c r="P270">
        <v>9</v>
      </c>
      <c r="Q270">
        <v>3</v>
      </c>
      <c r="R270">
        <v>15</v>
      </c>
      <c r="S270">
        <v>7</v>
      </c>
      <c r="T270">
        <v>4.4166666666666998</v>
      </c>
      <c r="U270">
        <v>6</v>
      </c>
      <c r="V270">
        <v>6</v>
      </c>
      <c r="W270">
        <v>8</v>
      </c>
      <c r="X270">
        <v>6</v>
      </c>
      <c r="AB270">
        <v>1</v>
      </c>
      <c r="AC270">
        <v>8077</v>
      </c>
      <c r="AD270">
        <v>8</v>
      </c>
      <c r="AE270">
        <v>0</v>
      </c>
      <c r="AI270">
        <v>13</v>
      </c>
      <c r="AJ270">
        <v>7</v>
      </c>
      <c r="AK270">
        <v>11</v>
      </c>
      <c r="AL270">
        <v>16</v>
      </c>
      <c r="AM270">
        <v>17</v>
      </c>
    </row>
    <row r="271" spans="1:39" x14ac:dyDescent="0.2">
      <c r="A271">
        <v>2010</v>
      </c>
      <c r="B271">
        <v>181999</v>
      </c>
      <c r="C271" s="1">
        <v>45185</v>
      </c>
      <c r="D271" s="1">
        <v>36364</v>
      </c>
      <c r="E271">
        <v>24.15</v>
      </c>
      <c r="F271">
        <v>4</v>
      </c>
      <c r="G271">
        <v>2</v>
      </c>
      <c r="H271">
        <v>1</v>
      </c>
      <c r="I271">
        <v>8</v>
      </c>
      <c r="J271">
        <v>2</v>
      </c>
      <c r="K271">
        <v>8</v>
      </c>
      <c r="L271">
        <v>30</v>
      </c>
      <c r="M271">
        <v>2.875</v>
      </c>
      <c r="N271">
        <v>12</v>
      </c>
      <c r="O271">
        <v>0</v>
      </c>
      <c r="P271">
        <v>12</v>
      </c>
      <c r="Q271">
        <v>1</v>
      </c>
      <c r="R271">
        <v>15</v>
      </c>
      <c r="S271">
        <v>6</v>
      </c>
      <c r="T271">
        <v>5.8333333333333002</v>
      </c>
      <c r="U271">
        <v>5</v>
      </c>
      <c r="V271">
        <v>1</v>
      </c>
      <c r="W271">
        <v>2</v>
      </c>
      <c r="X271">
        <v>5</v>
      </c>
      <c r="AB271">
        <v>1</v>
      </c>
      <c r="AC271">
        <v>8108</v>
      </c>
      <c r="AD271">
        <v>2</v>
      </c>
      <c r="AE271">
        <v>1</v>
      </c>
      <c r="AI271">
        <v>14</v>
      </c>
      <c r="AJ271">
        <v>13</v>
      </c>
      <c r="AK271">
        <v>15</v>
      </c>
      <c r="AL271">
        <v>15</v>
      </c>
      <c r="AM271">
        <v>19</v>
      </c>
    </row>
    <row r="272" spans="1:39" x14ac:dyDescent="0.2">
      <c r="A272">
        <v>2014</v>
      </c>
      <c r="B272">
        <v>132398</v>
      </c>
      <c r="C272" s="1">
        <v>45185</v>
      </c>
      <c r="D272" s="1">
        <v>36030</v>
      </c>
      <c r="E272">
        <v>25.07</v>
      </c>
      <c r="F272">
        <v>4</v>
      </c>
      <c r="G272">
        <v>1</v>
      </c>
      <c r="H272">
        <v>3</v>
      </c>
      <c r="I272">
        <v>0</v>
      </c>
      <c r="J272">
        <v>0</v>
      </c>
      <c r="K272">
        <v>4</v>
      </c>
      <c r="L272">
        <v>0</v>
      </c>
      <c r="M272">
        <v>3.5</v>
      </c>
      <c r="N272">
        <v>12</v>
      </c>
      <c r="O272">
        <v>2</v>
      </c>
      <c r="P272">
        <v>12</v>
      </c>
      <c r="Q272">
        <v>0</v>
      </c>
      <c r="R272">
        <v>18</v>
      </c>
      <c r="S272">
        <v>12</v>
      </c>
      <c r="T272">
        <v>5.1666666666666998</v>
      </c>
      <c r="U272">
        <v>5</v>
      </c>
      <c r="V272">
        <v>2</v>
      </c>
      <c r="W272">
        <v>6</v>
      </c>
      <c r="X272">
        <v>5</v>
      </c>
      <c r="AB272">
        <v>0</v>
      </c>
      <c r="AC272">
        <v>8012</v>
      </c>
      <c r="AD272">
        <v>6</v>
      </c>
      <c r="AE272">
        <v>0</v>
      </c>
      <c r="AI272">
        <v>11</v>
      </c>
      <c r="AJ272">
        <v>11</v>
      </c>
      <c r="AK272">
        <v>14</v>
      </c>
      <c r="AL272">
        <v>14</v>
      </c>
      <c r="AM272">
        <v>15</v>
      </c>
    </row>
    <row r="273" spans="1:39" x14ac:dyDescent="0.2">
      <c r="A273">
        <v>2016</v>
      </c>
      <c r="B273">
        <v>50278</v>
      </c>
      <c r="C273" s="1">
        <v>45185</v>
      </c>
      <c r="D273" s="1">
        <v>28730</v>
      </c>
      <c r="E273">
        <v>45.05</v>
      </c>
      <c r="F273">
        <v>4</v>
      </c>
      <c r="G273">
        <v>1</v>
      </c>
      <c r="H273">
        <v>0</v>
      </c>
      <c r="I273">
        <v>0</v>
      </c>
      <c r="J273">
        <v>4</v>
      </c>
      <c r="K273">
        <v>9</v>
      </c>
      <c r="L273">
        <v>30</v>
      </c>
      <c r="M273">
        <v>3.5625</v>
      </c>
      <c r="N273">
        <v>10</v>
      </c>
      <c r="O273">
        <v>9</v>
      </c>
      <c r="P273">
        <v>8</v>
      </c>
      <c r="Q273">
        <v>7</v>
      </c>
      <c r="R273">
        <v>14</v>
      </c>
      <c r="S273">
        <v>9</v>
      </c>
      <c r="T273">
        <v>4.0833333333333002</v>
      </c>
      <c r="U273">
        <v>4</v>
      </c>
      <c r="V273">
        <v>1</v>
      </c>
      <c r="W273">
        <v>4</v>
      </c>
      <c r="X273">
        <v>4</v>
      </c>
      <c r="AB273">
        <v>0</v>
      </c>
      <c r="AC273">
        <v>27205</v>
      </c>
      <c r="AD273">
        <v>4</v>
      </c>
      <c r="AE273">
        <v>1</v>
      </c>
      <c r="AI273">
        <v>14</v>
      </c>
      <c r="AJ273">
        <v>11</v>
      </c>
      <c r="AK273">
        <v>16</v>
      </c>
      <c r="AL273">
        <v>15</v>
      </c>
      <c r="AM273">
        <v>16</v>
      </c>
    </row>
    <row r="274" spans="1:39" x14ac:dyDescent="0.2">
      <c r="A274">
        <v>2017</v>
      </c>
      <c r="B274">
        <v>51974</v>
      </c>
      <c r="C274" s="1">
        <v>45185</v>
      </c>
      <c r="D274" s="1">
        <v>27366</v>
      </c>
      <c r="E274">
        <v>48.79</v>
      </c>
      <c r="F274">
        <v>4</v>
      </c>
      <c r="G274">
        <v>1</v>
      </c>
      <c r="H274">
        <v>2</v>
      </c>
      <c r="I274">
        <v>0</v>
      </c>
      <c r="J274">
        <v>0</v>
      </c>
      <c r="K274">
        <v>8</v>
      </c>
      <c r="L274">
        <v>29</v>
      </c>
      <c r="M274">
        <v>3.0625</v>
      </c>
      <c r="N274">
        <v>10</v>
      </c>
      <c r="O274">
        <v>4</v>
      </c>
      <c r="P274">
        <v>9</v>
      </c>
      <c r="Q274">
        <v>0</v>
      </c>
      <c r="R274">
        <v>17</v>
      </c>
      <c r="S274">
        <v>9</v>
      </c>
      <c r="T274">
        <v>4.9166666666666998</v>
      </c>
      <c r="U274">
        <v>5</v>
      </c>
      <c r="V274">
        <v>5</v>
      </c>
      <c r="W274">
        <v>7</v>
      </c>
      <c r="X274">
        <v>5</v>
      </c>
      <c r="AB274">
        <v>4</v>
      </c>
      <c r="AC274">
        <v>19002</v>
      </c>
      <c r="AD274">
        <v>7</v>
      </c>
      <c r="AE274">
        <v>0</v>
      </c>
      <c r="AI274">
        <v>14</v>
      </c>
      <c r="AJ274">
        <v>18</v>
      </c>
      <c r="AK274">
        <v>16</v>
      </c>
      <c r="AL274">
        <v>15</v>
      </c>
      <c r="AM274">
        <v>16</v>
      </c>
    </row>
    <row r="275" spans="1:39" x14ac:dyDescent="0.2">
      <c r="A275">
        <v>2024</v>
      </c>
      <c r="B275">
        <v>72366</v>
      </c>
      <c r="C275" s="1">
        <v>45186</v>
      </c>
      <c r="D275" s="1">
        <v>24379</v>
      </c>
      <c r="E275">
        <v>56.97</v>
      </c>
      <c r="F275">
        <v>3</v>
      </c>
      <c r="G275">
        <v>0</v>
      </c>
      <c r="H275">
        <v>0</v>
      </c>
      <c r="I275">
        <v>0</v>
      </c>
      <c r="J275">
        <v>1</v>
      </c>
      <c r="K275">
        <v>8</v>
      </c>
      <c r="L275">
        <v>24</v>
      </c>
      <c r="M275">
        <v>4.125</v>
      </c>
      <c r="N275">
        <v>11</v>
      </c>
      <c r="O275">
        <v>9</v>
      </c>
      <c r="P275">
        <v>9</v>
      </c>
      <c r="Q275">
        <v>10</v>
      </c>
      <c r="R275">
        <v>17</v>
      </c>
      <c r="S275">
        <v>10</v>
      </c>
      <c r="T275">
        <v>5</v>
      </c>
      <c r="U275">
        <v>4</v>
      </c>
      <c r="V275">
        <v>1</v>
      </c>
      <c r="W275">
        <v>6</v>
      </c>
      <c r="X275">
        <v>4</v>
      </c>
      <c r="AB275">
        <v>0</v>
      </c>
      <c r="AC275">
        <v>19121</v>
      </c>
      <c r="AD275">
        <v>6</v>
      </c>
      <c r="AE275">
        <v>0</v>
      </c>
      <c r="AI275">
        <v>10</v>
      </c>
      <c r="AJ275">
        <v>6</v>
      </c>
      <c r="AK275">
        <v>12</v>
      </c>
      <c r="AL275">
        <v>9</v>
      </c>
      <c r="AM275">
        <v>10</v>
      </c>
    </row>
    <row r="276" spans="1:39" x14ac:dyDescent="0.2">
      <c r="A276">
        <v>2025</v>
      </c>
      <c r="B276">
        <v>120223</v>
      </c>
      <c r="C276" s="1">
        <v>45186</v>
      </c>
      <c r="D276" s="1">
        <v>45186</v>
      </c>
      <c r="E276">
        <v>0</v>
      </c>
      <c r="F276">
        <v>3</v>
      </c>
      <c r="G276">
        <v>1</v>
      </c>
      <c r="H276">
        <v>0</v>
      </c>
      <c r="I276">
        <v>0</v>
      </c>
      <c r="J276">
        <v>5</v>
      </c>
      <c r="K276">
        <v>18</v>
      </c>
      <c r="L276">
        <v>0</v>
      </c>
      <c r="M276">
        <v>2.8125</v>
      </c>
      <c r="N276">
        <v>12</v>
      </c>
      <c r="O276">
        <v>4</v>
      </c>
      <c r="P276">
        <v>8</v>
      </c>
      <c r="Q276">
        <v>0</v>
      </c>
      <c r="R276">
        <v>14</v>
      </c>
      <c r="S276">
        <v>7</v>
      </c>
      <c r="T276">
        <v>0</v>
      </c>
      <c r="U276">
        <v>2</v>
      </c>
      <c r="V276">
        <v>0</v>
      </c>
      <c r="W276">
        <v>1</v>
      </c>
      <c r="X276">
        <v>2</v>
      </c>
      <c r="AC276">
        <v>19126</v>
      </c>
      <c r="AD276">
        <v>1</v>
      </c>
      <c r="AE276">
        <v>0</v>
      </c>
      <c r="AI276">
        <v>12</v>
      </c>
      <c r="AJ276">
        <v>13</v>
      </c>
      <c r="AK276">
        <v>15</v>
      </c>
      <c r="AL276">
        <v>15</v>
      </c>
      <c r="AM276">
        <v>16</v>
      </c>
    </row>
    <row r="277" spans="1:39" x14ac:dyDescent="0.2">
      <c r="A277">
        <v>2028</v>
      </c>
      <c r="B277">
        <v>120396</v>
      </c>
      <c r="C277" s="1">
        <v>45186</v>
      </c>
      <c r="D277" s="1">
        <v>35136</v>
      </c>
      <c r="E277">
        <v>27.52</v>
      </c>
      <c r="F277">
        <v>5</v>
      </c>
      <c r="G277">
        <v>1</v>
      </c>
      <c r="H277">
        <v>3</v>
      </c>
      <c r="I277">
        <v>0</v>
      </c>
      <c r="J277">
        <v>0</v>
      </c>
      <c r="K277">
        <v>6</v>
      </c>
      <c r="L277">
        <v>0</v>
      </c>
      <c r="M277">
        <v>3.1875</v>
      </c>
      <c r="N277">
        <v>12</v>
      </c>
      <c r="O277">
        <v>0</v>
      </c>
      <c r="P277">
        <v>9</v>
      </c>
      <c r="Q277">
        <v>3</v>
      </c>
      <c r="R277">
        <v>18</v>
      </c>
      <c r="S277">
        <v>9</v>
      </c>
      <c r="T277">
        <v>4.3333333333333304</v>
      </c>
      <c r="U277">
        <v>5</v>
      </c>
      <c r="V277">
        <v>3</v>
      </c>
      <c r="W277">
        <v>7</v>
      </c>
      <c r="X277">
        <v>5</v>
      </c>
      <c r="AB277">
        <v>0</v>
      </c>
      <c r="AC277">
        <v>28226</v>
      </c>
      <c r="AD277">
        <v>7</v>
      </c>
      <c r="AE277">
        <v>1</v>
      </c>
      <c r="AI277">
        <v>16</v>
      </c>
      <c r="AJ277">
        <v>15</v>
      </c>
      <c r="AK277">
        <v>19</v>
      </c>
      <c r="AL277">
        <v>21</v>
      </c>
      <c r="AM277">
        <v>21</v>
      </c>
    </row>
    <row r="278" spans="1:39" x14ac:dyDescent="0.2">
      <c r="A278">
        <v>2033</v>
      </c>
      <c r="B278">
        <v>32391</v>
      </c>
      <c r="C278" s="1">
        <v>45186</v>
      </c>
      <c r="D278" s="1">
        <v>33350</v>
      </c>
      <c r="E278">
        <v>32.409999999999997</v>
      </c>
      <c r="F278">
        <v>4</v>
      </c>
      <c r="G278">
        <v>1</v>
      </c>
      <c r="H278">
        <v>0</v>
      </c>
      <c r="I278">
        <v>0</v>
      </c>
      <c r="J278">
        <v>8</v>
      </c>
      <c r="K278">
        <v>17</v>
      </c>
      <c r="L278">
        <v>0</v>
      </c>
      <c r="M278">
        <v>4.75</v>
      </c>
      <c r="N278">
        <v>12</v>
      </c>
      <c r="O278">
        <v>12</v>
      </c>
      <c r="P278">
        <v>12</v>
      </c>
      <c r="Q278">
        <v>12</v>
      </c>
      <c r="R278">
        <v>17</v>
      </c>
      <c r="S278">
        <v>11</v>
      </c>
      <c r="T278">
        <v>5.9166666666666998</v>
      </c>
      <c r="U278">
        <v>4</v>
      </c>
      <c r="V278">
        <v>0</v>
      </c>
      <c r="W278">
        <v>3</v>
      </c>
      <c r="X278">
        <v>4</v>
      </c>
      <c r="AB278">
        <v>0</v>
      </c>
      <c r="AC278">
        <v>34120</v>
      </c>
      <c r="AD278">
        <v>3</v>
      </c>
      <c r="AE278">
        <v>0</v>
      </c>
      <c r="AI278">
        <v>16</v>
      </c>
      <c r="AJ278">
        <v>9</v>
      </c>
      <c r="AK278">
        <v>13</v>
      </c>
      <c r="AL278">
        <v>14</v>
      </c>
      <c r="AM278">
        <v>21</v>
      </c>
    </row>
    <row r="279" spans="1:39" x14ac:dyDescent="0.2">
      <c r="A279">
        <v>2037</v>
      </c>
      <c r="B279">
        <v>160775</v>
      </c>
      <c r="C279" s="1">
        <v>45186</v>
      </c>
      <c r="D279" s="1">
        <v>27407</v>
      </c>
      <c r="E279">
        <v>48.68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5</v>
      </c>
      <c r="L279">
        <v>7984</v>
      </c>
      <c r="M279">
        <v>2.5625</v>
      </c>
      <c r="N279">
        <v>9</v>
      </c>
      <c r="O279">
        <v>4</v>
      </c>
      <c r="P279">
        <v>9</v>
      </c>
      <c r="Q279">
        <v>1</v>
      </c>
      <c r="R279">
        <v>12</v>
      </c>
      <c r="S279">
        <v>6</v>
      </c>
      <c r="T279">
        <v>4.6666666666666599</v>
      </c>
      <c r="U279">
        <v>5</v>
      </c>
      <c r="V279">
        <v>4</v>
      </c>
      <c r="W279">
        <v>5</v>
      </c>
      <c r="X279">
        <v>5</v>
      </c>
      <c r="AB279">
        <v>2</v>
      </c>
      <c r="AD279">
        <v>5</v>
      </c>
      <c r="AE279">
        <v>0</v>
      </c>
      <c r="AI279">
        <v>15</v>
      </c>
      <c r="AJ279">
        <v>14</v>
      </c>
      <c r="AK279">
        <v>16</v>
      </c>
      <c r="AL279">
        <v>17</v>
      </c>
      <c r="AM279">
        <v>13</v>
      </c>
    </row>
    <row r="280" spans="1:39" x14ac:dyDescent="0.2">
      <c r="A280">
        <v>2043</v>
      </c>
      <c r="B280">
        <v>191985</v>
      </c>
      <c r="C280" s="1">
        <v>45186</v>
      </c>
      <c r="D280" s="1">
        <v>31234</v>
      </c>
      <c r="E280">
        <v>38.200000000000003</v>
      </c>
      <c r="F280">
        <v>4</v>
      </c>
      <c r="G280">
        <v>1</v>
      </c>
      <c r="H280">
        <v>0</v>
      </c>
      <c r="I280">
        <v>0</v>
      </c>
      <c r="J280">
        <v>5</v>
      </c>
      <c r="K280">
        <v>13</v>
      </c>
      <c r="L280">
        <v>0</v>
      </c>
      <c r="M280">
        <v>3.875</v>
      </c>
      <c r="N280">
        <v>12</v>
      </c>
      <c r="O280">
        <v>12</v>
      </c>
      <c r="P280">
        <v>12</v>
      </c>
      <c r="Q280">
        <v>0</v>
      </c>
      <c r="R280">
        <v>18</v>
      </c>
      <c r="S280">
        <v>8</v>
      </c>
      <c r="T280">
        <v>3.3333333333333002</v>
      </c>
      <c r="U280">
        <v>1</v>
      </c>
      <c r="V280">
        <v>1</v>
      </c>
      <c r="W280">
        <v>2</v>
      </c>
      <c r="X280">
        <v>1</v>
      </c>
      <c r="AB280">
        <v>3</v>
      </c>
      <c r="AC280">
        <v>19124</v>
      </c>
      <c r="AD280">
        <v>2</v>
      </c>
      <c r="AE280">
        <v>0</v>
      </c>
      <c r="AI280">
        <v>15</v>
      </c>
      <c r="AJ280">
        <v>6</v>
      </c>
      <c r="AK280">
        <v>9</v>
      </c>
      <c r="AL280">
        <v>9</v>
      </c>
      <c r="AM280">
        <v>9</v>
      </c>
    </row>
    <row r="281" spans="1:39" x14ac:dyDescent="0.2">
      <c r="A281">
        <v>2044</v>
      </c>
      <c r="B281">
        <v>90404</v>
      </c>
      <c r="C281" s="1">
        <v>45186</v>
      </c>
      <c r="D281" s="1">
        <v>38076</v>
      </c>
      <c r="E281">
        <v>19.47</v>
      </c>
      <c r="F281">
        <v>3</v>
      </c>
      <c r="G281">
        <v>1</v>
      </c>
      <c r="H281">
        <v>0</v>
      </c>
      <c r="I281">
        <v>0</v>
      </c>
      <c r="J281">
        <v>5</v>
      </c>
      <c r="K281">
        <v>12</v>
      </c>
      <c r="L281">
        <v>0</v>
      </c>
      <c r="M281">
        <v>3.375</v>
      </c>
      <c r="N281">
        <v>7</v>
      </c>
      <c r="O281">
        <v>9</v>
      </c>
      <c r="P281">
        <v>9</v>
      </c>
      <c r="Q281">
        <v>9</v>
      </c>
      <c r="R281">
        <v>11</v>
      </c>
      <c r="S281">
        <v>9</v>
      </c>
      <c r="T281">
        <v>4.0833333333333304</v>
      </c>
      <c r="U281">
        <v>1</v>
      </c>
      <c r="V281">
        <v>0</v>
      </c>
      <c r="W281">
        <v>4</v>
      </c>
      <c r="X281">
        <v>1</v>
      </c>
      <c r="AB281">
        <v>0</v>
      </c>
      <c r="AD281">
        <v>4</v>
      </c>
      <c r="AE281">
        <v>0</v>
      </c>
      <c r="AI281">
        <v>12</v>
      </c>
      <c r="AJ281">
        <v>12</v>
      </c>
      <c r="AK281">
        <v>7</v>
      </c>
      <c r="AL281">
        <v>16</v>
      </c>
      <c r="AM281">
        <v>13</v>
      </c>
    </row>
    <row r="282" spans="1:39" x14ac:dyDescent="0.2">
      <c r="A282">
        <v>2046</v>
      </c>
      <c r="B282">
        <v>20490</v>
      </c>
      <c r="C282" s="1">
        <v>45186</v>
      </c>
      <c r="D282" s="1">
        <v>32916</v>
      </c>
      <c r="E282">
        <v>33.590000000000003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3.1875</v>
      </c>
      <c r="N282">
        <v>9</v>
      </c>
      <c r="O282">
        <v>5</v>
      </c>
      <c r="P282">
        <v>9</v>
      </c>
      <c r="Q282">
        <v>4</v>
      </c>
      <c r="R282">
        <v>15</v>
      </c>
      <c r="S282">
        <v>9</v>
      </c>
      <c r="T282">
        <v>4.8333333333333304</v>
      </c>
      <c r="U282">
        <v>6</v>
      </c>
      <c r="V282">
        <v>5</v>
      </c>
      <c r="W282">
        <v>5</v>
      </c>
      <c r="X282">
        <v>6</v>
      </c>
      <c r="AB282">
        <v>1</v>
      </c>
      <c r="AC282">
        <v>11377</v>
      </c>
      <c r="AD282">
        <v>5</v>
      </c>
      <c r="AE282">
        <v>0</v>
      </c>
      <c r="AI282">
        <v>15</v>
      </c>
      <c r="AJ282">
        <v>11</v>
      </c>
      <c r="AK282">
        <v>15</v>
      </c>
      <c r="AL282">
        <v>12</v>
      </c>
      <c r="AM282">
        <v>12</v>
      </c>
    </row>
    <row r="283" spans="1:39" x14ac:dyDescent="0.2">
      <c r="A283">
        <v>2051</v>
      </c>
      <c r="B283">
        <v>51861</v>
      </c>
      <c r="C283" s="1">
        <v>45186</v>
      </c>
      <c r="D283" s="1">
        <v>22397</v>
      </c>
      <c r="E283">
        <v>62.39</v>
      </c>
      <c r="F283">
        <v>3</v>
      </c>
      <c r="G283">
        <v>0</v>
      </c>
      <c r="H283">
        <v>3</v>
      </c>
      <c r="I283">
        <v>2</v>
      </c>
      <c r="J283">
        <v>8</v>
      </c>
      <c r="K283">
        <v>17</v>
      </c>
      <c r="L283">
        <v>31</v>
      </c>
      <c r="M283">
        <v>3.75</v>
      </c>
      <c r="N283">
        <v>12</v>
      </c>
      <c r="O283">
        <v>9</v>
      </c>
      <c r="P283">
        <v>8</v>
      </c>
      <c r="Q283">
        <v>7</v>
      </c>
      <c r="R283">
        <v>13</v>
      </c>
      <c r="S283">
        <v>11</v>
      </c>
      <c r="T283">
        <v>5</v>
      </c>
      <c r="U283">
        <v>4</v>
      </c>
      <c r="V283">
        <v>0</v>
      </c>
      <c r="W283">
        <v>9</v>
      </c>
      <c r="X283">
        <v>4</v>
      </c>
      <c r="AB283">
        <v>0</v>
      </c>
      <c r="AC283">
        <v>19801</v>
      </c>
      <c r="AD283">
        <v>9</v>
      </c>
      <c r="AE283">
        <v>0</v>
      </c>
      <c r="AI283">
        <v>14</v>
      </c>
      <c r="AJ283">
        <v>9</v>
      </c>
      <c r="AK283">
        <v>14</v>
      </c>
      <c r="AL283">
        <v>15</v>
      </c>
      <c r="AM283">
        <v>16</v>
      </c>
    </row>
    <row r="284" spans="1:39" x14ac:dyDescent="0.2">
      <c r="A284">
        <v>2059</v>
      </c>
      <c r="B284">
        <v>101471</v>
      </c>
      <c r="C284" s="1">
        <v>45186</v>
      </c>
      <c r="D284" s="1">
        <v>26226</v>
      </c>
      <c r="E284">
        <v>51.91</v>
      </c>
      <c r="F284">
        <v>4</v>
      </c>
      <c r="G284">
        <v>1</v>
      </c>
      <c r="H284">
        <v>0</v>
      </c>
      <c r="I284">
        <v>0</v>
      </c>
      <c r="J284">
        <v>2</v>
      </c>
      <c r="K284">
        <v>5</v>
      </c>
      <c r="L284">
        <v>29</v>
      </c>
      <c r="M284">
        <v>3.6875</v>
      </c>
      <c r="N284">
        <v>11</v>
      </c>
      <c r="O284">
        <v>10</v>
      </c>
      <c r="P284">
        <v>9</v>
      </c>
      <c r="Q284">
        <v>1</v>
      </c>
      <c r="R284">
        <v>18</v>
      </c>
      <c r="S284">
        <v>10</v>
      </c>
      <c r="T284">
        <v>5.8333333333333002</v>
      </c>
      <c r="U284">
        <v>5</v>
      </c>
      <c r="V284">
        <v>0</v>
      </c>
      <c r="W284">
        <v>7</v>
      </c>
      <c r="X284">
        <v>5</v>
      </c>
      <c r="AB284">
        <v>1</v>
      </c>
      <c r="AC284">
        <v>19147</v>
      </c>
      <c r="AD284">
        <v>7</v>
      </c>
      <c r="AE284">
        <v>0</v>
      </c>
      <c r="AI284">
        <v>10</v>
      </c>
      <c r="AJ284">
        <v>9</v>
      </c>
      <c r="AK284">
        <v>12</v>
      </c>
      <c r="AL284">
        <v>9</v>
      </c>
      <c r="AM284">
        <v>9</v>
      </c>
    </row>
    <row r="285" spans="1:39" x14ac:dyDescent="0.2">
      <c r="A285">
        <v>2060</v>
      </c>
      <c r="B285">
        <v>262374</v>
      </c>
      <c r="C285" s="1">
        <v>45186</v>
      </c>
      <c r="D285" s="1">
        <v>27044</v>
      </c>
      <c r="E285">
        <v>49.67</v>
      </c>
      <c r="F285">
        <v>0</v>
      </c>
      <c r="G285">
        <v>1</v>
      </c>
      <c r="H285">
        <v>0</v>
      </c>
      <c r="I285">
        <v>0</v>
      </c>
      <c r="J285">
        <v>2</v>
      </c>
      <c r="K285">
        <v>12</v>
      </c>
      <c r="L285">
        <v>28</v>
      </c>
      <c r="M285">
        <v>3.0625</v>
      </c>
      <c r="N285">
        <v>11</v>
      </c>
      <c r="O285">
        <v>3</v>
      </c>
      <c r="P285">
        <v>10</v>
      </c>
      <c r="Q285">
        <v>0</v>
      </c>
      <c r="R285">
        <v>15</v>
      </c>
      <c r="S285">
        <v>10</v>
      </c>
      <c r="T285">
        <v>5.1666666666666998</v>
      </c>
      <c r="U285">
        <v>4</v>
      </c>
      <c r="V285">
        <v>1</v>
      </c>
      <c r="W285">
        <v>4</v>
      </c>
      <c r="X285">
        <v>4</v>
      </c>
      <c r="AB285">
        <v>1</v>
      </c>
      <c r="AC285">
        <v>53205</v>
      </c>
      <c r="AD285">
        <v>4</v>
      </c>
      <c r="AE285">
        <v>1</v>
      </c>
      <c r="AI285">
        <v>18</v>
      </c>
      <c r="AJ285">
        <v>20</v>
      </c>
      <c r="AK285">
        <v>19</v>
      </c>
      <c r="AL285">
        <v>23</v>
      </c>
      <c r="AM285">
        <v>21</v>
      </c>
    </row>
    <row r="286" spans="1:39" x14ac:dyDescent="0.2">
      <c r="A286">
        <v>2061</v>
      </c>
      <c r="B286">
        <v>42369</v>
      </c>
      <c r="C286" s="1">
        <v>45186</v>
      </c>
      <c r="D286" s="1">
        <v>25499</v>
      </c>
      <c r="E286">
        <v>53.9</v>
      </c>
      <c r="F286">
        <v>3</v>
      </c>
      <c r="G286">
        <v>1</v>
      </c>
      <c r="H286">
        <v>0</v>
      </c>
      <c r="I286">
        <v>0</v>
      </c>
      <c r="J286">
        <v>1</v>
      </c>
      <c r="K286">
        <v>8</v>
      </c>
      <c r="L286">
        <v>28</v>
      </c>
      <c r="M286">
        <v>2.9375</v>
      </c>
      <c r="N286">
        <v>11</v>
      </c>
      <c r="O286">
        <v>6</v>
      </c>
      <c r="P286">
        <v>8</v>
      </c>
      <c r="Q286">
        <v>1</v>
      </c>
      <c r="R286">
        <v>12</v>
      </c>
      <c r="S286">
        <v>9</v>
      </c>
      <c r="T286">
        <v>5</v>
      </c>
      <c r="U286">
        <v>4</v>
      </c>
      <c r="V286">
        <v>1</v>
      </c>
      <c r="W286">
        <v>6</v>
      </c>
      <c r="X286">
        <v>4</v>
      </c>
      <c r="AB286">
        <v>2</v>
      </c>
      <c r="AC286">
        <v>19140</v>
      </c>
      <c r="AD286">
        <v>6</v>
      </c>
      <c r="AE286">
        <v>0</v>
      </c>
      <c r="AI286">
        <v>13</v>
      </c>
      <c r="AJ286">
        <v>6</v>
      </c>
      <c r="AK286">
        <v>7</v>
      </c>
      <c r="AL286">
        <v>8</v>
      </c>
      <c r="AM286">
        <v>13</v>
      </c>
    </row>
    <row r="287" spans="1:39" x14ac:dyDescent="0.2">
      <c r="A287">
        <v>2065</v>
      </c>
      <c r="B287">
        <v>101478</v>
      </c>
      <c r="C287" s="1">
        <v>45186</v>
      </c>
      <c r="D287" s="1">
        <v>28544</v>
      </c>
      <c r="E287">
        <v>45.56</v>
      </c>
      <c r="F287">
        <v>4</v>
      </c>
      <c r="G287">
        <v>1</v>
      </c>
      <c r="H287">
        <v>0</v>
      </c>
      <c r="I287">
        <v>0</v>
      </c>
      <c r="J287">
        <v>7</v>
      </c>
      <c r="K287">
        <v>13</v>
      </c>
      <c r="L287">
        <v>27</v>
      </c>
      <c r="M287">
        <v>3.0625</v>
      </c>
      <c r="N287">
        <v>8</v>
      </c>
      <c r="O287">
        <v>3</v>
      </c>
      <c r="P287">
        <v>9</v>
      </c>
      <c r="Q287">
        <v>3</v>
      </c>
      <c r="R287">
        <v>17</v>
      </c>
      <c r="S287">
        <v>9</v>
      </c>
      <c r="T287">
        <v>3.1666666666666998</v>
      </c>
      <c r="U287">
        <v>5</v>
      </c>
      <c r="V287">
        <v>1</v>
      </c>
      <c r="W287">
        <v>4</v>
      </c>
      <c r="X287">
        <v>5</v>
      </c>
      <c r="AB287">
        <v>4</v>
      </c>
      <c r="AC287">
        <v>19083</v>
      </c>
      <c r="AD287">
        <v>4</v>
      </c>
      <c r="AE287">
        <v>0</v>
      </c>
      <c r="AI287">
        <v>11</v>
      </c>
      <c r="AJ287">
        <v>9</v>
      </c>
      <c r="AK287">
        <v>14</v>
      </c>
      <c r="AL287">
        <v>19</v>
      </c>
      <c r="AM287">
        <v>14</v>
      </c>
    </row>
    <row r="288" spans="1:39" x14ac:dyDescent="0.2">
      <c r="A288">
        <v>2068</v>
      </c>
      <c r="B288">
        <v>131691</v>
      </c>
      <c r="C288" s="1">
        <v>45186</v>
      </c>
      <c r="D288" s="1">
        <v>33502</v>
      </c>
      <c r="E288">
        <v>31.99</v>
      </c>
      <c r="F288">
        <v>4</v>
      </c>
      <c r="G288">
        <v>1</v>
      </c>
      <c r="H288">
        <v>3</v>
      </c>
      <c r="I288">
        <v>0</v>
      </c>
      <c r="J288">
        <v>3</v>
      </c>
      <c r="K288">
        <v>14</v>
      </c>
      <c r="L288">
        <v>27</v>
      </c>
      <c r="M288">
        <v>3.9375</v>
      </c>
      <c r="N288">
        <v>12</v>
      </c>
      <c r="O288">
        <v>10</v>
      </c>
      <c r="P288">
        <v>12</v>
      </c>
      <c r="Q288">
        <v>2</v>
      </c>
      <c r="R288">
        <v>15</v>
      </c>
      <c r="S288">
        <v>12</v>
      </c>
      <c r="T288">
        <v>3.6666666666666998</v>
      </c>
      <c r="U288">
        <v>5</v>
      </c>
      <c r="V288">
        <v>2</v>
      </c>
      <c r="W288">
        <v>5</v>
      </c>
      <c r="X288">
        <v>5</v>
      </c>
      <c r="AB288">
        <v>0</v>
      </c>
      <c r="AC288">
        <v>19713</v>
      </c>
      <c r="AD288">
        <v>5</v>
      </c>
      <c r="AE288">
        <v>0</v>
      </c>
      <c r="AI288">
        <v>15</v>
      </c>
      <c r="AJ288">
        <v>14</v>
      </c>
      <c r="AK288">
        <v>12</v>
      </c>
      <c r="AL288">
        <v>16</v>
      </c>
      <c r="AM288">
        <v>15</v>
      </c>
    </row>
    <row r="289" spans="1:41" x14ac:dyDescent="0.2">
      <c r="A289">
        <v>2071</v>
      </c>
      <c r="B289">
        <v>100475</v>
      </c>
      <c r="C289" s="1">
        <v>45186</v>
      </c>
      <c r="D289" s="1">
        <v>27740</v>
      </c>
      <c r="E289">
        <v>47.77</v>
      </c>
      <c r="F289">
        <v>4</v>
      </c>
      <c r="G289">
        <v>1</v>
      </c>
      <c r="H289">
        <v>1</v>
      </c>
      <c r="I289">
        <v>0</v>
      </c>
      <c r="J289">
        <v>0</v>
      </c>
      <c r="K289">
        <v>9</v>
      </c>
      <c r="L289">
        <v>28</v>
      </c>
      <c r="M289">
        <v>3.8125</v>
      </c>
      <c r="N289">
        <v>12</v>
      </c>
      <c r="O289">
        <v>6</v>
      </c>
      <c r="P289">
        <v>11</v>
      </c>
      <c r="Q289">
        <v>3</v>
      </c>
      <c r="R289">
        <v>18</v>
      </c>
      <c r="S289">
        <v>11</v>
      </c>
      <c r="T289">
        <v>5</v>
      </c>
      <c r="U289">
        <v>5</v>
      </c>
      <c r="V289">
        <v>6</v>
      </c>
      <c r="W289">
        <v>5</v>
      </c>
      <c r="X289">
        <v>5</v>
      </c>
      <c r="AB289">
        <v>0</v>
      </c>
      <c r="AC289">
        <v>19153</v>
      </c>
      <c r="AD289">
        <v>5</v>
      </c>
      <c r="AE289">
        <v>0</v>
      </c>
      <c r="AI289">
        <v>13</v>
      </c>
      <c r="AJ289">
        <v>11</v>
      </c>
      <c r="AK289">
        <v>10</v>
      </c>
      <c r="AL289">
        <v>11</v>
      </c>
      <c r="AM289">
        <v>13</v>
      </c>
    </row>
    <row r="290" spans="1:41" x14ac:dyDescent="0.2">
      <c r="A290">
        <v>2077</v>
      </c>
      <c r="B290">
        <v>141083</v>
      </c>
      <c r="C290" s="1">
        <v>45186</v>
      </c>
      <c r="D290" s="1">
        <v>30371</v>
      </c>
      <c r="E290">
        <v>40.56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2</v>
      </c>
      <c r="L290">
        <v>0</v>
      </c>
      <c r="M290">
        <v>2.375</v>
      </c>
      <c r="N290">
        <v>12</v>
      </c>
      <c r="O290">
        <v>0</v>
      </c>
      <c r="P290">
        <v>0</v>
      </c>
      <c r="Q290">
        <v>4</v>
      </c>
      <c r="R290">
        <v>14</v>
      </c>
      <c r="S290">
        <v>8</v>
      </c>
      <c r="T290">
        <v>0.58333333333333004</v>
      </c>
      <c r="U290">
        <v>1</v>
      </c>
      <c r="V290">
        <v>1</v>
      </c>
      <c r="W290">
        <v>1</v>
      </c>
      <c r="X290">
        <v>1</v>
      </c>
      <c r="AB290">
        <v>4</v>
      </c>
      <c r="AC290">
        <v>19138</v>
      </c>
      <c r="AD290">
        <v>1</v>
      </c>
      <c r="AE290">
        <v>0</v>
      </c>
      <c r="AI290">
        <v>14</v>
      </c>
      <c r="AJ290">
        <v>14</v>
      </c>
      <c r="AK290">
        <v>14</v>
      </c>
      <c r="AL290">
        <v>13</v>
      </c>
      <c r="AM290">
        <v>12</v>
      </c>
    </row>
    <row r="291" spans="1:41" x14ac:dyDescent="0.2">
      <c r="A291">
        <v>2084</v>
      </c>
      <c r="B291">
        <v>190485</v>
      </c>
      <c r="C291" s="1">
        <v>45187</v>
      </c>
      <c r="D291" s="1">
        <v>31397</v>
      </c>
      <c r="E291">
        <v>37.76</v>
      </c>
      <c r="F291">
        <v>3</v>
      </c>
      <c r="G291">
        <v>1</v>
      </c>
      <c r="H291">
        <v>1</v>
      </c>
      <c r="I291">
        <v>0</v>
      </c>
      <c r="J291">
        <v>0</v>
      </c>
      <c r="K291">
        <v>2</v>
      </c>
      <c r="L291">
        <v>28</v>
      </c>
      <c r="M291">
        <v>1.125</v>
      </c>
      <c r="N291">
        <v>0</v>
      </c>
      <c r="O291">
        <v>0</v>
      </c>
      <c r="P291">
        <v>0</v>
      </c>
      <c r="Q291">
        <v>0</v>
      </c>
      <c r="R291">
        <v>18</v>
      </c>
      <c r="S291">
        <v>0</v>
      </c>
      <c r="T291">
        <v>4</v>
      </c>
      <c r="U291">
        <v>1</v>
      </c>
      <c r="V291">
        <v>0</v>
      </c>
      <c r="W291">
        <v>6</v>
      </c>
      <c r="X291">
        <v>1</v>
      </c>
      <c r="AB291">
        <v>1</v>
      </c>
      <c r="AC291">
        <v>19133</v>
      </c>
      <c r="AD291">
        <v>6</v>
      </c>
      <c r="AE291">
        <v>0</v>
      </c>
      <c r="AI291">
        <v>18</v>
      </c>
      <c r="AJ291">
        <v>14</v>
      </c>
      <c r="AK291">
        <v>6</v>
      </c>
      <c r="AL291">
        <v>10</v>
      </c>
      <c r="AM291">
        <v>14</v>
      </c>
    </row>
    <row r="292" spans="1:41" x14ac:dyDescent="0.2">
      <c r="A292">
        <v>2089</v>
      </c>
      <c r="B292">
        <v>221366</v>
      </c>
      <c r="C292" s="1">
        <v>45187</v>
      </c>
      <c r="D292" s="1">
        <v>24330</v>
      </c>
      <c r="E292">
        <v>57.1</v>
      </c>
      <c r="F292">
        <v>3</v>
      </c>
      <c r="G292">
        <v>1</v>
      </c>
      <c r="H292">
        <v>0</v>
      </c>
      <c r="I292">
        <v>0</v>
      </c>
      <c r="J292">
        <v>1</v>
      </c>
      <c r="K292">
        <v>3</v>
      </c>
      <c r="L292">
        <v>0</v>
      </c>
      <c r="M292">
        <v>4.6875</v>
      </c>
      <c r="N292">
        <v>11</v>
      </c>
      <c r="O292">
        <v>12</v>
      </c>
      <c r="P292">
        <v>12</v>
      </c>
      <c r="Q292">
        <v>10</v>
      </c>
      <c r="R292">
        <v>18</v>
      </c>
      <c r="S292">
        <v>12</v>
      </c>
      <c r="T292">
        <v>7</v>
      </c>
      <c r="U292">
        <v>1</v>
      </c>
      <c r="V292">
        <v>1</v>
      </c>
      <c r="W292">
        <v>10</v>
      </c>
      <c r="X292">
        <v>1</v>
      </c>
      <c r="AB292">
        <v>0</v>
      </c>
      <c r="AC292">
        <v>19146</v>
      </c>
      <c r="AD292">
        <v>10</v>
      </c>
      <c r="AE292">
        <v>0</v>
      </c>
      <c r="AI292">
        <v>13</v>
      </c>
      <c r="AJ292">
        <v>6</v>
      </c>
      <c r="AK292">
        <v>6</v>
      </c>
      <c r="AL292">
        <v>7</v>
      </c>
      <c r="AM292">
        <v>14</v>
      </c>
    </row>
    <row r="293" spans="1:41" x14ac:dyDescent="0.2">
      <c r="A293">
        <v>2092</v>
      </c>
      <c r="B293">
        <v>100472</v>
      </c>
      <c r="C293" s="1">
        <v>45187</v>
      </c>
      <c r="D293" s="1">
        <v>26465</v>
      </c>
      <c r="E293">
        <v>51.26</v>
      </c>
      <c r="F293">
        <v>4</v>
      </c>
      <c r="G293">
        <v>0</v>
      </c>
      <c r="H293">
        <v>5</v>
      </c>
      <c r="I293">
        <v>1</v>
      </c>
      <c r="J293">
        <v>2</v>
      </c>
      <c r="K293">
        <v>15</v>
      </c>
      <c r="L293">
        <v>28</v>
      </c>
      <c r="M293">
        <v>3.375</v>
      </c>
      <c r="N293">
        <v>9</v>
      </c>
      <c r="O293">
        <v>3</v>
      </c>
      <c r="P293">
        <v>10</v>
      </c>
      <c r="Q293">
        <v>3</v>
      </c>
      <c r="R293">
        <v>18</v>
      </c>
      <c r="S293">
        <v>11</v>
      </c>
      <c r="T293">
        <v>3.8333333333333002</v>
      </c>
      <c r="U293">
        <v>5</v>
      </c>
      <c r="V293">
        <v>1</v>
      </c>
      <c r="W293">
        <v>7</v>
      </c>
      <c r="X293">
        <v>5</v>
      </c>
      <c r="AB293">
        <v>1</v>
      </c>
      <c r="AC293">
        <v>19342</v>
      </c>
      <c r="AD293">
        <v>7</v>
      </c>
      <c r="AE293">
        <v>0</v>
      </c>
      <c r="AI293">
        <v>20</v>
      </c>
      <c r="AJ293">
        <v>12</v>
      </c>
      <c r="AK293">
        <v>20</v>
      </c>
      <c r="AL293">
        <v>15</v>
      </c>
      <c r="AM293">
        <v>20</v>
      </c>
    </row>
    <row r="294" spans="1:41" x14ac:dyDescent="0.2">
      <c r="A294">
        <v>2093</v>
      </c>
      <c r="B294">
        <v>11991</v>
      </c>
      <c r="C294" s="1">
        <v>45187</v>
      </c>
      <c r="D294" s="1">
        <v>33587</v>
      </c>
      <c r="E294">
        <v>31.76</v>
      </c>
      <c r="F294">
        <v>4</v>
      </c>
      <c r="G294">
        <v>1</v>
      </c>
      <c r="H294">
        <v>1</v>
      </c>
      <c r="I294">
        <v>0</v>
      </c>
      <c r="J294">
        <v>2</v>
      </c>
      <c r="K294">
        <v>8</v>
      </c>
      <c r="L294">
        <v>28</v>
      </c>
      <c r="M294">
        <v>3.375</v>
      </c>
      <c r="N294">
        <v>12</v>
      </c>
      <c r="O294">
        <v>9</v>
      </c>
      <c r="P294">
        <v>8</v>
      </c>
      <c r="Q294">
        <v>3</v>
      </c>
      <c r="R294">
        <v>12</v>
      </c>
      <c r="S294">
        <v>10</v>
      </c>
      <c r="T294">
        <v>4.9166666666666998</v>
      </c>
      <c r="U294">
        <v>1</v>
      </c>
      <c r="V294">
        <v>1</v>
      </c>
      <c r="W294">
        <v>3</v>
      </c>
      <c r="X294">
        <v>1</v>
      </c>
      <c r="AB294">
        <v>3</v>
      </c>
      <c r="AC294">
        <v>8079</v>
      </c>
      <c r="AD294">
        <v>3</v>
      </c>
      <c r="AE294">
        <v>0</v>
      </c>
      <c r="AI294">
        <v>16</v>
      </c>
      <c r="AJ294">
        <v>8</v>
      </c>
      <c r="AK294">
        <v>12</v>
      </c>
      <c r="AL294">
        <v>15</v>
      </c>
      <c r="AM294">
        <v>17</v>
      </c>
    </row>
    <row r="295" spans="1:41" x14ac:dyDescent="0.2">
      <c r="A295">
        <v>2094</v>
      </c>
      <c r="B295">
        <v>100470</v>
      </c>
      <c r="C295" s="1">
        <v>45187</v>
      </c>
      <c r="D295" s="1">
        <v>25668</v>
      </c>
      <c r="E295">
        <v>53.44</v>
      </c>
      <c r="F295">
        <v>0</v>
      </c>
      <c r="G295">
        <v>0</v>
      </c>
      <c r="H295">
        <v>0</v>
      </c>
      <c r="I295">
        <v>8</v>
      </c>
      <c r="J295">
        <v>6</v>
      </c>
      <c r="K295">
        <v>13</v>
      </c>
      <c r="L295">
        <v>0</v>
      </c>
      <c r="M295">
        <v>1.125</v>
      </c>
      <c r="N295">
        <v>0</v>
      </c>
      <c r="O295">
        <v>0</v>
      </c>
      <c r="P295">
        <v>0</v>
      </c>
      <c r="Q295">
        <v>0</v>
      </c>
      <c r="R295">
        <v>18</v>
      </c>
      <c r="S295">
        <v>0</v>
      </c>
      <c r="T295">
        <v>0</v>
      </c>
      <c r="U295">
        <v>2</v>
      </c>
      <c r="V295">
        <v>0</v>
      </c>
      <c r="W295">
        <v>1</v>
      </c>
      <c r="X295">
        <v>2</v>
      </c>
      <c r="AB295">
        <v>0</v>
      </c>
      <c r="AC295">
        <v>19107</v>
      </c>
      <c r="AD295">
        <v>1</v>
      </c>
      <c r="AE295">
        <v>0</v>
      </c>
      <c r="AI295">
        <v>16</v>
      </c>
      <c r="AJ295">
        <v>16</v>
      </c>
      <c r="AK295">
        <v>14</v>
      </c>
      <c r="AL295">
        <v>20</v>
      </c>
      <c r="AM295">
        <v>16</v>
      </c>
    </row>
    <row r="296" spans="1:41" x14ac:dyDescent="0.2">
      <c r="A296">
        <v>2102</v>
      </c>
      <c r="B296">
        <v>81384</v>
      </c>
      <c r="C296" s="1">
        <v>45187</v>
      </c>
      <c r="D296" s="1">
        <v>31023</v>
      </c>
      <c r="E296">
        <v>38.78</v>
      </c>
      <c r="F296">
        <v>3</v>
      </c>
      <c r="G296">
        <v>1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3.875</v>
      </c>
      <c r="N296">
        <v>12</v>
      </c>
      <c r="O296">
        <v>8</v>
      </c>
      <c r="P296">
        <v>10</v>
      </c>
      <c r="Q296">
        <v>2</v>
      </c>
      <c r="R296">
        <v>18</v>
      </c>
      <c r="S296">
        <v>12</v>
      </c>
      <c r="T296">
        <v>6.1666666666666599</v>
      </c>
      <c r="U296">
        <v>5</v>
      </c>
      <c r="V296">
        <v>2</v>
      </c>
      <c r="W296">
        <v>9</v>
      </c>
      <c r="X296">
        <v>5</v>
      </c>
      <c r="AB296">
        <v>1</v>
      </c>
      <c r="AC296">
        <v>8016</v>
      </c>
      <c r="AD296">
        <v>9</v>
      </c>
      <c r="AE296">
        <v>0</v>
      </c>
      <c r="AI296">
        <v>15</v>
      </c>
      <c r="AJ296">
        <v>13</v>
      </c>
      <c r="AK296">
        <v>9</v>
      </c>
      <c r="AL296">
        <v>12</v>
      </c>
      <c r="AM296">
        <v>15</v>
      </c>
    </row>
    <row r="297" spans="1:41" x14ac:dyDescent="0.2">
      <c r="A297">
        <v>2105</v>
      </c>
      <c r="B297">
        <v>131975</v>
      </c>
      <c r="C297" s="1">
        <v>45187</v>
      </c>
      <c r="D297" s="1">
        <v>27641</v>
      </c>
      <c r="E297">
        <v>48.04</v>
      </c>
      <c r="F297">
        <v>4</v>
      </c>
      <c r="G297">
        <v>1</v>
      </c>
      <c r="H297">
        <v>6</v>
      </c>
      <c r="I297">
        <v>0</v>
      </c>
      <c r="J297">
        <v>3</v>
      </c>
      <c r="K297">
        <v>13</v>
      </c>
      <c r="L297">
        <v>0</v>
      </c>
      <c r="M297">
        <v>2.8125</v>
      </c>
      <c r="N297">
        <v>12</v>
      </c>
      <c r="O297">
        <v>3</v>
      </c>
      <c r="P297">
        <v>7</v>
      </c>
      <c r="Q297">
        <v>1</v>
      </c>
      <c r="R297">
        <v>12</v>
      </c>
      <c r="S297">
        <v>10</v>
      </c>
      <c r="T297">
        <v>3.75</v>
      </c>
      <c r="U297">
        <v>4</v>
      </c>
      <c r="V297">
        <v>2</v>
      </c>
      <c r="W297">
        <v>6</v>
      </c>
      <c r="X297">
        <v>4</v>
      </c>
      <c r="AB297">
        <v>2</v>
      </c>
      <c r="AC297">
        <v>8098</v>
      </c>
      <c r="AD297">
        <v>6</v>
      </c>
      <c r="AE297">
        <v>0</v>
      </c>
      <c r="AI297">
        <v>14</v>
      </c>
      <c r="AJ297">
        <v>11</v>
      </c>
      <c r="AK297">
        <v>9</v>
      </c>
      <c r="AL297">
        <v>13</v>
      </c>
      <c r="AM297">
        <v>16</v>
      </c>
    </row>
    <row r="298" spans="1:41" x14ac:dyDescent="0.2">
      <c r="A298">
        <v>2106</v>
      </c>
      <c r="B298">
        <v>10104</v>
      </c>
      <c r="C298" s="1">
        <v>45187</v>
      </c>
      <c r="D298" s="1">
        <v>38122</v>
      </c>
      <c r="E298">
        <v>19.34</v>
      </c>
      <c r="F298">
        <v>3</v>
      </c>
      <c r="G298">
        <v>1</v>
      </c>
      <c r="H298">
        <v>4</v>
      </c>
      <c r="I298">
        <v>4</v>
      </c>
      <c r="J298">
        <v>8</v>
      </c>
      <c r="K298">
        <v>17</v>
      </c>
      <c r="L298">
        <v>0</v>
      </c>
      <c r="M298">
        <v>3.625</v>
      </c>
      <c r="N298">
        <v>7</v>
      </c>
      <c r="O298">
        <v>9</v>
      </c>
      <c r="P298">
        <v>9</v>
      </c>
      <c r="Q298">
        <v>9</v>
      </c>
      <c r="R298">
        <v>15</v>
      </c>
      <c r="S298">
        <v>9</v>
      </c>
      <c r="T298">
        <v>5</v>
      </c>
      <c r="U298">
        <v>4</v>
      </c>
      <c r="V298">
        <v>0</v>
      </c>
      <c r="W298">
        <v>5</v>
      </c>
      <c r="X298">
        <v>4</v>
      </c>
      <c r="AC298">
        <v>20904</v>
      </c>
      <c r="AD298">
        <v>5</v>
      </c>
      <c r="AE298">
        <v>0</v>
      </c>
      <c r="AI298">
        <v>17</v>
      </c>
      <c r="AJ298">
        <v>12</v>
      </c>
      <c r="AK298">
        <v>12</v>
      </c>
      <c r="AL298">
        <v>16</v>
      </c>
      <c r="AM298">
        <v>14</v>
      </c>
    </row>
    <row r="299" spans="1:41" x14ac:dyDescent="0.2">
      <c r="A299">
        <v>2113</v>
      </c>
      <c r="B299">
        <v>10187</v>
      </c>
      <c r="C299" s="1">
        <v>45187</v>
      </c>
      <c r="D299" s="1">
        <v>32111</v>
      </c>
      <c r="E299">
        <v>35.799999999999997</v>
      </c>
      <c r="F299">
        <v>4</v>
      </c>
      <c r="G299">
        <v>1</v>
      </c>
      <c r="H299">
        <v>0</v>
      </c>
      <c r="I299">
        <v>0</v>
      </c>
      <c r="J299">
        <v>5</v>
      </c>
      <c r="K299">
        <v>6</v>
      </c>
      <c r="L299">
        <v>0</v>
      </c>
      <c r="M299">
        <v>3.75</v>
      </c>
      <c r="N299">
        <v>10</v>
      </c>
      <c r="O299">
        <v>12</v>
      </c>
      <c r="P299">
        <v>12</v>
      </c>
      <c r="Q299">
        <v>0</v>
      </c>
      <c r="R299">
        <v>18</v>
      </c>
      <c r="S299">
        <v>8</v>
      </c>
      <c r="T299">
        <v>3.9166666666666998</v>
      </c>
      <c r="U299">
        <v>2</v>
      </c>
      <c r="V299">
        <v>0</v>
      </c>
      <c r="W299">
        <v>3</v>
      </c>
      <c r="X299">
        <v>2</v>
      </c>
      <c r="AB299">
        <v>0</v>
      </c>
      <c r="AC299">
        <v>46221</v>
      </c>
      <c r="AD299">
        <v>3</v>
      </c>
      <c r="AE299">
        <v>0</v>
      </c>
      <c r="AI299">
        <v>10</v>
      </c>
      <c r="AJ299">
        <v>9</v>
      </c>
      <c r="AK299">
        <v>9</v>
      </c>
      <c r="AL299">
        <v>9</v>
      </c>
      <c r="AM299">
        <v>12</v>
      </c>
    </row>
    <row r="300" spans="1:41" x14ac:dyDescent="0.2">
      <c r="A300">
        <v>2120</v>
      </c>
      <c r="B300">
        <v>92685</v>
      </c>
      <c r="C300" s="1">
        <v>45187</v>
      </c>
      <c r="D300" s="1">
        <v>31081</v>
      </c>
      <c r="E300">
        <v>38.619999999999997</v>
      </c>
      <c r="F300">
        <v>6</v>
      </c>
      <c r="G300">
        <v>0</v>
      </c>
      <c r="H300">
        <v>3</v>
      </c>
      <c r="I300">
        <v>8</v>
      </c>
      <c r="J300">
        <v>4</v>
      </c>
      <c r="K300">
        <v>17</v>
      </c>
      <c r="L300">
        <v>0</v>
      </c>
      <c r="M300">
        <v>3.25</v>
      </c>
      <c r="N300">
        <v>10</v>
      </c>
      <c r="O300">
        <v>3</v>
      </c>
      <c r="P300">
        <v>10</v>
      </c>
      <c r="Q300">
        <v>4</v>
      </c>
      <c r="R300">
        <v>15</v>
      </c>
      <c r="S300">
        <v>10</v>
      </c>
      <c r="T300">
        <v>5.0833333333333002</v>
      </c>
      <c r="U300">
        <v>1</v>
      </c>
      <c r="V300">
        <v>0</v>
      </c>
      <c r="W300">
        <v>3</v>
      </c>
      <c r="X300">
        <v>1</v>
      </c>
      <c r="AB300">
        <v>0</v>
      </c>
      <c r="AC300">
        <v>19401</v>
      </c>
      <c r="AD300">
        <v>3</v>
      </c>
      <c r="AE300">
        <v>0</v>
      </c>
      <c r="AI300">
        <v>19</v>
      </c>
      <c r="AJ300">
        <v>13</v>
      </c>
      <c r="AK300">
        <v>15</v>
      </c>
      <c r="AL300">
        <v>16</v>
      </c>
      <c r="AM300">
        <v>19</v>
      </c>
    </row>
    <row r="301" spans="1:41" x14ac:dyDescent="0.2">
      <c r="A301">
        <v>2123</v>
      </c>
      <c r="B301">
        <v>190360</v>
      </c>
      <c r="C301" s="1">
        <v>45187</v>
      </c>
      <c r="D301" s="1">
        <v>22146</v>
      </c>
      <c r="E301">
        <v>63.08</v>
      </c>
      <c r="F301">
        <v>4</v>
      </c>
      <c r="G301">
        <v>1</v>
      </c>
      <c r="H301">
        <v>1</v>
      </c>
      <c r="I301">
        <v>0</v>
      </c>
      <c r="J301">
        <v>2</v>
      </c>
      <c r="K301">
        <v>8</v>
      </c>
      <c r="L301">
        <v>28</v>
      </c>
      <c r="M301">
        <v>2.6875</v>
      </c>
      <c r="N301">
        <v>9</v>
      </c>
      <c r="O301">
        <v>5</v>
      </c>
      <c r="P301">
        <v>8</v>
      </c>
      <c r="Q301">
        <v>0</v>
      </c>
      <c r="R301">
        <v>12</v>
      </c>
      <c r="S301">
        <v>9</v>
      </c>
      <c r="T301">
        <v>3.0833333333333002</v>
      </c>
      <c r="U301">
        <v>5</v>
      </c>
      <c r="V301">
        <v>0</v>
      </c>
      <c r="W301">
        <v>8</v>
      </c>
      <c r="X301">
        <v>5</v>
      </c>
      <c r="AB301">
        <v>0</v>
      </c>
      <c r="AC301">
        <v>19152</v>
      </c>
      <c r="AD301">
        <v>8</v>
      </c>
      <c r="AE301">
        <v>0</v>
      </c>
      <c r="AI301">
        <v>13</v>
      </c>
      <c r="AJ301">
        <v>18</v>
      </c>
      <c r="AK301">
        <v>18</v>
      </c>
      <c r="AL301">
        <v>16</v>
      </c>
      <c r="AM301">
        <v>15</v>
      </c>
      <c r="AN301">
        <v>0</v>
      </c>
    </row>
    <row r="302" spans="1:41" x14ac:dyDescent="0.2">
      <c r="A302">
        <v>2124</v>
      </c>
      <c r="B302">
        <v>220878</v>
      </c>
      <c r="C302" s="1">
        <v>45187</v>
      </c>
      <c r="D302" s="1">
        <v>28587</v>
      </c>
      <c r="E302">
        <v>45.45</v>
      </c>
      <c r="F302">
        <v>4</v>
      </c>
      <c r="G302">
        <v>1</v>
      </c>
      <c r="H302">
        <v>4</v>
      </c>
      <c r="I302">
        <v>0</v>
      </c>
      <c r="J302">
        <v>0</v>
      </c>
      <c r="K302">
        <v>2</v>
      </c>
      <c r="L302">
        <v>26</v>
      </c>
      <c r="M302">
        <v>3.125</v>
      </c>
      <c r="N302">
        <v>10</v>
      </c>
      <c r="O302">
        <v>2</v>
      </c>
      <c r="P302">
        <v>9</v>
      </c>
      <c r="Q302">
        <v>2</v>
      </c>
      <c r="R302">
        <v>18</v>
      </c>
      <c r="S302">
        <v>9</v>
      </c>
      <c r="T302">
        <v>5.25</v>
      </c>
      <c r="U302">
        <v>6</v>
      </c>
      <c r="V302">
        <v>5</v>
      </c>
      <c r="W302">
        <v>8</v>
      </c>
      <c r="X302">
        <v>6</v>
      </c>
      <c r="AB302">
        <v>2</v>
      </c>
      <c r="AC302">
        <v>7462</v>
      </c>
      <c r="AD302">
        <v>8</v>
      </c>
      <c r="AE302">
        <v>0</v>
      </c>
      <c r="AI302">
        <v>20</v>
      </c>
      <c r="AJ302">
        <v>13</v>
      </c>
      <c r="AK302">
        <v>17</v>
      </c>
      <c r="AL302">
        <v>17</v>
      </c>
      <c r="AM302">
        <v>20</v>
      </c>
    </row>
    <row r="303" spans="1:41" x14ac:dyDescent="0.2">
      <c r="A303">
        <v>2126</v>
      </c>
      <c r="B303">
        <v>120282</v>
      </c>
      <c r="C303" s="1">
        <v>45187</v>
      </c>
      <c r="D303" s="1">
        <v>30046</v>
      </c>
      <c r="E303">
        <v>41.45</v>
      </c>
      <c r="F303">
        <v>4</v>
      </c>
      <c r="G303">
        <v>1</v>
      </c>
      <c r="H303">
        <v>5</v>
      </c>
      <c r="I303">
        <v>2</v>
      </c>
      <c r="J303">
        <v>2</v>
      </c>
      <c r="K303">
        <v>14</v>
      </c>
      <c r="L303">
        <v>27</v>
      </c>
      <c r="M303">
        <v>3.3125</v>
      </c>
      <c r="N303">
        <v>12</v>
      </c>
      <c r="O303">
        <v>0</v>
      </c>
      <c r="P303">
        <v>10</v>
      </c>
      <c r="Q303">
        <v>3</v>
      </c>
      <c r="R303">
        <v>16</v>
      </c>
      <c r="S303">
        <v>12</v>
      </c>
      <c r="T303">
        <v>4.8333333333333002</v>
      </c>
      <c r="U303">
        <v>6</v>
      </c>
      <c r="V303">
        <v>2</v>
      </c>
      <c r="W303">
        <v>9</v>
      </c>
      <c r="X303">
        <v>6</v>
      </c>
      <c r="AB303">
        <v>1</v>
      </c>
      <c r="AC303">
        <v>33477</v>
      </c>
      <c r="AD303">
        <v>9</v>
      </c>
      <c r="AE303">
        <v>0</v>
      </c>
      <c r="AI303">
        <v>14</v>
      </c>
      <c r="AJ303">
        <v>21</v>
      </c>
      <c r="AK303">
        <v>22</v>
      </c>
      <c r="AL303">
        <v>24</v>
      </c>
      <c r="AM303">
        <v>21</v>
      </c>
    </row>
    <row r="304" spans="1:41" x14ac:dyDescent="0.2">
      <c r="A304">
        <v>2132</v>
      </c>
      <c r="B304">
        <v>31300</v>
      </c>
      <c r="C304" s="1">
        <v>45188</v>
      </c>
      <c r="D304" s="1">
        <v>36852</v>
      </c>
      <c r="E304">
        <v>22.82</v>
      </c>
      <c r="F304">
        <v>4</v>
      </c>
      <c r="G304">
        <v>1</v>
      </c>
      <c r="H304">
        <v>1</v>
      </c>
      <c r="I304">
        <v>0</v>
      </c>
      <c r="J304">
        <v>1</v>
      </c>
      <c r="K304">
        <v>5</v>
      </c>
      <c r="L304">
        <v>29</v>
      </c>
      <c r="M304">
        <v>2.9375</v>
      </c>
      <c r="N304">
        <v>12</v>
      </c>
      <c r="O304">
        <v>2</v>
      </c>
      <c r="P304">
        <v>9</v>
      </c>
      <c r="Q304">
        <v>3</v>
      </c>
      <c r="R304">
        <v>17</v>
      </c>
      <c r="S304">
        <v>4</v>
      </c>
      <c r="T304">
        <v>5</v>
      </c>
      <c r="U304">
        <v>4</v>
      </c>
      <c r="V304">
        <v>0</v>
      </c>
      <c r="W304">
        <v>4</v>
      </c>
      <c r="X304">
        <v>4</v>
      </c>
      <c r="AB304">
        <v>0</v>
      </c>
      <c r="AC304">
        <v>15217</v>
      </c>
      <c r="AD304">
        <v>4</v>
      </c>
      <c r="AE304">
        <v>0</v>
      </c>
      <c r="AI304">
        <v>14</v>
      </c>
      <c r="AJ304">
        <v>9</v>
      </c>
      <c r="AK304">
        <v>14</v>
      </c>
      <c r="AL304">
        <v>12</v>
      </c>
      <c r="AM304">
        <v>14</v>
      </c>
      <c r="AO304">
        <v>1.4166666666667</v>
      </c>
    </row>
    <row r="305" spans="1:41" x14ac:dyDescent="0.2">
      <c r="A305">
        <v>2133</v>
      </c>
      <c r="B305">
        <v>210289</v>
      </c>
      <c r="C305" s="1">
        <v>45187</v>
      </c>
      <c r="D305" s="1">
        <v>32724</v>
      </c>
      <c r="E305">
        <v>34.119999999999997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6</v>
      </c>
      <c r="L305">
        <v>0</v>
      </c>
      <c r="M305">
        <v>2.75</v>
      </c>
      <c r="N305">
        <v>6</v>
      </c>
      <c r="O305">
        <v>5</v>
      </c>
      <c r="P305">
        <v>6</v>
      </c>
      <c r="Q305">
        <v>1</v>
      </c>
      <c r="R305">
        <v>18</v>
      </c>
      <c r="S305">
        <v>8</v>
      </c>
      <c r="T305">
        <v>3.8333333333333002</v>
      </c>
      <c r="U305">
        <v>6</v>
      </c>
      <c r="V305">
        <v>3</v>
      </c>
      <c r="W305">
        <v>8</v>
      </c>
      <c r="X305">
        <v>6</v>
      </c>
      <c r="AB305">
        <v>3</v>
      </c>
      <c r="AD305">
        <v>8</v>
      </c>
      <c r="AE305">
        <v>0</v>
      </c>
      <c r="AI305">
        <v>13</v>
      </c>
      <c r="AJ305">
        <v>13</v>
      </c>
      <c r="AK305">
        <v>9</v>
      </c>
      <c r="AL305">
        <v>14</v>
      </c>
      <c r="AM305">
        <v>15</v>
      </c>
    </row>
    <row r="306" spans="1:41" x14ac:dyDescent="0.2">
      <c r="A306">
        <v>2140</v>
      </c>
      <c r="B306">
        <v>191557</v>
      </c>
      <c r="C306" s="1">
        <v>45188</v>
      </c>
      <c r="D306" s="1">
        <v>20970</v>
      </c>
      <c r="E306">
        <v>66.31</v>
      </c>
      <c r="F306">
        <v>4</v>
      </c>
      <c r="G306">
        <v>1</v>
      </c>
      <c r="H306">
        <v>1</v>
      </c>
      <c r="I306">
        <v>2</v>
      </c>
      <c r="J306">
        <v>2</v>
      </c>
      <c r="K306">
        <v>12</v>
      </c>
      <c r="L306">
        <v>0</v>
      </c>
      <c r="M306">
        <v>3.3125</v>
      </c>
      <c r="N306">
        <v>12</v>
      </c>
      <c r="O306">
        <v>7</v>
      </c>
      <c r="P306">
        <v>10</v>
      </c>
      <c r="Q306">
        <v>0</v>
      </c>
      <c r="R306">
        <v>13</v>
      </c>
      <c r="S306">
        <v>11</v>
      </c>
      <c r="T306">
        <v>5</v>
      </c>
      <c r="U306">
        <v>4</v>
      </c>
      <c r="V306">
        <v>4</v>
      </c>
      <c r="W306">
        <v>5</v>
      </c>
      <c r="X306">
        <v>4</v>
      </c>
      <c r="AB306">
        <v>4</v>
      </c>
      <c r="AC306">
        <v>8094</v>
      </c>
      <c r="AD306">
        <v>5</v>
      </c>
      <c r="AE306">
        <v>0</v>
      </c>
      <c r="AI306">
        <v>11</v>
      </c>
      <c r="AJ306">
        <v>11</v>
      </c>
      <c r="AK306">
        <v>13</v>
      </c>
      <c r="AL306">
        <v>11</v>
      </c>
      <c r="AM306">
        <v>12</v>
      </c>
    </row>
    <row r="307" spans="1:41" x14ac:dyDescent="0.2">
      <c r="A307">
        <v>2141</v>
      </c>
      <c r="B307">
        <v>101059</v>
      </c>
      <c r="C307" s="1">
        <v>45188</v>
      </c>
      <c r="D307" s="1">
        <v>21762</v>
      </c>
      <c r="E307">
        <v>64.14</v>
      </c>
      <c r="F307">
        <v>3</v>
      </c>
      <c r="G307">
        <v>0</v>
      </c>
      <c r="H307">
        <v>0</v>
      </c>
      <c r="I307">
        <v>2</v>
      </c>
      <c r="J307">
        <v>4</v>
      </c>
      <c r="K307">
        <v>7</v>
      </c>
      <c r="L307">
        <v>29</v>
      </c>
      <c r="M307">
        <v>2.75</v>
      </c>
      <c r="N307">
        <v>12</v>
      </c>
      <c r="O307">
        <v>3</v>
      </c>
      <c r="P307">
        <v>8</v>
      </c>
      <c r="Q307">
        <v>0</v>
      </c>
      <c r="R307">
        <v>12</v>
      </c>
      <c r="S307">
        <v>9</v>
      </c>
      <c r="T307">
        <v>2</v>
      </c>
      <c r="U307">
        <v>4</v>
      </c>
      <c r="V307">
        <v>0</v>
      </c>
      <c r="W307">
        <v>5</v>
      </c>
      <c r="X307">
        <v>4</v>
      </c>
      <c r="AB307">
        <v>1</v>
      </c>
      <c r="AC307">
        <v>19146</v>
      </c>
      <c r="AD307">
        <v>5</v>
      </c>
      <c r="AE307">
        <v>0</v>
      </c>
      <c r="AI307">
        <v>13</v>
      </c>
      <c r="AJ307">
        <v>12</v>
      </c>
      <c r="AK307">
        <v>9</v>
      </c>
      <c r="AL307">
        <v>14</v>
      </c>
      <c r="AM307">
        <v>15</v>
      </c>
    </row>
    <row r="308" spans="1:41" x14ac:dyDescent="0.2">
      <c r="A308">
        <v>2145</v>
      </c>
      <c r="B308">
        <v>101882</v>
      </c>
      <c r="C308" s="1">
        <v>45188</v>
      </c>
      <c r="D308" s="1">
        <v>30296</v>
      </c>
      <c r="E308">
        <v>40.770000000000003</v>
      </c>
      <c r="F308">
        <v>4</v>
      </c>
      <c r="G308">
        <v>1</v>
      </c>
      <c r="H308">
        <v>2</v>
      </c>
      <c r="I308">
        <v>0</v>
      </c>
      <c r="J308">
        <v>1</v>
      </c>
      <c r="K308">
        <v>1</v>
      </c>
      <c r="L308">
        <v>0</v>
      </c>
      <c r="M308">
        <v>3.5</v>
      </c>
      <c r="N308">
        <v>9</v>
      </c>
      <c r="O308">
        <v>8</v>
      </c>
      <c r="P308">
        <v>12</v>
      </c>
      <c r="Q308">
        <v>3</v>
      </c>
      <c r="R308">
        <v>14</v>
      </c>
      <c r="S308">
        <v>10</v>
      </c>
      <c r="T308">
        <v>6.6666666666666998</v>
      </c>
      <c r="U308">
        <v>5</v>
      </c>
      <c r="V308">
        <v>1</v>
      </c>
      <c r="W308">
        <v>5</v>
      </c>
      <c r="X308">
        <v>5</v>
      </c>
      <c r="AB308">
        <v>2</v>
      </c>
      <c r="AC308">
        <v>21046</v>
      </c>
      <c r="AD308">
        <v>5</v>
      </c>
      <c r="AE308">
        <v>0</v>
      </c>
      <c r="AI308">
        <v>13</v>
      </c>
      <c r="AJ308">
        <v>16</v>
      </c>
      <c r="AK308">
        <v>10</v>
      </c>
      <c r="AL308">
        <v>13</v>
      </c>
      <c r="AM308">
        <v>14</v>
      </c>
      <c r="AO308">
        <v>1.75</v>
      </c>
    </row>
    <row r="309" spans="1:41" x14ac:dyDescent="0.2">
      <c r="A309">
        <v>2159</v>
      </c>
      <c r="B309">
        <v>130463</v>
      </c>
      <c r="C309" s="1">
        <v>45188</v>
      </c>
      <c r="D309" s="1">
        <v>23274</v>
      </c>
      <c r="E309">
        <v>60</v>
      </c>
      <c r="F309">
        <v>5</v>
      </c>
      <c r="G309">
        <v>2</v>
      </c>
      <c r="H309">
        <v>5</v>
      </c>
      <c r="I309">
        <v>0</v>
      </c>
      <c r="J309">
        <v>5</v>
      </c>
      <c r="K309">
        <v>8</v>
      </c>
      <c r="L309">
        <v>26</v>
      </c>
      <c r="M309">
        <v>3.0625</v>
      </c>
      <c r="N309">
        <v>12</v>
      </c>
      <c r="O309">
        <v>4</v>
      </c>
      <c r="P309">
        <v>7</v>
      </c>
      <c r="Q309">
        <v>4</v>
      </c>
      <c r="R309">
        <v>13</v>
      </c>
      <c r="S309">
        <v>9</v>
      </c>
      <c r="T309">
        <v>4.8333333333333304</v>
      </c>
      <c r="U309">
        <v>4</v>
      </c>
      <c r="V309">
        <v>1</v>
      </c>
      <c r="W309">
        <v>6</v>
      </c>
      <c r="X309">
        <v>4</v>
      </c>
      <c r="AC309">
        <v>19126</v>
      </c>
      <c r="AD309">
        <v>6</v>
      </c>
      <c r="AE309">
        <v>1</v>
      </c>
      <c r="AI309">
        <v>14</v>
      </c>
      <c r="AJ309">
        <v>12</v>
      </c>
      <c r="AK309">
        <v>12</v>
      </c>
      <c r="AL309">
        <v>17</v>
      </c>
      <c r="AM309">
        <v>15</v>
      </c>
      <c r="AN309">
        <v>1</v>
      </c>
      <c r="AO309">
        <v>1.4166666666667</v>
      </c>
    </row>
    <row r="310" spans="1:41" x14ac:dyDescent="0.2">
      <c r="A310">
        <v>2171</v>
      </c>
      <c r="B310">
        <v>30685</v>
      </c>
      <c r="C310" s="1">
        <v>45188</v>
      </c>
      <c r="D310" s="1">
        <v>31191</v>
      </c>
      <c r="E310">
        <v>38.32</v>
      </c>
      <c r="F310">
        <v>4</v>
      </c>
      <c r="G310">
        <v>1</v>
      </c>
      <c r="H310">
        <v>3</v>
      </c>
      <c r="I310">
        <v>1</v>
      </c>
      <c r="J310">
        <v>1</v>
      </c>
      <c r="K310">
        <v>11</v>
      </c>
      <c r="L310">
        <v>0</v>
      </c>
      <c r="M310">
        <v>2.8125</v>
      </c>
      <c r="N310">
        <v>7</v>
      </c>
      <c r="O310">
        <v>4</v>
      </c>
      <c r="P310">
        <v>10</v>
      </c>
      <c r="Q310">
        <v>1</v>
      </c>
      <c r="R310">
        <v>15</v>
      </c>
      <c r="S310">
        <v>8</v>
      </c>
      <c r="T310">
        <v>4.5833333333333002</v>
      </c>
      <c r="U310">
        <v>6</v>
      </c>
      <c r="V310">
        <v>2</v>
      </c>
      <c r="W310">
        <v>6</v>
      </c>
      <c r="X310">
        <v>6</v>
      </c>
      <c r="AB310">
        <v>1</v>
      </c>
      <c r="AC310">
        <v>11554</v>
      </c>
      <c r="AD310">
        <v>6</v>
      </c>
      <c r="AE310">
        <v>0</v>
      </c>
      <c r="AI310">
        <v>13</v>
      </c>
      <c r="AJ310">
        <v>10</v>
      </c>
      <c r="AK310">
        <v>8</v>
      </c>
      <c r="AL310">
        <v>11</v>
      </c>
      <c r="AM310">
        <v>16</v>
      </c>
      <c r="AO310">
        <v>1.3</v>
      </c>
    </row>
    <row r="311" spans="1:41" x14ac:dyDescent="0.2">
      <c r="A311">
        <v>2174</v>
      </c>
      <c r="B311">
        <v>41387</v>
      </c>
      <c r="C311" s="1">
        <v>45188</v>
      </c>
      <c r="D311" s="1">
        <v>32094</v>
      </c>
      <c r="E311">
        <v>35.85</v>
      </c>
      <c r="F311">
        <v>4</v>
      </c>
      <c r="G311">
        <v>1</v>
      </c>
      <c r="H311">
        <v>0</v>
      </c>
      <c r="I311">
        <v>18</v>
      </c>
      <c r="J311">
        <v>2</v>
      </c>
      <c r="K311">
        <v>15</v>
      </c>
      <c r="L311">
        <v>28</v>
      </c>
      <c r="M311">
        <v>2</v>
      </c>
      <c r="N311">
        <v>6</v>
      </c>
      <c r="O311">
        <v>5</v>
      </c>
      <c r="P311">
        <v>5</v>
      </c>
      <c r="Q311">
        <v>1</v>
      </c>
      <c r="R311">
        <v>7</v>
      </c>
      <c r="S311">
        <v>8</v>
      </c>
      <c r="T311">
        <v>1.75</v>
      </c>
      <c r="U311">
        <v>2</v>
      </c>
      <c r="V311">
        <v>1</v>
      </c>
      <c r="W311">
        <v>3</v>
      </c>
      <c r="X311">
        <v>2</v>
      </c>
      <c r="AB311">
        <v>1</v>
      </c>
      <c r="AC311">
        <v>8690</v>
      </c>
      <c r="AD311">
        <v>3</v>
      </c>
      <c r="AE311">
        <v>0</v>
      </c>
      <c r="AI311">
        <v>13</v>
      </c>
      <c r="AJ311">
        <v>8</v>
      </c>
      <c r="AK311">
        <v>8</v>
      </c>
      <c r="AL311">
        <v>11</v>
      </c>
      <c r="AM311">
        <v>17</v>
      </c>
      <c r="AO311">
        <v>2.25</v>
      </c>
    </row>
    <row r="312" spans="1:41" x14ac:dyDescent="0.2">
      <c r="A312">
        <v>2184</v>
      </c>
      <c r="B312">
        <v>41965</v>
      </c>
      <c r="C312" s="1">
        <v>45192</v>
      </c>
      <c r="D312" s="1">
        <v>24058</v>
      </c>
      <c r="E312">
        <v>57.86</v>
      </c>
      <c r="F312">
        <v>4</v>
      </c>
      <c r="G312">
        <v>1</v>
      </c>
      <c r="H312">
        <v>3</v>
      </c>
      <c r="I312">
        <v>0</v>
      </c>
      <c r="J312">
        <v>0</v>
      </c>
      <c r="K312">
        <v>8</v>
      </c>
      <c r="L312">
        <v>0</v>
      </c>
      <c r="M312">
        <v>3.1875</v>
      </c>
      <c r="N312">
        <v>12</v>
      </c>
      <c r="O312">
        <v>9</v>
      </c>
      <c r="P312">
        <v>7</v>
      </c>
      <c r="Q312">
        <v>0</v>
      </c>
      <c r="R312">
        <v>12</v>
      </c>
      <c r="S312">
        <v>11</v>
      </c>
      <c r="T312">
        <v>4.1666666666666998</v>
      </c>
      <c r="U312">
        <v>6</v>
      </c>
      <c r="V312">
        <v>4</v>
      </c>
      <c r="W312">
        <v>7</v>
      </c>
      <c r="X312">
        <v>6</v>
      </c>
      <c r="AB312">
        <v>1</v>
      </c>
      <c r="AC312">
        <v>17543</v>
      </c>
      <c r="AD312">
        <v>7</v>
      </c>
      <c r="AE312">
        <v>0</v>
      </c>
      <c r="AI312">
        <v>18</v>
      </c>
      <c r="AJ312">
        <v>18</v>
      </c>
      <c r="AK312">
        <v>17</v>
      </c>
      <c r="AL312">
        <v>19</v>
      </c>
      <c r="AM312">
        <v>19</v>
      </c>
      <c r="AN312">
        <v>0</v>
      </c>
      <c r="AO312">
        <v>1.1666666666667</v>
      </c>
    </row>
    <row r="313" spans="1:41" x14ac:dyDescent="0.2">
      <c r="A313">
        <v>2196</v>
      </c>
      <c r="B313">
        <v>121968</v>
      </c>
      <c r="C313" s="1">
        <v>45194</v>
      </c>
      <c r="D313" s="1">
        <v>25090</v>
      </c>
      <c r="E313">
        <v>55.04</v>
      </c>
      <c r="F313">
        <v>4</v>
      </c>
      <c r="G313">
        <v>1</v>
      </c>
      <c r="H313">
        <v>0</v>
      </c>
      <c r="I313">
        <v>0</v>
      </c>
      <c r="J313">
        <v>1</v>
      </c>
      <c r="K313">
        <v>8</v>
      </c>
      <c r="L313">
        <v>1025</v>
      </c>
      <c r="M313">
        <v>2.3125</v>
      </c>
      <c r="N313">
        <v>6</v>
      </c>
      <c r="O313">
        <v>5</v>
      </c>
      <c r="P313">
        <v>7</v>
      </c>
      <c r="Q313">
        <v>0</v>
      </c>
      <c r="R313">
        <v>16</v>
      </c>
      <c r="S313">
        <v>3</v>
      </c>
      <c r="T313">
        <v>0.91666666666666996</v>
      </c>
      <c r="U313">
        <v>4</v>
      </c>
      <c r="V313">
        <v>1</v>
      </c>
      <c r="W313">
        <v>7</v>
      </c>
      <c r="X313">
        <v>4</v>
      </c>
      <c r="AB313">
        <v>2</v>
      </c>
      <c r="AC313">
        <v>8302</v>
      </c>
      <c r="AD313">
        <v>7</v>
      </c>
      <c r="AE313">
        <v>1</v>
      </c>
      <c r="AI313">
        <v>16</v>
      </c>
      <c r="AJ313">
        <v>7</v>
      </c>
      <c r="AK313">
        <v>16</v>
      </c>
      <c r="AL313">
        <v>15</v>
      </c>
      <c r="AM313">
        <v>15</v>
      </c>
      <c r="AN313">
        <v>30</v>
      </c>
      <c r="AO313">
        <v>1</v>
      </c>
    </row>
    <row r="314" spans="1:41" x14ac:dyDescent="0.2">
      <c r="A314">
        <v>2213</v>
      </c>
      <c r="B314">
        <v>181958</v>
      </c>
      <c r="C314" s="1">
        <v>45194</v>
      </c>
      <c r="D314" s="1">
        <v>21214</v>
      </c>
      <c r="E314">
        <v>65.650000000000006</v>
      </c>
      <c r="F314">
        <v>4</v>
      </c>
      <c r="G314">
        <v>1</v>
      </c>
      <c r="H314">
        <v>1</v>
      </c>
      <c r="I314">
        <v>0</v>
      </c>
      <c r="J314">
        <v>1</v>
      </c>
      <c r="K314">
        <v>10</v>
      </c>
      <c r="L314">
        <v>28</v>
      </c>
      <c r="M314">
        <v>2.8125</v>
      </c>
      <c r="N314">
        <v>9</v>
      </c>
      <c r="O314">
        <v>4</v>
      </c>
      <c r="P314">
        <v>8</v>
      </c>
      <c r="Q314">
        <v>3</v>
      </c>
      <c r="R314">
        <v>13</v>
      </c>
      <c r="S314">
        <v>8</v>
      </c>
      <c r="T314">
        <v>4.5833333333333002</v>
      </c>
      <c r="U314">
        <v>2</v>
      </c>
      <c r="V314">
        <v>1</v>
      </c>
      <c r="W314">
        <v>5</v>
      </c>
      <c r="X314">
        <v>2</v>
      </c>
      <c r="AB314">
        <v>0</v>
      </c>
      <c r="AC314">
        <v>19134</v>
      </c>
      <c r="AD314">
        <v>5</v>
      </c>
      <c r="AE314">
        <v>0</v>
      </c>
      <c r="AI314">
        <v>10</v>
      </c>
      <c r="AJ314">
        <v>8</v>
      </c>
      <c r="AK314">
        <v>6</v>
      </c>
      <c r="AL314">
        <v>8</v>
      </c>
      <c r="AM314">
        <v>10</v>
      </c>
      <c r="AN314">
        <v>4</v>
      </c>
      <c r="AO314">
        <v>1.8333333333333</v>
      </c>
    </row>
    <row r="315" spans="1:41" x14ac:dyDescent="0.2">
      <c r="A315">
        <v>2227</v>
      </c>
      <c r="B315">
        <v>11362</v>
      </c>
      <c r="O315">
        <v>999</v>
      </c>
      <c r="R315">
        <v>999</v>
      </c>
      <c r="AE315">
        <v>1</v>
      </c>
    </row>
    <row r="316" spans="1:41" x14ac:dyDescent="0.2">
      <c r="A316">
        <v>2280</v>
      </c>
      <c r="B316">
        <v>101952</v>
      </c>
      <c r="C316" s="1">
        <v>45195</v>
      </c>
      <c r="D316" s="1">
        <v>19066</v>
      </c>
      <c r="E316">
        <v>71.540000000000006</v>
      </c>
      <c r="F316">
        <v>6</v>
      </c>
      <c r="G316">
        <v>1</v>
      </c>
      <c r="H316">
        <v>6</v>
      </c>
      <c r="I316">
        <v>2</v>
      </c>
      <c r="J316">
        <v>0</v>
      </c>
      <c r="K316">
        <v>4</v>
      </c>
      <c r="L316">
        <v>28</v>
      </c>
      <c r="M316">
        <v>2.25</v>
      </c>
      <c r="N316">
        <v>10</v>
      </c>
      <c r="O316">
        <v>6</v>
      </c>
      <c r="P316">
        <v>5</v>
      </c>
      <c r="Q316">
        <v>0</v>
      </c>
      <c r="R316">
        <v>9</v>
      </c>
      <c r="S316">
        <v>6</v>
      </c>
      <c r="T316">
        <v>1.9166666666666601</v>
      </c>
      <c r="U316">
        <v>6</v>
      </c>
      <c r="V316">
        <v>4</v>
      </c>
      <c r="W316">
        <v>9</v>
      </c>
      <c r="X316">
        <v>6</v>
      </c>
      <c r="AB316">
        <v>0</v>
      </c>
      <c r="AC316">
        <v>19015</v>
      </c>
      <c r="AD316">
        <v>9</v>
      </c>
      <c r="AE316">
        <v>0</v>
      </c>
      <c r="AI316">
        <v>18</v>
      </c>
      <c r="AJ316">
        <v>19</v>
      </c>
      <c r="AK316">
        <v>16</v>
      </c>
      <c r="AL316">
        <v>17</v>
      </c>
      <c r="AM316">
        <v>21</v>
      </c>
      <c r="AN316">
        <v>0</v>
      </c>
      <c r="AO316">
        <v>1.0909090909090899</v>
      </c>
    </row>
    <row r="317" spans="1:41" x14ac:dyDescent="0.2">
      <c r="A317">
        <v>2295</v>
      </c>
      <c r="B317">
        <v>22052</v>
      </c>
      <c r="C317" s="1">
        <v>45196</v>
      </c>
      <c r="D317" s="1">
        <v>19264</v>
      </c>
      <c r="E317">
        <v>71</v>
      </c>
      <c r="F317">
        <v>4</v>
      </c>
      <c r="G317">
        <v>1</v>
      </c>
      <c r="H317">
        <v>3</v>
      </c>
      <c r="I317">
        <v>0</v>
      </c>
      <c r="J317">
        <v>0</v>
      </c>
      <c r="K317">
        <v>0</v>
      </c>
      <c r="L317">
        <v>28</v>
      </c>
      <c r="M317">
        <v>2.625</v>
      </c>
      <c r="N317">
        <v>3</v>
      </c>
      <c r="O317">
        <v>7</v>
      </c>
      <c r="P317">
        <v>11</v>
      </c>
      <c r="Q317">
        <v>4</v>
      </c>
      <c r="R317">
        <v>13</v>
      </c>
      <c r="S317">
        <v>4</v>
      </c>
      <c r="T317">
        <v>7</v>
      </c>
      <c r="U317">
        <v>6</v>
      </c>
      <c r="V317">
        <v>5</v>
      </c>
      <c r="W317">
        <v>10</v>
      </c>
      <c r="X317">
        <v>6</v>
      </c>
      <c r="AB317">
        <v>1</v>
      </c>
      <c r="AC317">
        <v>58102</v>
      </c>
      <c r="AD317">
        <v>10</v>
      </c>
      <c r="AE317">
        <v>1</v>
      </c>
      <c r="AI317">
        <v>13</v>
      </c>
      <c r="AJ317">
        <v>12</v>
      </c>
      <c r="AK317">
        <v>7</v>
      </c>
      <c r="AL317">
        <v>12</v>
      </c>
      <c r="AM317">
        <v>16</v>
      </c>
      <c r="AN317">
        <v>0</v>
      </c>
      <c r="AO317">
        <v>1.4166666666667</v>
      </c>
    </row>
    <row r="318" spans="1:41" x14ac:dyDescent="0.2">
      <c r="A318">
        <v>2491</v>
      </c>
      <c r="B318">
        <v>20297</v>
      </c>
      <c r="C318" s="1">
        <v>45203</v>
      </c>
      <c r="D318" s="1">
        <v>35520</v>
      </c>
      <c r="E318">
        <v>26.51</v>
      </c>
      <c r="F318">
        <v>4</v>
      </c>
      <c r="G318">
        <v>1</v>
      </c>
      <c r="H318">
        <v>4</v>
      </c>
      <c r="I318">
        <v>0</v>
      </c>
      <c r="J318">
        <v>0</v>
      </c>
      <c r="K318">
        <v>6</v>
      </c>
      <c r="L318">
        <v>0</v>
      </c>
      <c r="M318">
        <v>3.5</v>
      </c>
      <c r="N318">
        <v>12</v>
      </c>
      <c r="O318">
        <v>1</v>
      </c>
      <c r="P318">
        <v>12</v>
      </c>
      <c r="Q318">
        <v>1</v>
      </c>
      <c r="R318">
        <v>18</v>
      </c>
      <c r="S318">
        <v>12</v>
      </c>
      <c r="T318">
        <v>6</v>
      </c>
      <c r="U318">
        <v>6</v>
      </c>
      <c r="V318">
        <v>1</v>
      </c>
      <c r="W318">
        <v>6</v>
      </c>
      <c r="X318">
        <v>6</v>
      </c>
      <c r="AB318">
        <v>0</v>
      </c>
      <c r="AC318">
        <v>21822</v>
      </c>
      <c r="AD318">
        <v>6</v>
      </c>
      <c r="AE318">
        <v>0</v>
      </c>
      <c r="AI318">
        <v>14</v>
      </c>
      <c r="AJ318">
        <v>17</v>
      </c>
      <c r="AK318">
        <v>14</v>
      </c>
      <c r="AL318">
        <v>20</v>
      </c>
      <c r="AM318">
        <v>19</v>
      </c>
    </row>
    <row r="319" spans="1:41" x14ac:dyDescent="0.2">
      <c r="A319">
        <v>2498</v>
      </c>
      <c r="B319">
        <v>41966</v>
      </c>
      <c r="C319" s="1">
        <v>45203</v>
      </c>
      <c r="D319" s="1">
        <v>24280</v>
      </c>
      <c r="E319">
        <v>57.29</v>
      </c>
      <c r="F319">
        <v>3</v>
      </c>
      <c r="G319">
        <v>1</v>
      </c>
      <c r="H319">
        <v>3</v>
      </c>
      <c r="I319">
        <v>0</v>
      </c>
      <c r="J319">
        <v>0</v>
      </c>
      <c r="K319">
        <v>7</v>
      </c>
      <c r="L319">
        <v>28</v>
      </c>
      <c r="M319">
        <v>3.375</v>
      </c>
      <c r="N319">
        <v>12</v>
      </c>
      <c r="O319">
        <v>9</v>
      </c>
      <c r="P319">
        <v>7</v>
      </c>
      <c r="Q319">
        <v>3</v>
      </c>
      <c r="R319">
        <v>12</v>
      </c>
      <c r="S319">
        <v>11</v>
      </c>
      <c r="T319">
        <v>5</v>
      </c>
      <c r="U319">
        <v>5</v>
      </c>
      <c r="V319">
        <v>4</v>
      </c>
      <c r="W319">
        <v>7</v>
      </c>
      <c r="X319">
        <v>5</v>
      </c>
      <c r="AB319">
        <v>3</v>
      </c>
      <c r="AC319">
        <v>19121</v>
      </c>
      <c r="AD319">
        <v>7</v>
      </c>
      <c r="AE319">
        <v>0</v>
      </c>
      <c r="AI319">
        <v>15</v>
      </c>
      <c r="AJ319">
        <v>10</v>
      </c>
      <c r="AK319">
        <v>12</v>
      </c>
      <c r="AL319">
        <v>11</v>
      </c>
      <c r="AM319">
        <v>15</v>
      </c>
      <c r="AN319">
        <v>2</v>
      </c>
      <c r="AO319">
        <v>1.0833333333333</v>
      </c>
    </row>
    <row r="320" spans="1:41" x14ac:dyDescent="0.2">
      <c r="A320">
        <v>2501</v>
      </c>
      <c r="B320">
        <v>11474</v>
      </c>
      <c r="C320" s="1">
        <v>45203</v>
      </c>
      <c r="D320" s="1">
        <v>27229</v>
      </c>
      <c r="E320">
        <v>49.21</v>
      </c>
      <c r="F320">
        <v>4</v>
      </c>
      <c r="G320">
        <v>1</v>
      </c>
      <c r="H320">
        <v>2</v>
      </c>
      <c r="I320">
        <v>5</v>
      </c>
      <c r="J320">
        <v>3</v>
      </c>
      <c r="K320">
        <v>9</v>
      </c>
      <c r="L320">
        <v>4011</v>
      </c>
      <c r="M320">
        <v>2.9375</v>
      </c>
      <c r="N320">
        <v>11</v>
      </c>
      <c r="O320">
        <v>8</v>
      </c>
      <c r="P320">
        <v>7</v>
      </c>
      <c r="Q320">
        <v>0</v>
      </c>
      <c r="R320">
        <v>18</v>
      </c>
      <c r="S320">
        <v>3</v>
      </c>
      <c r="T320">
        <v>4.9166666666666998</v>
      </c>
      <c r="U320">
        <v>4</v>
      </c>
      <c r="V320">
        <v>2</v>
      </c>
      <c r="W320">
        <v>5</v>
      </c>
      <c r="X320">
        <v>4</v>
      </c>
      <c r="AB320">
        <v>3</v>
      </c>
      <c r="AC320">
        <v>19124</v>
      </c>
      <c r="AD320">
        <v>5</v>
      </c>
      <c r="AE320">
        <v>1</v>
      </c>
      <c r="AI320">
        <v>14</v>
      </c>
      <c r="AJ320">
        <v>11</v>
      </c>
      <c r="AK320">
        <v>17</v>
      </c>
      <c r="AL320">
        <v>12</v>
      </c>
      <c r="AM320">
        <v>13</v>
      </c>
    </row>
    <row r="321" spans="1:41" x14ac:dyDescent="0.2">
      <c r="A321">
        <v>2502</v>
      </c>
      <c r="B321">
        <v>120491</v>
      </c>
      <c r="C321" s="1">
        <v>45203</v>
      </c>
      <c r="D321" s="1">
        <v>33550</v>
      </c>
      <c r="E321">
        <v>31.9</v>
      </c>
      <c r="F321">
        <v>4</v>
      </c>
      <c r="G321">
        <v>1</v>
      </c>
      <c r="H321">
        <v>4</v>
      </c>
      <c r="I321">
        <v>0</v>
      </c>
      <c r="J321">
        <v>1</v>
      </c>
      <c r="K321">
        <v>15</v>
      </c>
      <c r="L321">
        <v>2022</v>
      </c>
      <c r="M321">
        <v>1.875</v>
      </c>
      <c r="N321">
        <v>2</v>
      </c>
      <c r="O321">
        <v>12</v>
      </c>
      <c r="P321">
        <v>6</v>
      </c>
      <c r="Q321">
        <v>0</v>
      </c>
      <c r="R321">
        <v>9</v>
      </c>
      <c r="S321">
        <v>1</v>
      </c>
      <c r="T321">
        <v>2.9166666666666998</v>
      </c>
      <c r="U321">
        <v>6</v>
      </c>
      <c r="V321">
        <v>2</v>
      </c>
      <c r="W321">
        <v>5</v>
      </c>
      <c r="X321">
        <v>6</v>
      </c>
      <c r="AC321">
        <v>19539</v>
      </c>
      <c r="AD321">
        <v>5</v>
      </c>
      <c r="AE321">
        <v>1</v>
      </c>
      <c r="AI321">
        <v>17</v>
      </c>
      <c r="AJ321">
        <v>9</v>
      </c>
      <c r="AK321">
        <v>12</v>
      </c>
      <c r="AL321">
        <v>16</v>
      </c>
      <c r="AM321">
        <v>17</v>
      </c>
    </row>
    <row r="322" spans="1:41" x14ac:dyDescent="0.2">
      <c r="A322">
        <v>2506</v>
      </c>
      <c r="B322">
        <v>122076</v>
      </c>
      <c r="C322" s="1">
        <v>45203</v>
      </c>
      <c r="D322" s="1">
        <v>27950</v>
      </c>
      <c r="E322">
        <v>47.24</v>
      </c>
      <c r="F322">
        <v>3</v>
      </c>
      <c r="G322">
        <v>1</v>
      </c>
      <c r="H322">
        <v>4</v>
      </c>
      <c r="I322">
        <v>0</v>
      </c>
      <c r="J322">
        <v>5</v>
      </c>
      <c r="K322">
        <v>12</v>
      </c>
      <c r="L322">
        <v>27</v>
      </c>
      <c r="M322">
        <v>3.125</v>
      </c>
      <c r="N322">
        <v>12</v>
      </c>
      <c r="O322">
        <v>3</v>
      </c>
      <c r="P322">
        <v>6</v>
      </c>
      <c r="Q322">
        <v>3</v>
      </c>
      <c r="R322">
        <v>16</v>
      </c>
      <c r="S322">
        <v>10</v>
      </c>
      <c r="T322">
        <v>4.6666666666666599</v>
      </c>
      <c r="U322">
        <v>4</v>
      </c>
      <c r="V322">
        <v>2</v>
      </c>
      <c r="W322">
        <v>6</v>
      </c>
      <c r="X322">
        <v>4</v>
      </c>
      <c r="AB322">
        <v>3</v>
      </c>
      <c r="AC322">
        <v>19020</v>
      </c>
      <c r="AD322">
        <v>6</v>
      </c>
      <c r="AE322">
        <v>0</v>
      </c>
      <c r="AI322">
        <v>12</v>
      </c>
      <c r="AJ322">
        <v>9</v>
      </c>
      <c r="AK322">
        <v>15</v>
      </c>
      <c r="AL322">
        <v>17</v>
      </c>
      <c r="AM322">
        <v>15</v>
      </c>
    </row>
    <row r="323" spans="1:41" x14ac:dyDescent="0.2">
      <c r="A323">
        <v>2508</v>
      </c>
      <c r="B323">
        <v>112277</v>
      </c>
      <c r="C323" s="1">
        <v>45203</v>
      </c>
      <c r="D323" s="1">
        <v>28234</v>
      </c>
      <c r="E323">
        <v>46.46</v>
      </c>
      <c r="F323">
        <v>4</v>
      </c>
      <c r="G323">
        <v>1</v>
      </c>
      <c r="H323">
        <v>5</v>
      </c>
      <c r="I323">
        <v>3</v>
      </c>
      <c r="J323">
        <v>4</v>
      </c>
      <c r="K323">
        <v>17</v>
      </c>
      <c r="L323">
        <v>28</v>
      </c>
      <c r="M323">
        <v>2.4375</v>
      </c>
      <c r="N323">
        <v>4</v>
      </c>
      <c r="O323">
        <v>9</v>
      </c>
      <c r="P323">
        <v>10</v>
      </c>
      <c r="Q323">
        <v>1</v>
      </c>
      <c r="R323">
        <v>9</v>
      </c>
      <c r="S323">
        <v>6</v>
      </c>
      <c r="T323">
        <v>3.3333333333333002</v>
      </c>
      <c r="U323">
        <v>5</v>
      </c>
      <c r="V323">
        <v>2</v>
      </c>
      <c r="W323">
        <v>4</v>
      </c>
      <c r="X323">
        <v>5</v>
      </c>
      <c r="AB323">
        <v>2</v>
      </c>
      <c r="AC323">
        <v>19602</v>
      </c>
      <c r="AD323">
        <v>4</v>
      </c>
      <c r="AE323">
        <v>0</v>
      </c>
      <c r="AI323">
        <v>14</v>
      </c>
      <c r="AJ323">
        <v>15</v>
      </c>
      <c r="AK323">
        <v>15</v>
      </c>
      <c r="AL323">
        <v>14</v>
      </c>
      <c r="AM323">
        <v>18</v>
      </c>
    </row>
    <row r="324" spans="1:41" x14ac:dyDescent="0.2">
      <c r="A324">
        <v>2518</v>
      </c>
      <c r="B324">
        <v>180297</v>
      </c>
      <c r="C324" s="1">
        <v>45203</v>
      </c>
      <c r="D324" s="1">
        <v>35640</v>
      </c>
      <c r="E324">
        <v>26.18</v>
      </c>
      <c r="F324">
        <v>5</v>
      </c>
      <c r="G324">
        <v>1</v>
      </c>
      <c r="H324">
        <v>1</v>
      </c>
      <c r="I324">
        <v>0</v>
      </c>
      <c r="J324">
        <v>0</v>
      </c>
      <c r="K324">
        <v>5</v>
      </c>
      <c r="L324">
        <v>0</v>
      </c>
      <c r="M324">
        <v>4.5</v>
      </c>
      <c r="N324">
        <v>9</v>
      </c>
      <c r="O324">
        <v>11</v>
      </c>
      <c r="P324">
        <v>12</v>
      </c>
      <c r="Q324">
        <v>11</v>
      </c>
      <c r="R324">
        <v>18</v>
      </c>
      <c r="S324">
        <v>11</v>
      </c>
      <c r="T324">
        <v>4.5833333333333304</v>
      </c>
      <c r="U324">
        <v>5</v>
      </c>
      <c r="V324">
        <v>2</v>
      </c>
      <c r="W324">
        <v>6</v>
      </c>
      <c r="X324">
        <v>5</v>
      </c>
      <c r="AB324">
        <v>4</v>
      </c>
      <c r="AC324">
        <v>19446</v>
      </c>
      <c r="AD324">
        <v>6</v>
      </c>
      <c r="AE324">
        <v>0</v>
      </c>
      <c r="AI324">
        <v>13</v>
      </c>
      <c r="AJ324">
        <v>10</v>
      </c>
      <c r="AK324">
        <v>18</v>
      </c>
      <c r="AL324">
        <v>18</v>
      </c>
      <c r="AM324">
        <v>14</v>
      </c>
    </row>
    <row r="325" spans="1:41" x14ac:dyDescent="0.2">
      <c r="A325">
        <v>2520</v>
      </c>
      <c r="B325">
        <v>131290</v>
      </c>
      <c r="C325" s="1">
        <v>45203</v>
      </c>
      <c r="D325" s="1">
        <v>33122</v>
      </c>
      <c r="E325">
        <v>33.08</v>
      </c>
      <c r="F325">
        <v>4</v>
      </c>
      <c r="G325">
        <v>2</v>
      </c>
      <c r="H325">
        <v>0</v>
      </c>
      <c r="I325">
        <v>0</v>
      </c>
      <c r="J325">
        <v>1</v>
      </c>
      <c r="K325">
        <v>11</v>
      </c>
      <c r="L325">
        <v>29</v>
      </c>
      <c r="M325">
        <v>3</v>
      </c>
      <c r="N325">
        <v>8</v>
      </c>
      <c r="O325">
        <v>10</v>
      </c>
      <c r="P325">
        <v>10</v>
      </c>
      <c r="Q325">
        <v>0</v>
      </c>
      <c r="R325">
        <v>18</v>
      </c>
      <c r="S325">
        <v>2</v>
      </c>
      <c r="T325">
        <v>5.5</v>
      </c>
      <c r="U325">
        <v>5</v>
      </c>
      <c r="V325">
        <v>0</v>
      </c>
      <c r="W325">
        <v>7</v>
      </c>
      <c r="X325">
        <v>5</v>
      </c>
      <c r="AB325">
        <v>0</v>
      </c>
      <c r="AC325">
        <v>95008</v>
      </c>
      <c r="AD325">
        <v>7</v>
      </c>
      <c r="AE325">
        <v>0</v>
      </c>
      <c r="AI325">
        <v>8</v>
      </c>
      <c r="AJ325">
        <v>11</v>
      </c>
      <c r="AK325">
        <v>6</v>
      </c>
      <c r="AL325">
        <v>10</v>
      </c>
      <c r="AM325">
        <v>14</v>
      </c>
    </row>
    <row r="326" spans="1:41" x14ac:dyDescent="0.2">
      <c r="A326">
        <v>2521</v>
      </c>
      <c r="B326">
        <v>190791</v>
      </c>
      <c r="C326" s="1">
        <v>45203</v>
      </c>
      <c r="D326" s="1">
        <v>33303</v>
      </c>
      <c r="E326">
        <v>32.58</v>
      </c>
      <c r="F326">
        <v>4</v>
      </c>
      <c r="G326">
        <v>1</v>
      </c>
      <c r="H326">
        <v>7</v>
      </c>
      <c r="I326">
        <v>9</v>
      </c>
      <c r="J326">
        <v>1</v>
      </c>
      <c r="K326">
        <v>12</v>
      </c>
      <c r="L326">
        <v>27</v>
      </c>
      <c r="M326">
        <v>2.4375</v>
      </c>
      <c r="N326">
        <v>8</v>
      </c>
      <c r="O326">
        <v>0</v>
      </c>
      <c r="P326">
        <v>9</v>
      </c>
      <c r="Q326">
        <v>0</v>
      </c>
      <c r="R326">
        <v>15</v>
      </c>
      <c r="S326">
        <v>7</v>
      </c>
      <c r="T326">
        <v>4.75</v>
      </c>
      <c r="U326">
        <v>6</v>
      </c>
      <c r="V326">
        <v>4</v>
      </c>
      <c r="W326">
        <v>7</v>
      </c>
      <c r="X326">
        <v>6</v>
      </c>
      <c r="AB326">
        <v>0</v>
      </c>
      <c r="AC326">
        <v>2144</v>
      </c>
      <c r="AD326">
        <v>7</v>
      </c>
      <c r="AE326">
        <v>0</v>
      </c>
      <c r="AI326">
        <v>18</v>
      </c>
      <c r="AJ326">
        <v>17</v>
      </c>
      <c r="AK326">
        <v>13</v>
      </c>
      <c r="AL326">
        <v>16</v>
      </c>
      <c r="AM326">
        <v>21</v>
      </c>
    </row>
    <row r="327" spans="1:41" x14ac:dyDescent="0.2">
      <c r="A327">
        <v>2533</v>
      </c>
      <c r="B327">
        <v>130459</v>
      </c>
      <c r="C327" s="1">
        <v>45203</v>
      </c>
      <c r="D327" s="1">
        <v>21856</v>
      </c>
      <c r="E327">
        <v>63.92</v>
      </c>
      <c r="F327">
        <v>4</v>
      </c>
      <c r="G327">
        <v>2</v>
      </c>
      <c r="H327">
        <v>0</v>
      </c>
      <c r="I327">
        <v>10</v>
      </c>
      <c r="J327">
        <v>4</v>
      </c>
      <c r="K327">
        <v>12</v>
      </c>
      <c r="L327">
        <v>27</v>
      </c>
      <c r="M327">
        <v>3.25</v>
      </c>
      <c r="N327">
        <v>9</v>
      </c>
      <c r="O327">
        <v>8</v>
      </c>
      <c r="P327">
        <v>9</v>
      </c>
      <c r="Q327">
        <v>2</v>
      </c>
      <c r="R327">
        <v>15</v>
      </c>
      <c r="S327">
        <v>9</v>
      </c>
      <c r="T327">
        <v>4.0833333333333002</v>
      </c>
      <c r="U327">
        <v>6</v>
      </c>
      <c r="V327">
        <v>1</v>
      </c>
      <c r="W327">
        <v>3</v>
      </c>
      <c r="X327">
        <v>6</v>
      </c>
      <c r="AB327">
        <v>0</v>
      </c>
      <c r="AC327">
        <v>8087</v>
      </c>
      <c r="AD327">
        <v>3</v>
      </c>
      <c r="AE327">
        <v>1</v>
      </c>
      <c r="AI327">
        <v>14</v>
      </c>
      <c r="AJ327">
        <v>11</v>
      </c>
      <c r="AK327">
        <v>14</v>
      </c>
      <c r="AL327">
        <v>14</v>
      </c>
      <c r="AM327">
        <v>19</v>
      </c>
      <c r="AN327">
        <v>0</v>
      </c>
      <c r="AO327">
        <v>1.3333333333333</v>
      </c>
    </row>
    <row r="328" spans="1:41" x14ac:dyDescent="0.2">
      <c r="A328">
        <v>2543</v>
      </c>
      <c r="B328">
        <v>11801</v>
      </c>
      <c r="C328" s="1">
        <v>45204</v>
      </c>
      <c r="D328" s="1">
        <v>37167</v>
      </c>
      <c r="E328">
        <v>22</v>
      </c>
      <c r="F328">
        <v>4</v>
      </c>
      <c r="G328">
        <v>1</v>
      </c>
      <c r="H328">
        <v>4</v>
      </c>
      <c r="I328">
        <v>5</v>
      </c>
      <c r="J328">
        <v>2</v>
      </c>
      <c r="K328">
        <v>11</v>
      </c>
      <c r="L328">
        <v>26</v>
      </c>
      <c r="M328">
        <v>3.875</v>
      </c>
      <c r="N328">
        <v>6</v>
      </c>
      <c r="O328">
        <v>11</v>
      </c>
      <c r="P328">
        <v>10</v>
      </c>
      <c r="Q328">
        <v>10</v>
      </c>
      <c r="R328">
        <v>15</v>
      </c>
      <c r="S328">
        <v>10</v>
      </c>
      <c r="T328">
        <v>4.5</v>
      </c>
      <c r="U328">
        <v>4</v>
      </c>
      <c r="V328">
        <v>1</v>
      </c>
      <c r="W328">
        <v>4</v>
      </c>
      <c r="X328">
        <v>4</v>
      </c>
      <c r="AC328">
        <v>19054</v>
      </c>
      <c r="AD328">
        <v>4</v>
      </c>
      <c r="AE328">
        <v>0</v>
      </c>
      <c r="AI328">
        <v>17</v>
      </c>
      <c r="AJ328">
        <v>16</v>
      </c>
      <c r="AK328">
        <v>16</v>
      </c>
      <c r="AL328">
        <v>15</v>
      </c>
      <c r="AM328">
        <v>16</v>
      </c>
    </row>
    <row r="329" spans="1:41" x14ac:dyDescent="0.2">
      <c r="A329">
        <v>2545</v>
      </c>
      <c r="B329">
        <v>201500</v>
      </c>
      <c r="C329" s="1">
        <v>45204</v>
      </c>
      <c r="D329" s="1">
        <v>36703</v>
      </c>
      <c r="E329">
        <v>23.27</v>
      </c>
      <c r="F329">
        <v>3</v>
      </c>
      <c r="G329">
        <v>2</v>
      </c>
      <c r="H329">
        <v>8</v>
      </c>
      <c r="I329">
        <v>18</v>
      </c>
      <c r="J329">
        <v>2</v>
      </c>
      <c r="K329">
        <v>18</v>
      </c>
      <c r="L329">
        <v>28</v>
      </c>
      <c r="M329">
        <v>3.5</v>
      </c>
      <c r="N329">
        <v>6</v>
      </c>
      <c r="O329">
        <v>12</v>
      </c>
      <c r="P329">
        <v>8</v>
      </c>
      <c r="Q329">
        <v>7</v>
      </c>
      <c r="R329">
        <v>13</v>
      </c>
      <c r="S329">
        <v>10</v>
      </c>
      <c r="T329">
        <v>6.4166666666666599</v>
      </c>
      <c r="U329">
        <v>1</v>
      </c>
      <c r="V329">
        <v>1</v>
      </c>
      <c r="W329">
        <v>4</v>
      </c>
      <c r="X329">
        <v>1</v>
      </c>
      <c r="AB329">
        <v>0</v>
      </c>
      <c r="AC329">
        <v>19120</v>
      </c>
      <c r="AD329">
        <v>4</v>
      </c>
      <c r="AE329">
        <v>0</v>
      </c>
      <c r="AI329">
        <v>20</v>
      </c>
      <c r="AJ329">
        <v>13</v>
      </c>
      <c r="AK329">
        <v>16</v>
      </c>
      <c r="AL329">
        <v>18</v>
      </c>
      <c r="AM329">
        <v>20</v>
      </c>
    </row>
    <row r="330" spans="1:41" x14ac:dyDescent="0.2">
      <c r="A330">
        <v>2548</v>
      </c>
      <c r="B330">
        <v>132091</v>
      </c>
      <c r="C330" s="1">
        <v>45204</v>
      </c>
      <c r="D330" s="1">
        <v>33601</v>
      </c>
      <c r="E330">
        <v>31.77</v>
      </c>
      <c r="F330">
        <v>6</v>
      </c>
      <c r="G330">
        <v>0</v>
      </c>
      <c r="H330">
        <v>4</v>
      </c>
      <c r="I330">
        <v>0</v>
      </c>
      <c r="J330">
        <v>2</v>
      </c>
      <c r="K330">
        <v>8</v>
      </c>
      <c r="L330">
        <v>0</v>
      </c>
      <c r="M330">
        <v>2.625</v>
      </c>
      <c r="N330">
        <v>6</v>
      </c>
      <c r="O330">
        <v>6</v>
      </c>
      <c r="P330">
        <v>6</v>
      </c>
      <c r="Q330">
        <v>6</v>
      </c>
      <c r="R330">
        <v>12</v>
      </c>
      <c r="S330">
        <v>6</v>
      </c>
      <c r="T330">
        <v>4.9166666666666998</v>
      </c>
      <c r="U330">
        <v>6</v>
      </c>
      <c r="V330">
        <v>2</v>
      </c>
      <c r="W330">
        <v>7</v>
      </c>
      <c r="X330">
        <v>6</v>
      </c>
      <c r="AB330">
        <v>0</v>
      </c>
      <c r="AD330">
        <v>7</v>
      </c>
      <c r="AE330">
        <v>0</v>
      </c>
      <c r="AI330">
        <v>17</v>
      </c>
      <c r="AJ330">
        <v>18</v>
      </c>
      <c r="AK330">
        <v>21</v>
      </c>
      <c r="AL330">
        <v>16</v>
      </c>
      <c r="AM330">
        <v>17</v>
      </c>
    </row>
    <row r="331" spans="1:41" x14ac:dyDescent="0.2">
      <c r="A331">
        <v>2549</v>
      </c>
      <c r="B331">
        <v>32001</v>
      </c>
      <c r="C331" s="1">
        <v>45204</v>
      </c>
      <c r="D331" s="1">
        <v>37079</v>
      </c>
      <c r="E331">
        <v>22.25</v>
      </c>
      <c r="F331">
        <v>4</v>
      </c>
      <c r="G331">
        <v>1</v>
      </c>
      <c r="H331">
        <v>6</v>
      </c>
      <c r="I331">
        <v>0</v>
      </c>
      <c r="J331">
        <v>0</v>
      </c>
      <c r="K331">
        <v>11</v>
      </c>
      <c r="L331">
        <v>0</v>
      </c>
      <c r="M331">
        <v>2.9375</v>
      </c>
      <c r="N331">
        <v>5</v>
      </c>
      <c r="O331">
        <v>9</v>
      </c>
      <c r="P331">
        <v>8</v>
      </c>
      <c r="Q331">
        <v>4</v>
      </c>
      <c r="R331">
        <v>12</v>
      </c>
      <c r="S331">
        <v>9</v>
      </c>
      <c r="T331">
        <v>2.75</v>
      </c>
      <c r="U331">
        <v>5</v>
      </c>
      <c r="V331">
        <v>3</v>
      </c>
      <c r="W331">
        <v>6</v>
      </c>
      <c r="X331">
        <v>5</v>
      </c>
      <c r="AB331">
        <v>2</v>
      </c>
      <c r="AC331">
        <v>8036</v>
      </c>
      <c r="AD331">
        <v>6</v>
      </c>
      <c r="AE331">
        <v>0</v>
      </c>
      <c r="AI331">
        <v>15</v>
      </c>
      <c r="AJ331">
        <v>12</v>
      </c>
      <c r="AK331">
        <v>20</v>
      </c>
      <c r="AL331">
        <v>18</v>
      </c>
      <c r="AM331">
        <v>11</v>
      </c>
    </row>
    <row r="332" spans="1:41" x14ac:dyDescent="0.2">
      <c r="A332">
        <v>2553</v>
      </c>
      <c r="B332">
        <v>110893</v>
      </c>
      <c r="C332" s="1">
        <v>45204</v>
      </c>
      <c r="D332" s="1">
        <v>34305</v>
      </c>
      <c r="E332">
        <v>29.84</v>
      </c>
      <c r="F332">
        <v>3</v>
      </c>
      <c r="G332">
        <v>1</v>
      </c>
      <c r="H332">
        <v>1</v>
      </c>
      <c r="I332">
        <v>0</v>
      </c>
      <c r="J332">
        <v>8</v>
      </c>
      <c r="K332">
        <v>13</v>
      </c>
      <c r="L332">
        <v>30</v>
      </c>
      <c r="M332">
        <v>3.125</v>
      </c>
      <c r="N332">
        <v>9</v>
      </c>
      <c r="O332">
        <v>4</v>
      </c>
      <c r="P332">
        <v>9</v>
      </c>
      <c r="Q332">
        <v>4</v>
      </c>
      <c r="R332">
        <v>15</v>
      </c>
      <c r="S332">
        <v>9</v>
      </c>
      <c r="T332">
        <v>4.5</v>
      </c>
      <c r="U332">
        <v>2</v>
      </c>
      <c r="V332">
        <v>1</v>
      </c>
      <c r="W332">
        <v>2</v>
      </c>
      <c r="X332">
        <v>2</v>
      </c>
      <c r="AB332">
        <v>4</v>
      </c>
      <c r="AC332">
        <v>19124</v>
      </c>
      <c r="AD332">
        <v>2</v>
      </c>
      <c r="AE332">
        <v>0</v>
      </c>
      <c r="AI332">
        <v>15</v>
      </c>
      <c r="AJ332">
        <v>10</v>
      </c>
      <c r="AK332">
        <v>20</v>
      </c>
      <c r="AL332">
        <v>19</v>
      </c>
      <c r="AM332">
        <v>16</v>
      </c>
    </row>
    <row r="333" spans="1:41" x14ac:dyDescent="0.2">
      <c r="A333">
        <v>2555</v>
      </c>
      <c r="B333">
        <v>50385</v>
      </c>
      <c r="C333" s="1">
        <v>45204</v>
      </c>
      <c r="D333" s="1">
        <v>31078</v>
      </c>
      <c r="E333">
        <v>38.68</v>
      </c>
      <c r="F333">
        <v>4</v>
      </c>
      <c r="G333">
        <v>0</v>
      </c>
      <c r="H333">
        <v>8</v>
      </c>
      <c r="I333">
        <v>4</v>
      </c>
      <c r="J333">
        <v>0</v>
      </c>
      <c r="K333">
        <v>13</v>
      </c>
      <c r="L333">
        <v>0</v>
      </c>
      <c r="M333">
        <v>2.9375</v>
      </c>
      <c r="N333">
        <v>12</v>
      </c>
      <c r="O333">
        <v>0</v>
      </c>
      <c r="P333">
        <v>10</v>
      </c>
      <c r="Q333">
        <v>0</v>
      </c>
      <c r="R333">
        <v>15</v>
      </c>
      <c r="S333">
        <v>10</v>
      </c>
      <c r="T333">
        <v>2.75</v>
      </c>
      <c r="U333">
        <v>1</v>
      </c>
      <c r="V333">
        <v>0</v>
      </c>
      <c r="W333">
        <v>2</v>
      </c>
      <c r="X333">
        <v>1</v>
      </c>
      <c r="AB333">
        <v>0</v>
      </c>
      <c r="AC333">
        <v>19020</v>
      </c>
      <c r="AD333">
        <v>2</v>
      </c>
      <c r="AE333">
        <v>1</v>
      </c>
      <c r="AI333">
        <v>13</v>
      </c>
      <c r="AJ333">
        <v>13</v>
      </c>
      <c r="AK333">
        <v>16</v>
      </c>
      <c r="AL333">
        <v>14</v>
      </c>
      <c r="AM333">
        <v>16</v>
      </c>
    </row>
    <row r="334" spans="1:41" x14ac:dyDescent="0.2">
      <c r="A334">
        <v>2557</v>
      </c>
      <c r="B334">
        <v>111498</v>
      </c>
      <c r="C334" s="1">
        <v>45204</v>
      </c>
      <c r="D334" s="1">
        <v>36104</v>
      </c>
      <c r="E334">
        <v>24.91</v>
      </c>
      <c r="F334">
        <v>4</v>
      </c>
      <c r="G334">
        <v>1</v>
      </c>
      <c r="H334">
        <v>8</v>
      </c>
      <c r="I334">
        <v>1</v>
      </c>
      <c r="J334">
        <v>0</v>
      </c>
      <c r="K334">
        <v>3</v>
      </c>
      <c r="L334">
        <v>0</v>
      </c>
      <c r="M334">
        <v>3.5625</v>
      </c>
      <c r="N334">
        <v>11</v>
      </c>
      <c r="O334">
        <v>3</v>
      </c>
      <c r="P334">
        <v>12</v>
      </c>
      <c r="Q334">
        <v>1</v>
      </c>
      <c r="R334">
        <v>18</v>
      </c>
      <c r="S334">
        <v>12</v>
      </c>
      <c r="T334">
        <v>4.6666666666666998</v>
      </c>
      <c r="U334">
        <v>6</v>
      </c>
      <c r="V334">
        <v>2</v>
      </c>
      <c r="W334">
        <v>6</v>
      </c>
      <c r="X334">
        <v>6</v>
      </c>
      <c r="AB334">
        <v>2</v>
      </c>
      <c r="AC334">
        <v>8070</v>
      </c>
      <c r="AD334">
        <v>6</v>
      </c>
      <c r="AE334">
        <v>0</v>
      </c>
      <c r="AI334">
        <v>15</v>
      </c>
      <c r="AJ334">
        <v>7</v>
      </c>
      <c r="AK334">
        <v>18</v>
      </c>
      <c r="AL334">
        <v>17</v>
      </c>
      <c r="AM334">
        <v>12</v>
      </c>
    </row>
    <row r="335" spans="1:41" x14ac:dyDescent="0.2">
      <c r="A335">
        <v>2558</v>
      </c>
      <c r="B335">
        <v>200297</v>
      </c>
      <c r="C335" s="1">
        <v>45204</v>
      </c>
      <c r="D335" s="1">
        <v>35542</v>
      </c>
      <c r="E335">
        <v>26.45</v>
      </c>
      <c r="F335">
        <v>3</v>
      </c>
      <c r="G335">
        <v>2</v>
      </c>
      <c r="H335">
        <v>10</v>
      </c>
      <c r="I335">
        <v>5</v>
      </c>
      <c r="J335">
        <v>4</v>
      </c>
      <c r="K335">
        <v>12</v>
      </c>
      <c r="L335">
        <v>0</v>
      </c>
      <c r="M335">
        <v>3.75</v>
      </c>
      <c r="N335">
        <v>12</v>
      </c>
      <c r="O335">
        <v>5</v>
      </c>
      <c r="P335">
        <v>11</v>
      </c>
      <c r="Q335">
        <v>2</v>
      </c>
      <c r="R335">
        <v>18</v>
      </c>
      <c r="S335">
        <v>12</v>
      </c>
      <c r="T335">
        <v>4.0833333333333002</v>
      </c>
      <c r="U335">
        <v>5</v>
      </c>
      <c r="V335">
        <v>1</v>
      </c>
      <c r="W335">
        <v>5</v>
      </c>
      <c r="X335">
        <v>5</v>
      </c>
      <c r="AB335">
        <v>0</v>
      </c>
      <c r="AC335">
        <v>19140</v>
      </c>
      <c r="AD335">
        <v>5</v>
      </c>
      <c r="AE335">
        <v>0</v>
      </c>
      <c r="AI335">
        <v>14</v>
      </c>
      <c r="AJ335">
        <v>11</v>
      </c>
      <c r="AK335">
        <v>12</v>
      </c>
      <c r="AL335">
        <v>12</v>
      </c>
      <c r="AM335">
        <v>20</v>
      </c>
    </row>
    <row r="336" spans="1:41" x14ac:dyDescent="0.2">
      <c r="A336">
        <v>2561</v>
      </c>
      <c r="B336">
        <v>30183</v>
      </c>
      <c r="C336" s="1">
        <v>45204</v>
      </c>
      <c r="D336" s="1">
        <v>30560</v>
      </c>
      <c r="E336">
        <v>40.090000000000003</v>
      </c>
      <c r="F336">
        <v>4</v>
      </c>
      <c r="G336">
        <v>1</v>
      </c>
      <c r="H336">
        <v>0</v>
      </c>
      <c r="I336">
        <v>0</v>
      </c>
      <c r="J336">
        <v>4</v>
      </c>
      <c r="K336">
        <v>17</v>
      </c>
      <c r="L336">
        <v>23</v>
      </c>
      <c r="M336">
        <v>2.5</v>
      </c>
      <c r="N336">
        <v>7</v>
      </c>
      <c r="O336">
        <v>1</v>
      </c>
      <c r="P336">
        <v>6</v>
      </c>
      <c r="Q336">
        <v>9</v>
      </c>
      <c r="R336">
        <v>14</v>
      </c>
      <c r="S336">
        <v>3</v>
      </c>
      <c r="T336">
        <v>2.1666666666666998</v>
      </c>
      <c r="U336">
        <v>1</v>
      </c>
      <c r="V336">
        <v>0</v>
      </c>
      <c r="W336">
        <v>2</v>
      </c>
      <c r="X336">
        <v>1</v>
      </c>
      <c r="AB336">
        <v>0</v>
      </c>
      <c r="AC336">
        <v>44348</v>
      </c>
      <c r="AD336">
        <v>2</v>
      </c>
      <c r="AE336">
        <v>0</v>
      </c>
      <c r="AI336">
        <v>13</v>
      </c>
      <c r="AJ336">
        <v>11</v>
      </c>
      <c r="AK336">
        <v>10</v>
      </c>
      <c r="AL336">
        <v>10</v>
      </c>
      <c r="AM336">
        <v>15</v>
      </c>
    </row>
    <row r="337" spans="1:41" x14ac:dyDescent="0.2">
      <c r="A337">
        <v>2562</v>
      </c>
      <c r="B337">
        <v>191966</v>
      </c>
      <c r="C337" s="1">
        <v>45204</v>
      </c>
      <c r="D337" s="1">
        <v>24134</v>
      </c>
      <c r="E337">
        <v>57.69</v>
      </c>
      <c r="F337">
        <v>4</v>
      </c>
      <c r="G337">
        <v>1</v>
      </c>
      <c r="H337">
        <v>1</v>
      </c>
      <c r="I337">
        <v>0</v>
      </c>
      <c r="J337">
        <v>0</v>
      </c>
      <c r="K337">
        <v>4</v>
      </c>
      <c r="L337">
        <v>28</v>
      </c>
      <c r="M337">
        <v>3.0625</v>
      </c>
      <c r="N337">
        <v>12</v>
      </c>
      <c r="O337">
        <v>5</v>
      </c>
      <c r="P337">
        <v>9</v>
      </c>
      <c r="Q337">
        <v>0</v>
      </c>
      <c r="R337">
        <v>15</v>
      </c>
      <c r="S337">
        <v>8</v>
      </c>
      <c r="T337">
        <v>4.5833333333333002</v>
      </c>
      <c r="U337">
        <v>4</v>
      </c>
      <c r="V337">
        <v>0</v>
      </c>
      <c r="W337">
        <v>5</v>
      </c>
      <c r="X337">
        <v>4</v>
      </c>
      <c r="AB337">
        <v>2</v>
      </c>
      <c r="AC337">
        <v>19609</v>
      </c>
      <c r="AD337">
        <v>5</v>
      </c>
      <c r="AE337">
        <v>0</v>
      </c>
      <c r="AI337">
        <v>15</v>
      </c>
      <c r="AJ337">
        <v>10</v>
      </c>
      <c r="AK337">
        <v>12</v>
      </c>
      <c r="AL337">
        <v>10</v>
      </c>
      <c r="AM337">
        <v>14</v>
      </c>
      <c r="AN337">
        <v>26</v>
      </c>
      <c r="AO337">
        <v>1.3333333333333</v>
      </c>
    </row>
    <row r="338" spans="1:41" x14ac:dyDescent="0.2">
      <c r="A338">
        <v>2563</v>
      </c>
      <c r="B338">
        <v>201600</v>
      </c>
      <c r="C338" s="1">
        <v>45211</v>
      </c>
      <c r="D338" s="1">
        <v>36771</v>
      </c>
      <c r="E338">
        <v>23.11</v>
      </c>
      <c r="F338">
        <v>4</v>
      </c>
      <c r="G338">
        <v>1</v>
      </c>
      <c r="H338">
        <v>6</v>
      </c>
      <c r="I338">
        <v>0</v>
      </c>
      <c r="J338">
        <v>0</v>
      </c>
      <c r="K338">
        <v>7</v>
      </c>
      <c r="L338">
        <v>28</v>
      </c>
      <c r="M338">
        <v>3.75</v>
      </c>
      <c r="N338">
        <v>12</v>
      </c>
      <c r="O338">
        <v>5</v>
      </c>
      <c r="P338">
        <v>11</v>
      </c>
      <c r="Q338">
        <v>2</v>
      </c>
      <c r="R338">
        <v>18</v>
      </c>
      <c r="S338">
        <v>12</v>
      </c>
      <c r="T338">
        <v>5.75</v>
      </c>
      <c r="U338">
        <v>5</v>
      </c>
      <c r="V338">
        <v>0</v>
      </c>
      <c r="W338">
        <v>7</v>
      </c>
      <c r="X338">
        <v>5</v>
      </c>
      <c r="AB338">
        <v>0</v>
      </c>
      <c r="AC338">
        <v>14620</v>
      </c>
      <c r="AD338">
        <v>7</v>
      </c>
      <c r="AE338">
        <v>0</v>
      </c>
      <c r="AI338">
        <v>12</v>
      </c>
      <c r="AJ338">
        <v>13</v>
      </c>
      <c r="AK338">
        <v>13</v>
      </c>
      <c r="AL338">
        <v>13</v>
      </c>
      <c r="AM338">
        <v>11</v>
      </c>
    </row>
    <row r="339" spans="1:41" x14ac:dyDescent="0.2">
      <c r="A339">
        <v>2566</v>
      </c>
      <c r="B339">
        <v>100762</v>
      </c>
      <c r="C339" s="1">
        <v>45204</v>
      </c>
      <c r="D339" s="1">
        <v>22722</v>
      </c>
      <c r="E339">
        <v>61.55</v>
      </c>
      <c r="F339">
        <v>3</v>
      </c>
      <c r="G339">
        <v>0</v>
      </c>
      <c r="H339">
        <v>6</v>
      </c>
      <c r="I339">
        <v>11</v>
      </c>
      <c r="J339">
        <v>2</v>
      </c>
      <c r="K339">
        <v>11</v>
      </c>
      <c r="L339">
        <v>31</v>
      </c>
      <c r="M339">
        <v>3.875</v>
      </c>
      <c r="N339">
        <v>12</v>
      </c>
      <c r="O339">
        <v>12</v>
      </c>
      <c r="P339">
        <v>9</v>
      </c>
      <c r="Q339">
        <v>8</v>
      </c>
      <c r="R339">
        <v>9</v>
      </c>
      <c r="S339">
        <v>12</v>
      </c>
      <c r="T339">
        <v>6.4166666666666599</v>
      </c>
      <c r="U339">
        <v>6</v>
      </c>
      <c r="V339">
        <v>2</v>
      </c>
      <c r="W339">
        <v>6</v>
      </c>
      <c r="X339">
        <v>6</v>
      </c>
      <c r="AB339">
        <v>0</v>
      </c>
      <c r="AC339">
        <v>19150</v>
      </c>
      <c r="AD339">
        <v>6</v>
      </c>
      <c r="AE339">
        <v>0</v>
      </c>
      <c r="AI339">
        <v>20</v>
      </c>
      <c r="AJ339">
        <v>14</v>
      </c>
      <c r="AK339">
        <v>15</v>
      </c>
      <c r="AL339">
        <v>22</v>
      </c>
      <c r="AM339">
        <v>24</v>
      </c>
      <c r="AN339">
        <v>17</v>
      </c>
      <c r="AO339">
        <v>3.4166666666666599</v>
      </c>
    </row>
    <row r="340" spans="1:41" x14ac:dyDescent="0.2">
      <c r="A340">
        <v>2568</v>
      </c>
      <c r="B340">
        <v>221366</v>
      </c>
      <c r="C340" s="1">
        <v>45204</v>
      </c>
      <c r="D340" s="1">
        <v>24330</v>
      </c>
      <c r="E340">
        <v>57.15</v>
      </c>
      <c r="F340">
        <v>3</v>
      </c>
      <c r="G340">
        <v>1</v>
      </c>
      <c r="H340">
        <v>6</v>
      </c>
      <c r="I340">
        <v>0</v>
      </c>
      <c r="J340">
        <v>3</v>
      </c>
      <c r="K340">
        <v>11</v>
      </c>
      <c r="L340">
        <v>23</v>
      </c>
      <c r="M340">
        <v>3.75</v>
      </c>
      <c r="N340">
        <v>9</v>
      </c>
      <c r="O340">
        <v>9</v>
      </c>
      <c r="P340">
        <v>9</v>
      </c>
      <c r="Q340">
        <v>8</v>
      </c>
      <c r="R340">
        <v>15</v>
      </c>
      <c r="S340">
        <v>10</v>
      </c>
      <c r="T340">
        <v>7</v>
      </c>
      <c r="U340">
        <v>1</v>
      </c>
      <c r="V340">
        <v>1</v>
      </c>
      <c r="W340">
        <v>8</v>
      </c>
      <c r="X340">
        <v>1</v>
      </c>
      <c r="AB340">
        <v>0</v>
      </c>
      <c r="AC340">
        <v>19146</v>
      </c>
      <c r="AD340">
        <v>8</v>
      </c>
      <c r="AE340">
        <v>0</v>
      </c>
      <c r="AI340">
        <v>14</v>
      </c>
      <c r="AJ340">
        <v>6</v>
      </c>
      <c r="AK340">
        <v>10</v>
      </c>
      <c r="AL340">
        <v>13</v>
      </c>
      <c r="AM340">
        <v>9</v>
      </c>
      <c r="AN340">
        <v>26</v>
      </c>
      <c r="AO340">
        <v>2</v>
      </c>
    </row>
    <row r="341" spans="1:41" x14ac:dyDescent="0.2">
      <c r="A341">
        <v>2573</v>
      </c>
      <c r="B341">
        <v>10798</v>
      </c>
      <c r="C341" s="1">
        <v>45204</v>
      </c>
      <c r="D341" s="1">
        <v>35971</v>
      </c>
      <c r="E341">
        <v>25.28</v>
      </c>
      <c r="F341">
        <v>4</v>
      </c>
      <c r="G341">
        <v>1</v>
      </c>
      <c r="H341">
        <v>6</v>
      </c>
      <c r="I341">
        <v>11</v>
      </c>
      <c r="J341">
        <v>3</v>
      </c>
      <c r="K341">
        <v>16</v>
      </c>
      <c r="L341">
        <v>27</v>
      </c>
      <c r="M341">
        <v>3.9375</v>
      </c>
      <c r="N341">
        <v>12</v>
      </c>
      <c r="O341">
        <v>8</v>
      </c>
      <c r="P341">
        <v>12</v>
      </c>
      <c r="Q341">
        <v>4</v>
      </c>
      <c r="R341">
        <v>15</v>
      </c>
      <c r="S341">
        <v>12</v>
      </c>
      <c r="T341">
        <v>5.6666666666666599</v>
      </c>
      <c r="U341">
        <v>5</v>
      </c>
      <c r="V341">
        <v>1</v>
      </c>
      <c r="W341">
        <v>4</v>
      </c>
      <c r="X341">
        <v>5</v>
      </c>
      <c r="AB341">
        <v>0</v>
      </c>
      <c r="AC341">
        <v>19067</v>
      </c>
      <c r="AD341">
        <v>4</v>
      </c>
      <c r="AE341">
        <v>0</v>
      </c>
      <c r="AI341">
        <v>16</v>
      </c>
      <c r="AJ341">
        <v>14</v>
      </c>
      <c r="AK341">
        <v>15</v>
      </c>
      <c r="AL341">
        <v>15</v>
      </c>
      <c r="AM341">
        <v>15</v>
      </c>
    </row>
    <row r="342" spans="1:41" x14ac:dyDescent="0.2">
      <c r="A342">
        <v>2577</v>
      </c>
      <c r="B342">
        <v>140281</v>
      </c>
      <c r="C342" s="1">
        <v>45204</v>
      </c>
      <c r="D342" s="1">
        <v>29923</v>
      </c>
      <c r="E342">
        <v>41.84</v>
      </c>
      <c r="F342">
        <v>4</v>
      </c>
      <c r="G342">
        <v>2</v>
      </c>
      <c r="H342">
        <v>4</v>
      </c>
      <c r="I342">
        <v>8</v>
      </c>
      <c r="J342">
        <v>0</v>
      </c>
      <c r="K342">
        <v>9</v>
      </c>
      <c r="L342">
        <v>27</v>
      </c>
      <c r="M342">
        <v>2.8125</v>
      </c>
      <c r="N342">
        <v>8</v>
      </c>
      <c r="O342">
        <v>5</v>
      </c>
      <c r="P342">
        <v>9</v>
      </c>
      <c r="Q342">
        <v>3</v>
      </c>
      <c r="R342">
        <v>15</v>
      </c>
      <c r="S342">
        <v>5</v>
      </c>
      <c r="T342">
        <v>3.8333333333333002</v>
      </c>
      <c r="U342">
        <v>6</v>
      </c>
      <c r="V342">
        <v>4</v>
      </c>
      <c r="W342">
        <v>6</v>
      </c>
      <c r="X342">
        <v>6</v>
      </c>
      <c r="AB342">
        <v>4</v>
      </c>
      <c r="AC342">
        <v>19401</v>
      </c>
      <c r="AD342">
        <v>6</v>
      </c>
      <c r="AE342">
        <v>0</v>
      </c>
      <c r="AI342">
        <v>16</v>
      </c>
      <c r="AJ342">
        <v>14</v>
      </c>
      <c r="AK342">
        <v>16</v>
      </c>
      <c r="AL342">
        <v>19</v>
      </c>
      <c r="AM342">
        <v>17</v>
      </c>
    </row>
    <row r="343" spans="1:41" x14ac:dyDescent="0.2">
      <c r="A343">
        <v>2582</v>
      </c>
      <c r="B343">
        <v>70798</v>
      </c>
      <c r="C343" s="1">
        <v>45204</v>
      </c>
      <c r="D343" s="1">
        <v>35946</v>
      </c>
      <c r="E343">
        <v>25.35</v>
      </c>
      <c r="F343">
        <v>4</v>
      </c>
      <c r="G343">
        <v>2</v>
      </c>
      <c r="H343">
        <v>3</v>
      </c>
      <c r="I343">
        <v>7</v>
      </c>
      <c r="J343">
        <v>3</v>
      </c>
      <c r="K343">
        <v>12</v>
      </c>
      <c r="L343">
        <v>28</v>
      </c>
      <c r="M343">
        <v>3.6875</v>
      </c>
      <c r="N343">
        <v>8</v>
      </c>
      <c r="O343">
        <v>5</v>
      </c>
      <c r="P343">
        <v>10</v>
      </c>
      <c r="Q343">
        <v>10</v>
      </c>
      <c r="R343">
        <v>17</v>
      </c>
      <c r="S343">
        <v>9</v>
      </c>
      <c r="T343">
        <v>5.0833333333333002</v>
      </c>
      <c r="U343">
        <v>5</v>
      </c>
      <c r="V343">
        <v>1</v>
      </c>
      <c r="W343">
        <v>4</v>
      </c>
      <c r="X343">
        <v>5</v>
      </c>
      <c r="AC343">
        <v>8003</v>
      </c>
      <c r="AD343">
        <v>4</v>
      </c>
      <c r="AE343">
        <v>0</v>
      </c>
      <c r="AI343">
        <v>13</v>
      </c>
      <c r="AJ343">
        <v>12</v>
      </c>
      <c r="AK343">
        <v>11</v>
      </c>
      <c r="AL343">
        <v>17</v>
      </c>
      <c r="AM343">
        <v>20</v>
      </c>
    </row>
    <row r="344" spans="1:41" x14ac:dyDescent="0.2">
      <c r="A344">
        <v>2584</v>
      </c>
      <c r="B344">
        <v>131689</v>
      </c>
      <c r="C344" s="1">
        <v>45204</v>
      </c>
      <c r="D344" s="1">
        <v>32869</v>
      </c>
      <c r="E344">
        <v>33.770000000000003</v>
      </c>
      <c r="F344">
        <v>4</v>
      </c>
      <c r="G344">
        <v>1</v>
      </c>
      <c r="H344">
        <v>3</v>
      </c>
      <c r="I344">
        <v>0</v>
      </c>
      <c r="J344">
        <v>0</v>
      </c>
      <c r="K344">
        <v>6</v>
      </c>
      <c r="L344">
        <v>28</v>
      </c>
      <c r="M344">
        <v>2.75</v>
      </c>
      <c r="N344">
        <v>9</v>
      </c>
      <c r="O344">
        <v>3</v>
      </c>
      <c r="P344">
        <v>9</v>
      </c>
      <c r="Q344">
        <v>3</v>
      </c>
      <c r="R344">
        <v>15</v>
      </c>
      <c r="S344">
        <v>5</v>
      </c>
      <c r="T344">
        <v>4.8333333333333002</v>
      </c>
      <c r="U344">
        <v>6</v>
      </c>
      <c r="V344">
        <v>2</v>
      </c>
      <c r="W344">
        <v>7</v>
      </c>
      <c r="X344">
        <v>6</v>
      </c>
      <c r="AB344">
        <v>4</v>
      </c>
      <c r="AC344">
        <v>2777</v>
      </c>
      <c r="AD344">
        <v>7</v>
      </c>
      <c r="AE344">
        <v>0</v>
      </c>
      <c r="AI344">
        <v>12</v>
      </c>
      <c r="AJ344">
        <v>16</v>
      </c>
      <c r="AK344">
        <v>13</v>
      </c>
      <c r="AL344">
        <v>21</v>
      </c>
      <c r="AM344">
        <v>21</v>
      </c>
    </row>
    <row r="345" spans="1:41" x14ac:dyDescent="0.2">
      <c r="A345">
        <v>2593</v>
      </c>
      <c r="B345">
        <v>10193</v>
      </c>
      <c r="C345" s="1">
        <v>45204</v>
      </c>
      <c r="D345" s="1">
        <v>34055</v>
      </c>
      <c r="E345">
        <v>30.52</v>
      </c>
      <c r="F345">
        <v>3</v>
      </c>
      <c r="G345">
        <v>1</v>
      </c>
      <c r="H345">
        <v>0</v>
      </c>
      <c r="I345">
        <v>0</v>
      </c>
      <c r="J345">
        <v>2</v>
      </c>
      <c r="K345">
        <v>11</v>
      </c>
      <c r="L345">
        <v>0</v>
      </c>
      <c r="M345">
        <v>3.8125</v>
      </c>
      <c r="N345">
        <v>8</v>
      </c>
      <c r="O345">
        <v>11</v>
      </c>
      <c r="P345">
        <v>11</v>
      </c>
      <c r="Q345">
        <v>8</v>
      </c>
      <c r="R345">
        <v>15</v>
      </c>
      <c r="S345">
        <v>8</v>
      </c>
      <c r="T345">
        <v>4.8333333333333304</v>
      </c>
      <c r="U345">
        <v>6</v>
      </c>
      <c r="V345">
        <v>2</v>
      </c>
      <c r="W345">
        <v>6</v>
      </c>
      <c r="X345">
        <v>6</v>
      </c>
      <c r="AB345">
        <v>3</v>
      </c>
      <c r="AC345">
        <v>17103</v>
      </c>
      <c r="AD345">
        <v>6</v>
      </c>
      <c r="AE345">
        <v>0</v>
      </c>
      <c r="AI345">
        <v>12</v>
      </c>
      <c r="AJ345">
        <v>11</v>
      </c>
      <c r="AK345">
        <v>12</v>
      </c>
      <c r="AL345">
        <v>14</v>
      </c>
      <c r="AM345">
        <v>15</v>
      </c>
    </row>
    <row r="346" spans="1:41" x14ac:dyDescent="0.2">
      <c r="A346">
        <v>2600</v>
      </c>
      <c r="B346">
        <v>30800</v>
      </c>
      <c r="C346" s="1">
        <v>45205</v>
      </c>
      <c r="D346" s="1">
        <v>36620</v>
      </c>
      <c r="E346">
        <v>23.5</v>
      </c>
      <c r="F346">
        <v>4</v>
      </c>
      <c r="G346">
        <v>0</v>
      </c>
      <c r="H346">
        <v>3</v>
      </c>
      <c r="I346">
        <v>5</v>
      </c>
      <c r="J346">
        <v>0</v>
      </c>
      <c r="K346">
        <v>8</v>
      </c>
      <c r="L346">
        <v>0</v>
      </c>
      <c r="M346">
        <v>3.1875</v>
      </c>
      <c r="N346">
        <v>12</v>
      </c>
      <c r="O346">
        <v>7</v>
      </c>
      <c r="P346">
        <v>9</v>
      </c>
      <c r="Q346">
        <v>0</v>
      </c>
      <c r="R346">
        <v>12</v>
      </c>
      <c r="S346">
        <v>11</v>
      </c>
      <c r="T346">
        <v>3</v>
      </c>
      <c r="U346">
        <v>2</v>
      </c>
      <c r="V346">
        <v>2</v>
      </c>
      <c r="W346">
        <v>5</v>
      </c>
      <c r="X346">
        <v>2</v>
      </c>
      <c r="AB346">
        <v>2</v>
      </c>
      <c r="AC346">
        <v>19072</v>
      </c>
      <c r="AD346">
        <v>5</v>
      </c>
      <c r="AE346">
        <v>1</v>
      </c>
      <c r="AI346">
        <v>16</v>
      </c>
      <c r="AJ346">
        <v>13</v>
      </c>
      <c r="AK346">
        <v>17</v>
      </c>
      <c r="AL346">
        <v>18</v>
      </c>
      <c r="AM346">
        <v>18</v>
      </c>
    </row>
    <row r="347" spans="1:41" x14ac:dyDescent="0.2">
      <c r="A347">
        <v>2601</v>
      </c>
      <c r="B347">
        <v>21398</v>
      </c>
      <c r="C347" s="1">
        <v>45205</v>
      </c>
      <c r="D347" s="1">
        <v>36070</v>
      </c>
      <c r="E347">
        <v>25.01</v>
      </c>
      <c r="F347">
        <v>1</v>
      </c>
      <c r="G347">
        <v>1</v>
      </c>
      <c r="H347">
        <v>9</v>
      </c>
      <c r="I347">
        <v>1</v>
      </c>
      <c r="J347">
        <v>0</v>
      </c>
      <c r="K347">
        <v>6</v>
      </c>
      <c r="L347">
        <v>0</v>
      </c>
      <c r="M347">
        <v>3.625</v>
      </c>
      <c r="N347">
        <v>12</v>
      </c>
      <c r="O347">
        <v>5</v>
      </c>
      <c r="P347">
        <v>10</v>
      </c>
      <c r="Q347">
        <v>4</v>
      </c>
      <c r="R347">
        <v>15</v>
      </c>
      <c r="S347">
        <v>12</v>
      </c>
      <c r="T347">
        <v>4.8333333333333002</v>
      </c>
      <c r="U347">
        <v>5</v>
      </c>
      <c r="V347">
        <v>2</v>
      </c>
      <c r="W347">
        <v>6</v>
      </c>
      <c r="X347">
        <v>5</v>
      </c>
      <c r="AB347">
        <v>0</v>
      </c>
      <c r="AC347">
        <v>21015</v>
      </c>
      <c r="AD347">
        <v>6</v>
      </c>
      <c r="AE347">
        <v>0</v>
      </c>
      <c r="AI347">
        <v>14</v>
      </c>
      <c r="AJ347">
        <v>15</v>
      </c>
      <c r="AK347">
        <v>15</v>
      </c>
      <c r="AL347">
        <v>19</v>
      </c>
      <c r="AM347">
        <v>15</v>
      </c>
    </row>
    <row r="348" spans="1:41" x14ac:dyDescent="0.2">
      <c r="A348">
        <v>2604</v>
      </c>
      <c r="B348">
        <v>31383</v>
      </c>
      <c r="C348" s="1">
        <v>45205</v>
      </c>
      <c r="D348" s="1">
        <v>30580</v>
      </c>
      <c r="E348">
        <v>40.04</v>
      </c>
      <c r="F348">
        <v>4</v>
      </c>
      <c r="G348">
        <v>0</v>
      </c>
      <c r="H348">
        <v>1</v>
      </c>
      <c r="I348">
        <v>0</v>
      </c>
      <c r="J348">
        <v>0</v>
      </c>
      <c r="K348">
        <v>1</v>
      </c>
      <c r="L348">
        <v>0</v>
      </c>
      <c r="M348">
        <v>3.9375</v>
      </c>
      <c r="N348">
        <v>12</v>
      </c>
      <c r="O348">
        <v>8</v>
      </c>
      <c r="P348">
        <v>12</v>
      </c>
      <c r="Q348">
        <v>3</v>
      </c>
      <c r="R348">
        <v>18</v>
      </c>
      <c r="S348">
        <v>10</v>
      </c>
      <c r="T348">
        <v>5.3333333333333304</v>
      </c>
      <c r="U348">
        <v>5</v>
      </c>
      <c r="V348">
        <v>4</v>
      </c>
      <c r="W348">
        <v>8</v>
      </c>
      <c r="X348">
        <v>5</v>
      </c>
      <c r="AC348">
        <v>8876</v>
      </c>
      <c r="AD348">
        <v>8</v>
      </c>
      <c r="AE348">
        <v>0</v>
      </c>
      <c r="AI348">
        <v>9</v>
      </c>
      <c r="AJ348">
        <v>10</v>
      </c>
      <c r="AK348">
        <v>11</v>
      </c>
      <c r="AL348">
        <v>10</v>
      </c>
      <c r="AM348">
        <v>15</v>
      </c>
    </row>
    <row r="349" spans="1:41" x14ac:dyDescent="0.2">
      <c r="A349">
        <v>2609</v>
      </c>
      <c r="B349">
        <v>190668</v>
      </c>
      <c r="C349" s="1">
        <v>45205</v>
      </c>
      <c r="D349" s="1">
        <v>24882</v>
      </c>
      <c r="E349">
        <v>55.64</v>
      </c>
      <c r="F349">
        <v>3</v>
      </c>
      <c r="G349">
        <v>1</v>
      </c>
      <c r="H349">
        <v>1</v>
      </c>
      <c r="I349">
        <v>0</v>
      </c>
      <c r="J349">
        <v>0</v>
      </c>
      <c r="K349">
        <v>3</v>
      </c>
      <c r="L349">
        <v>30</v>
      </c>
      <c r="M349">
        <v>2.5</v>
      </c>
      <c r="N349">
        <v>6</v>
      </c>
      <c r="O349">
        <v>3</v>
      </c>
      <c r="P349">
        <v>9</v>
      </c>
      <c r="Q349">
        <v>0</v>
      </c>
      <c r="R349">
        <v>15</v>
      </c>
      <c r="S349">
        <v>7</v>
      </c>
      <c r="T349">
        <v>2.5</v>
      </c>
      <c r="U349">
        <v>5</v>
      </c>
      <c r="V349">
        <v>3</v>
      </c>
      <c r="W349">
        <v>6</v>
      </c>
      <c r="X349">
        <v>5</v>
      </c>
      <c r="AB349">
        <v>2</v>
      </c>
      <c r="AC349">
        <v>19146</v>
      </c>
      <c r="AD349">
        <v>6</v>
      </c>
      <c r="AE349">
        <v>0</v>
      </c>
      <c r="AI349">
        <v>12</v>
      </c>
      <c r="AJ349">
        <v>11</v>
      </c>
      <c r="AK349">
        <v>12</v>
      </c>
      <c r="AL349">
        <v>10</v>
      </c>
      <c r="AM349">
        <v>13</v>
      </c>
      <c r="AN349">
        <v>0</v>
      </c>
      <c r="AO349">
        <v>1.25</v>
      </c>
    </row>
    <row r="350" spans="1:41" x14ac:dyDescent="0.2">
      <c r="A350">
        <v>2611</v>
      </c>
      <c r="B350">
        <v>101486</v>
      </c>
      <c r="C350" s="1">
        <v>45205</v>
      </c>
      <c r="D350" s="1">
        <v>31721</v>
      </c>
      <c r="E350">
        <v>36.92</v>
      </c>
      <c r="F350">
        <v>3</v>
      </c>
      <c r="G350">
        <v>1</v>
      </c>
      <c r="H350">
        <v>0</v>
      </c>
      <c r="I350">
        <v>0</v>
      </c>
      <c r="J350">
        <v>6</v>
      </c>
      <c r="K350">
        <v>14</v>
      </c>
      <c r="L350">
        <v>0</v>
      </c>
      <c r="M350">
        <v>2.8125</v>
      </c>
      <c r="N350">
        <v>12</v>
      </c>
      <c r="O350">
        <v>5</v>
      </c>
      <c r="P350">
        <v>7</v>
      </c>
      <c r="Q350">
        <v>2</v>
      </c>
      <c r="R350">
        <v>12</v>
      </c>
      <c r="S350">
        <v>7</v>
      </c>
      <c r="T350">
        <v>1</v>
      </c>
      <c r="U350">
        <v>6</v>
      </c>
      <c r="V350">
        <v>1</v>
      </c>
      <c r="W350">
        <v>6</v>
      </c>
      <c r="X350">
        <v>6</v>
      </c>
      <c r="AB350">
        <v>1</v>
      </c>
      <c r="AD350">
        <v>6</v>
      </c>
      <c r="AE350">
        <v>0</v>
      </c>
      <c r="AI350">
        <v>12</v>
      </c>
      <c r="AJ350">
        <v>10</v>
      </c>
      <c r="AK350">
        <v>6</v>
      </c>
      <c r="AL350">
        <v>10</v>
      </c>
      <c r="AM350">
        <v>14</v>
      </c>
    </row>
    <row r="351" spans="1:41" x14ac:dyDescent="0.2">
      <c r="A351">
        <v>2622</v>
      </c>
      <c r="B351">
        <v>121198</v>
      </c>
      <c r="C351" s="1">
        <v>45205</v>
      </c>
      <c r="D351" s="1">
        <v>35965</v>
      </c>
      <c r="E351">
        <v>25.3</v>
      </c>
      <c r="F351">
        <v>4</v>
      </c>
      <c r="G351">
        <v>1</v>
      </c>
      <c r="H351">
        <v>5</v>
      </c>
      <c r="I351">
        <v>3</v>
      </c>
      <c r="J351">
        <v>2</v>
      </c>
      <c r="K351">
        <v>12</v>
      </c>
      <c r="L351">
        <v>0</v>
      </c>
      <c r="M351">
        <v>3.375</v>
      </c>
      <c r="N351">
        <v>12</v>
      </c>
      <c r="O351">
        <v>6</v>
      </c>
      <c r="P351">
        <v>10</v>
      </c>
      <c r="Q351">
        <v>3</v>
      </c>
      <c r="R351">
        <v>11</v>
      </c>
      <c r="S351">
        <v>12</v>
      </c>
      <c r="T351">
        <v>5.0833333333333002</v>
      </c>
      <c r="U351">
        <v>4</v>
      </c>
      <c r="V351">
        <v>0</v>
      </c>
      <c r="W351">
        <v>9</v>
      </c>
      <c r="X351">
        <v>4</v>
      </c>
      <c r="AB351">
        <v>0</v>
      </c>
      <c r="AC351">
        <v>19426</v>
      </c>
      <c r="AD351">
        <v>9</v>
      </c>
      <c r="AE351">
        <v>0</v>
      </c>
      <c r="AI351">
        <v>15</v>
      </c>
      <c r="AJ351">
        <v>14</v>
      </c>
      <c r="AK351">
        <v>18</v>
      </c>
      <c r="AL351">
        <v>19</v>
      </c>
      <c r="AM351">
        <v>19</v>
      </c>
    </row>
    <row r="352" spans="1:41" x14ac:dyDescent="0.2">
      <c r="A352">
        <v>2630</v>
      </c>
      <c r="B352">
        <v>200304</v>
      </c>
      <c r="C352" s="1">
        <v>45205</v>
      </c>
      <c r="D352" s="1">
        <v>38036</v>
      </c>
      <c r="E352">
        <v>19.63</v>
      </c>
      <c r="F352">
        <v>4</v>
      </c>
      <c r="G352">
        <v>0</v>
      </c>
      <c r="H352">
        <v>0</v>
      </c>
      <c r="I352">
        <v>0</v>
      </c>
      <c r="J352">
        <v>2</v>
      </c>
      <c r="K352">
        <v>7</v>
      </c>
      <c r="L352">
        <v>0</v>
      </c>
      <c r="M352">
        <v>3.25</v>
      </c>
      <c r="N352">
        <v>7</v>
      </c>
      <c r="O352">
        <v>9</v>
      </c>
      <c r="P352">
        <v>9</v>
      </c>
      <c r="Q352">
        <v>1</v>
      </c>
      <c r="R352">
        <v>15</v>
      </c>
      <c r="S352">
        <v>11</v>
      </c>
      <c r="T352">
        <v>3.4166666666666998</v>
      </c>
      <c r="U352">
        <v>4</v>
      </c>
      <c r="V352">
        <v>2</v>
      </c>
      <c r="W352">
        <v>5</v>
      </c>
      <c r="X352">
        <v>4</v>
      </c>
      <c r="AB352">
        <v>1</v>
      </c>
      <c r="AC352">
        <v>19086</v>
      </c>
      <c r="AD352">
        <v>5</v>
      </c>
      <c r="AE352">
        <v>0</v>
      </c>
      <c r="AI352">
        <v>11</v>
      </c>
      <c r="AJ352">
        <v>9</v>
      </c>
      <c r="AK352">
        <v>12</v>
      </c>
      <c r="AL352">
        <v>13</v>
      </c>
      <c r="AM352">
        <v>13</v>
      </c>
    </row>
    <row r="353" spans="1:41" x14ac:dyDescent="0.2">
      <c r="A353">
        <v>2632</v>
      </c>
      <c r="B353">
        <v>11603</v>
      </c>
      <c r="C353" s="1">
        <v>45205</v>
      </c>
      <c r="D353" s="1">
        <v>37726</v>
      </c>
      <c r="E353">
        <v>20.48</v>
      </c>
      <c r="F353">
        <v>5</v>
      </c>
      <c r="G353">
        <v>0</v>
      </c>
      <c r="H353">
        <v>0</v>
      </c>
      <c r="I353">
        <v>0</v>
      </c>
      <c r="J353">
        <v>4</v>
      </c>
      <c r="K353">
        <v>11</v>
      </c>
      <c r="L353">
        <v>0</v>
      </c>
      <c r="M353">
        <v>1.375</v>
      </c>
      <c r="N353">
        <v>5</v>
      </c>
      <c r="O353">
        <v>1</v>
      </c>
      <c r="P353">
        <v>4</v>
      </c>
      <c r="Q353">
        <v>0</v>
      </c>
      <c r="R353">
        <v>12</v>
      </c>
      <c r="S353">
        <v>0</v>
      </c>
      <c r="T353">
        <v>0.83333333333333004</v>
      </c>
      <c r="U353">
        <v>1</v>
      </c>
      <c r="V353">
        <v>1</v>
      </c>
      <c r="W353">
        <v>1</v>
      </c>
      <c r="X353">
        <v>1</v>
      </c>
      <c r="AB353">
        <v>1</v>
      </c>
      <c r="AD353">
        <v>1</v>
      </c>
      <c r="AE353">
        <v>0</v>
      </c>
      <c r="AI353">
        <v>12</v>
      </c>
      <c r="AJ353">
        <v>13</v>
      </c>
      <c r="AK353">
        <v>10</v>
      </c>
      <c r="AL353">
        <v>16</v>
      </c>
      <c r="AM353">
        <v>18</v>
      </c>
    </row>
    <row r="354" spans="1:41" x14ac:dyDescent="0.2">
      <c r="A354">
        <v>2635</v>
      </c>
      <c r="B354">
        <v>130559</v>
      </c>
      <c r="C354" s="1">
        <v>45205</v>
      </c>
      <c r="D354" s="1">
        <v>21902</v>
      </c>
      <c r="E354">
        <v>63.8</v>
      </c>
      <c r="F354">
        <v>6</v>
      </c>
      <c r="G354">
        <v>1</v>
      </c>
      <c r="H354">
        <v>1</v>
      </c>
      <c r="I354">
        <v>1</v>
      </c>
      <c r="J354">
        <v>4</v>
      </c>
      <c r="K354">
        <v>4</v>
      </c>
      <c r="L354">
        <v>2023</v>
      </c>
      <c r="M354">
        <v>3.3125</v>
      </c>
      <c r="N354">
        <v>12</v>
      </c>
      <c r="O354">
        <v>3</v>
      </c>
      <c r="P354">
        <v>8</v>
      </c>
      <c r="Q354">
        <v>2</v>
      </c>
      <c r="R354">
        <v>16</v>
      </c>
      <c r="S354">
        <v>12</v>
      </c>
      <c r="T354">
        <v>1.75</v>
      </c>
      <c r="U354">
        <v>5</v>
      </c>
      <c r="V354">
        <v>1</v>
      </c>
      <c r="W354">
        <v>4</v>
      </c>
      <c r="X354">
        <v>5</v>
      </c>
      <c r="AB354">
        <v>0</v>
      </c>
      <c r="AC354">
        <v>19134</v>
      </c>
      <c r="AD354">
        <v>4</v>
      </c>
      <c r="AE354">
        <v>1</v>
      </c>
      <c r="AI354">
        <v>12</v>
      </c>
      <c r="AJ354">
        <v>11</v>
      </c>
      <c r="AK354">
        <v>14</v>
      </c>
      <c r="AL354">
        <v>19</v>
      </c>
      <c r="AM354">
        <v>12</v>
      </c>
      <c r="AN354">
        <v>1</v>
      </c>
      <c r="AO354">
        <v>1.25</v>
      </c>
    </row>
    <row r="355" spans="1:41" x14ac:dyDescent="0.2">
      <c r="A355">
        <v>2637</v>
      </c>
      <c r="B355">
        <v>10883</v>
      </c>
      <c r="C355" s="1">
        <v>45205</v>
      </c>
      <c r="D355" s="1">
        <v>30600</v>
      </c>
      <c r="E355">
        <v>39.99</v>
      </c>
      <c r="F355">
        <v>4</v>
      </c>
      <c r="G355">
        <v>1</v>
      </c>
      <c r="H355">
        <v>2</v>
      </c>
      <c r="I355">
        <v>0</v>
      </c>
      <c r="J355">
        <v>1</v>
      </c>
      <c r="K355">
        <v>5</v>
      </c>
      <c r="L355">
        <v>0</v>
      </c>
      <c r="M355">
        <v>3.125</v>
      </c>
      <c r="N355">
        <v>12</v>
      </c>
      <c r="O355">
        <v>4</v>
      </c>
      <c r="P355">
        <v>8</v>
      </c>
      <c r="Q355">
        <v>0</v>
      </c>
      <c r="R355">
        <v>14</v>
      </c>
      <c r="S355">
        <v>12</v>
      </c>
      <c r="T355">
        <v>3.3333333333333002</v>
      </c>
      <c r="U355">
        <v>6</v>
      </c>
      <c r="V355">
        <v>2</v>
      </c>
      <c r="W355">
        <v>6</v>
      </c>
      <c r="X355">
        <v>6</v>
      </c>
      <c r="AB355">
        <v>0</v>
      </c>
      <c r="AC355">
        <v>11720</v>
      </c>
      <c r="AD355">
        <v>6</v>
      </c>
      <c r="AE355">
        <v>1</v>
      </c>
      <c r="AI355">
        <v>11</v>
      </c>
      <c r="AJ355">
        <v>15</v>
      </c>
      <c r="AK355">
        <v>13</v>
      </c>
      <c r="AL355">
        <v>15</v>
      </c>
      <c r="AM355">
        <v>12</v>
      </c>
    </row>
    <row r="356" spans="1:41" x14ac:dyDescent="0.2">
      <c r="A356">
        <v>2642</v>
      </c>
      <c r="B356">
        <v>181964</v>
      </c>
      <c r="C356" s="1">
        <v>45205</v>
      </c>
      <c r="D356" s="1">
        <v>23566</v>
      </c>
      <c r="E356">
        <v>59.25</v>
      </c>
      <c r="F356">
        <v>4</v>
      </c>
      <c r="G356">
        <v>1</v>
      </c>
      <c r="H356">
        <v>2</v>
      </c>
      <c r="I356">
        <v>0</v>
      </c>
      <c r="J356">
        <v>2</v>
      </c>
      <c r="K356">
        <v>10</v>
      </c>
      <c r="L356">
        <v>0</v>
      </c>
      <c r="M356">
        <v>3.8125</v>
      </c>
      <c r="N356">
        <v>7</v>
      </c>
      <c r="O356">
        <v>12</v>
      </c>
      <c r="P356">
        <v>12</v>
      </c>
      <c r="Q356">
        <v>4</v>
      </c>
      <c r="R356">
        <v>17</v>
      </c>
      <c r="S356">
        <v>9</v>
      </c>
      <c r="T356">
        <v>5.1666666666666998</v>
      </c>
      <c r="U356">
        <v>5</v>
      </c>
      <c r="V356">
        <v>4</v>
      </c>
      <c r="W356">
        <v>7</v>
      </c>
      <c r="X356">
        <v>5</v>
      </c>
      <c r="AB356">
        <v>4</v>
      </c>
      <c r="AC356">
        <v>19114</v>
      </c>
      <c r="AD356">
        <v>7</v>
      </c>
      <c r="AE356">
        <v>0</v>
      </c>
      <c r="AI356">
        <v>14</v>
      </c>
      <c r="AJ356">
        <v>10</v>
      </c>
      <c r="AK356">
        <v>14</v>
      </c>
      <c r="AL356">
        <v>14</v>
      </c>
      <c r="AM356">
        <v>13</v>
      </c>
      <c r="AN356">
        <v>0</v>
      </c>
      <c r="AO356">
        <v>1.6666666666667</v>
      </c>
    </row>
    <row r="357" spans="1:41" x14ac:dyDescent="0.2">
      <c r="A357">
        <v>2646</v>
      </c>
      <c r="B357">
        <v>11393</v>
      </c>
      <c r="C357" s="1">
        <v>45205</v>
      </c>
      <c r="D357" s="1">
        <v>34165</v>
      </c>
      <c r="E357">
        <v>30.23</v>
      </c>
      <c r="F357">
        <v>4</v>
      </c>
      <c r="G357">
        <v>1</v>
      </c>
      <c r="H357">
        <v>5</v>
      </c>
      <c r="I357">
        <v>5</v>
      </c>
      <c r="J357">
        <v>0</v>
      </c>
      <c r="K357">
        <v>9</v>
      </c>
      <c r="L357">
        <v>0</v>
      </c>
      <c r="M357">
        <v>3.875</v>
      </c>
      <c r="N357">
        <v>12</v>
      </c>
      <c r="O357">
        <v>6</v>
      </c>
      <c r="P357">
        <v>12</v>
      </c>
      <c r="Q357">
        <v>3</v>
      </c>
      <c r="R357">
        <v>18</v>
      </c>
      <c r="S357">
        <v>11</v>
      </c>
      <c r="T357">
        <v>7</v>
      </c>
      <c r="U357">
        <v>5</v>
      </c>
      <c r="V357">
        <v>1</v>
      </c>
      <c r="W357">
        <v>5</v>
      </c>
      <c r="X357">
        <v>5</v>
      </c>
      <c r="AB357">
        <v>0</v>
      </c>
      <c r="AC357">
        <v>18840</v>
      </c>
      <c r="AD357">
        <v>5</v>
      </c>
      <c r="AE357">
        <v>0</v>
      </c>
      <c r="AI357">
        <v>14</v>
      </c>
      <c r="AJ357">
        <v>10</v>
      </c>
      <c r="AK357">
        <v>14</v>
      </c>
      <c r="AL357">
        <v>15</v>
      </c>
      <c r="AM357">
        <v>16</v>
      </c>
    </row>
    <row r="358" spans="1:41" x14ac:dyDescent="0.2">
      <c r="A358">
        <v>2651</v>
      </c>
      <c r="B358">
        <v>100274</v>
      </c>
      <c r="C358" s="1">
        <v>45205</v>
      </c>
      <c r="D358" s="1">
        <v>27345</v>
      </c>
      <c r="E358">
        <v>48.9</v>
      </c>
      <c r="F358">
        <v>4</v>
      </c>
      <c r="G358">
        <v>1</v>
      </c>
      <c r="H358">
        <v>7</v>
      </c>
      <c r="I358">
        <v>0</v>
      </c>
      <c r="J358">
        <v>1</v>
      </c>
      <c r="K358">
        <v>14</v>
      </c>
      <c r="L358">
        <v>31</v>
      </c>
      <c r="M358">
        <v>3.6875</v>
      </c>
      <c r="N358">
        <v>12</v>
      </c>
      <c r="O358">
        <v>12</v>
      </c>
      <c r="P358">
        <v>8</v>
      </c>
      <c r="Q358">
        <v>8</v>
      </c>
      <c r="R358">
        <v>10</v>
      </c>
      <c r="S358">
        <v>9</v>
      </c>
      <c r="T358">
        <v>5.4166666666666998</v>
      </c>
      <c r="U358">
        <v>6</v>
      </c>
      <c r="V358">
        <v>4</v>
      </c>
      <c r="W358">
        <v>5</v>
      </c>
      <c r="X358">
        <v>6</v>
      </c>
      <c r="AB358">
        <v>0</v>
      </c>
      <c r="AC358">
        <v>8724</v>
      </c>
      <c r="AD358">
        <v>5</v>
      </c>
      <c r="AE358">
        <v>1</v>
      </c>
      <c r="AI358">
        <v>11</v>
      </c>
      <c r="AJ358">
        <v>11</v>
      </c>
      <c r="AK358">
        <v>14</v>
      </c>
      <c r="AL358">
        <v>14</v>
      </c>
      <c r="AM358">
        <v>19</v>
      </c>
    </row>
    <row r="359" spans="1:41" x14ac:dyDescent="0.2">
      <c r="A359">
        <v>2656</v>
      </c>
      <c r="B359">
        <v>120182</v>
      </c>
      <c r="C359" s="1">
        <v>45205</v>
      </c>
      <c r="D359" s="1">
        <v>30298</v>
      </c>
      <c r="E359">
        <v>40.81</v>
      </c>
      <c r="F359">
        <v>4</v>
      </c>
      <c r="G359">
        <v>1</v>
      </c>
      <c r="H359">
        <v>5</v>
      </c>
      <c r="I359">
        <v>0</v>
      </c>
      <c r="J359">
        <v>1</v>
      </c>
      <c r="K359">
        <v>14</v>
      </c>
      <c r="L359">
        <v>25</v>
      </c>
      <c r="M359">
        <v>3.0625</v>
      </c>
      <c r="N359">
        <v>12</v>
      </c>
      <c r="O359">
        <v>3</v>
      </c>
      <c r="P359">
        <v>10</v>
      </c>
      <c r="Q359">
        <v>3</v>
      </c>
      <c r="R359">
        <v>15</v>
      </c>
      <c r="S359">
        <v>6</v>
      </c>
      <c r="T359">
        <v>4.1666666666666998</v>
      </c>
      <c r="U359">
        <v>2</v>
      </c>
      <c r="V359">
        <v>5</v>
      </c>
      <c r="W359">
        <v>5</v>
      </c>
      <c r="X359">
        <v>2</v>
      </c>
      <c r="AB359">
        <v>3</v>
      </c>
      <c r="AC359">
        <v>18964</v>
      </c>
      <c r="AD359">
        <v>5</v>
      </c>
      <c r="AE359">
        <v>0</v>
      </c>
      <c r="AI359">
        <v>16</v>
      </c>
      <c r="AJ359">
        <v>8</v>
      </c>
      <c r="AK359">
        <v>16</v>
      </c>
      <c r="AL359">
        <v>15</v>
      </c>
      <c r="AM359">
        <v>16</v>
      </c>
    </row>
    <row r="360" spans="1:41" x14ac:dyDescent="0.2">
      <c r="A360">
        <v>2658</v>
      </c>
      <c r="B360">
        <v>22591</v>
      </c>
      <c r="C360" s="1">
        <v>45205</v>
      </c>
      <c r="D360" s="1">
        <v>33350</v>
      </c>
      <c r="E360">
        <v>32.46</v>
      </c>
      <c r="F360">
        <v>1</v>
      </c>
      <c r="G360">
        <v>0</v>
      </c>
      <c r="H360">
        <v>1</v>
      </c>
      <c r="I360">
        <v>0</v>
      </c>
      <c r="J360">
        <v>5</v>
      </c>
      <c r="K360">
        <v>11</v>
      </c>
      <c r="L360">
        <v>0</v>
      </c>
      <c r="M360">
        <v>3.75</v>
      </c>
      <c r="N360">
        <v>7</v>
      </c>
      <c r="O360">
        <v>8</v>
      </c>
      <c r="P360">
        <v>11</v>
      </c>
      <c r="Q360">
        <v>10</v>
      </c>
      <c r="R360">
        <v>12</v>
      </c>
      <c r="S360">
        <v>12</v>
      </c>
      <c r="T360">
        <v>2.75</v>
      </c>
      <c r="U360">
        <v>5</v>
      </c>
      <c r="V360">
        <v>4</v>
      </c>
      <c r="W360">
        <v>1</v>
      </c>
      <c r="X360">
        <v>5</v>
      </c>
      <c r="AB360">
        <v>2</v>
      </c>
      <c r="AC360">
        <v>25143</v>
      </c>
      <c r="AD360">
        <v>1</v>
      </c>
      <c r="AE360">
        <v>0</v>
      </c>
      <c r="AI360">
        <v>23</v>
      </c>
      <c r="AJ360">
        <v>19</v>
      </c>
      <c r="AK360">
        <v>23</v>
      </c>
      <c r="AL360">
        <v>23</v>
      </c>
      <c r="AM360">
        <v>17</v>
      </c>
    </row>
    <row r="361" spans="1:41" x14ac:dyDescent="0.2">
      <c r="A361">
        <v>2661</v>
      </c>
      <c r="B361">
        <v>131298</v>
      </c>
      <c r="C361" s="1">
        <v>45205</v>
      </c>
      <c r="D361" s="1">
        <v>36109</v>
      </c>
      <c r="E361">
        <v>24.9</v>
      </c>
      <c r="F361">
        <v>4</v>
      </c>
      <c r="G361">
        <v>1</v>
      </c>
      <c r="H361">
        <v>2</v>
      </c>
      <c r="I361">
        <v>0</v>
      </c>
      <c r="J361">
        <v>1</v>
      </c>
      <c r="K361">
        <v>14</v>
      </c>
      <c r="L361">
        <v>29</v>
      </c>
      <c r="M361">
        <v>2.8125</v>
      </c>
      <c r="N361">
        <v>12</v>
      </c>
      <c r="O361">
        <v>1</v>
      </c>
      <c r="P361">
        <v>10</v>
      </c>
      <c r="Q361">
        <v>2</v>
      </c>
      <c r="R361">
        <v>9</v>
      </c>
      <c r="S361">
        <v>11</v>
      </c>
      <c r="T361">
        <v>5.9166666666666998</v>
      </c>
      <c r="U361">
        <v>5</v>
      </c>
      <c r="V361">
        <v>2</v>
      </c>
      <c r="W361">
        <v>4</v>
      </c>
      <c r="X361">
        <v>5</v>
      </c>
      <c r="AB361">
        <v>2</v>
      </c>
      <c r="AC361">
        <v>19365</v>
      </c>
      <c r="AD361">
        <v>4</v>
      </c>
      <c r="AE361">
        <v>0</v>
      </c>
      <c r="AI361">
        <v>15</v>
      </c>
      <c r="AJ361">
        <v>12</v>
      </c>
      <c r="AK361">
        <v>12</v>
      </c>
      <c r="AL361">
        <v>16</v>
      </c>
      <c r="AM361">
        <v>17</v>
      </c>
    </row>
    <row r="362" spans="1:41" x14ac:dyDescent="0.2">
      <c r="A362">
        <v>2668</v>
      </c>
      <c r="B362">
        <v>111999</v>
      </c>
      <c r="C362" s="1">
        <v>45206</v>
      </c>
      <c r="D362" s="1">
        <v>36487</v>
      </c>
      <c r="E362">
        <v>23.87</v>
      </c>
      <c r="F362">
        <v>4</v>
      </c>
      <c r="G362">
        <v>0</v>
      </c>
      <c r="H362">
        <v>2</v>
      </c>
      <c r="I362">
        <v>0</v>
      </c>
      <c r="J362">
        <v>0</v>
      </c>
      <c r="K362">
        <v>2</v>
      </c>
      <c r="L362">
        <v>0</v>
      </c>
      <c r="M362">
        <v>2.75</v>
      </c>
      <c r="N362">
        <v>6</v>
      </c>
      <c r="O362">
        <v>8</v>
      </c>
      <c r="P362">
        <v>9</v>
      </c>
      <c r="Q362">
        <v>0</v>
      </c>
      <c r="R362">
        <v>13</v>
      </c>
      <c r="S362">
        <v>8</v>
      </c>
      <c r="T362">
        <v>3.6666666666666998</v>
      </c>
      <c r="U362">
        <v>5</v>
      </c>
      <c r="V362">
        <v>2</v>
      </c>
      <c r="W362">
        <v>7</v>
      </c>
      <c r="X362">
        <v>5</v>
      </c>
      <c r="AB362">
        <v>0</v>
      </c>
      <c r="AC362">
        <v>15044</v>
      </c>
      <c r="AD362">
        <v>7</v>
      </c>
      <c r="AE362">
        <v>1</v>
      </c>
      <c r="AI362">
        <v>14</v>
      </c>
      <c r="AJ362">
        <v>20</v>
      </c>
      <c r="AK362">
        <v>13</v>
      </c>
      <c r="AL362">
        <v>17</v>
      </c>
      <c r="AM362">
        <v>17</v>
      </c>
    </row>
    <row r="363" spans="1:41" x14ac:dyDescent="0.2">
      <c r="A363">
        <v>2669</v>
      </c>
      <c r="B363">
        <v>10575</v>
      </c>
      <c r="C363" s="1">
        <v>45206</v>
      </c>
      <c r="D363" s="1">
        <v>27718</v>
      </c>
      <c r="E363">
        <v>47.88</v>
      </c>
      <c r="F363">
        <v>4</v>
      </c>
      <c r="G363">
        <v>1</v>
      </c>
      <c r="H363">
        <v>0</v>
      </c>
      <c r="I363">
        <v>0</v>
      </c>
      <c r="J363">
        <v>7</v>
      </c>
      <c r="K363">
        <v>16</v>
      </c>
      <c r="L363">
        <v>28</v>
      </c>
      <c r="M363">
        <v>2.8125</v>
      </c>
      <c r="N363">
        <v>8</v>
      </c>
      <c r="O363">
        <v>9</v>
      </c>
      <c r="P363">
        <v>5</v>
      </c>
      <c r="Q363">
        <v>6</v>
      </c>
      <c r="R363">
        <v>9</v>
      </c>
      <c r="S363">
        <v>8</v>
      </c>
      <c r="T363">
        <v>2.5</v>
      </c>
      <c r="U363">
        <v>1</v>
      </c>
      <c r="V363">
        <v>0</v>
      </c>
      <c r="W363">
        <v>7</v>
      </c>
      <c r="X363">
        <v>1</v>
      </c>
      <c r="AB363">
        <v>1</v>
      </c>
      <c r="AC363">
        <v>19154</v>
      </c>
      <c r="AD363">
        <v>7</v>
      </c>
      <c r="AE363">
        <v>0</v>
      </c>
      <c r="AI363">
        <v>22</v>
      </c>
      <c r="AJ363">
        <v>17</v>
      </c>
      <c r="AK363">
        <v>24</v>
      </c>
      <c r="AL363">
        <v>20</v>
      </c>
      <c r="AM363">
        <v>20</v>
      </c>
    </row>
    <row r="364" spans="1:41" x14ac:dyDescent="0.2">
      <c r="A364">
        <v>2672</v>
      </c>
      <c r="B364">
        <v>101961</v>
      </c>
      <c r="C364" s="1">
        <v>45206</v>
      </c>
      <c r="D364" s="1">
        <v>22597</v>
      </c>
      <c r="E364">
        <v>61.9</v>
      </c>
      <c r="F364">
        <v>3</v>
      </c>
      <c r="G364">
        <v>0</v>
      </c>
      <c r="H364">
        <v>0</v>
      </c>
      <c r="I364">
        <v>0</v>
      </c>
      <c r="J364">
        <v>3</v>
      </c>
      <c r="K364">
        <v>6</v>
      </c>
      <c r="L364">
        <v>0</v>
      </c>
      <c r="M364">
        <v>3</v>
      </c>
      <c r="N364">
        <v>12</v>
      </c>
      <c r="O364">
        <v>2</v>
      </c>
      <c r="P364">
        <v>8</v>
      </c>
      <c r="Q364">
        <v>2</v>
      </c>
      <c r="R364">
        <v>16</v>
      </c>
      <c r="S364">
        <v>8</v>
      </c>
      <c r="T364">
        <v>6.5</v>
      </c>
      <c r="U364">
        <v>1</v>
      </c>
      <c r="V364">
        <v>2</v>
      </c>
      <c r="W364">
        <v>7</v>
      </c>
      <c r="X364">
        <v>1</v>
      </c>
      <c r="AB364">
        <v>2</v>
      </c>
      <c r="AC364">
        <v>19121</v>
      </c>
      <c r="AD364">
        <v>7</v>
      </c>
      <c r="AE364">
        <v>0</v>
      </c>
      <c r="AI364">
        <v>16</v>
      </c>
      <c r="AJ364">
        <v>12</v>
      </c>
      <c r="AK364">
        <v>12</v>
      </c>
      <c r="AL364">
        <v>12</v>
      </c>
      <c r="AM364">
        <v>16</v>
      </c>
      <c r="AN364">
        <v>2</v>
      </c>
      <c r="AO364">
        <v>1.25</v>
      </c>
    </row>
    <row r="365" spans="1:41" x14ac:dyDescent="0.2">
      <c r="A365">
        <v>2673</v>
      </c>
      <c r="B365">
        <v>130260</v>
      </c>
      <c r="C365" s="1">
        <v>45208</v>
      </c>
      <c r="D365" s="1">
        <v>22179</v>
      </c>
      <c r="E365">
        <v>63.05</v>
      </c>
      <c r="F365">
        <v>4</v>
      </c>
      <c r="G365">
        <v>0</v>
      </c>
      <c r="H365">
        <v>2</v>
      </c>
      <c r="I365">
        <v>0</v>
      </c>
      <c r="J365">
        <v>4</v>
      </c>
      <c r="K365">
        <v>8</v>
      </c>
      <c r="L365">
        <v>1024</v>
      </c>
      <c r="M365">
        <v>2.875</v>
      </c>
      <c r="N365">
        <v>12</v>
      </c>
      <c r="O365">
        <v>2</v>
      </c>
      <c r="P365">
        <v>7</v>
      </c>
      <c r="Q365">
        <v>3</v>
      </c>
      <c r="R365">
        <v>11</v>
      </c>
      <c r="S365">
        <v>11</v>
      </c>
      <c r="T365">
        <v>3.3333333333333299</v>
      </c>
      <c r="U365">
        <v>5</v>
      </c>
      <c r="V365">
        <v>0</v>
      </c>
      <c r="W365">
        <v>5</v>
      </c>
      <c r="X365">
        <v>5</v>
      </c>
      <c r="AB365">
        <v>0</v>
      </c>
      <c r="AC365">
        <v>19038</v>
      </c>
      <c r="AD365">
        <v>5</v>
      </c>
      <c r="AE365">
        <v>0</v>
      </c>
      <c r="AI365">
        <v>18</v>
      </c>
      <c r="AJ365">
        <v>19</v>
      </c>
      <c r="AK365">
        <v>22</v>
      </c>
      <c r="AL365">
        <v>22</v>
      </c>
      <c r="AM365">
        <v>16</v>
      </c>
      <c r="AN365">
        <v>1</v>
      </c>
      <c r="AO365">
        <v>1.4166666666666601</v>
      </c>
    </row>
    <row r="366" spans="1:41" x14ac:dyDescent="0.2">
      <c r="A366">
        <v>2677</v>
      </c>
      <c r="B366">
        <v>121292</v>
      </c>
      <c r="C366" s="1">
        <v>45206</v>
      </c>
      <c r="D366" s="1">
        <v>33770</v>
      </c>
      <c r="E366">
        <v>31.31</v>
      </c>
      <c r="F366">
        <v>1</v>
      </c>
      <c r="G366">
        <v>1</v>
      </c>
      <c r="H366">
        <v>1</v>
      </c>
      <c r="I366">
        <v>0</v>
      </c>
      <c r="J366">
        <v>0</v>
      </c>
      <c r="K366">
        <v>5</v>
      </c>
      <c r="L366">
        <v>0</v>
      </c>
      <c r="M366">
        <v>2.8125</v>
      </c>
      <c r="N366">
        <v>7</v>
      </c>
      <c r="O366">
        <v>4</v>
      </c>
      <c r="P366">
        <v>9</v>
      </c>
      <c r="Q366">
        <v>2</v>
      </c>
      <c r="R366">
        <v>15</v>
      </c>
      <c r="S366">
        <v>8</v>
      </c>
      <c r="T366">
        <v>4.9166666666666599</v>
      </c>
      <c r="U366">
        <v>6</v>
      </c>
      <c r="V366">
        <v>2</v>
      </c>
      <c r="W366">
        <v>6</v>
      </c>
      <c r="X366">
        <v>6</v>
      </c>
      <c r="AB366">
        <v>1</v>
      </c>
      <c r="AC366">
        <v>19142</v>
      </c>
      <c r="AD366">
        <v>6</v>
      </c>
      <c r="AE366">
        <v>0</v>
      </c>
      <c r="AI366">
        <v>13</v>
      </c>
      <c r="AJ366">
        <v>11</v>
      </c>
      <c r="AK366">
        <v>20</v>
      </c>
      <c r="AL366">
        <v>15</v>
      </c>
      <c r="AM366">
        <v>17</v>
      </c>
    </row>
    <row r="367" spans="1:41" x14ac:dyDescent="0.2">
      <c r="A367">
        <v>2684</v>
      </c>
      <c r="B367">
        <v>110799</v>
      </c>
      <c r="C367" s="1">
        <v>45206</v>
      </c>
      <c r="D367" s="1">
        <v>36512</v>
      </c>
      <c r="E367">
        <v>23.8</v>
      </c>
      <c r="F367">
        <v>3</v>
      </c>
      <c r="G367">
        <v>0</v>
      </c>
      <c r="H367">
        <v>1</v>
      </c>
      <c r="I367">
        <v>0</v>
      </c>
      <c r="J367">
        <v>3</v>
      </c>
      <c r="K367">
        <v>16</v>
      </c>
      <c r="L367">
        <v>0</v>
      </c>
      <c r="M367">
        <v>2.5625</v>
      </c>
      <c r="N367">
        <v>6</v>
      </c>
      <c r="O367">
        <v>4</v>
      </c>
      <c r="P367">
        <v>8</v>
      </c>
      <c r="Q367">
        <v>4</v>
      </c>
      <c r="R367">
        <v>12</v>
      </c>
      <c r="S367">
        <v>7</v>
      </c>
      <c r="T367">
        <v>2.5833333333333299</v>
      </c>
      <c r="U367">
        <v>1</v>
      </c>
      <c r="V367">
        <v>0</v>
      </c>
      <c r="W367">
        <v>6</v>
      </c>
      <c r="X367">
        <v>1</v>
      </c>
      <c r="AB367">
        <v>0</v>
      </c>
      <c r="AD367">
        <v>6</v>
      </c>
      <c r="AE367">
        <v>1</v>
      </c>
      <c r="AI367">
        <v>14</v>
      </c>
      <c r="AJ367">
        <v>13</v>
      </c>
      <c r="AK367">
        <v>16</v>
      </c>
      <c r="AL367">
        <v>18</v>
      </c>
      <c r="AM367">
        <v>12</v>
      </c>
    </row>
    <row r="368" spans="1:41" x14ac:dyDescent="0.2">
      <c r="A368">
        <v>2690</v>
      </c>
      <c r="B368">
        <v>190654</v>
      </c>
      <c r="C368" s="1">
        <v>45206</v>
      </c>
      <c r="D368" s="1">
        <v>19887</v>
      </c>
      <c r="E368">
        <v>69.319999999999993</v>
      </c>
      <c r="F368">
        <v>4</v>
      </c>
      <c r="G368">
        <v>1</v>
      </c>
      <c r="H368">
        <v>1</v>
      </c>
      <c r="I368">
        <v>0</v>
      </c>
      <c r="J368">
        <v>3</v>
      </c>
      <c r="K368">
        <v>16</v>
      </c>
      <c r="L368">
        <v>1022</v>
      </c>
      <c r="M368">
        <v>1.125</v>
      </c>
      <c r="N368">
        <v>0</v>
      </c>
      <c r="O368">
        <v>0</v>
      </c>
      <c r="P368">
        <v>0</v>
      </c>
      <c r="Q368">
        <v>0</v>
      </c>
      <c r="R368">
        <v>18</v>
      </c>
      <c r="S368">
        <v>0</v>
      </c>
      <c r="T368">
        <v>0</v>
      </c>
      <c r="U368">
        <v>5</v>
      </c>
      <c r="V368">
        <v>0</v>
      </c>
      <c r="W368">
        <v>1</v>
      </c>
      <c r="X368">
        <v>5</v>
      </c>
      <c r="AB368">
        <v>0</v>
      </c>
      <c r="AC368">
        <v>19117</v>
      </c>
      <c r="AD368">
        <v>1</v>
      </c>
      <c r="AE368">
        <v>1</v>
      </c>
      <c r="AI368">
        <v>14</v>
      </c>
      <c r="AJ368">
        <v>17</v>
      </c>
      <c r="AK368">
        <v>10</v>
      </c>
      <c r="AL368">
        <v>22</v>
      </c>
      <c r="AM368">
        <v>14</v>
      </c>
      <c r="AN368">
        <v>4</v>
      </c>
      <c r="AO368">
        <v>3.5454545454545001</v>
      </c>
    </row>
    <row r="369" spans="1:41" x14ac:dyDescent="0.2">
      <c r="A369">
        <v>2693</v>
      </c>
      <c r="B369">
        <v>131185</v>
      </c>
      <c r="C369" s="1">
        <v>45206</v>
      </c>
      <c r="D369" s="1">
        <v>31205</v>
      </c>
      <c r="E369">
        <v>38.33</v>
      </c>
      <c r="F369">
        <v>4</v>
      </c>
      <c r="G369">
        <v>0</v>
      </c>
      <c r="H369">
        <v>4</v>
      </c>
      <c r="I369">
        <v>0</v>
      </c>
      <c r="J369">
        <v>0</v>
      </c>
      <c r="K369">
        <v>5</v>
      </c>
      <c r="L369">
        <v>28</v>
      </c>
      <c r="M369">
        <v>3.6875</v>
      </c>
      <c r="N369">
        <v>11</v>
      </c>
      <c r="O369">
        <v>9</v>
      </c>
      <c r="P369">
        <v>10</v>
      </c>
      <c r="Q369">
        <v>1</v>
      </c>
      <c r="R369">
        <v>16</v>
      </c>
      <c r="S369">
        <v>12</v>
      </c>
      <c r="T369">
        <v>4.75</v>
      </c>
      <c r="U369">
        <v>5</v>
      </c>
      <c r="V369">
        <v>6</v>
      </c>
      <c r="W369">
        <v>7</v>
      </c>
      <c r="X369">
        <v>5</v>
      </c>
      <c r="AB369">
        <v>3</v>
      </c>
      <c r="AC369">
        <v>19422</v>
      </c>
      <c r="AD369">
        <v>7</v>
      </c>
      <c r="AE369">
        <v>1</v>
      </c>
      <c r="AI369">
        <v>21</v>
      </c>
      <c r="AJ369">
        <v>15</v>
      </c>
      <c r="AK369">
        <v>21</v>
      </c>
      <c r="AL369">
        <v>19</v>
      </c>
      <c r="AM369">
        <v>16</v>
      </c>
    </row>
    <row r="370" spans="1:41" x14ac:dyDescent="0.2">
      <c r="A370">
        <v>2700</v>
      </c>
      <c r="B370">
        <v>201271</v>
      </c>
      <c r="C370" s="1">
        <v>45206</v>
      </c>
      <c r="D370" s="1">
        <v>26272</v>
      </c>
      <c r="E370">
        <v>51.84</v>
      </c>
      <c r="F370">
        <v>4</v>
      </c>
      <c r="G370">
        <v>1</v>
      </c>
      <c r="H370">
        <v>1</v>
      </c>
      <c r="I370">
        <v>0</v>
      </c>
      <c r="J370">
        <v>1</v>
      </c>
      <c r="K370">
        <v>4</v>
      </c>
      <c r="L370">
        <v>28</v>
      </c>
      <c r="M370">
        <v>3.5</v>
      </c>
      <c r="N370">
        <v>9</v>
      </c>
      <c r="O370">
        <v>5</v>
      </c>
      <c r="P370">
        <v>10</v>
      </c>
      <c r="Q370">
        <v>8</v>
      </c>
      <c r="R370">
        <v>15</v>
      </c>
      <c r="S370">
        <v>9</v>
      </c>
      <c r="T370">
        <v>4.75</v>
      </c>
      <c r="U370">
        <v>6</v>
      </c>
      <c r="V370">
        <v>0</v>
      </c>
      <c r="W370">
        <v>6</v>
      </c>
      <c r="X370">
        <v>6</v>
      </c>
      <c r="AB370">
        <v>1</v>
      </c>
      <c r="AC370">
        <v>11746</v>
      </c>
      <c r="AD370">
        <v>6</v>
      </c>
      <c r="AE370">
        <v>0</v>
      </c>
      <c r="AI370">
        <v>13</v>
      </c>
      <c r="AJ370">
        <v>9</v>
      </c>
      <c r="AK370">
        <v>6</v>
      </c>
      <c r="AL370">
        <v>7</v>
      </c>
      <c r="AM370">
        <v>15</v>
      </c>
    </row>
    <row r="371" spans="1:41" x14ac:dyDescent="0.2">
      <c r="A371">
        <v>2706</v>
      </c>
      <c r="B371">
        <v>11301</v>
      </c>
      <c r="C371" s="1">
        <v>45206</v>
      </c>
      <c r="D371" s="1">
        <v>37238</v>
      </c>
      <c r="E371">
        <v>21.82</v>
      </c>
      <c r="F371">
        <v>4</v>
      </c>
      <c r="G371">
        <v>1</v>
      </c>
      <c r="H371">
        <v>11</v>
      </c>
      <c r="I371">
        <v>3</v>
      </c>
      <c r="J371">
        <v>4</v>
      </c>
      <c r="K371">
        <v>14</v>
      </c>
      <c r="L371">
        <v>0</v>
      </c>
      <c r="M371">
        <v>3.5</v>
      </c>
      <c r="N371">
        <v>9</v>
      </c>
      <c r="O371">
        <v>8</v>
      </c>
      <c r="P371">
        <v>9</v>
      </c>
      <c r="Q371">
        <v>6</v>
      </c>
      <c r="R371">
        <v>15</v>
      </c>
      <c r="S371">
        <v>9</v>
      </c>
      <c r="T371">
        <v>3.4166666666666998</v>
      </c>
      <c r="U371">
        <v>4</v>
      </c>
      <c r="V371">
        <v>0</v>
      </c>
      <c r="W371">
        <v>5</v>
      </c>
      <c r="X371">
        <v>4</v>
      </c>
      <c r="AC371">
        <v>17403</v>
      </c>
      <c r="AD371">
        <v>5</v>
      </c>
      <c r="AE371">
        <v>0</v>
      </c>
      <c r="AI371">
        <v>10</v>
      </c>
      <c r="AJ371">
        <v>12</v>
      </c>
      <c r="AK371">
        <v>14</v>
      </c>
      <c r="AL371">
        <v>17</v>
      </c>
      <c r="AM371">
        <v>15</v>
      </c>
    </row>
    <row r="372" spans="1:41" x14ac:dyDescent="0.2">
      <c r="A372">
        <v>2713</v>
      </c>
      <c r="B372">
        <v>50896</v>
      </c>
      <c r="C372" s="1">
        <v>45207</v>
      </c>
      <c r="D372" s="1">
        <v>35343</v>
      </c>
      <c r="E372">
        <v>27.01</v>
      </c>
      <c r="F372">
        <v>3</v>
      </c>
      <c r="G372">
        <v>1</v>
      </c>
      <c r="H372">
        <v>2</v>
      </c>
      <c r="I372">
        <v>0</v>
      </c>
      <c r="J372">
        <v>1</v>
      </c>
      <c r="K372">
        <v>10</v>
      </c>
      <c r="L372">
        <v>0</v>
      </c>
      <c r="M372">
        <v>3.125</v>
      </c>
      <c r="N372">
        <v>6</v>
      </c>
      <c r="O372">
        <v>8</v>
      </c>
      <c r="P372">
        <v>9</v>
      </c>
      <c r="Q372">
        <v>4</v>
      </c>
      <c r="R372">
        <v>15</v>
      </c>
      <c r="S372">
        <v>8</v>
      </c>
      <c r="T372">
        <v>4</v>
      </c>
      <c r="U372">
        <v>1</v>
      </c>
      <c r="V372">
        <v>1</v>
      </c>
      <c r="W372">
        <v>6</v>
      </c>
      <c r="X372">
        <v>1</v>
      </c>
      <c r="AB372">
        <v>4</v>
      </c>
      <c r="AC372">
        <v>19138</v>
      </c>
      <c r="AD372">
        <v>6</v>
      </c>
      <c r="AE372">
        <v>0</v>
      </c>
      <c r="AI372">
        <v>15</v>
      </c>
      <c r="AJ372">
        <v>8</v>
      </c>
      <c r="AK372">
        <v>18</v>
      </c>
      <c r="AL372">
        <v>12</v>
      </c>
      <c r="AM372">
        <v>19</v>
      </c>
    </row>
    <row r="373" spans="1:41" x14ac:dyDescent="0.2">
      <c r="A373">
        <v>2725</v>
      </c>
      <c r="B373">
        <v>191286</v>
      </c>
      <c r="C373" s="1">
        <v>45207</v>
      </c>
      <c r="D373" s="1">
        <v>31609</v>
      </c>
      <c r="E373">
        <v>37.229999999999997</v>
      </c>
      <c r="F373">
        <v>4</v>
      </c>
      <c r="G373">
        <v>1</v>
      </c>
      <c r="H373">
        <v>3</v>
      </c>
      <c r="I373">
        <v>0</v>
      </c>
      <c r="J373">
        <v>0</v>
      </c>
      <c r="K373">
        <v>12</v>
      </c>
      <c r="L373">
        <v>0</v>
      </c>
      <c r="M373">
        <v>3.6875</v>
      </c>
      <c r="N373">
        <v>12</v>
      </c>
      <c r="O373">
        <v>7</v>
      </c>
      <c r="P373">
        <v>7</v>
      </c>
      <c r="Q373">
        <v>7</v>
      </c>
      <c r="R373">
        <v>15</v>
      </c>
      <c r="S373">
        <v>11</v>
      </c>
      <c r="T373">
        <v>2.5833333333333002</v>
      </c>
      <c r="U373">
        <v>5</v>
      </c>
      <c r="V373">
        <v>3</v>
      </c>
      <c r="W373">
        <v>5</v>
      </c>
      <c r="X373">
        <v>5</v>
      </c>
      <c r="AB373">
        <v>1</v>
      </c>
      <c r="AC373">
        <v>19111</v>
      </c>
      <c r="AD373">
        <v>5</v>
      </c>
      <c r="AE373">
        <v>0</v>
      </c>
      <c r="AI373">
        <v>13</v>
      </c>
      <c r="AJ373">
        <v>15</v>
      </c>
      <c r="AK373">
        <v>17</v>
      </c>
      <c r="AL373">
        <v>18</v>
      </c>
      <c r="AM373">
        <v>17</v>
      </c>
    </row>
    <row r="374" spans="1:41" x14ac:dyDescent="0.2">
      <c r="A374">
        <v>2730</v>
      </c>
      <c r="B374">
        <v>130882</v>
      </c>
      <c r="C374" s="1">
        <v>45207</v>
      </c>
      <c r="D374" s="1">
        <v>30117</v>
      </c>
      <c r="E374">
        <v>41.32</v>
      </c>
      <c r="F374">
        <v>4</v>
      </c>
      <c r="G374">
        <v>1</v>
      </c>
      <c r="H374">
        <v>1</v>
      </c>
      <c r="I374">
        <v>0</v>
      </c>
      <c r="J374">
        <v>3</v>
      </c>
      <c r="K374">
        <v>4</v>
      </c>
      <c r="L374">
        <v>27</v>
      </c>
      <c r="M374">
        <v>3.375</v>
      </c>
      <c r="N374">
        <v>12</v>
      </c>
      <c r="O374">
        <v>3</v>
      </c>
      <c r="P374">
        <v>9</v>
      </c>
      <c r="Q374">
        <v>5</v>
      </c>
      <c r="R374">
        <v>15</v>
      </c>
      <c r="S374">
        <v>10</v>
      </c>
      <c r="T374">
        <v>5.75</v>
      </c>
      <c r="U374">
        <v>4</v>
      </c>
      <c r="V374">
        <v>1</v>
      </c>
      <c r="W374">
        <v>6</v>
      </c>
      <c r="X374">
        <v>4</v>
      </c>
      <c r="AB374">
        <v>1</v>
      </c>
      <c r="AC374">
        <v>19701</v>
      </c>
      <c r="AD374">
        <v>6</v>
      </c>
      <c r="AE374">
        <v>0</v>
      </c>
      <c r="AI374">
        <v>13</v>
      </c>
      <c r="AJ374">
        <v>16</v>
      </c>
      <c r="AK374">
        <v>15</v>
      </c>
      <c r="AL374">
        <v>19</v>
      </c>
      <c r="AM374">
        <v>15</v>
      </c>
    </row>
    <row r="375" spans="1:41" x14ac:dyDescent="0.2">
      <c r="A375">
        <v>2731</v>
      </c>
      <c r="B375">
        <v>262064</v>
      </c>
      <c r="C375" s="1">
        <v>45207</v>
      </c>
      <c r="D375" s="1">
        <v>23638</v>
      </c>
      <c r="E375">
        <v>59.05</v>
      </c>
      <c r="F375">
        <v>3</v>
      </c>
      <c r="G375">
        <v>1</v>
      </c>
      <c r="H375">
        <v>2</v>
      </c>
      <c r="I375">
        <v>0</v>
      </c>
      <c r="J375">
        <v>5</v>
      </c>
      <c r="K375">
        <v>12</v>
      </c>
      <c r="L375">
        <v>26</v>
      </c>
      <c r="M375">
        <v>3.25</v>
      </c>
      <c r="N375">
        <v>12</v>
      </c>
      <c r="O375">
        <v>3</v>
      </c>
      <c r="P375">
        <v>9</v>
      </c>
      <c r="Q375">
        <v>0</v>
      </c>
      <c r="R375">
        <v>17</v>
      </c>
      <c r="S375">
        <v>11</v>
      </c>
      <c r="T375">
        <v>2</v>
      </c>
      <c r="U375">
        <v>5</v>
      </c>
      <c r="V375">
        <v>2</v>
      </c>
      <c r="W375">
        <v>6</v>
      </c>
      <c r="X375">
        <v>5</v>
      </c>
      <c r="AB375">
        <v>3</v>
      </c>
      <c r="AC375">
        <v>10475</v>
      </c>
      <c r="AD375">
        <v>6</v>
      </c>
      <c r="AE375">
        <v>1</v>
      </c>
      <c r="AI375">
        <v>13</v>
      </c>
      <c r="AJ375">
        <v>17</v>
      </c>
      <c r="AK375">
        <v>16</v>
      </c>
      <c r="AL375">
        <v>13</v>
      </c>
      <c r="AM375">
        <v>13</v>
      </c>
      <c r="AN375">
        <v>30</v>
      </c>
      <c r="AO375">
        <v>1.0833333333333299</v>
      </c>
    </row>
    <row r="376" spans="1:41" x14ac:dyDescent="0.2">
      <c r="A376">
        <v>2733</v>
      </c>
      <c r="B376">
        <v>191857</v>
      </c>
      <c r="C376" s="1">
        <v>45207</v>
      </c>
      <c r="D376" s="1">
        <v>20919</v>
      </c>
      <c r="E376">
        <v>66.5</v>
      </c>
      <c r="F376">
        <v>3</v>
      </c>
      <c r="G376">
        <v>1</v>
      </c>
      <c r="H376">
        <v>2</v>
      </c>
      <c r="I376">
        <v>0</v>
      </c>
      <c r="J376">
        <v>0</v>
      </c>
      <c r="K376">
        <v>0</v>
      </c>
      <c r="L376">
        <v>28</v>
      </c>
      <c r="M376">
        <v>2.875</v>
      </c>
      <c r="N376">
        <v>12</v>
      </c>
      <c r="O376">
        <v>2</v>
      </c>
      <c r="P376">
        <v>7</v>
      </c>
      <c r="Q376">
        <v>2</v>
      </c>
      <c r="R376">
        <v>16</v>
      </c>
      <c r="S376">
        <v>7</v>
      </c>
      <c r="T376">
        <v>4.4166666666666599</v>
      </c>
      <c r="U376">
        <v>6</v>
      </c>
      <c r="V376">
        <v>2</v>
      </c>
      <c r="W376">
        <v>8</v>
      </c>
      <c r="X376">
        <v>6</v>
      </c>
      <c r="AB376">
        <v>1</v>
      </c>
      <c r="AC376">
        <v>19150</v>
      </c>
      <c r="AD376">
        <v>8</v>
      </c>
      <c r="AE376">
        <v>0</v>
      </c>
      <c r="AI376">
        <v>10</v>
      </c>
      <c r="AJ376">
        <v>15</v>
      </c>
      <c r="AK376">
        <v>11</v>
      </c>
      <c r="AL376">
        <v>12</v>
      </c>
      <c r="AM376">
        <v>14</v>
      </c>
      <c r="AN376">
        <v>0</v>
      </c>
      <c r="AO376">
        <v>1.0833333333333299</v>
      </c>
    </row>
    <row r="377" spans="1:41" x14ac:dyDescent="0.2">
      <c r="A377">
        <v>2735</v>
      </c>
      <c r="B377">
        <v>182349</v>
      </c>
      <c r="C377" s="1">
        <v>45207</v>
      </c>
      <c r="D377" s="1">
        <v>18096</v>
      </c>
      <c r="E377">
        <v>74.23</v>
      </c>
      <c r="F377">
        <v>4</v>
      </c>
      <c r="G377">
        <v>0</v>
      </c>
      <c r="H377">
        <v>3</v>
      </c>
      <c r="I377">
        <v>1</v>
      </c>
      <c r="J377">
        <v>4</v>
      </c>
      <c r="K377">
        <v>7</v>
      </c>
      <c r="L377">
        <v>25</v>
      </c>
      <c r="M377">
        <v>2</v>
      </c>
      <c r="N377">
        <v>6</v>
      </c>
      <c r="O377">
        <v>4</v>
      </c>
      <c r="P377">
        <v>6</v>
      </c>
      <c r="Q377">
        <v>0</v>
      </c>
      <c r="R377">
        <v>14</v>
      </c>
      <c r="S377">
        <v>2</v>
      </c>
      <c r="T377">
        <v>5.5833333333333002</v>
      </c>
      <c r="U377">
        <v>4</v>
      </c>
      <c r="V377">
        <v>2</v>
      </c>
      <c r="W377">
        <v>6</v>
      </c>
      <c r="X377">
        <v>4</v>
      </c>
      <c r="AB377">
        <v>0</v>
      </c>
      <c r="AC377">
        <v>19056</v>
      </c>
      <c r="AD377">
        <v>6</v>
      </c>
      <c r="AE377">
        <v>1</v>
      </c>
      <c r="AI377">
        <v>13</v>
      </c>
      <c r="AJ377">
        <v>9</v>
      </c>
      <c r="AK377">
        <v>20</v>
      </c>
      <c r="AL377">
        <v>16</v>
      </c>
      <c r="AM377">
        <v>20</v>
      </c>
      <c r="AN377">
        <v>1</v>
      </c>
      <c r="AO377">
        <v>1.4166666666667</v>
      </c>
    </row>
    <row r="378" spans="1:41" x14ac:dyDescent="0.2">
      <c r="A378">
        <v>2740</v>
      </c>
      <c r="B378">
        <v>101984</v>
      </c>
      <c r="C378" s="1">
        <v>45207</v>
      </c>
      <c r="D378" s="1">
        <v>30845</v>
      </c>
      <c r="E378">
        <v>39.32</v>
      </c>
      <c r="F378">
        <v>4</v>
      </c>
      <c r="G378">
        <v>1</v>
      </c>
      <c r="H378">
        <v>1</v>
      </c>
      <c r="I378">
        <v>0</v>
      </c>
      <c r="J378">
        <v>1</v>
      </c>
      <c r="K378">
        <v>9</v>
      </c>
      <c r="L378">
        <v>28</v>
      </c>
      <c r="M378">
        <v>3.25</v>
      </c>
      <c r="N378">
        <v>12</v>
      </c>
      <c r="O378">
        <v>4</v>
      </c>
      <c r="P378">
        <v>10</v>
      </c>
      <c r="Q378">
        <v>0</v>
      </c>
      <c r="R378">
        <v>15</v>
      </c>
      <c r="S378">
        <v>11</v>
      </c>
      <c r="T378">
        <v>6.5</v>
      </c>
      <c r="U378">
        <v>4</v>
      </c>
      <c r="V378">
        <v>2</v>
      </c>
      <c r="W378">
        <v>3</v>
      </c>
      <c r="X378">
        <v>4</v>
      </c>
      <c r="AB378">
        <v>2</v>
      </c>
      <c r="AC378">
        <v>17830</v>
      </c>
      <c r="AD378">
        <v>3</v>
      </c>
      <c r="AE378">
        <v>1</v>
      </c>
      <c r="AI378">
        <v>14</v>
      </c>
      <c r="AJ378">
        <v>6</v>
      </c>
      <c r="AK378">
        <v>11</v>
      </c>
      <c r="AL378">
        <v>13</v>
      </c>
      <c r="AM378">
        <v>13</v>
      </c>
    </row>
    <row r="379" spans="1:41" x14ac:dyDescent="0.2">
      <c r="A379">
        <v>2741</v>
      </c>
      <c r="B379">
        <v>40896</v>
      </c>
      <c r="C379" s="1">
        <v>45207</v>
      </c>
      <c r="D379" s="1">
        <v>35354</v>
      </c>
      <c r="E379">
        <v>26.98</v>
      </c>
      <c r="F379">
        <v>3</v>
      </c>
      <c r="G379">
        <v>0</v>
      </c>
      <c r="H379">
        <v>2</v>
      </c>
      <c r="I379">
        <v>6</v>
      </c>
      <c r="J379">
        <v>3</v>
      </c>
      <c r="K379">
        <v>12</v>
      </c>
      <c r="L379">
        <v>0</v>
      </c>
      <c r="M379">
        <v>2.625</v>
      </c>
      <c r="N379">
        <v>10</v>
      </c>
      <c r="O379">
        <v>1</v>
      </c>
      <c r="P379">
        <v>11</v>
      </c>
      <c r="Q379">
        <v>2</v>
      </c>
      <c r="R379">
        <v>18</v>
      </c>
      <c r="S379">
        <v>0</v>
      </c>
      <c r="T379">
        <v>1.0833333333333299</v>
      </c>
      <c r="U379">
        <v>1</v>
      </c>
      <c r="V379">
        <v>0</v>
      </c>
      <c r="W379">
        <v>2</v>
      </c>
      <c r="X379">
        <v>1</v>
      </c>
      <c r="AB379">
        <v>0</v>
      </c>
      <c r="AC379">
        <v>19143</v>
      </c>
      <c r="AD379">
        <v>2</v>
      </c>
      <c r="AE379">
        <v>0</v>
      </c>
      <c r="AI379">
        <v>16</v>
      </c>
      <c r="AJ379">
        <v>10</v>
      </c>
      <c r="AK379">
        <v>14</v>
      </c>
      <c r="AL379">
        <v>12</v>
      </c>
      <c r="AM379">
        <v>16</v>
      </c>
    </row>
    <row r="380" spans="1:41" x14ac:dyDescent="0.2">
      <c r="A380">
        <v>2757</v>
      </c>
      <c r="B380">
        <v>190396</v>
      </c>
      <c r="C380" s="1">
        <v>45207</v>
      </c>
      <c r="D380" s="1">
        <v>35142</v>
      </c>
      <c r="E380">
        <v>27.56</v>
      </c>
      <c r="F380">
        <v>4</v>
      </c>
      <c r="G380">
        <v>1</v>
      </c>
      <c r="H380">
        <v>5</v>
      </c>
      <c r="I380">
        <v>0</v>
      </c>
      <c r="J380">
        <v>0</v>
      </c>
      <c r="K380">
        <v>4</v>
      </c>
      <c r="L380">
        <v>0</v>
      </c>
      <c r="M380">
        <v>3.1875</v>
      </c>
      <c r="N380">
        <v>12</v>
      </c>
      <c r="O380">
        <v>4</v>
      </c>
      <c r="P380">
        <v>8</v>
      </c>
      <c r="Q380">
        <v>7</v>
      </c>
      <c r="R380">
        <v>9</v>
      </c>
      <c r="S380">
        <v>11</v>
      </c>
      <c r="T380">
        <v>4.75</v>
      </c>
      <c r="U380">
        <v>6</v>
      </c>
      <c r="V380">
        <v>6</v>
      </c>
      <c r="W380">
        <v>7</v>
      </c>
      <c r="X380">
        <v>6</v>
      </c>
      <c r="AB380">
        <v>0</v>
      </c>
      <c r="AC380">
        <v>19428</v>
      </c>
      <c r="AD380">
        <v>7</v>
      </c>
      <c r="AE380">
        <v>0</v>
      </c>
      <c r="AI380">
        <v>12</v>
      </c>
      <c r="AJ380">
        <v>16</v>
      </c>
      <c r="AK380">
        <v>15</v>
      </c>
      <c r="AL380">
        <v>14</v>
      </c>
      <c r="AM380">
        <v>12</v>
      </c>
    </row>
    <row r="381" spans="1:41" x14ac:dyDescent="0.2">
      <c r="A381">
        <v>2764</v>
      </c>
      <c r="B381">
        <v>10801</v>
      </c>
      <c r="C381" s="1">
        <v>45207</v>
      </c>
      <c r="D381" s="1">
        <v>36908</v>
      </c>
      <c r="E381">
        <v>22.72</v>
      </c>
      <c r="F381">
        <v>4</v>
      </c>
      <c r="G381">
        <v>1</v>
      </c>
      <c r="H381">
        <v>3</v>
      </c>
      <c r="I381">
        <v>0</v>
      </c>
      <c r="J381">
        <v>5</v>
      </c>
      <c r="K381">
        <v>7</v>
      </c>
      <c r="L381">
        <v>27</v>
      </c>
      <c r="M381">
        <v>2.875</v>
      </c>
      <c r="N381">
        <v>8</v>
      </c>
      <c r="O381">
        <v>0</v>
      </c>
      <c r="P381">
        <v>12</v>
      </c>
      <c r="Q381">
        <v>3</v>
      </c>
      <c r="R381">
        <v>15</v>
      </c>
      <c r="S381">
        <v>8</v>
      </c>
      <c r="T381">
        <v>6</v>
      </c>
      <c r="U381">
        <v>5</v>
      </c>
      <c r="V381">
        <v>2</v>
      </c>
      <c r="W381">
        <v>5</v>
      </c>
      <c r="X381">
        <v>5</v>
      </c>
      <c r="AB381">
        <v>4</v>
      </c>
      <c r="AC381">
        <v>19475</v>
      </c>
      <c r="AD381">
        <v>5</v>
      </c>
      <c r="AE381">
        <v>1</v>
      </c>
      <c r="AI381">
        <v>18</v>
      </c>
      <c r="AJ381">
        <v>18</v>
      </c>
      <c r="AK381">
        <v>20</v>
      </c>
      <c r="AL381">
        <v>20</v>
      </c>
      <c r="AM381">
        <v>19</v>
      </c>
    </row>
    <row r="382" spans="1:41" x14ac:dyDescent="0.2">
      <c r="A382">
        <v>2766</v>
      </c>
      <c r="B382">
        <v>231993</v>
      </c>
      <c r="C382" s="1">
        <v>45207</v>
      </c>
      <c r="D382" s="1">
        <v>33998</v>
      </c>
      <c r="E382">
        <v>30.69</v>
      </c>
      <c r="F382">
        <v>4</v>
      </c>
      <c r="G382">
        <v>0</v>
      </c>
      <c r="H382">
        <v>14</v>
      </c>
      <c r="I382">
        <v>24</v>
      </c>
      <c r="J382">
        <v>5</v>
      </c>
      <c r="K382">
        <v>16</v>
      </c>
      <c r="L382">
        <v>28</v>
      </c>
      <c r="M382">
        <v>2.625</v>
      </c>
      <c r="N382">
        <v>9</v>
      </c>
      <c r="O382">
        <v>1</v>
      </c>
      <c r="P382">
        <v>8</v>
      </c>
      <c r="Q382">
        <v>3</v>
      </c>
      <c r="R382">
        <v>13</v>
      </c>
      <c r="S382">
        <v>8</v>
      </c>
      <c r="T382">
        <v>3.4166666666666599</v>
      </c>
      <c r="U382">
        <v>4</v>
      </c>
      <c r="V382">
        <v>2</v>
      </c>
      <c r="W382">
        <v>5</v>
      </c>
      <c r="X382">
        <v>4</v>
      </c>
      <c r="AB382">
        <v>2</v>
      </c>
      <c r="AC382">
        <v>19522</v>
      </c>
      <c r="AD382">
        <v>5</v>
      </c>
      <c r="AE382">
        <v>0</v>
      </c>
      <c r="AI382">
        <v>19</v>
      </c>
      <c r="AJ382">
        <v>18</v>
      </c>
      <c r="AK382">
        <v>21</v>
      </c>
      <c r="AL382">
        <v>18</v>
      </c>
      <c r="AM382">
        <v>11</v>
      </c>
    </row>
    <row r="383" spans="1:41" x14ac:dyDescent="0.2">
      <c r="A383">
        <v>2768</v>
      </c>
      <c r="B383">
        <v>40786</v>
      </c>
      <c r="C383" s="1">
        <v>45207</v>
      </c>
      <c r="D383" s="1">
        <v>31538</v>
      </c>
      <c r="E383">
        <v>37.42</v>
      </c>
      <c r="F383">
        <v>4</v>
      </c>
      <c r="G383">
        <v>1</v>
      </c>
      <c r="H383">
        <v>2</v>
      </c>
      <c r="I383">
        <v>3</v>
      </c>
      <c r="J383">
        <v>7</v>
      </c>
      <c r="K383">
        <v>14</v>
      </c>
      <c r="L383">
        <v>31</v>
      </c>
      <c r="M383">
        <v>3.6875</v>
      </c>
      <c r="N383">
        <v>12</v>
      </c>
      <c r="O383">
        <v>3</v>
      </c>
      <c r="P383">
        <v>12</v>
      </c>
      <c r="Q383">
        <v>4</v>
      </c>
      <c r="R383">
        <v>16</v>
      </c>
      <c r="S383">
        <v>12</v>
      </c>
      <c r="T383">
        <v>5.1666666666666998</v>
      </c>
      <c r="U383">
        <v>4</v>
      </c>
      <c r="V383">
        <v>0</v>
      </c>
      <c r="W383">
        <v>2</v>
      </c>
      <c r="X383">
        <v>4</v>
      </c>
      <c r="AC383">
        <v>8021</v>
      </c>
      <c r="AD383">
        <v>2</v>
      </c>
      <c r="AE383">
        <v>1</v>
      </c>
      <c r="AI383">
        <v>15</v>
      </c>
      <c r="AJ383">
        <v>16</v>
      </c>
      <c r="AK383">
        <v>16</v>
      </c>
      <c r="AL383">
        <v>16</v>
      </c>
      <c r="AM383">
        <v>21</v>
      </c>
    </row>
    <row r="384" spans="1:41" x14ac:dyDescent="0.2">
      <c r="A384">
        <v>2777</v>
      </c>
      <c r="B384">
        <v>122395</v>
      </c>
      <c r="C384" s="1">
        <v>45207</v>
      </c>
      <c r="D384" s="1">
        <v>34864</v>
      </c>
      <c r="E384">
        <v>28.32</v>
      </c>
      <c r="F384">
        <v>4</v>
      </c>
      <c r="G384">
        <v>1</v>
      </c>
      <c r="H384">
        <v>8</v>
      </c>
      <c r="I384">
        <v>0</v>
      </c>
      <c r="J384">
        <v>1</v>
      </c>
      <c r="K384">
        <v>10</v>
      </c>
      <c r="L384">
        <v>28</v>
      </c>
      <c r="M384">
        <v>3.5625</v>
      </c>
      <c r="N384">
        <v>10</v>
      </c>
      <c r="O384">
        <v>8</v>
      </c>
      <c r="P384">
        <v>9</v>
      </c>
      <c r="Q384">
        <v>1</v>
      </c>
      <c r="R384">
        <v>18</v>
      </c>
      <c r="S384">
        <v>11</v>
      </c>
      <c r="T384">
        <v>6.3333333333333304</v>
      </c>
      <c r="U384">
        <v>6</v>
      </c>
      <c r="V384">
        <v>5</v>
      </c>
      <c r="W384">
        <v>5</v>
      </c>
      <c r="X384">
        <v>6</v>
      </c>
      <c r="AB384">
        <v>3</v>
      </c>
      <c r="AC384">
        <v>8005</v>
      </c>
      <c r="AD384">
        <v>5</v>
      </c>
      <c r="AE384">
        <v>0</v>
      </c>
      <c r="AI384">
        <v>17</v>
      </c>
      <c r="AJ384">
        <v>15</v>
      </c>
      <c r="AK384">
        <v>10</v>
      </c>
      <c r="AL384">
        <v>15</v>
      </c>
      <c r="AM384">
        <v>13</v>
      </c>
    </row>
    <row r="385" spans="1:39" x14ac:dyDescent="0.2">
      <c r="A385">
        <v>2790</v>
      </c>
      <c r="B385">
        <v>110488</v>
      </c>
      <c r="C385" s="1">
        <v>45208</v>
      </c>
      <c r="D385" s="1">
        <v>32178</v>
      </c>
      <c r="E385">
        <v>35.67</v>
      </c>
      <c r="F385">
        <v>4</v>
      </c>
      <c r="G385">
        <v>1</v>
      </c>
      <c r="H385">
        <v>0</v>
      </c>
      <c r="I385">
        <v>0</v>
      </c>
      <c r="J385">
        <v>5</v>
      </c>
      <c r="K385">
        <v>18</v>
      </c>
      <c r="L385">
        <v>28</v>
      </c>
      <c r="M385">
        <v>4.1875</v>
      </c>
      <c r="N385">
        <v>12</v>
      </c>
      <c r="O385">
        <v>11</v>
      </c>
      <c r="P385">
        <v>12</v>
      </c>
      <c r="Q385">
        <v>6</v>
      </c>
      <c r="R385">
        <v>14</v>
      </c>
      <c r="S385">
        <v>12</v>
      </c>
      <c r="T385">
        <v>5</v>
      </c>
      <c r="U385">
        <v>4</v>
      </c>
      <c r="V385">
        <v>0</v>
      </c>
      <c r="W385">
        <v>2</v>
      </c>
      <c r="X385">
        <v>4</v>
      </c>
      <c r="AB385">
        <v>2</v>
      </c>
      <c r="AC385">
        <v>19149</v>
      </c>
      <c r="AD385">
        <v>2</v>
      </c>
      <c r="AE385">
        <v>0</v>
      </c>
      <c r="AI385">
        <v>13</v>
      </c>
      <c r="AJ385">
        <v>9</v>
      </c>
      <c r="AK385">
        <v>9</v>
      </c>
      <c r="AL385">
        <v>10</v>
      </c>
      <c r="AM385">
        <v>10</v>
      </c>
    </row>
    <row r="386" spans="1:39" x14ac:dyDescent="0.2">
      <c r="A386">
        <v>2797</v>
      </c>
      <c r="B386">
        <v>50402</v>
      </c>
      <c r="C386" s="1">
        <v>45208</v>
      </c>
      <c r="D386" s="1">
        <v>37494</v>
      </c>
      <c r="E386">
        <v>21.12</v>
      </c>
      <c r="F386">
        <v>4</v>
      </c>
      <c r="G386">
        <v>1</v>
      </c>
      <c r="H386">
        <v>0</v>
      </c>
      <c r="I386">
        <v>0</v>
      </c>
      <c r="J386">
        <v>0</v>
      </c>
      <c r="K386">
        <v>5</v>
      </c>
      <c r="L386">
        <v>0</v>
      </c>
      <c r="M386">
        <v>3.4375</v>
      </c>
      <c r="N386">
        <v>2</v>
      </c>
      <c r="O386">
        <v>11</v>
      </c>
      <c r="P386">
        <v>11</v>
      </c>
      <c r="Q386">
        <v>4</v>
      </c>
      <c r="R386">
        <v>18</v>
      </c>
      <c r="S386">
        <v>9</v>
      </c>
      <c r="T386">
        <v>3.5833333333333002</v>
      </c>
      <c r="U386">
        <v>1</v>
      </c>
      <c r="V386">
        <v>6</v>
      </c>
      <c r="W386">
        <v>7</v>
      </c>
      <c r="X386">
        <v>1</v>
      </c>
      <c r="AB386">
        <v>2</v>
      </c>
      <c r="AC386">
        <v>19145</v>
      </c>
      <c r="AD386">
        <v>7</v>
      </c>
      <c r="AE386">
        <v>0</v>
      </c>
      <c r="AI386">
        <v>8</v>
      </c>
      <c r="AJ386">
        <v>8</v>
      </c>
      <c r="AK386">
        <v>14</v>
      </c>
      <c r="AL386">
        <v>10</v>
      </c>
      <c r="AM386">
        <v>16</v>
      </c>
    </row>
    <row r="387" spans="1:39" x14ac:dyDescent="0.2">
      <c r="A387">
        <v>2798</v>
      </c>
      <c r="B387">
        <v>40505</v>
      </c>
      <c r="C387" s="1">
        <v>45208</v>
      </c>
      <c r="D387" s="1">
        <v>38419</v>
      </c>
      <c r="E387">
        <v>18.59</v>
      </c>
      <c r="F387">
        <v>4</v>
      </c>
      <c r="G387">
        <v>0</v>
      </c>
      <c r="H387">
        <v>0</v>
      </c>
      <c r="I387">
        <v>0</v>
      </c>
      <c r="J387">
        <v>1</v>
      </c>
      <c r="K387">
        <v>11</v>
      </c>
      <c r="L387">
        <v>25</v>
      </c>
      <c r="M387">
        <v>2.875</v>
      </c>
      <c r="N387">
        <v>5</v>
      </c>
      <c r="O387">
        <v>12</v>
      </c>
      <c r="P387">
        <v>10</v>
      </c>
      <c r="Q387">
        <v>0</v>
      </c>
      <c r="R387">
        <v>14</v>
      </c>
      <c r="S387">
        <v>5</v>
      </c>
      <c r="T387">
        <v>5.0833333333333002</v>
      </c>
      <c r="U387">
        <v>1</v>
      </c>
      <c r="V387">
        <v>4</v>
      </c>
      <c r="W387">
        <v>6</v>
      </c>
      <c r="X387">
        <v>1</v>
      </c>
      <c r="AC387">
        <v>19462</v>
      </c>
      <c r="AD387">
        <v>6</v>
      </c>
      <c r="AE387">
        <v>0</v>
      </c>
      <c r="AI387">
        <v>15</v>
      </c>
      <c r="AJ387">
        <v>12</v>
      </c>
      <c r="AK387">
        <v>15</v>
      </c>
      <c r="AL387">
        <v>15</v>
      </c>
      <c r="AM387">
        <v>14</v>
      </c>
    </row>
    <row r="388" spans="1:39" x14ac:dyDescent="0.2">
      <c r="A388">
        <v>2800</v>
      </c>
      <c r="B388">
        <v>262294</v>
      </c>
      <c r="C388" s="1">
        <v>45208</v>
      </c>
      <c r="D388" s="1">
        <v>34672</v>
      </c>
      <c r="E388">
        <v>28.85</v>
      </c>
      <c r="F388">
        <v>5</v>
      </c>
      <c r="G388">
        <v>2</v>
      </c>
      <c r="H388">
        <v>3</v>
      </c>
      <c r="I388">
        <v>7</v>
      </c>
      <c r="J388">
        <v>1</v>
      </c>
      <c r="K388">
        <v>6</v>
      </c>
      <c r="L388">
        <v>27</v>
      </c>
      <c r="M388">
        <v>3.3125</v>
      </c>
      <c r="N388">
        <v>8</v>
      </c>
      <c r="O388">
        <v>5</v>
      </c>
      <c r="P388">
        <v>9</v>
      </c>
      <c r="Q388">
        <v>6</v>
      </c>
      <c r="R388">
        <v>15</v>
      </c>
      <c r="S388">
        <v>10</v>
      </c>
      <c r="T388">
        <v>4.25</v>
      </c>
      <c r="U388">
        <v>4</v>
      </c>
      <c r="V388">
        <v>0</v>
      </c>
      <c r="W388">
        <v>4</v>
      </c>
      <c r="X388">
        <v>4</v>
      </c>
      <c r="AC388">
        <v>7843</v>
      </c>
      <c r="AD388">
        <v>4</v>
      </c>
      <c r="AE388">
        <v>0</v>
      </c>
      <c r="AI388">
        <v>15</v>
      </c>
      <c r="AJ388">
        <v>13</v>
      </c>
      <c r="AK388">
        <v>11</v>
      </c>
      <c r="AL388">
        <v>16</v>
      </c>
      <c r="AM388">
        <v>18</v>
      </c>
    </row>
    <row r="389" spans="1:39" x14ac:dyDescent="0.2">
      <c r="A389">
        <v>2807</v>
      </c>
      <c r="B389">
        <v>142294</v>
      </c>
      <c r="C389" s="1">
        <v>45208</v>
      </c>
      <c r="D389" s="1">
        <v>34639</v>
      </c>
      <c r="E389">
        <v>28.94</v>
      </c>
      <c r="F389">
        <v>4</v>
      </c>
      <c r="G389">
        <v>1</v>
      </c>
      <c r="H389">
        <v>2</v>
      </c>
      <c r="I389">
        <v>0</v>
      </c>
      <c r="J389">
        <v>3</v>
      </c>
      <c r="K389">
        <v>8</v>
      </c>
      <c r="L389">
        <v>0</v>
      </c>
      <c r="M389">
        <v>3</v>
      </c>
      <c r="N389">
        <v>9</v>
      </c>
      <c r="O389">
        <v>7</v>
      </c>
      <c r="P389">
        <v>8</v>
      </c>
      <c r="Q389">
        <v>0</v>
      </c>
      <c r="R389">
        <v>15</v>
      </c>
      <c r="S389">
        <v>9</v>
      </c>
      <c r="T389">
        <v>5.5833333333333002</v>
      </c>
      <c r="U389">
        <v>6</v>
      </c>
      <c r="V389">
        <v>1</v>
      </c>
      <c r="W389">
        <v>7</v>
      </c>
      <c r="X389">
        <v>6</v>
      </c>
      <c r="AC389">
        <v>20817</v>
      </c>
      <c r="AD389">
        <v>7</v>
      </c>
      <c r="AE389">
        <v>0</v>
      </c>
      <c r="AI389">
        <v>15</v>
      </c>
      <c r="AJ389">
        <v>10</v>
      </c>
      <c r="AK389">
        <v>12</v>
      </c>
      <c r="AL389">
        <v>17</v>
      </c>
      <c r="AM389">
        <v>19</v>
      </c>
    </row>
    <row r="390" spans="1:39" x14ac:dyDescent="0.2">
      <c r="A390">
        <v>2816</v>
      </c>
      <c r="B390">
        <v>70200</v>
      </c>
      <c r="C390" s="1">
        <v>45208</v>
      </c>
      <c r="D390" s="1">
        <v>36689</v>
      </c>
      <c r="E390">
        <v>23.32</v>
      </c>
      <c r="F390">
        <v>4</v>
      </c>
      <c r="G390">
        <v>1</v>
      </c>
      <c r="H390">
        <v>0</v>
      </c>
      <c r="I390">
        <v>0</v>
      </c>
      <c r="J390">
        <v>3</v>
      </c>
      <c r="K390">
        <v>3</v>
      </c>
      <c r="L390">
        <v>0</v>
      </c>
      <c r="M390">
        <v>3.9375</v>
      </c>
      <c r="N390">
        <v>12</v>
      </c>
      <c r="O390">
        <v>7</v>
      </c>
      <c r="P390">
        <v>12</v>
      </c>
      <c r="Q390">
        <v>3</v>
      </c>
      <c r="R390">
        <v>17</v>
      </c>
      <c r="S390">
        <v>12</v>
      </c>
      <c r="T390">
        <v>6.5833333333333002</v>
      </c>
      <c r="U390">
        <v>5</v>
      </c>
      <c r="V390">
        <v>6</v>
      </c>
      <c r="W390">
        <v>8</v>
      </c>
      <c r="X390">
        <v>5</v>
      </c>
      <c r="AB390">
        <v>2</v>
      </c>
      <c r="AC390">
        <v>7076</v>
      </c>
      <c r="AD390">
        <v>8</v>
      </c>
      <c r="AE390">
        <v>1</v>
      </c>
      <c r="AI390">
        <v>14</v>
      </c>
      <c r="AJ390">
        <v>23</v>
      </c>
      <c r="AK390">
        <v>21</v>
      </c>
      <c r="AL390">
        <v>18</v>
      </c>
      <c r="AM390">
        <v>16</v>
      </c>
    </row>
    <row r="391" spans="1:39" x14ac:dyDescent="0.2">
      <c r="A391">
        <v>2821</v>
      </c>
      <c r="B391">
        <v>10402</v>
      </c>
      <c r="C391" s="1">
        <v>45208</v>
      </c>
      <c r="D391" s="1">
        <v>37531</v>
      </c>
      <c r="E391">
        <v>21.02</v>
      </c>
      <c r="F391">
        <v>4</v>
      </c>
      <c r="G391">
        <v>0</v>
      </c>
      <c r="H391">
        <v>10</v>
      </c>
      <c r="I391">
        <v>7</v>
      </c>
      <c r="J391">
        <v>0</v>
      </c>
      <c r="K391">
        <v>7</v>
      </c>
      <c r="L391">
        <v>0</v>
      </c>
      <c r="M391">
        <v>3.1875</v>
      </c>
      <c r="N391">
        <v>10</v>
      </c>
      <c r="O391">
        <v>7</v>
      </c>
      <c r="P391">
        <v>7</v>
      </c>
      <c r="Q391">
        <v>2</v>
      </c>
      <c r="R391">
        <v>15</v>
      </c>
      <c r="S391">
        <v>10</v>
      </c>
      <c r="T391">
        <v>4.6666666666666998</v>
      </c>
      <c r="U391">
        <v>5</v>
      </c>
      <c r="V391">
        <v>3</v>
      </c>
      <c r="W391">
        <v>7</v>
      </c>
      <c r="X391">
        <v>5</v>
      </c>
      <c r="AC391">
        <v>10701</v>
      </c>
      <c r="AD391">
        <v>7</v>
      </c>
      <c r="AE391">
        <v>0</v>
      </c>
      <c r="AI391">
        <v>20</v>
      </c>
      <c r="AJ391">
        <v>24</v>
      </c>
      <c r="AK391">
        <v>20</v>
      </c>
      <c r="AL391">
        <v>23</v>
      </c>
      <c r="AM391">
        <v>25</v>
      </c>
    </row>
    <row r="392" spans="1:39" x14ac:dyDescent="0.2">
      <c r="A392">
        <v>2822</v>
      </c>
      <c r="B392">
        <v>31901</v>
      </c>
      <c r="C392" s="1">
        <v>45208</v>
      </c>
      <c r="D392" s="1">
        <v>37244</v>
      </c>
      <c r="E392">
        <v>21.8</v>
      </c>
      <c r="F392">
        <v>4</v>
      </c>
      <c r="G392">
        <v>0</v>
      </c>
      <c r="H392">
        <v>4</v>
      </c>
      <c r="I392">
        <v>0</v>
      </c>
      <c r="J392">
        <v>3</v>
      </c>
      <c r="K392">
        <v>8</v>
      </c>
      <c r="L392">
        <v>0</v>
      </c>
      <c r="M392">
        <v>2.75</v>
      </c>
      <c r="N392">
        <v>9</v>
      </c>
      <c r="O392">
        <v>0</v>
      </c>
      <c r="P392">
        <v>9</v>
      </c>
      <c r="Q392">
        <v>1</v>
      </c>
      <c r="R392">
        <v>16</v>
      </c>
      <c r="S392">
        <v>9</v>
      </c>
      <c r="T392">
        <v>3.9166666666666998</v>
      </c>
      <c r="U392">
        <v>5</v>
      </c>
      <c r="V392">
        <v>1</v>
      </c>
      <c r="W392">
        <v>4</v>
      </c>
      <c r="X392">
        <v>5</v>
      </c>
      <c r="AB392">
        <v>1</v>
      </c>
      <c r="AC392">
        <v>15301</v>
      </c>
      <c r="AD392">
        <v>4</v>
      </c>
      <c r="AE392">
        <v>1</v>
      </c>
      <c r="AI392">
        <v>16</v>
      </c>
      <c r="AJ392">
        <v>16</v>
      </c>
      <c r="AK392">
        <v>19</v>
      </c>
      <c r="AL392">
        <v>18</v>
      </c>
      <c r="AM392">
        <v>17</v>
      </c>
    </row>
    <row r="393" spans="1:39" x14ac:dyDescent="0.2">
      <c r="A393">
        <v>2828</v>
      </c>
      <c r="B393">
        <v>111988</v>
      </c>
      <c r="C393" s="1">
        <v>45208</v>
      </c>
      <c r="D393" s="1">
        <v>32407</v>
      </c>
      <c r="E393">
        <v>35.049999999999997</v>
      </c>
      <c r="F393">
        <v>4</v>
      </c>
      <c r="G393">
        <v>1</v>
      </c>
      <c r="H393">
        <v>5</v>
      </c>
      <c r="I393">
        <v>2</v>
      </c>
      <c r="J393">
        <v>2</v>
      </c>
      <c r="K393">
        <v>5</v>
      </c>
      <c r="L393">
        <v>0</v>
      </c>
      <c r="M393">
        <v>4.125</v>
      </c>
      <c r="N393">
        <v>12</v>
      </c>
      <c r="O393">
        <v>11</v>
      </c>
      <c r="P393">
        <v>12</v>
      </c>
      <c r="Q393">
        <v>1</v>
      </c>
      <c r="R393">
        <v>18</v>
      </c>
      <c r="S393">
        <v>12</v>
      </c>
      <c r="T393">
        <v>6.0833333333333002</v>
      </c>
      <c r="U393">
        <v>5</v>
      </c>
      <c r="V393">
        <v>4</v>
      </c>
      <c r="W393">
        <v>6</v>
      </c>
      <c r="X393">
        <v>5</v>
      </c>
      <c r="AB393">
        <v>0</v>
      </c>
      <c r="AC393">
        <v>19149</v>
      </c>
      <c r="AD393">
        <v>6</v>
      </c>
      <c r="AE393">
        <v>0</v>
      </c>
      <c r="AI393">
        <v>17</v>
      </c>
      <c r="AJ393">
        <v>15</v>
      </c>
      <c r="AK393">
        <v>16</v>
      </c>
      <c r="AL393">
        <v>21</v>
      </c>
      <c r="AM393">
        <v>24</v>
      </c>
    </row>
    <row r="394" spans="1:39" x14ac:dyDescent="0.2">
      <c r="A394">
        <v>2832</v>
      </c>
      <c r="B394">
        <v>111894</v>
      </c>
      <c r="C394" s="1">
        <v>45208</v>
      </c>
      <c r="D394" s="1">
        <v>34680</v>
      </c>
      <c r="E394">
        <v>28.82</v>
      </c>
      <c r="F394">
        <v>4</v>
      </c>
      <c r="G394">
        <v>1</v>
      </c>
      <c r="H394">
        <v>4</v>
      </c>
      <c r="I394">
        <v>2</v>
      </c>
      <c r="J394">
        <v>0</v>
      </c>
      <c r="K394">
        <v>2</v>
      </c>
      <c r="L394">
        <v>27</v>
      </c>
      <c r="M394">
        <v>3.5625</v>
      </c>
      <c r="N394">
        <v>12</v>
      </c>
      <c r="O394">
        <v>3</v>
      </c>
      <c r="P394">
        <v>12</v>
      </c>
      <c r="Q394">
        <v>2</v>
      </c>
      <c r="R394">
        <v>18</v>
      </c>
      <c r="S394">
        <v>10</v>
      </c>
      <c r="T394">
        <v>6</v>
      </c>
      <c r="U394">
        <v>6</v>
      </c>
      <c r="V394">
        <v>3</v>
      </c>
      <c r="W394">
        <v>7</v>
      </c>
      <c r="X394">
        <v>6</v>
      </c>
      <c r="AB394">
        <v>0</v>
      </c>
      <c r="AC394">
        <v>39046</v>
      </c>
      <c r="AD394">
        <v>7</v>
      </c>
      <c r="AE394">
        <v>0</v>
      </c>
      <c r="AI394">
        <v>15</v>
      </c>
      <c r="AJ394">
        <v>11</v>
      </c>
      <c r="AK394">
        <v>10</v>
      </c>
      <c r="AL394">
        <v>11</v>
      </c>
      <c r="AM394">
        <v>17</v>
      </c>
    </row>
    <row r="395" spans="1:39" x14ac:dyDescent="0.2">
      <c r="A395">
        <v>2833</v>
      </c>
      <c r="B395">
        <v>20597</v>
      </c>
      <c r="C395" s="1">
        <v>45208</v>
      </c>
      <c r="D395" s="1">
        <v>35573</v>
      </c>
      <c r="E395">
        <v>26.38</v>
      </c>
      <c r="F395">
        <v>4</v>
      </c>
      <c r="G395">
        <v>2</v>
      </c>
      <c r="H395">
        <v>3</v>
      </c>
      <c r="I395">
        <v>0</v>
      </c>
      <c r="J395">
        <v>0</v>
      </c>
      <c r="K395">
        <v>14</v>
      </c>
      <c r="L395">
        <v>28</v>
      </c>
      <c r="M395">
        <v>3.5</v>
      </c>
      <c r="N395">
        <v>12</v>
      </c>
      <c r="O395">
        <v>2</v>
      </c>
      <c r="P395">
        <v>11</v>
      </c>
      <c r="Q395">
        <v>2</v>
      </c>
      <c r="R395">
        <v>17</v>
      </c>
      <c r="S395">
        <v>12</v>
      </c>
      <c r="T395">
        <v>6.1666666666666998</v>
      </c>
      <c r="U395">
        <v>5</v>
      </c>
      <c r="V395">
        <v>4</v>
      </c>
      <c r="W395">
        <v>4</v>
      </c>
      <c r="X395">
        <v>5</v>
      </c>
      <c r="AB395">
        <v>2</v>
      </c>
      <c r="AC395">
        <v>19048</v>
      </c>
      <c r="AD395">
        <v>4</v>
      </c>
      <c r="AE395">
        <v>0</v>
      </c>
      <c r="AI395">
        <v>18</v>
      </c>
      <c r="AJ395">
        <v>20</v>
      </c>
      <c r="AK395">
        <v>13</v>
      </c>
      <c r="AL395">
        <v>19</v>
      </c>
      <c r="AM395">
        <v>16</v>
      </c>
    </row>
    <row r="396" spans="1:39" x14ac:dyDescent="0.2">
      <c r="A396">
        <v>2835</v>
      </c>
      <c r="B396">
        <v>150988</v>
      </c>
      <c r="C396" s="1">
        <v>45208</v>
      </c>
      <c r="D396" s="1">
        <v>32224</v>
      </c>
      <c r="E396">
        <v>35.549999999999997</v>
      </c>
      <c r="F396">
        <v>4</v>
      </c>
      <c r="G396">
        <v>2</v>
      </c>
      <c r="H396">
        <v>1</v>
      </c>
      <c r="I396">
        <v>7</v>
      </c>
      <c r="J396">
        <v>1</v>
      </c>
      <c r="K396">
        <v>10</v>
      </c>
      <c r="L396">
        <v>27</v>
      </c>
      <c r="M396">
        <v>3.25</v>
      </c>
      <c r="N396">
        <v>12</v>
      </c>
      <c r="O396">
        <v>0</v>
      </c>
      <c r="P396">
        <v>10</v>
      </c>
      <c r="Q396">
        <v>2</v>
      </c>
      <c r="R396">
        <v>18</v>
      </c>
      <c r="S396">
        <v>10</v>
      </c>
      <c r="T396">
        <v>4.4166666666666998</v>
      </c>
      <c r="U396">
        <v>6</v>
      </c>
      <c r="V396">
        <v>3</v>
      </c>
      <c r="W396">
        <v>4</v>
      </c>
      <c r="X396">
        <v>6</v>
      </c>
      <c r="AB396">
        <v>0</v>
      </c>
      <c r="AC396">
        <v>45068</v>
      </c>
      <c r="AD396">
        <v>4</v>
      </c>
      <c r="AE396">
        <v>0</v>
      </c>
      <c r="AI396">
        <v>13</v>
      </c>
      <c r="AJ396">
        <v>12</v>
      </c>
      <c r="AK396">
        <v>7</v>
      </c>
      <c r="AL396">
        <v>13</v>
      </c>
      <c r="AM396">
        <v>14</v>
      </c>
    </row>
    <row r="397" spans="1:39" x14ac:dyDescent="0.2">
      <c r="A397">
        <v>2838</v>
      </c>
      <c r="B397">
        <v>20398</v>
      </c>
      <c r="C397" s="1">
        <v>45208</v>
      </c>
      <c r="D397" s="1">
        <v>35968</v>
      </c>
      <c r="E397">
        <v>25.3</v>
      </c>
      <c r="F397">
        <v>4</v>
      </c>
      <c r="G397">
        <v>1</v>
      </c>
      <c r="H397">
        <v>5</v>
      </c>
      <c r="I397">
        <v>2</v>
      </c>
      <c r="J397">
        <v>0</v>
      </c>
      <c r="K397">
        <v>6</v>
      </c>
      <c r="L397">
        <v>0</v>
      </c>
      <c r="M397">
        <v>3.5625</v>
      </c>
      <c r="N397">
        <v>6</v>
      </c>
      <c r="O397">
        <v>12</v>
      </c>
      <c r="P397">
        <v>10</v>
      </c>
      <c r="Q397">
        <v>2</v>
      </c>
      <c r="R397">
        <v>15</v>
      </c>
      <c r="S397">
        <v>12</v>
      </c>
      <c r="T397">
        <v>4.9166666666666998</v>
      </c>
      <c r="U397">
        <v>5</v>
      </c>
      <c r="V397">
        <v>1</v>
      </c>
      <c r="W397">
        <v>7</v>
      </c>
      <c r="X397">
        <v>5</v>
      </c>
      <c r="AC397">
        <v>12054</v>
      </c>
      <c r="AD397">
        <v>7</v>
      </c>
      <c r="AE397">
        <v>0</v>
      </c>
      <c r="AI397">
        <v>14</v>
      </c>
      <c r="AJ397">
        <v>17</v>
      </c>
      <c r="AK397">
        <v>15</v>
      </c>
      <c r="AL397">
        <v>20</v>
      </c>
      <c r="AM397">
        <v>19</v>
      </c>
    </row>
    <row r="398" spans="1:39" x14ac:dyDescent="0.2">
      <c r="A398">
        <v>2840</v>
      </c>
      <c r="B398">
        <v>100370</v>
      </c>
      <c r="C398" s="1">
        <v>45208</v>
      </c>
      <c r="D398" s="1">
        <v>25636</v>
      </c>
      <c r="E398">
        <v>53.59</v>
      </c>
      <c r="F398">
        <v>4</v>
      </c>
      <c r="G398">
        <v>1</v>
      </c>
      <c r="H398">
        <v>4</v>
      </c>
      <c r="I398">
        <v>4</v>
      </c>
      <c r="J398">
        <v>4</v>
      </c>
      <c r="K398">
        <v>16</v>
      </c>
      <c r="L398">
        <v>23</v>
      </c>
      <c r="M398">
        <v>3.5625</v>
      </c>
      <c r="N398">
        <v>12</v>
      </c>
      <c r="O398">
        <v>5</v>
      </c>
      <c r="P398">
        <v>9</v>
      </c>
      <c r="Q398">
        <v>3</v>
      </c>
      <c r="R398">
        <v>18</v>
      </c>
      <c r="S398">
        <v>10</v>
      </c>
      <c r="T398">
        <v>5.25</v>
      </c>
      <c r="U398">
        <v>4</v>
      </c>
      <c r="V398">
        <v>1</v>
      </c>
      <c r="W398">
        <v>4</v>
      </c>
      <c r="X398">
        <v>4</v>
      </c>
      <c r="AB398">
        <v>0</v>
      </c>
      <c r="AC398">
        <v>19006</v>
      </c>
      <c r="AD398">
        <v>4</v>
      </c>
      <c r="AE398">
        <v>1</v>
      </c>
      <c r="AI398">
        <v>17</v>
      </c>
      <c r="AJ398">
        <v>6</v>
      </c>
      <c r="AK398">
        <v>9</v>
      </c>
      <c r="AL398">
        <v>11</v>
      </c>
      <c r="AM398">
        <v>13</v>
      </c>
    </row>
    <row r="399" spans="1:39" x14ac:dyDescent="0.2">
      <c r="A399">
        <v>2846</v>
      </c>
      <c r="B399">
        <v>110402</v>
      </c>
      <c r="C399" s="1">
        <v>45208</v>
      </c>
      <c r="D399" s="1">
        <v>37333</v>
      </c>
      <c r="E399">
        <v>21.56</v>
      </c>
      <c r="F399">
        <v>4</v>
      </c>
      <c r="G399">
        <v>1</v>
      </c>
      <c r="H399">
        <v>3</v>
      </c>
      <c r="I399">
        <v>0</v>
      </c>
      <c r="J399">
        <v>0</v>
      </c>
      <c r="K399">
        <v>0</v>
      </c>
      <c r="L399">
        <v>0</v>
      </c>
      <c r="M399">
        <v>3.9375</v>
      </c>
      <c r="N399">
        <v>1</v>
      </c>
      <c r="O399">
        <v>12</v>
      </c>
      <c r="P399">
        <v>12</v>
      </c>
      <c r="Q399">
        <v>11</v>
      </c>
      <c r="R399">
        <v>18</v>
      </c>
      <c r="S399">
        <v>9</v>
      </c>
      <c r="T399">
        <v>6.0833333333333002</v>
      </c>
      <c r="U399">
        <v>1</v>
      </c>
      <c r="V399">
        <v>2</v>
      </c>
      <c r="W399">
        <v>6</v>
      </c>
      <c r="X399">
        <v>1</v>
      </c>
      <c r="AC399">
        <v>18705</v>
      </c>
      <c r="AD399">
        <v>6</v>
      </c>
      <c r="AE399">
        <v>0</v>
      </c>
      <c r="AI399">
        <v>12</v>
      </c>
      <c r="AJ399">
        <v>10</v>
      </c>
      <c r="AK399">
        <v>6</v>
      </c>
      <c r="AL399">
        <v>7</v>
      </c>
      <c r="AM399">
        <v>12</v>
      </c>
    </row>
    <row r="400" spans="1:39" x14ac:dyDescent="0.2">
      <c r="A400">
        <v>2849</v>
      </c>
      <c r="B400">
        <v>11376</v>
      </c>
      <c r="C400" s="1">
        <v>45208</v>
      </c>
      <c r="D400" s="1">
        <v>27918</v>
      </c>
      <c r="E400">
        <v>47.34</v>
      </c>
      <c r="F400">
        <v>4</v>
      </c>
      <c r="G400">
        <v>1</v>
      </c>
      <c r="H400">
        <v>2</v>
      </c>
      <c r="I400">
        <v>0</v>
      </c>
      <c r="J400">
        <v>3</v>
      </c>
      <c r="K400">
        <v>8</v>
      </c>
      <c r="L400">
        <v>0</v>
      </c>
      <c r="M400">
        <v>3.5625</v>
      </c>
      <c r="N400">
        <v>12</v>
      </c>
      <c r="O400">
        <v>6</v>
      </c>
      <c r="P400">
        <v>10</v>
      </c>
      <c r="Q400">
        <v>0</v>
      </c>
      <c r="R400">
        <v>18</v>
      </c>
      <c r="S400">
        <v>11</v>
      </c>
      <c r="T400">
        <v>6.1666666666666998</v>
      </c>
      <c r="U400">
        <v>2</v>
      </c>
      <c r="V400">
        <v>2</v>
      </c>
      <c r="W400">
        <v>4</v>
      </c>
      <c r="X400">
        <v>2</v>
      </c>
      <c r="AB400">
        <v>3</v>
      </c>
      <c r="AC400">
        <v>18966</v>
      </c>
      <c r="AD400">
        <v>4</v>
      </c>
      <c r="AE400">
        <v>0</v>
      </c>
      <c r="AI400">
        <v>16</v>
      </c>
      <c r="AJ400">
        <v>11</v>
      </c>
      <c r="AK400">
        <v>14</v>
      </c>
      <c r="AL400">
        <v>15</v>
      </c>
      <c r="AM400">
        <v>12</v>
      </c>
    </row>
    <row r="401" spans="1:41" x14ac:dyDescent="0.2">
      <c r="A401">
        <v>2854</v>
      </c>
      <c r="B401">
        <v>190167</v>
      </c>
      <c r="C401" s="1">
        <v>45209</v>
      </c>
      <c r="D401" s="1">
        <v>24512</v>
      </c>
      <c r="E401">
        <v>56.67</v>
      </c>
      <c r="F401">
        <v>3</v>
      </c>
      <c r="G401">
        <v>0</v>
      </c>
      <c r="H401">
        <v>1</v>
      </c>
      <c r="I401">
        <v>0</v>
      </c>
      <c r="J401">
        <v>5</v>
      </c>
      <c r="K401">
        <v>13</v>
      </c>
      <c r="L401">
        <v>25</v>
      </c>
      <c r="M401">
        <v>2.6875</v>
      </c>
      <c r="N401">
        <v>10</v>
      </c>
      <c r="O401">
        <v>3</v>
      </c>
      <c r="P401">
        <v>7</v>
      </c>
      <c r="Q401">
        <v>9</v>
      </c>
      <c r="R401">
        <v>11</v>
      </c>
      <c r="S401">
        <v>3</v>
      </c>
      <c r="T401">
        <v>2.0833333333333002</v>
      </c>
      <c r="U401">
        <v>1</v>
      </c>
      <c r="V401">
        <v>1</v>
      </c>
      <c r="W401">
        <v>9</v>
      </c>
      <c r="X401">
        <v>1</v>
      </c>
      <c r="AB401">
        <v>1</v>
      </c>
      <c r="AC401">
        <v>7753</v>
      </c>
      <c r="AD401">
        <v>9</v>
      </c>
      <c r="AE401">
        <v>0</v>
      </c>
      <c r="AI401">
        <v>14</v>
      </c>
      <c r="AJ401">
        <v>9</v>
      </c>
      <c r="AK401">
        <v>14</v>
      </c>
      <c r="AL401">
        <v>12</v>
      </c>
      <c r="AM401">
        <v>14</v>
      </c>
      <c r="AN401">
        <v>28</v>
      </c>
      <c r="AO401">
        <v>1.0833333333333</v>
      </c>
    </row>
    <row r="402" spans="1:41" x14ac:dyDescent="0.2">
      <c r="A402">
        <v>2856</v>
      </c>
      <c r="B402">
        <v>111388</v>
      </c>
      <c r="C402" s="1">
        <v>45209</v>
      </c>
      <c r="D402" s="1">
        <v>32506</v>
      </c>
      <c r="E402">
        <v>34.78</v>
      </c>
      <c r="F402">
        <v>3</v>
      </c>
      <c r="G402">
        <v>1</v>
      </c>
      <c r="H402">
        <v>0</v>
      </c>
      <c r="I402">
        <v>0</v>
      </c>
      <c r="J402">
        <v>0</v>
      </c>
      <c r="K402">
        <v>9</v>
      </c>
      <c r="L402">
        <v>0</v>
      </c>
      <c r="M402">
        <v>3.25</v>
      </c>
      <c r="N402">
        <v>12</v>
      </c>
      <c r="O402">
        <v>3</v>
      </c>
      <c r="P402">
        <v>9</v>
      </c>
      <c r="Q402">
        <v>3</v>
      </c>
      <c r="R402">
        <v>16</v>
      </c>
      <c r="S402">
        <v>9</v>
      </c>
      <c r="T402">
        <v>3.6666666666666599</v>
      </c>
      <c r="U402">
        <v>5</v>
      </c>
      <c r="V402">
        <v>1</v>
      </c>
      <c r="W402">
        <v>4</v>
      </c>
      <c r="X402">
        <v>5</v>
      </c>
      <c r="AC402">
        <v>63120</v>
      </c>
      <c r="AD402">
        <v>4</v>
      </c>
      <c r="AE402">
        <v>0</v>
      </c>
      <c r="AI402">
        <v>20</v>
      </c>
      <c r="AJ402">
        <v>14</v>
      </c>
      <c r="AK402">
        <v>17</v>
      </c>
      <c r="AL402">
        <v>16</v>
      </c>
      <c r="AM402">
        <v>16</v>
      </c>
    </row>
    <row r="403" spans="1:41" x14ac:dyDescent="0.2">
      <c r="A403">
        <v>2871</v>
      </c>
      <c r="B403">
        <v>81201</v>
      </c>
      <c r="C403" s="1">
        <v>45209</v>
      </c>
      <c r="D403" s="1">
        <v>37209</v>
      </c>
      <c r="E403">
        <v>21.9</v>
      </c>
      <c r="F403">
        <v>4</v>
      </c>
      <c r="G403">
        <v>1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4.8125</v>
      </c>
      <c r="N403">
        <v>12</v>
      </c>
      <c r="O403">
        <v>12</v>
      </c>
      <c r="P403">
        <v>12</v>
      </c>
      <c r="Q403">
        <v>11</v>
      </c>
      <c r="R403">
        <v>18</v>
      </c>
      <c r="S403">
        <v>12</v>
      </c>
      <c r="T403">
        <v>7</v>
      </c>
      <c r="U403">
        <v>5</v>
      </c>
      <c r="V403">
        <v>5</v>
      </c>
      <c r="W403">
        <v>8</v>
      </c>
      <c r="X403">
        <v>5</v>
      </c>
      <c r="AB403">
        <v>2</v>
      </c>
      <c r="AC403">
        <v>23116</v>
      </c>
      <c r="AD403">
        <v>8</v>
      </c>
      <c r="AE403">
        <v>0</v>
      </c>
      <c r="AI403">
        <v>15</v>
      </c>
      <c r="AJ403">
        <v>9</v>
      </c>
      <c r="AK403">
        <v>13</v>
      </c>
      <c r="AL403">
        <v>17</v>
      </c>
      <c r="AM403">
        <v>13</v>
      </c>
    </row>
    <row r="404" spans="1:41" x14ac:dyDescent="0.2">
      <c r="A404">
        <v>2872</v>
      </c>
      <c r="B404">
        <v>21905</v>
      </c>
      <c r="C404" s="1">
        <v>45209</v>
      </c>
      <c r="D404" s="1">
        <v>38373</v>
      </c>
      <c r="E404">
        <v>18.72</v>
      </c>
      <c r="F404">
        <v>4</v>
      </c>
      <c r="G404">
        <v>1</v>
      </c>
      <c r="H404">
        <v>0</v>
      </c>
      <c r="I404">
        <v>0</v>
      </c>
      <c r="J404">
        <v>2</v>
      </c>
      <c r="K404">
        <v>13</v>
      </c>
      <c r="L404">
        <v>28</v>
      </c>
      <c r="M404">
        <v>3.1875</v>
      </c>
      <c r="N404">
        <v>0</v>
      </c>
      <c r="O404">
        <v>12</v>
      </c>
      <c r="P404">
        <v>11</v>
      </c>
      <c r="Q404">
        <v>0</v>
      </c>
      <c r="R404">
        <v>18</v>
      </c>
      <c r="S404">
        <v>10</v>
      </c>
      <c r="T404">
        <v>7</v>
      </c>
      <c r="U404">
        <v>1</v>
      </c>
      <c r="V404">
        <v>2</v>
      </c>
      <c r="W404">
        <v>3</v>
      </c>
      <c r="X404">
        <v>1</v>
      </c>
      <c r="AB404">
        <v>4</v>
      </c>
      <c r="AC404">
        <v>19320</v>
      </c>
      <c r="AD404">
        <v>3</v>
      </c>
      <c r="AE404">
        <v>0</v>
      </c>
      <c r="AI404">
        <v>17</v>
      </c>
      <c r="AJ404">
        <v>12</v>
      </c>
      <c r="AK404">
        <v>6</v>
      </c>
      <c r="AL404">
        <v>16</v>
      </c>
      <c r="AM404">
        <v>13</v>
      </c>
    </row>
    <row r="405" spans="1:41" x14ac:dyDescent="0.2">
      <c r="A405">
        <v>2882</v>
      </c>
      <c r="B405">
        <v>10196</v>
      </c>
      <c r="C405" s="1">
        <v>45209</v>
      </c>
      <c r="D405" s="1">
        <v>35095</v>
      </c>
      <c r="E405">
        <v>27.69</v>
      </c>
      <c r="F405">
        <v>4</v>
      </c>
      <c r="G405">
        <v>1</v>
      </c>
      <c r="H405">
        <v>1</v>
      </c>
      <c r="I405">
        <v>0</v>
      </c>
      <c r="J405">
        <v>1</v>
      </c>
      <c r="K405">
        <v>17</v>
      </c>
      <c r="L405">
        <v>27</v>
      </c>
      <c r="M405">
        <v>3.6875</v>
      </c>
      <c r="N405">
        <v>12</v>
      </c>
      <c r="O405">
        <v>7</v>
      </c>
      <c r="P405">
        <v>10</v>
      </c>
      <c r="Q405">
        <v>3</v>
      </c>
      <c r="R405">
        <v>18</v>
      </c>
      <c r="S405">
        <v>9</v>
      </c>
      <c r="T405">
        <v>6.1666666666666998</v>
      </c>
      <c r="U405">
        <v>5</v>
      </c>
      <c r="V405">
        <v>1</v>
      </c>
      <c r="W405">
        <v>3</v>
      </c>
      <c r="X405">
        <v>5</v>
      </c>
      <c r="AB405">
        <v>4</v>
      </c>
      <c r="AC405">
        <v>19312</v>
      </c>
      <c r="AD405">
        <v>3</v>
      </c>
      <c r="AE405">
        <v>0</v>
      </c>
      <c r="AI405">
        <v>12</v>
      </c>
      <c r="AJ405">
        <v>6</v>
      </c>
      <c r="AK405">
        <v>13</v>
      </c>
      <c r="AL405">
        <v>9</v>
      </c>
      <c r="AM405">
        <v>14</v>
      </c>
    </row>
    <row r="406" spans="1:41" x14ac:dyDescent="0.2">
      <c r="A406">
        <v>2883</v>
      </c>
      <c r="B406">
        <v>101857</v>
      </c>
      <c r="C406" s="1">
        <v>45209</v>
      </c>
      <c r="D406" s="1">
        <v>20988</v>
      </c>
      <c r="E406">
        <v>66.31</v>
      </c>
      <c r="F406">
        <v>4</v>
      </c>
      <c r="G406">
        <v>1</v>
      </c>
      <c r="H406">
        <v>0</v>
      </c>
      <c r="I406">
        <v>0</v>
      </c>
      <c r="J406">
        <v>3</v>
      </c>
      <c r="K406">
        <v>6</v>
      </c>
      <c r="L406">
        <v>26</v>
      </c>
      <c r="M406">
        <v>2.9375</v>
      </c>
      <c r="N406">
        <v>12</v>
      </c>
      <c r="O406">
        <v>4</v>
      </c>
      <c r="P406">
        <v>7</v>
      </c>
      <c r="Q406">
        <v>0</v>
      </c>
      <c r="R406">
        <v>15</v>
      </c>
      <c r="S406">
        <v>9</v>
      </c>
      <c r="T406">
        <v>2.1666666666666998</v>
      </c>
      <c r="U406">
        <v>6</v>
      </c>
      <c r="V406">
        <v>2</v>
      </c>
      <c r="W406">
        <v>7</v>
      </c>
      <c r="X406">
        <v>6</v>
      </c>
      <c r="AB406">
        <v>3</v>
      </c>
      <c r="AC406">
        <v>19054</v>
      </c>
      <c r="AD406">
        <v>7</v>
      </c>
      <c r="AE406">
        <v>0</v>
      </c>
      <c r="AI406">
        <v>15</v>
      </c>
      <c r="AJ406">
        <v>9</v>
      </c>
      <c r="AK406">
        <v>12</v>
      </c>
      <c r="AL406">
        <v>13</v>
      </c>
      <c r="AM406">
        <v>23</v>
      </c>
      <c r="AN406">
        <v>2</v>
      </c>
      <c r="AO406">
        <v>2.5</v>
      </c>
    </row>
    <row r="407" spans="1:41" x14ac:dyDescent="0.2">
      <c r="A407">
        <v>2884</v>
      </c>
      <c r="B407">
        <v>131254</v>
      </c>
      <c r="C407" s="1">
        <v>45209</v>
      </c>
      <c r="D407" s="1">
        <v>19896</v>
      </c>
      <c r="E407">
        <v>69.3</v>
      </c>
      <c r="F407">
        <v>4</v>
      </c>
      <c r="G407">
        <v>1</v>
      </c>
      <c r="H407">
        <v>0</v>
      </c>
      <c r="I407">
        <v>0</v>
      </c>
      <c r="J407">
        <v>0</v>
      </c>
      <c r="K407">
        <v>6</v>
      </c>
      <c r="L407">
        <v>28</v>
      </c>
      <c r="M407">
        <v>3.25</v>
      </c>
      <c r="N407">
        <v>10</v>
      </c>
      <c r="O407">
        <v>5</v>
      </c>
      <c r="P407">
        <v>9</v>
      </c>
      <c r="Q407">
        <v>3</v>
      </c>
      <c r="R407">
        <v>16</v>
      </c>
      <c r="S407">
        <v>9</v>
      </c>
      <c r="T407">
        <v>4.6666666666666998</v>
      </c>
      <c r="U407">
        <v>6</v>
      </c>
      <c r="V407">
        <v>3</v>
      </c>
      <c r="W407">
        <v>8</v>
      </c>
      <c r="X407">
        <v>6</v>
      </c>
      <c r="AB407">
        <v>0</v>
      </c>
      <c r="AC407">
        <v>22101</v>
      </c>
      <c r="AD407">
        <v>8</v>
      </c>
      <c r="AE407">
        <v>1</v>
      </c>
      <c r="AI407">
        <v>13</v>
      </c>
      <c r="AJ407">
        <v>17</v>
      </c>
      <c r="AK407">
        <v>13</v>
      </c>
      <c r="AL407">
        <v>19</v>
      </c>
      <c r="AM407">
        <v>14</v>
      </c>
      <c r="AN407">
        <v>0</v>
      </c>
      <c r="AO407">
        <v>1.5833333333333</v>
      </c>
    </row>
    <row r="408" spans="1:41" x14ac:dyDescent="0.2">
      <c r="A408">
        <v>2885</v>
      </c>
      <c r="B408">
        <v>70291</v>
      </c>
      <c r="C408" s="1">
        <v>45209</v>
      </c>
      <c r="D408" s="1">
        <v>33313</v>
      </c>
      <c r="E408">
        <v>32.57</v>
      </c>
      <c r="F408">
        <v>5</v>
      </c>
      <c r="G408">
        <v>2</v>
      </c>
      <c r="H408">
        <v>2</v>
      </c>
      <c r="I408">
        <v>6</v>
      </c>
      <c r="J408">
        <v>2</v>
      </c>
      <c r="K408">
        <v>9</v>
      </c>
      <c r="L408">
        <v>0</v>
      </c>
      <c r="M408">
        <v>3.5</v>
      </c>
      <c r="N408">
        <v>10</v>
      </c>
      <c r="O408">
        <v>8</v>
      </c>
      <c r="P408">
        <v>11</v>
      </c>
      <c r="Q408">
        <v>4</v>
      </c>
      <c r="R408">
        <v>12</v>
      </c>
      <c r="S408">
        <v>11</v>
      </c>
      <c r="T408">
        <v>3.9166666666666599</v>
      </c>
      <c r="U408">
        <v>5</v>
      </c>
      <c r="V408">
        <v>0</v>
      </c>
      <c r="W408">
        <v>3</v>
      </c>
      <c r="X408">
        <v>5</v>
      </c>
      <c r="AB408">
        <v>0</v>
      </c>
      <c r="AC408">
        <v>71303</v>
      </c>
      <c r="AD408">
        <v>3</v>
      </c>
      <c r="AE408">
        <v>1</v>
      </c>
      <c r="AI408">
        <v>16</v>
      </c>
      <c r="AJ408">
        <v>12</v>
      </c>
      <c r="AK408">
        <v>14</v>
      </c>
      <c r="AL408">
        <v>17</v>
      </c>
      <c r="AM408">
        <v>22</v>
      </c>
    </row>
    <row r="409" spans="1:41" x14ac:dyDescent="0.2">
      <c r="A409">
        <v>2888</v>
      </c>
      <c r="B409">
        <v>10694</v>
      </c>
      <c r="C409" s="1">
        <v>45209</v>
      </c>
      <c r="D409" s="1">
        <v>34549</v>
      </c>
      <c r="E409">
        <v>29.19</v>
      </c>
      <c r="F409">
        <v>4</v>
      </c>
      <c r="G409">
        <v>1</v>
      </c>
      <c r="H409">
        <v>3</v>
      </c>
      <c r="I409">
        <v>2</v>
      </c>
      <c r="J409">
        <v>2</v>
      </c>
      <c r="K409">
        <v>13</v>
      </c>
      <c r="L409">
        <v>30</v>
      </c>
      <c r="M409">
        <v>2.75</v>
      </c>
      <c r="N409">
        <v>5</v>
      </c>
      <c r="O409">
        <v>9</v>
      </c>
      <c r="P409">
        <v>8</v>
      </c>
      <c r="Q409">
        <v>3</v>
      </c>
      <c r="R409">
        <v>13</v>
      </c>
      <c r="S409">
        <v>6</v>
      </c>
      <c r="T409">
        <v>3.1666666666666998</v>
      </c>
      <c r="U409">
        <v>4</v>
      </c>
      <c r="V409">
        <v>0</v>
      </c>
      <c r="W409">
        <v>3</v>
      </c>
      <c r="X409">
        <v>4</v>
      </c>
      <c r="AB409">
        <v>0</v>
      </c>
      <c r="AD409">
        <v>3</v>
      </c>
      <c r="AE409">
        <v>0</v>
      </c>
      <c r="AI409">
        <v>20</v>
      </c>
      <c r="AJ409">
        <v>13</v>
      </c>
      <c r="AK409">
        <v>15</v>
      </c>
      <c r="AL409">
        <v>18</v>
      </c>
      <c r="AM409">
        <v>16</v>
      </c>
    </row>
    <row r="410" spans="1:41" x14ac:dyDescent="0.2">
      <c r="A410">
        <v>2889</v>
      </c>
      <c r="B410">
        <v>101891</v>
      </c>
      <c r="C410" s="1">
        <v>45209</v>
      </c>
      <c r="D410" s="1">
        <v>33320</v>
      </c>
      <c r="E410">
        <v>32.549999999999997</v>
      </c>
      <c r="F410">
        <v>5</v>
      </c>
      <c r="G410">
        <v>1</v>
      </c>
      <c r="H410">
        <v>1</v>
      </c>
      <c r="I410">
        <v>0</v>
      </c>
      <c r="J410">
        <v>5</v>
      </c>
      <c r="K410">
        <v>15</v>
      </c>
      <c r="L410">
        <v>12</v>
      </c>
      <c r="M410">
        <v>2.9375</v>
      </c>
      <c r="N410">
        <v>9</v>
      </c>
      <c r="O410">
        <v>3</v>
      </c>
      <c r="P410">
        <v>7</v>
      </c>
      <c r="Q410">
        <v>3</v>
      </c>
      <c r="R410">
        <v>17</v>
      </c>
      <c r="S410">
        <v>8</v>
      </c>
      <c r="T410">
        <v>4.3333333333333304</v>
      </c>
      <c r="U410">
        <v>4</v>
      </c>
      <c r="V410">
        <v>0</v>
      </c>
      <c r="W410">
        <v>3</v>
      </c>
      <c r="X410">
        <v>4</v>
      </c>
      <c r="AB410">
        <v>3</v>
      </c>
      <c r="AD410">
        <v>3</v>
      </c>
      <c r="AE410">
        <v>0</v>
      </c>
      <c r="AI410">
        <v>14</v>
      </c>
      <c r="AJ410">
        <v>16</v>
      </c>
      <c r="AK410">
        <v>15</v>
      </c>
      <c r="AL410">
        <v>20</v>
      </c>
      <c r="AM410">
        <v>18</v>
      </c>
    </row>
    <row r="411" spans="1:41" x14ac:dyDescent="0.2">
      <c r="A411">
        <v>2892</v>
      </c>
      <c r="B411">
        <v>181999</v>
      </c>
      <c r="C411" s="1">
        <v>45209</v>
      </c>
      <c r="D411" s="1">
        <v>36364</v>
      </c>
      <c r="E411">
        <v>24.22</v>
      </c>
      <c r="F411">
        <v>4</v>
      </c>
      <c r="G411">
        <v>2</v>
      </c>
      <c r="H411">
        <v>1</v>
      </c>
      <c r="I411">
        <v>11</v>
      </c>
      <c r="J411">
        <v>2</v>
      </c>
      <c r="K411">
        <v>11</v>
      </c>
      <c r="L411">
        <v>29</v>
      </c>
      <c r="M411">
        <v>2.875</v>
      </c>
      <c r="N411">
        <v>12</v>
      </c>
      <c r="O411">
        <v>0</v>
      </c>
      <c r="P411">
        <v>12</v>
      </c>
      <c r="Q411">
        <v>0</v>
      </c>
      <c r="R411">
        <v>15</v>
      </c>
      <c r="S411">
        <v>7</v>
      </c>
      <c r="T411">
        <v>6.3333333333333002</v>
      </c>
      <c r="U411">
        <v>5</v>
      </c>
      <c r="V411">
        <v>2</v>
      </c>
      <c r="W411">
        <v>2</v>
      </c>
      <c r="X411">
        <v>5</v>
      </c>
      <c r="AB411">
        <v>1</v>
      </c>
      <c r="AC411">
        <v>8108</v>
      </c>
      <c r="AD411">
        <v>2</v>
      </c>
      <c r="AE411">
        <v>0</v>
      </c>
      <c r="AI411">
        <v>11</v>
      </c>
      <c r="AJ411">
        <v>11</v>
      </c>
      <c r="AK411">
        <v>14</v>
      </c>
      <c r="AL411">
        <v>13</v>
      </c>
      <c r="AM411">
        <v>19</v>
      </c>
    </row>
    <row r="412" spans="1:41" x14ac:dyDescent="0.2">
      <c r="A412">
        <v>2895</v>
      </c>
      <c r="B412">
        <v>30793</v>
      </c>
      <c r="C412" s="1">
        <v>45209</v>
      </c>
      <c r="D412" s="1">
        <v>34095</v>
      </c>
      <c r="E412">
        <v>30.43</v>
      </c>
      <c r="F412">
        <v>4</v>
      </c>
      <c r="G412">
        <v>0</v>
      </c>
      <c r="H412">
        <v>0</v>
      </c>
      <c r="I412">
        <v>0</v>
      </c>
      <c r="J412">
        <v>3</v>
      </c>
      <c r="K412">
        <v>14</v>
      </c>
      <c r="L412">
        <v>27</v>
      </c>
      <c r="M412">
        <v>3</v>
      </c>
      <c r="N412">
        <v>12</v>
      </c>
      <c r="O412">
        <v>6</v>
      </c>
      <c r="P412">
        <v>8</v>
      </c>
      <c r="Q412">
        <v>0</v>
      </c>
      <c r="R412">
        <v>12</v>
      </c>
      <c r="S412">
        <v>10</v>
      </c>
      <c r="T412">
        <v>5.8333333333333304</v>
      </c>
      <c r="U412">
        <v>4</v>
      </c>
      <c r="V412">
        <v>3</v>
      </c>
      <c r="W412">
        <v>3</v>
      </c>
      <c r="X412">
        <v>4</v>
      </c>
      <c r="AB412">
        <v>4</v>
      </c>
      <c r="AC412">
        <v>19508</v>
      </c>
      <c r="AD412">
        <v>3</v>
      </c>
      <c r="AE412">
        <v>1</v>
      </c>
      <c r="AI412">
        <v>18</v>
      </c>
      <c r="AJ412">
        <v>13</v>
      </c>
      <c r="AK412">
        <v>12</v>
      </c>
      <c r="AL412">
        <v>14</v>
      </c>
      <c r="AM412">
        <v>21</v>
      </c>
    </row>
    <row r="413" spans="1:41" x14ac:dyDescent="0.2">
      <c r="A413">
        <v>2904</v>
      </c>
      <c r="B413">
        <v>110784</v>
      </c>
      <c r="C413" s="1">
        <v>45210</v>
      </c>
      <c r="D413" s="1">
        <v>31033</v>
      </c>
      <c r="E413">
        <v>38.82</v>
      </c>
      <c r="F413">
        <v>4</v>
      </c>
      <c r="G413">
        <v>1</v>
      </c>
      <c r="H413">
        <v>2</v>
      </c>
      <c r="I413">
        <v>7</v>
      </c>
      <c r="J413">
        <v>3</v>
      </c>
      <c r="K413">
        <v>11</v>
      </c>
      <c r="L413">
        <v>26</v>
      </c>
      <c r="M413">
        <v>3.75</v>
      </c>
      <c r="N413">
        <v>12</v>
      </c>
      <c r="O413">
        <v>6</v>
      </c>
      <c r="P413">
        <v>11</v>
      </c>
      <c r="Q413">
        <v>3</v>
      </c>
      <c r="R413">
        <v>16</v>
      </c>
      <c r="S413">
        <v>12</v>
      </c>
      <c r="T413">
        <v>2.75</v>
      </c>
      <c r="U413">
        <v>6</v>
      </c>
      <c r="V413">
        <v>0</v>
      </c>
      <c r="W413">
        <v>5</v>
      </c>
      <c r="X413">
        <v>6</v>
      </c>
      <c r="AD413">
        <v>5</v>
      </c>
      <c r="AE413">
        <v>0</v>
      </c>
      <c r="AI413">
        <v>11</v>
      </c>
      <c r="AJ413">
        <v>12</v>
      </c>
      <c r="AK413">
        <v>11</v>
      </c>
      <c r="AL413">
        <v>13</v>
      </c>
      <c r="AM413">
        <v>15</v>
      </c>
    </row>
    <row r="414" spans="1:41" x14ac:dyDescent="0.2">
      <c r="A414">
        <v>2907</v>
      </c>
      <c r="B414">
        <v>111991</v>
      </c>
      <c r="C414" s="1">
        <v>45210</v>
      </c>
      <c r="D414" s="1">
        <v>33560</v>
      </c>
      <c r="E414">
        <v>31.9</v>
      </c>
      <c r="F414">
        <v>4</v>
      </c>
      <c r="G414">
        <v>1</v>
      </c>
      <c r="H414">
        <v>2</v>
      </c>
      <c r="I414">
        <v>3</v>
      </c>
      <c r="J414">
        <v>0</v>
      </c>
      <c r="K414">
        <v>14</v>
      </c>
      <c r="L414">
        <v>0</v>
      </c>
      <c r="M414">
        <v>3.1875</v>
      </c>
      <c r="N414">
        <v>6</v>
      </c>
      <c r="O414">
        <v>4</v>
      </c>
      <c r="P414">
        <v>10</v>
      </c>
      <c r="Q414">
        <v>5</v>
      </c>
      <c r="R414">
        <v>18</v>
      </c>
      <c r="S414">
        <v>8</v>
      </c>
      <c r="T414">
        <v>5</v>
      </c>
      <c r="U414">
        <v>6</v>
      </c>
      <c r="V414">
        <v>3</v>
      </c>
      <c r="W414">
        <v>6</v>
      </c>
      <c r="X414">
        <v>6</v>
      </c>
      <c r="AB414">
        <v>0</v>
      </c>
      <c r="AC414">
        <v>11772</v>
      </c>
      <c r="AD414">
        <v>6</v>
      </c>
      <c r="AE414">
        <v>0</v>
      </c>
      <c r="AI414">
        <v>13</v>
      </c>
      <c r="AJ414">
        <v>11</v>
      </c>
      <c r="AK414">
        <v>12</v>
      </c>
      <c r="AL414">
        <v>18</v>
      </c>
      <c r="AM414">
        <v>17</v>
      </c>
    </row>
    <row r="415" spans="1:41" x14ac:dyDescent="0.2">
      <c r="A415">
        <v>2913</v>
      </c>
      <c r="B415">
        <v>101773</v>
      </c>
      <c r="C415" s="1">
        <v>45210</v>
      </c>
      <c r="D415" s="1">
        <v>26977</v>
      </c>
      <c r="E415">
        <v>49.92</v>
      </c>
      <c r="F415">
        <v>4</v>
      </c>
      <c r="G415">
        <v>0</v>
      </c>
      <c r="H415">
        <v>11</v>
      </c>
      <c r="I415">
        <v>10</v>
      </c>
      <c r="J415">
        <v>1</v>
      </c>
      <c r="K415">
        <v>4</v>
      </c>
      <c r="L415">
        <v>0</v>
      </c>
      <c r="M415">
        <v>2.625</v>
      </c>
      <c r="N415">
        <v>6</v>
      </c>
      <c r="O415">
        <v>6</v>
      </c>
      <c r="P415">
        <v>6</v>
      </c>
      <c r="Q415">
        <v>6</v>
      </c>
      <c r="R415">
        <v>12</v>
      </c>
      <c r="S415">
        <v>6</v>
      </c>
      <c r="T415">
        <v>3.8333333333333002</v>
      </c>
      <c r="U415">
        <v>5</v>
      </c>
      <c r="V415">
        <v>2</v>
      </c>
      <c r="W415">
        <v>7</v>
      </c>
      <c r="X415">
        <v>5</v>
      </c>
      <c r="AB415">
        <v>0</v>
      </c>
      <c r="AC415">
        <v>19083</v>
      </c>
      <c r="AD415">
        <v>7</v>
      </c>
      <c r="AE415">
        <v>0</v>
      </c>
      <c r="AI415">
        <v>18</v>
      </c>
      <c r="AJ415">
        <v>15</v>
      </c>
      <c r="AK415">
        <v>16</v>
      </c>
      <c r="AL415">
        <v>15</v>
      </c>
      <c r="AM415">
        <v>15</v>
      </c>
    </row>
    <row r="416" spans="1:41" x14ac:dyDescent="0.2">
      <c r="A416">
        <v>2916</v>
      </c>
      <c r="B416">
        <v>110367</v>
      </c>
      <c r="C416" s="1">
        <v>45210</v>
      </c>
      <c r="D416" s="1">
        <v>24710</v>
      </c>
      <c r="E416">
        <v>56.13</v>
      </c>
      <c r="F416">
        <v>4</v>
      </c>
      <c r="G416">
        <v>1</v>
      </c>
      <c r="H416">
        <v>4</v>
      </c>
      <c r="I416">
        <v>0</v>
      </c>
      <c r="J416">
        <v>0</v>
      </c>
      <c r="K416">
        <v>2</v>
      </c>
      <c r="L416">
        <v>0</v>
      </c>
      <c r="M416">
        <v>3.125</v>
      </c>
      <c r="N416">
        <v>11</v>
      </c>
      <c r="O416">
        <v>10</v>
      </c>
      <c r="P416">
        <v>9</v>
      </c>
      <c r="Q416">
        <v>1</v>
      </c>
      <c r="R416">
        <v>14</v>
      </c>
      <c r="S416">
        <v>5</v>
      </c>
      <c r="T416">
        <v>8.3333333333332996E-2</v>
      </c>
      <c r="U416">
        <v>6</v>
      </c>
      <c r="V416">
        <v>6</v>
      </c>
      <c r="W416">
        <v>6</v>
      </c>
      <c r="X416">
        <v>6</v>
      </c>
      <c r="AB416">
        <v>2</v>
      </c>
      <c r="AC416">
        <v>19422</v>
      </c>
      <c r="AD416">
        <v>6</v>
      </c>
      <c r="AE416">
        <v>0</v>
      </c>
      <c r="AI416">
        <v>13</v>
      </c>
      <c r="AJ416">
        <v>12</v>
      </c>
      <c r="AK416">
        <v>18</v>
      </c>
      <c r="AL416">
        <v>15</v>
      </c>
      <c r="AM416">
        <v>16</v>
      </c>
      <c r="AN416">
        <v>0</v>
      </c>
      <c r="AO416">
        <v>1.0833333333333</v>
      </c>
    </row>
    <row r="417" spans="1:41" x14ac:dyDescent="0.2">
      <c r="A417">
        <v>2920</v>
      </c>
      <c r="B417">
        <v>21298</v>
      </c>
      <c r="C417" s="1">
        <v>45210</v>
      </c>
      <c r="D417" s="1">
        <v>35990</v>
      </c>
      <c r="E417">
        <v>25.24</v>
      </c>
      <c r="F417">
        <v>4</v>
      </c>
      <c r="G417">
        <v>1</v>
      </c>
      <c r="H417">
        <v>9</v>
      </c>
      <c r="I417">
        <v>2</v>
      </c>
      <c r="J417">
        <v>5</v>
      </c>
      <c r="K417">
        <v>12</v>
      </c>
      <c r="L417">
        <v>0</v>
      </c>
      <c r="M417">
        <v>3.8125</v>
      </c>
      <c r="N417">
        <v>10</v>
      </c>
      <c r="O417">
        <v>9</v>
      </c>
      <c r="P417">
        <v>9</v>
      </c>
      <c r="Q417">
        <v>6</v>
      </c>
      <c r="R417">
        <v>16</v>
      </c>
      <c r="S417">
        <v>11</v>
      </c>
      <c r="T417">
        <v>4.4166666666666599</v>
      </c>
      <c r="U417">
        <v>4</v>
      </c>
      <c r="V417">
        <v>1</v>
      </c>
      <c r="W417">
        <v>4</v>
      </c>
      <c r="X417">
        <v>4</v>
      </c>
      <c r="AB417">
        <v>3</v>
      </c>
      <c r="AC417">
        <v>8021</v>
      </c>
      <c r="AD417">
        <v>4</v>
      </c>
      <c r="AE417">
        <v>0</v>
      </c>
      <c r="AI417">
        <v>16</v>
      </c>
      <c r="AJ417">
        <v>14</v>
      </c>
      <c r="AK417">
        <v>20</v>
      </c>
      <c r="AL417">
        <v>19</v>
      </c>
      <c r="AM417">
        <v>16</v>
      </c>
    </row>
    <row r="418" spans="1:41" x14ac:dyDescent="0.2">
      <c r="A418">
        <v>2923</v>
      </c>
      <c r="B418">
        <v>191169</v>
      </c>
      <c r="C418" s="1">
        <v>45210</v>
      </c>
      <c r="D418" s="1">
        <v>25500</v>
      </c>
      <c r="E418">
        <v>53.96</v>
      </c>
      <c r="F418">
        <v>4</v>
      </c>
      <c r="G418">
        <v>1</v>
      </c>
      <c r="H418">
        <v>0</v>
      </c>
      <c r="I418">
        <v>0</v>
      </c>
      <c r="J418">
        <v>1</v>
      </c>
      <c r="K418">
        <v>12</v>
      </c>
      <c r="L418">
        <v>28</v>
      </c>
      <c r="M418">
        <v>3.375</v>
      </c>
      <c r="N418">
        <v>8</v>
      </c>
      <c r="O418">
        <v>9</v>
      </c>
      <c r="P418">
        <v>10</v>
      </c>
      <c r="Q418">
        <v>7</v>
      </c>
      <c r="R418">
        <v>13</v>
      </c>
      <c r="S418">
        <v>7</v>
      </c>
      <c r="T418">
        <v>4</v>
      </c>
      <c r="U418">
        <v>1</v>
      </c>
      <c r="V418">
        <v>3</v>
      </c>
      <c r="W418">
        <v>5</v>
      </c>
      <c r="X418">
        <v>1</v>
      </c>
      <c r="AB418">
        <v>0</v>
      </c>
      <c r="AC418">
        <v>19341</v>
      </c>
      <c r="AD418">
        <v>5</v>
      </c>
      <c r="AE418">
        <v>0</v>
      </c>
      <c r="AI418">
        <v>18</v>
      </c>
      <c r="AJ418">
        <v>14</v>
      </c>
      <c r="AK418">
        <v>18</v>
      </c>
      <c r="AL418">
        <v>17</v>
      </c>
      <c r="AM418">
        <v>20</v>
      </c>
    </row>
    <row r="419" spans="1:41" x14ac:dyDescent="0.2">
      <c r="A419">
        <v>2927</v>
      </c>
      <c r="B419">
        <v>121882</v>
      </c>
      <c r="C419" s="1">
        <v>45210</v>
      </c>
      <c r="D419" s="1">
        <v>30022</v>
      </c>
      <c r="E419">
        <v>41.58</v>
      </c>
      <c r="F419">
        <v>3</v>
      </c>
      <c r="G419">
        <v>1</v>
      </c>
      <c r="H419">
        <v>1</v>
      </c>
      <c r="I419">
        <v>0</v>
      </c>
      <c r="J419">
        <v>2</v>
      </c>
      <c r="K419">
        <v>12</v>
      </c>
      <c r="L419">
        <v>0</v>
      </c>
      <c r="M419">
        <v>3</v>
      </c>
      <c r="N419">
        <v>12</v>
      </c>
      <c r="O419">
        <v>3</v>
      </c>
      <c r="P419">
        <v>8</v>
      </c>
      <c r="Q419">
        <v>0</v>
      </c>
      <c r="R419">
        <v>17</v>
      </c>
      <c r="S419">
        <v>8</v>
      </c>
      <c r="T419">
        <v>4.25</v>
      </c>
      <c r="U419">
        <v>4</v>
      </c>
      <c r="V419">
        <v>3</v>
      </c>
      <c r="W419">
        <v>5</v>
      </c>
      <c r="X419">
        <v>4</v>
      </c>
      <c r="AB419">
        <v>3</v>
      </c>
      <c r="AC419">
        <v>48503</v>
      </c>
      <c r="AD419">
        <v>5</v>
      </c>
      <c r="AE419">
        <v>0</v>
      </c>
      <c r="AI419">
        <v>17</v>
      </c>
      <c r="AJ419">
        <v>16</v>
      </c>
      <c r="AK419">
        <v>15</v>
      </c>
      <c r="AL419">
        <v>17</v>
      </c>
      <c r="AM419">
        <v>22</v>
      </c>
    </row>
    <row r="420" spans="1:41" x14ac:dyDescent="0.2">
      <c r="A420">
        <v>2931</v>
      </c>
      <c r="B420">
        <v>10277</v>
      </c>
      <c r="C420" s="1">
        <v>45210</v>
      </c>
      <c r="D420" s="1">
        <v>28382</v>
      </c>
      <c r="E420">
        <v>46.07</v>
      </c>
      <c r="F420">
        <v>3</v>
      </c>
      <c r="G420">
        <v>1</v>
      </c>
      <c r="H420">
        <v>4</v>
      </c>
      <c r="I420">
        <v>0</v>
      </c>
      <c r="J420">
        <v>0</v>
      </c>
      <c r="K420">
        <v>5</v>
      </c>
      <c r="L420">
        <v>0</v>
      </c>
      <c r="M420">
        <v>3.875</v>
      </c>
      <c r="N420">
        <v>12</v>
      </c>
      <c r="O420">
        <v>8</v>
      </c>
      <c r="P420">
        <v>10</v>
      </c>
      <c r="Q420">
        <v>2</v>
      </c>
      <c r="R420">
        <v>18</v>
      </c>
      <c r="S420">
        <v>12</v>
      </c>
      <c r="T420">
        <v>1.3333333333333299</v>
      </c>
      <c r="U420">
        <v>6</v>
      </c>
      <c r="V420">
        <v>3</v>
      </c>
      <c r="W420">
        <v>6</v>
      </c>
      <c r="X420">
        <v>6</v>
      </c>
      <c r="AC420">
        <v>19144</v>
      </c>
      <c r="AD420">
        <v>6</v>
      </c>
      <c r="AE420">
        <v>0</v>
      </c>
      <c r="AI420">
        <v>19</v>
      </c>
      <c r="AJ420">
        <v>14</v>
      </c>
      <c r="AK420">
        <v>18</v>
      </c>
      <c r="AL420">
        <v>18</v>
      </c>
      <c r="AM420">
        <v>17</v>
      </c>
    </row>
    <row r="421" spans="1:41" x14ac:dyDescent="0.2">
      <c r="A421">
        <v>2933</v>
      </c>
      <c r="B421">
        <v>10693</v>
      </c>
      <c r="C421" s="1">
        <v>45210</v>
      </c>
      <c r="D421" s="1">
        <v>34178</v>
      </c>
      <c r="E421">
        <v>30.2</v>
      </c>
      <c r="F421">
        <v>4</v>
      </c>
      <c r="G421">
        <v>1</v>
      </c>
      <c r="H421">
        <v>6</v>
      </c>
      <c r="I421">
        <v>2</v>
      </c>
      <c r="J421">
        <v>0</v>
      </c>
      <c r="K421">
        <v>5</v>
      </c>
      <c r="L421">
        <v>0</v>
      </c>
      <c r="M421">
        <v>3.3125</v>
      </c>
      <c r="N421">
        <v>12</v>
      </c>
      <c r="O421">
        <v>2</v>
      </c>
      <c r="P421">
        <v>8</v>
      </c>
      <c r="Q421">
        <v>3</v>
      </c>
      <c r="R421">
        <v>18</v>
      </c>
      <c r="S421">
        <v>10</v>
      </c>
      <c r="T421">
        <v>5.6666666666666998</v>
      </c>
      <c r="U421">
        <v>5</v>
      </c>
      <c r="V421">
        <v>2</v>
      </c>
      <c r="W421">
        <v>7</v>
      </c>
      <c r="X421">
        <v>5</v>
      </c>
      <c r="AB421">
        <v>0</v>
      </c>
      <c r="AC421">
        <v>8816</v>
      </c>
      <c r="AD421">
        <v>7</v>
      </c>
      <c r="AE421">
        <v>0</v>
      </c>
      <c r="AI421">
        <v>18</v>
      </c>
      <c r="AJ421">
        <v>14</v>
      </c>
      <c r="AK421">
        <v>17</v>
      </c>
      <c r="AL421">
        <v>20</v>
      </c>
      <c r="AM421">
        <v>19</v>
      </c>
    </row>
    <row r="422" spans="1:41" x14ac:dyDescent="0.2">
      <c r="A422">
        <v>2944</v>
      </c>
      <c r="B422">
        <v>130392</v>
      </c>
      <c r="C422" s="1">
        <v>45210</v>
      </c>
      <c r="D422" s="1">
        <v>33758</v>
      </c>
      <c r="E422">
        <v>31.35</v>
      </c>
      <c r="F422">
        <v>4</v>
      </c>
      <c r="G422">
        <v>1</v>
      </c>
      <c r="H422">
        <v>4</v>
      </c>
      <c r="I422">
        <v>4</v>
      </c>
      <c r="J422">
        <v>6</v>
      </c>
      <c r="K422">
        <v>18</v>
      </c>
      <c r="L422">
        <v>0</v>
      </c>
      <c r="M422">
        <v>2.8125</v>
      </c>
      <c r="N422">
        <v>4</v>
      </c>
      <c r="O422">
        <v>5</v>
      </c>
      <c r="P422">
        <v>9</v>
      </c>
      <c r="Q422">
        <v>3</v>
      </c>
      <c r="R422">
        <v>15</v>
      </c>
      <c r="S422">
        <v>9</v>
      </c>
      <c r="T422">
        <v>1.9166666666667</v>
      </c>
      <c r="U422">
        <v>5</v>
      </c>
      <c r="V422">
        <v>0</v>
      </c>
      <c r="W422">
        <v>3</v>
      </c>
      <c r="X422">
        <v>5</v>
      </c>
      <c r="AB422">
        <v>2</v>
      </c>
      <c r="AC422">
        <v>19426</v>
      </c>
      <c r="AD422">
        <v>3</v>
      </c>
      <c r="AE422">
        <v>1</v>
      </c>
      <c r="AI422">
        <v>12</v>
      </c>
      <c r="AJ422">
        <v>20</v>
      </c>
      <c r="AK422">
        <v>15</v>
      </c>
      <c r="AL422">
        <v>19</v>
      </c>
      <c r="AM422">
        <v>19</v>
      </c>
    </row>
    <row r="423" spans="1:41" x14ac:dyDescent="0.2">
      <c r="A423">
        <v>2949</v>
      </c>
      <c r="B423">
        <v>110397</v>
      </c>
      <c r="C423" s="1">
        <v>45210</v>
      </c>
      <c r="D423" s="1">
        <v>35550</v>
      </c>
      <c r="E423">
        <v>26.45</v>
      </c>
      <c r="F423">
        <v>4</v>
      </c>
      <c r="G423">
        <v>1</v>
      </c>
      <c r="H423">
        <v>1</v>
      </c>
      <c r="I423">
        <v>0</v>
      </c>
      <c r="J423">
        <v>0</v>
      </c>
      <c r="K423">
        <v>10</v>
      </c>
      <c r="L423">
        <v>28</v>
      </c>
      <c r="M423">
        <v>3.1875</v>
      </c>
      <c r="N423">
        <v>6</v>
      </c>
      <c r="O423">
        <v>9</v>
      </c>
      <c r="P423">
        <v>9</v>
      </c>
      <c r="Q423">
        <v>1</v>
      </c>
      <c r="R423">
        <v>18</v>
      </c>
      <c r="S423">
        <v>8</v>
      </c>
      <c r="T423">
        <v>4.9166666666666998</v>
      </c>
      <c r="U423">
        <v>6</v>
      </c>
      <c r="V423">
        <v>2</v>
      </c>
      <c r="W423">
        <v>6</v>
      </c>
      <c r="X423">
        <v>6</v>
      </c>
      <c r="AC423">
        <v>19446</v>
      </c>
      <c r="AD423">
        <v>6</v>
      </c>
      <c r="AE423">
        <v>1</v>
      </c>
      <c r="AI423">
        <v>15</v>
      </c>
      <c r="AJ423">
        <v>16</v>
      </c>
      <c r="AK423">
        <v>16</v>
      </c>
      <c r="AL423">
        <v>16</v>
      </c>
      <c r="AM423">
        <v>16</v>
      </c>
    </row>
    <row r="424" spans="1:41" x14ac:dyDescent="0.2">
      <c r="A424">
        <v>2956</v>
      </c>
      <c r="B424">
        <v>121386</v>
      </c>
      <c r="C424" s="1">
        <v>45210</v>
      </c>
      <c r="D424" s="1">
        <v>31437</v>
      </c>
      <c r="E424">
        <v>37.71</v>
      </c>
      <c r="F424">
        <v>4</v>
      </c>
      <c r="G424">
        <v>1</v>
      </c>
      <c r="H424">
        <v>1</v>
      </c>
      <c r="I424">
        <v>2</v>
      </c>
      <c r="J424">
        <v>1</v>
      </c>
      <c r="K424">
        <v>4</v>
      </c>
      <c r="L424">
        <v>0</v>
      </c>
      <c r="M424">
        <v>3.5</v>
      </c>
      <c r="N424">
        <v>6</v>
      </c>
      <c r="O424">
        <v>8</v>
      </c>
      <c r="P424">
        <v>10</v>
      </c>
      <c r="Q424">
        <v>3</v>
      </c>
      <c r="R424">
        <v>18</v>
      </c>
      <c r="S424">
        <v>11</v>
      </c>
      <c r="T424">
        <v>6</v>
      </c>
      <c r="U424">
        <v>6</v>
      </c>
      <c r="V424">
        <v>3</v>
      </c>
      <c r="W424">
        <v>6</v>
      </c>
      <c r="X424">
        <v>6</v>
      </c>
      <c r="AB424">
        <v>2</v>
      </c>
      <c r="AC424">
        <v>49862</v>
      </c>
      <c r="AD424">
        <v>6</v>
      </c>
      <c r="AE424">
        <v>0</v>
      </c>
      <c r="AI424">
        <v>15</v>
      </c>
      <c r="AJ424">
        <v>9</v>
      </c>
      <c r="AK424">
        <v>11</v>
      </c>
      <c r="AL424">
        <v>12</v>
      </c>
      <c r="AM424">
        <v>17</v>
      </c>
    </row>
    <row r="425" spans="1:41" x14ac:dyDescent="0.2">
      <c r="A425">
        <v>2962</v>
      </c>
      <c r="B425">
        <v>131372</v>
      </c>
      <c r="C425" s="1">
        <v>45210</v>
      </c>
      <c r="D425" s="1">
        <v>26649</v>
      </c>
      <c r="E425">
        <v>50.82</v>
      </c>
      <c r="F425">
        <v>4</v>
      </c>
      <c r="G425">
        <v>1</v>
      </c>
      <c r="H425">
        <v>7</v>
      </c>
      <c r="I425">
        <v>0</v>
      </c>
      <c r="J425">
        <v>5</v>
      </c>
      <c r="K425">
        <v>12</v>
      </c>
      <c r="L425">
        <v>0</v>
      </c>
      <c r="M425">
        <v>2.5625</v>
      </c>
      <c r="N425">
        <v>3</v>
      </c>
      <c r="O425">
        <v>9</v>
      </c>
      <c r="P425">
        <v>9</v>
      </c>
      <c r="Q425">
        <v>2</v>
      </c>
      <c r="R425">
        <v>13</v>
      </c>
      <c r="S425">
        <v>5</v>
      </c>
      <c r="T425">
        <v>3.5</v>
      </c>
      <c r="U425">
        <v>4</v>
      </c>
      <c r="V425">
        <v>2</v>
      </c>
      <c r="W425">
        <v>3</v>
      </c>
      <c r="X425">
        <v>4</v>
      </c>
      <c r="AB425">
        <v>0</v>
      </c>
      <c r="AC425">
        <v>19601</v>
      </c>
      <c r="AD425">
        <v>3</v>
      </c>
      <c r="AE425">
        <v>1</v>
      </c>
      <c r="AI425">
        <v>20</v>
      </c>
      <c r="AJ425">
        <v>12</v>
      </c>
      <c r="AK425">
        <v>18</v>
      </c>
      <c r="AL425">
        <v>18</v>
      </c>
      <c r="AM425">
        <v>23</v>
      </c>
    </row>
    <row r="426" spans="1:41" x14ac:dyDescent="0.2">
      <c r="A426">
        <v>2973</v>
      </c>
      <c r="B426">
        <v>52094</v>
      </c>
      <c r="C426" s="1">
        <v>45211</v>
      </c>
      <c r="D426" s="1">
        <v>34592</v>
      </c>
      <c r="E426">
        <v>29.07</v>
      </c>
      <c r="F426">
        <v>4</v>
      </c>
      <c r="G426">
        <v>1</v>
      </c>
      <c r="H426">
        <v>1</v>
      </c>
      <c r="I426">
        <v>0</v>
      </c>
      <c r="J426">
        <v>0</v>
      </c>
      <c r="K426">
        <v>8</v>
      </c>
      <c r="L426">
        <v>0</v>
      </c>
      <c r="M426">
        <v>3.1875</v>
      </c>
      <c r="N426">
        <v>12</v>
      </c>
      <c r="O426">
        <v>2</v>
      </c>
      <c r="P426">
        <v>9</v>
      </c>
      <c r="Q426">
        <v>3</v>
      </c>
      <c r="R426">
        <v>15</v>
      </c>
      <c r="S426">
        <v>10</v>
      </c>
      <c r="T426">
        <v>7</v>
      </c>
      <c r="U426">
        <v>5</v>
      </c>
      <c r="V426">
        <v>1</v>
      </c>
      <c r="W426">
        <v>3</v>
      </c>
      <c r="X426">
        <v>5</v>
      </c>
      <c r="AB426">
        <v>0</v>
      </c>
      <c r="AC426">
        <v>12803</v>
      </c>
      <c r="AD426">
        <v>3</v>
      </c>
      <c r="AE426">
        <v>0</v>
      </c>
      <c r="AI426">
        <v>13</v>
      </c>
      <c r="AJ426">
        <v>13</v>
      </c>
      <c r="AK426">
        <v>16</v>
      </c>
      <c r="AL426">
        <v>12</v>
      </c>
      <c r="AM426">
        <v>15</v>
      </c>
    </row>
    <row r="427" spans="1:41" x14ac:dyDescent="0.2">
      <c r="A427">
        <v>2975</v>
      </c>
      <c r="B427">
        <v>10983</v>
      </c>
      <c r="C427" s="1">
        <v>45211</v>
      </c>
      <c r="D427" s="1">
        <v>30367</v>
      </c>
      <c r="E427">
        <v>40.64</v>
      </c>
      <c r="F427">
        <v>1</v>
      </c>
      <c r="G427">
        <v>1</v>
      </c>
      <c r="H427">
        <v>1</v>
      </c>
      <c r="I427">
        <v>0</v>
      </c>
      <c r="J427">
        <v>3</v>
      </c>
      <c r="K427">
        <v>9</v>
      </c>
      <c r="L427">
        <v>30</v>
      </c>
      <c r="M427">
        <v>3.75</v>
      </c>
      <c r="N427">
        <v>12</v>
      </c>
      <c r="O427">
        <v>8</v>
      </c>
      <c r="P427">
        <v>11</v>
      </c>
      <c r="Q427">
        <v>1</v>
      </c>
      <c r="R427">
        <v>18</v>
      </c>
      <c r="S427">
        <v>10</v>
      </c>
      <c r="T427">
        <v>4.75</v>
      </c>
      <c r="U427">
        <v>4</v>
      </c>
      <c r="V427">
        <v>3</v>
      </c>
      <c r="W427">
        <v>6</v>
      </c>
      <c r="X427">
        <v>4</v>
      </c>
      <c r="AB427">
        <v>1</v>
      </c>
      <c r="AC427">
        <v>19063</v>
      </c>
      <c r="AD427">
        <v>6</v>
      </c>
      <c r="AE427">
        <v>0</v>
      </c>
      <c r="AI427">
        <v>12</v>
      </c>
      <c r="AJ427">
        <v>6</v>
      </c>
      <c r="AK427">
        <v>9</v>
      </c>
      <c r="AL427">
        <v>15</v>
      </c>
      <c r="AM427">
        <v>11</v>
      </c>
    </row>
    <row r="428" spans="1:41" x14ac:dyDescent="0.2">
      <c r="A428">
        <v>2982</v>
      </c>
      <c r="B428">
        <v>110368</v>
      </c>
      <c r="C428" s="1">
        <v>45211</v>
      </c>
      <c r="D428" s="1">
        <v>24887</v>
      </c>
      <c r="E428">
        <v>55.65</v>
      </c>
      <c r="F428">
        <v>3</v>
      </c>
      <c r="G428">
        <v>1</v>
      </c>
      <c r="H428">
        <v>0</v>
      </c>
      <c r="I428">
        <v>0</v>
      </c>
      <c r="J428">
        <v>2</v>
      </c>
      <c r="K428">
        <v>12</v>
      </c>
      <c r="L428">
        <v>24</v>
      </c>
      <c r="M428">
        <v>3.3125</v>
      </c>
      <c r="N428">
        <v>12</v>
      </c>
      <c r="O428">
        <v>3</v>
      </c>
      <c r="P428">
        <v>11</v>
      </c>
      <c r="Q428">
        <v>3</v>
      </c>
      <c r="R428">
        <v>16</v>
      </c>
      <c r="S428">
        <v>8</v>
      </c>
      <c r="T428">
        <v>3.4166666666666998</v>
      </c>
      <c r="U428">
        <v>5</v>
      </c>
      <c r="V428">
        <v>2</v>
      </c>
      <c r="W428">
        <v>4</v>
      </c>
      <c r="X428">
        <v>5</v>
      </c>
      <c r="AB428">
        <v>2</v>
      </c>
      <c r="AC428">
        <v>19140</v>
      </c>
      <c r="AD428">
        <v>4</v>
      </c>
      <c r="AE428">
        <v>0</v>
      </c>
      <c r="AI428">
        <v>15</v>
      </c>
      <c r="AJ428">
        <v>12</v>
      </c>
      <c r="AK428">
        <v>12</v>
      </c>
      <c r="AL428">
        <v>11</v>
      </c>
      <c r="AM428">
        <v>14</v>
      </c>
      <c r="AN428">
        <v>0</v>
      </c>
      <c r="AO428">
        <v>1.3333333333333</v>
      </c>
    </row>
    <row r="429" spans="1:41" x14ac:dyDescent="0.2">
      <c r="A429">
        <v>2993</v>
      </c>
      <c r="B429">
        <v>10363</v>
      </c>
      <c r="C429" s="1">
        <v>45211</v>
      </c>
      <c r="D429" s="1">
        <v>23097</v>
      </c>
      <c r="E429">
        <v>60.55</v>
      </c>
      <c r="F429">
        <v>3</v>
      </c>
      <c r="G429">
        <v>0</v>
      </c>
      <c r="H429">
        <v>0</v>
      </c>
      <c r="I429">
        <v>0</v>
      </c>
      <c r="J429">
        <v>2</v>
      </c>
      <c r="K429">
        <v>5</v>
      </c>
      <c r="L429">
        <v>12</v>
      </c>
      <c r="M429">
        <v>2.9375</v>
      </c>
      <c r="N429">
        <v>8</v>
      </c>
      <c r="O429">
        <v>7</v>
      </c>
      <c r="P429">
        <v>6</v>
      </c>
      <c r="Q429">
        <v>6</v>
      </c>
      <c r="R429">
        <v>12</v>
      </c>
      <c r="S429">
        <v>8</v>
      </c>
      <c r="T429">
        <v>7</v>
      </c>
      <c r="U429">
        <v>4</v>
      </c>
      <c r="V429">
        <v>1</v>
      </c>
      <c r="W429">
        <v>7</v>
      </c>
      <c r="X429">
        <v>4</v>
      </c>
      <c r="AB429">
        <v>1</v>
      </c>
      <c r="AC429">
        <v>19146</v>
      </c>
      <c r="AD429">
        <v>7</v>
      </c>
      <c r="AE429">
        <v>0</v>
      </c>
      <c r="AI429">
        <v>16</v>
      </c>
      <c r="AJ429">
        <v>14</v>
      </c>
      <c r="AK429">
        <v>15</v>
      </c>
      <c r="AL429">
        <v>17</v>
      </c>
      <c r="AM429">
        <v>16</v>
      </c>
      <c r="AN429">
        <v>30</v>
      </c>
      <c r="AO429">
        <v>1.3333333333333</v>
      </c>
    </row>
    <row r="430" spans="1:41" x14ac:dyDescent="0.2">
      <c r="A430">
        <v>2999</v>
      </c>
      <c r="B430">
        <v>101370</v>
      </c>
      <c r="C430" s="1">
        <v>45211</v>
      </c>
      <c r="D430" s="1">
        <v>25747</v>
      </c>
      <c r="E430">
        <v>53.29</v>
      </c>
      <c r="F430">
        <v>4</v>
      </c>
      <c r="G430">
        <v>0</v>
      </c>
      <c r="H430">
        <v>3</v>
      </c>
      <c r="I430">
        <v>5</v>
      </c>
      <c r="J430">
        <v>0</v>
      </c>
      <c r="K430">
        <v>7</v>
      </c>
      <c r="L430">
        <v>28</v>
      </c>
      <c r="M430">
        <v>2.3125</v>
      </c>
      <c r="N430">
        <v>2</v>
      </c>
      <c r="O430">
        <v>2</v>
      </c>
      <c r="P430">
        <v>10</v>
      </c>
      <c r="Q430">
        <v>0</v>
      </c>
      <c r="R430">
        <v>16</v>
      </c>
      <c r="S430">
        <v>7</v>
      </c>
      <c r="T430">
        <v>3.5</v>
      </c>
      <c r="U430">
        <v>5</v>
      </c>
      <c r="V430">
        <v>5</v>
      </c>
      <c r="W430">
        <v>7</v>
      </c>
      <c r="X430">
        <v>5</v>
      </c>
      <c r="AC430">
        <v>87401</v>
      </c>
      <c r="AD430">
        <v>7</v>
      </c>
      <c r="AE430">
        <v>1</v>
      </c>
      <c r="AI430">
        <v>18</v>
      </c>
      <c r="AJ430">
        <v>15</v>
      </c>
      <c r="AK430">
        <v>19</v>
      </c>
      <c r="AL430">
        <v>14</v>
      </c>
      <c r="AM430">
        <v>15</v>
      </c>
    </row>
    <row r="431" spans="1:41" x14ac:dyDescent="0.2">
      <c r="A431">
        <v>3000</v>
      </c>
      <c r="B431">
        <v>81671</v>
      </c>
      <c r="C431" s="1">
        <v>45211</v>
      </c>
      <c r="D431" s="1">
        <v>26226</v>
      </c>
      <c r="E431">
        <v>51.98</v>
      </c>
      <c r="F431">
        <v>4</v>
      </c>
      <c r="G431">
        <v>1</v>
      </c>
      <c r="H431">
        <v>0</v>
      </c>
      <c r="I431">
        <v>0</v>
      </c>
      <c r="J431">
        <v>1</v>
      </c>
      <c r="K431">
        <v>8</v>
      </c>
      <c r="L431">
        <v>2022</v>
      </c>
      <c r="M431">
        <v>4</v>
      </c>
      <c r="N431">
        <v>12</v>
      </c>
      <c r="O431">
        <v>12</v>
      </c>
      <c r="P431">
        <v>12</v>
      </c>
      <c r="Q431">
        <v>2</v>
      </c>
      <c r="R431">
        <v>17</v>
      </c>
      <c r="S431">
        <v>9</v>
      </c>
      <c r="T431">
        <v>4.6666666666666998</v>
      </c>
      <c r="U431">
        <v>5</v>
      </c>
      <c r="V431">
        <v>2</v>
      </c>
      <c r="W431">
        <v>6</v>
      </c>
      <c r="X431">
        <v>5</v>
      </c>
      <c r="AB431">
        <v>2</v>
      </c>
      <c r="AC431">
        <v>17022</v>
      </c>
      <c r="AD431">
        <v>6</v>
      </c>
      <c r="AE431">
        <v>0</v>
      </c>
      <c r="AI431">
        <v>15</v>
      </c>
      <c r="AJ431">
        <v>9</v>
      </c>
      <c r="AK431">
        <v>13</v>
      </c>
      <c r="AL431">
        <v>13</v>
      </c>
      <c r="AM431">
        <v>17</v>
      </c>
    </row>
    <row r="432" spans="1:41" x14ac:dyDescent="0.2">
      <c r="A432">
        <v>3004</v>
      </c>
      <c r="B432">
        <v>100555</v>
      </c>
      <c r="C432" s="1">
        <v>45211</v>
      </c>
      <c r="D432" s="1">
        <v>20317</v>
      </c>
      <c r="E432">
        <v>68.16</v>
      </c>
      <c r="F432">
        <v>4</v>
      </c>
      <c r="G432">
        <v>1</v>
      </c>
      <c r="H432">
        <v>1</v>
      </c>
      <c r="I432">
        <v>0</v>
      </c>
      <c r="J432">
        <v>2</v>
      </c>
      <c r="K432">
        <v>15</v>
      </c>
      <c r="L432">
        <v>27</v>
      </c>
      <c r="M432">
        <v>4.375</v>
      </c>
      <c r="N432">
        <v>8</v>
      </c>
      <c r="O432">
        <v>12</v>
      </c>
      <c r="P432">
        <v>11</v>
      </c>
      <c r="Q432">
        <v>12</v>
      </c>
      <c r="R432">
        <v>17</v>
      </c>
      <c r="S432">
        <v>10</v>
      </c>
      <c r="T432">
        <v>4.6666666666666998</v>
      </c>
      <c r="U432">
        <v>4</v>
      </c>
      <c r="V432">
        <v>0</v>
      </c>
      <c r="W432">
        <v>3</v>
      </c>
      <c r="X432">
        <v>4</v>
      </c>
      <c r="AB432">
        <v>0</v>
      </c>
      <c r="AC432">
        <v>19149</v>
      </c>
      <c r="AD432">
        <v>3</v>
      </c>
      <c r="AE432">
        <v>0</v>
      </c>
      <c r="AI432">
        <v>14</v>
      </c>
      <c r="AJ432">
        <v>13</v>
      </c>
      <c r="AK432">
        <v>11</v>
      </c>
      <c r="AL432">
        <v>13</v>
      </c>
      <c r="AM432">
        <v>15</v>
      </c>
      <c r="AN432">
        <v>3</v>
      </c>
      <c r="AO432">
        <v>1.75</v>
      </c>
    </row>
    <row r="433" spans="1:41" x14ac:dyDescent="0.2">
      <c r="A433">
        <v>3017</v>
      </c>
      <c r="B433">
        <v>111189</v>
      </c>
      <c r="C433" s="1">
        <v>45212</v>
      </c>
      <c r="D433" s="1">
        <v>32650</v>
      </c>
      <c r="E433">
        <v>34.39</v>
      </c>
      <c r="F433">
        <v>4</v>
      </c>
      <c r="G433">
        <v>1</v>
      </c>
      <c r="H433">
        <v>1</v>
      </c>
      <c r="I433">
        <v>0</v>
      </c>
      <c r="J433">
        <v>1</v>
      </c>
      <c r="K433">
        <v>6</v>
      </c>
      <c r="L433">
        <v>0</v>
      </c>
      <c r="M433">
        <v>3.0625</v>
      </c>
      <c r="N433">
        <v>12</v>
      </c>
      <c r="O433">
        <v>4</v>
      </c>
      <c r="P433">
        <v>9</v>
      </c>
      <c r="Q433">
        <v>1</v>
      </c>
      <c r="R433">
        <v>13</v>
      </c>
      <c r="S433">
        <v>10</v>
      </c>
      <c r="T433">
        <v>4.0833333333333002</v>
      </c>
      <c r="U433">
        <v>6</v>
      </c>
      <c r="V433">
        <v>1</v>
      </c>
      <c r="W433">
        <v>5</v>
      </c>
      <c r="X433">
        <v>6</v>
      </c>
      <c r="AB433">
        <v>2</v>
      </c>
      <c r="AC433">
        <v>19111</v>
      </c>
      <c r="AD433">
        <v>5</v>
      </c>
      <c r="AE433">
        <v>0</v>
      </c>
      <c r="AI433">
        <v>10</v>
      </c>
      <c r="AJ433">
        <v>7</v>
      </c>
      <c r="AK433">
        <v>15</v>
      </c>
      <c r="AL433">
        <v>10</v>
      </c>
      <c r="AM433">
        <v>14</v>
      </c>
    </row>
    <row r="434" spans="1:41" x14ac:dyDescent="0.2">
      <c r="A434">
        <v>3022</v>
      </c>
      <c r="B434">
        <v>30852</v>
      </c>
      <c r="C434" s="1">
        <v>45212</v>
      </c>
      <c r="D434" s="1">
        <v>19250</v>
      </c>
      <c r="E434">
        <v>71.08</v>
      </c>
      <c r="F434">
        <v>4</v>
      </c>
      <c r="G434">
        <v>1</v>
      </c>
      <c r="H434">
        <v>3</v>
      </c>
      <c r="I434">
        <v>0</v>
      </c>
      <c r="J434">
        <v>4</v>
      </c>
      <c r="K434">
        <v>10</v>
      </c>
      <c r="L434">
        <v>12</v>
      </c>
      <c r="M434">
        <v>3.3125</v>
      </c>
      <c r="N434">
        <v>12</v>
      </c>
      <c r="O434">
        <v>8</v>
      </c>
      <c r="P434">
        <v>9</v>
      </c>
      <c r="Q434">
        <v>0</v>
      </c>
      <c r="R434">
        <v>15</v>
      </c>
      <c r="S434">
        <v>9</v>
      </c>
      <c r="T434">
        <v>7</v>
      </c>
      <c r="U434">
        <v>4</v>
      </c>
      <c r="V434">
        <v>1</v>
      </c>
      <c r="W434">
        <v>7</v>
      </c>
      <c r="X434">
        <v>4</v>
      </c>
      <c r="AC434">
        <v>18974</v>
      </c>
      <c r="AD434">
        <v>7</v>
      </c>
      <c r="AE434">
        <v>0</v>
      </c>
      <c r="AI434">
        <v>17</v>
      </c>
      <c r="AJ434">
        <v>9</v>
      </c>
      <c r="AK434">
        <v>10</v>
      </c>
      <c r="AL434">
        <v>10</v>
      </c>
      <c r="AM434">
        <v>14</v>
      </c>
      <c r="AN434">
        <v>0</v>
      </c>
      <c r="AO434">
        <v>1.0833333333333</v>
      </c>
    </row>
    <row r="435" spans="1:41" x14ac:dyDescent="0.2">
      <c r="A435">
        <v>3028</v>
      </c>
      <c r="B435">
        <v>31073</v>
      </c>
      <c r="C435" s="1">
        <v>45212</v>
      </c>
      <c r="D435" s="1">
        <v>26931</v>
      </c>
      <c r="E435">
        <v>50.05</v>
      </c>
      <c r="F435">
        <v>3</v>
      </c>
      <c r="G435">
        <v>1</v>
      </c>
      <c r="H435">
        <v>2</v>
      </c>
      <c r="I435">
        <v>0</v>
      </c>
      <c r="J435">
        <v>3</v>
      </c>
      <c r="K435">
        <v>11</v>
      </c>
      <c r="L435">
        <v>28</v>
      </c>
      <c r="M435">
        <v>3.1875</v>
      </c>
      <c r="N435">
        <v>11</v>
      </c>
      <c r="O435">
        <v>4</v>
      </c>
      <c r="P435">
        <v>7</v>
      </c>
      <c r="Q435">
        <v>1</v>
      </c>
      <c r="R435">
        <v>18</v>
      </c>
      <c r="S435">
        <v>10</v>
      </c>
      <c r="T435">
        <v>5.4166666666666998</v>
      </c>
      <c r="U435">
        <v>2</v>
      </c>
      <c r="V435">
        <v>1</v>
      </c>
      <c r="W435">
        <v>6</v>
      </c>
      <c r="X435">
        <v>2</v>
      </c>
      <c r="AB435">
        <v>0</v>
      </c>
      <c r="AC435">
        <v>19144</v>
      </c>
      <c r="AD435">
        <v>6</v>
      </c>
      <c r="AE435">
        <v>1</v>
      </c>
      <c r="AI435">
        <v>14</v>
      </c>
      <c r="AJ435">
        <v>12</v>
      </c>
      <c r="AK435">
        <v>17</v>
      </c>
      <c r="AL435">
        <v>12</v>
      </c>
      <c r="AM435">
        <v>15</v>
      </c>
    </row>
    <row r="436" spans="1:41" x14ac:dyDescent="0.2">
      <c r="A436">
        <v>3030</v>
      </c>
      <c r="B436">
        <v>221897</v>
      </c>
      <c r="C436" s="1">
        <v>45212</v>
      </c>
      <c r="D436" s="1">
        <v>35522</v>
      </c>
      <c r="E436">
        <v>26.53</v>
      </c>
      <c r="F436">
        <v>4</v>
      </c>
      <c r="G436">
        <v>1</v>
      </c>
      <c r="H436">
        <v>10</v>
      </c>
      <c r="I436">
        <v>0</v>
      </c>
      <c r="J436">
        <v>1</v>
      </c>
      <c r="K436">
        <v>18</v>
      </c>
      <c r="L436">
        <v>0</v>
      </c>
      <c r="M436">
        <v>3.75</v>
      </c>
      <c r="N436">
        <v>12</v>
      </c>
      <c r="O436">
        <v>5</v>
      </c>
      <c r="P436">
        <v>12</v>
      </c>
      <c r="Q436">
        <v>1</v>
      </c>
      <c r="R436">
        <v>18</v>
      </c>
      <c r="S436">
        <v>12</v>
      </c>
      <c r="T436">
        <v>4.4166666666666998</v>
      </c>
      <c r="U436">
        <v>5</v>
      </c>
      <c r="V436">
        <v>3</v>
      </c>
      <c r="W436">
        <v>4</v>
      </c>
      <c r="X436">
        <v>5</v>
      </c>
      <c r="AB436">
        <v>3</v>
      </c>
      <c r="AC436">
        <v>19030</v>
      </c>
      <c r="AD436">
        <v>4</v>
      </c>
      <c r="AE436">
        <v>0</v>
      </c>
      <c r="AI436">
        <v>16</v>
      </c>
      <c r="AJ436">
        <v>13</v>
      </c>
      <c r="AK436">
        <v>21</v>
      </c>
      <c r="AL436">
        <v>19</v>
      </c>
      <c r="AM436">
        <v>15</v>
      </c>
    </row>
    <row r="437" spans="1:41" x14ac:dyDescent="0.2">
      <c r="A437">
        <v>3033</v>
      </c>
      <c r="B437">
        <v>100203</v>
      </c>
      <c r="C437" s="1">
        <v>45212</v>
      </c>
      <c r="D437" s="1">
        <v>37900</v>
      </c>
      <c r="E437">
        <v>20.02</v>
      </c>
      <c r="F437">
        <v>0</v>
      </c>
      <c r="G437">
        <v>1</v>
      </c>
      <c r="H437">
        <v>2</v>
      </c>
      <c r="I437">
        <v>0</v>
      </c>
      <c r="J437">
        <v>1</v>
      </c>
      <c r="K437">
        <v>9</v>
      </c>
      <c r="L437">
        <v>0</v>
      </c>
      <c r="M437">
        <v>3.5</v>
      </c>
      <c r="N437">
        <v>9</v>
      </c>
      <c r="O437">
        <v>5</v>
      </c>
      <c r="P437">
        <v>11</v>
      </c>
      <c r="Q437">
        <v>4</v>
      </c>
      <c r="R437">
        <v>18</v>
      </c>
      <c r="S437">
        <v>9</v>
      </c>
      <c r="T437">
        <v>6</v>
      </c>
      <c r="U437">
        <v>4</v>
      </c>
      <c r="V437">
        <v>0</v>
      </c>
      <c r="W437">
        <v>5</v>
      </c>
      <c r="X437">
        <v>4</v>
      </c>
      <c r="AC437">
        <v>19520</v>
      </c>
      <c r="AD437">
        <v>5</v>
      </c>
      <c r="AE437">
        <v>0</v>
      </c>
      <c r="AI437">
        <v>18</v>
      </c>
      <c r="AJ437">
        <v>17</v>
      </c>
      <c r="AK437">
        <v>17</v>
      </c>
      <c r="AL437">
        <v>18</v>
      </c>
      <c r="AM437">
        <v>15</v>
      </c>
    </row>
    <row r="438" spans="1:41" x14ac:dyDescent="0.2">
      <c r="A438">
        <v>3034</v>
      </c>
      <c r="B438">
        <v>11297</v>
      </c>
      <c r="C438" s="1">
        <v>45212</v>
      </c>
      <c r="D438" s="1">
        <v>35749</v>
      </c>
      <c r="E438">
        <v>25.91</v>
      </c>
      <c r="F438">
        <v>1</v>
      </c>
      <c r="G438">
        <v>1</v>
      </c>
      <c r="H438">
        <v>4</v>
      </c>
      <c r="I438">
        <v>0</v>
      </c>
      <c r="J438">
        <v>0</v>
      </c>
      <c r="K438">
        <v>0</v>
      </c>
      <c r="L438">
        <v>0</v>
      </c>
      <c r="M438">
        <v>4.125</v>
      </c>
      <c r="N438">
        <v>12</v>
      </c>
      <c r="O438">
        <v>12</v>
      </c>
      <c r="P438">
        <v>12</v>
      </c>
      <c r="Q438">
        <v>3</v>
      </c>
      <c r="R438">
        <v>15</v>
      </c>
      <c r="S438">
        <v>12</v>
      </c>
      <c r="T438">
        <v>7</v>
      </c>
      <c r="U438">
        <v>5</v>
      </c>
      <c r="V438">
        <v>3</v>
      </c>
      <c r="W438">
        <v>7</v>
      </c>
      <c r="X438">
        <v>5</v>
      </c>
      <c r="AB438">
        <v>2</v>
      </c>
      <c r="AC438">
        <v>17050</v>
      </c>
      <c r="AD438">
        <v>7</v>
      </c>
      <c r="AE438">
        <v>0</v>
      </c>
      <c r="AI438">
        <v>19</v>
      </c>
      <c r="AJ438">
        <v>11</v>
      </c>
      <c r="AK438">
        <v>13</v>
      </c>
      <c r="AL438">
        <v>18</v>
      </c>
      <c r="AM438">
        <v>12</v>
      </c>
    </row>
    <row r="439" spans="1:41" x14ac:dyDescent="0.2">
      <c r="A439">
        <v>3038</v>
      </c>
      <c r="B439">
        <v>141684</v>
      </c>
      <c r="C439" s="1">
        <v>45212</v>
      </c>
      <c r="D439" s="1">
        <v>30983</v>
      </c>
      <c r="E439">
        <v>38.96</v>
      </c>
      <c r="F439">
        <v>4</v>
      </c>
      <c r="G439">
        <v>1</v>
      </c>
      <c r="H439">
        <v>0</v>
      </c>
      <c r="I439">
        <v>0</v>
      </c>
      <c r="J439">
        <v>5</v>
      </c>
      <c r="K439">
        <v>13</v>
      </c>
      <c r="L439">
        <v>0</v>
      </c>
      <c r="M439">
        <v>3.5</v>
      </c>
      <c r="N439">
        <v>11</v>
      </c>
      <c r="O439">
        <v>10</v>
      </c>
      <c r="P439">
        <v>9</v>
      </c>
      <c r="Q439">
        <v>2</v>
      </c>
      <c r="R439">
        <v>15</v>
      </c>
      <c r="S439">
        <v>9</v>
      </c>
      <c r="T439">
        <v>5.25</v>
      </c>
      <c r="U439">
        <v>2</v>
      </c>
      <c r="V439">
        <v>1</v>
      </c>
      <c r="W439">
        <v>2</v>
      </c>
      <c r="X439">
        <v>2</v>
      </c>
      <c r="AB439">
        <v>0</v>
      </c>
      <c r="AC439">
        <v>17901</v>
      </c>
      <c r="AD439">
        <v>2</v>
      </c>
      <c r="AE439">
        <v>0</v>
      </c>
      <c r="AI439">
        <v>14</v>
      </c>
      <c r="AJ439">
        <v>10</v>
      </c>
      <c r="AK439">
        <v>13</v>
      </c>
      <c r="AL439">
        <v>17</v>
      </c>
      <c r="AM439">
        <v>15</v>
      </c>
    </row>
    <row r="440" spans="1:41" x14ac:dyDescent="0.2">
      <c r="A440">
        <v>3040</v>
      </c>
      <c r="B440">
        <v>160172</v>
      </c>
      <c r="C440" s="1">
        <v>45212</v>
      </c>
      <c r="D440" s="1">
        <v>26610</v>
      </c>
      <c r="E440">
        <v>50.93</v>
      </c>
      <c r="F440">
        <v>4</v>
      </c>
      <c r="G440">
        <v>1</v>
      </c>
      <c r="H440">
        <v>1</v>
      </c>
      <c r="I440">
        <v>0</v>
      </c>
      <c r="J440">
        <v>1</v>
      </c>
      <c r="K440">
        <v>4</v>
      </c>
      <c r="L440">
        <v>28</v>
      </c>
      <c r="M440">
        <v>2.4375</v>
      </c>
      <c r="N440">
        <v>10</v>
      </c>
      <c r="O440">
        <v>2</v>
      </c>
      <c r="P440">
        <v>7</v>
      </c>
      <c r="Q440">
        <v>0</v>
      </c>
      <c r="R440">
        <v>12</v>
      </c>
      <c r="S440">
        <v>8</v>
      </c>
      <c r="T440">
        <v>5.1666666666666998</v>
      </c>
      <c r="U440">
        <v>6</v>
      </c>
      <c r="V440">
        <v>4</v>
      </c>
      <c r="W440">
        <v>6</v>
      </c>
      <c r="X440">
        <v>6</v>
      </c>
      <c r="AB440">
        <v>4</v>
      </c>
      <c r="AD440">
        <v>6</v>
      </c>
      <c r="AE440">
        <v>1</v>
      </c>
      <c r="AI440">
        <v>14</v>
      </c>
      <c r="AJ440">
        <v>10</v>
      </c>
      <c r="AK440">
        <v>9</v>
      </c>
      <c r="AL440">
        <v>8</v>
      </c>
      <c r="AM440">
        <v>11</v>
      </c>
    </row>
    <row r="441" spans="1:41" x14ac:dyDescent="0.2">
      <c r="A441">
        <v>3042</v>
      </c>
      <c r="B441">
        <v>100877</v>
      </c>
      <c r="C441" s="1">
        <v>45212</v>
      </c>
      <c r="D441" s="1">
        <v>28310</v>
      </c>
      <c r="E441">
        <v>46.28</v>
      </c>
      <c r="F441">
        <v>4</v>
      </c>
      <c r="G441">
        <v>1</v>
      </c>
      <c r="H441">
        <v>0</v>
      </c>
      <c r="I441">
        <v>0</v>
      </c>
      <c r="J441">
        <v>0</v>
      </c>
      <c r="K441">
        <v>7</v>
      </c>
      <c r="L441">
        <v>28</v>
      </c>
      <c r="M441">
        <v>3.9375</v>
      </c>
      <c r="N441">
        <v>10</v>
      </c>
      <c r="O441">
        <v>9</v>
      </c>
      <c r="P441">
        <v>9</v>
      </c>
      <c r="Q441">
        <v>8</v>
      </c>
      <c r="R441">
        <v>18</v>
      </c>
      <c r="S441">
        <v>9</v>
      </c>
      <c r="T441">
        <v>7</v>
      </c>
      <c r="U441">
        <v>4</v>
      </c>
      <c r="V441">
        <v>2</v>
      </c>
      <c r="W441">
        <v>7</v>
      </c>
      <c r="X441">
        <v>4</v>
      </c>
      <c r="AB441">
        <v>3</v>
      </c>
      <c r="AC441">
        <v>8322</v>
      </c>
      <c r="AD441">
        <v>7</v>
      </c>
      <c r="AE441">
        <v>0</v>
      </c>
      <c r="AI441">
        <v>13</v>
      </c>
      <c r="AJ441">
        <v>10</v>
      </c>
      <c r="AK441">
        <v>16</v>
      </c>
      <c r="AL441">
        <v>13</v>
      </c>
      <c r="AM441">
        <v>13</v>
      </c>
    </row>
    <row r="442" spans="1:41" x14ac:dyDescent="0.2">
      <c r="A442">
        <v>3052</v>
      </c>
      <c r="B442">
        <v>40474</v>
      </c>
      <c r="C442" s="1">
        <v>45212</v>
      </c>
      <c r="D442" s="1">
        <v>27328</v>
      </c>
      <c r="E442">
        <v>48.96</v>
      </c>
      <c r="F442">
        <v>4</v>
      </c>
      <c r="G442">
        <v>1</v>
      </c>
      <c r="H442">
        <v>6</v>
      </c>
      <c r="I442">
        <v>0</v>
      </c>
      <c r="J442">
        <v>1</v>
      </c>
      <c r="K442">
        <v>7</v>
      </c>
      <c r="L442">
        <v>28</v>
      </c>
      <c r="M442">
        <v>3.625</v>
      </c>
      <c r="N442">
        <v>12</v>
      </c>
      <c r="O442">
        <v>7</v>
      </c>
      <c r="P442">
        <v>10</v>
      </c>
      <c r="Q442">
        <v>2</v>
      </c>
      <c r="R442">
        <v>16</v>
      </c>
      <c r="S442">
        <v>11</v>
      </c>
      <c r="T442">
        <v>6.3333333333333002</v>
      </c>
      <c r="U442">
        <v>5</v>
      </c>
      <c r="V442">
        <v>5</v>
      </c>
      <c r="W442">
        <v>7</v>
      </c>
      <c r="X442">
        <v>5</v>
      </c>
      <c r="AB442">
        <v>2</v>
      </c>
      <c r="AC442">
        <v>18062</v>
      </c>
      <c r="AD442">
        <v>7</v>
      </c>
      <c r="AE442">
        <v>0</v>
      </c>
      <c r="AI442">
        <v>17</v>
      </c>
      <c r="AJ442">
        <v>11</v>
      </c>
      <c r="AK442">
        <v>8</v>
      </c>
      <c r="AL442">
        <v>11</v>
      </c>
      <c r="AM442">
        <v>17</v>
      </c>
    </row>
    <row r="443" spans="1:41" x14ac:dyDescent="0.2">
      <c r="A443">
        <v>3053</v>
      </c>
      <c r="B443">
        <v>32373</v>
      </c>
      <c r="C443" s="1">
        <v>45212</v>
      </c>
      <c r="D443" s="1">
        <v>26723</v>
      </c>
      <c r="E443">
        <v>50.62</v>
      </c>
      <c r="F443">
        <v>3</v>
      </c>
      <c r="G443">
        <v>1</v>
      </c>
      <c r="H443">
        <v>1</v>
      </c>
      <c r="I443">
        <v>0</v>
      </c>
      <c r="J443">
        <v>3</v>
      </c>
      <c r="K443">
        <v>7</v>
      </c>
      <c r="L443">
        <v>28</v>
      </c>
      <c r="M443">
        <v>1.25</v>
      </c>
      <c r="N443">
        <v>2</v>
      </c>
      <c r="O443">
        <v>0</v>
      </c>
      <c r="P443">
        <v>0</v>
      </c>
      <c r="Q443">
        <v>0</v>
      </c>
      <c r="R443">
        <v>18</v>
      </c>
      <c r="S443">
        <v>0</v>
      </c>
      <c r="T443">
        <v>4.5833333333333002</v>
      </c>
      <c r="U443">
        <v>0</v>
      </c>
      <c r="V443">
        <v>0</v>
      </c>
      <c r="W443">
        <v>4</v>
      </c>
      <c r="X443">
        <v>0</v>
      </c>
      <c r="AB443">
        <v>1</v>
      </c>
      <c r="AC443">
        <v>19104</v>
      </c>
      <c r="AD443">
        <v>4</v>
      </c>
      <c r="AE443">
        <v>1</v>
      </c>
      <c r="AI443">
        <v>18</v>
      </c>
      <c r="AJ443">
        <v>18</v>
      </c>
      <c r="AK443">
        <v>18</v>
      </c>
      <c r="AL443">
        <v>18</v>
      </c>
      <c r="AM443">
        <v>18</v>
      </c>
    </row>
    <row r="444" spans="1:41" x14ac:dyDescent="0.2">
      <c r="A444">
        <v>3061</v>
      </c>
      <c r="B444">
        <v>131001</v>
      </c>
      <c r="C444" s="1">
        <v>45213</v>
      </c>
      <c r="D444" s="1">
        <v>37096</v>
      </c>
      <c r="E444">
        <v>22.22</v>
      </c>
      <c r="F444">
        <v>4</v>
      </c>
      <c r="G444">
        <v>0</v>
      </c>
      <c r="H444">
        <v>4</v>
      </c>
      <c r="I444">
        <v>2</v>
      </c>
      <c r="J444">
        <v>0</v>
      </c>
      <c r="K444">
        <v>3</v>
      </c>
      <c r="L444">
        <v>28</v>
      </c>
      <c r="M444">
        <v>3.625</v>
      </c>
      <c r="N444">
        <v>12</v>
      </c>
      <c r="O444">
        <v>0</v>
      </c>
      <c r="P444">
        <v>10</v>
      </c>
      <c r="Q444">
        <v>7</v>
      </c>
      <c r="R444">
        <v>17</v>
      </c>
      <c r="S444">
        <v>12</v>
      </c>
      <c r="T444">
        <v>3.5</v>
      </c>
      <c r="U444">
        <v>4</v>
      </c>
      <c r="V444">
        <v>5</v>
      </c>
      <c r="W444">
        <v>6</v>
      </c>
      <c r="X444">
        <v>4</v>
      </c>
      <c r="AC444">
        <v>19702</v>
      </c>
      <c r="AD444">
        <v>6</v>
      </c>
      <c r="AE444">
        <v>0</v>
      </c>
      <c r="AI444">
        <v>20</v>
      </c>
      <c r="AJ444">
        <v>10</v>
      </c>
      <c r="AK444">
        <v>13</v>
      </c>
      <c r="AL444">
        <v>21</v>
      </c>
      <c r="AM444">
        <v>15</v>
      </c>
    </row>
    <row r="445" spans="1:41" x14ac:dyDescent="0.2">
      <c r="A445">
        <v>3064</v>
      </c>
      <c r="B445">
        <v>161364</v>
      </c>
      <c r="C445" s="1">
        <v>45213</v>
      </c>
      <c r="D445" s="1">
        <v>23506</v>
      </c>
      <c r="E445">
        <v>59.43</v>
      </c>
      <c r="F445">
        <v>3</v>
      </c>
      <c r="G445">
        <v>0</v>
      </c>
      <c r="H445">
        <v>4</v>
      </c>
      <c r="I445">
        <v>5</v>
      </c>
      <c r="J445">
        <v>2</v>
      </c>
      <c r="K445">
        <v>13</v>
      </c>
      <c r="L445">
        <v>28</v>
      </c>
      <c r="M445">
        <v>3.625</v>
      </c>
      <c r="N445">
        <v>12</v>
      </c>
      <c r="O445">
        <v>0</v>
      </c>
      <c r="P445">
        <v>12</v>
      </c>
      <c r="Q445">
        <v>4</v>
      </c>
      <c r="R445">
        <v>18</v>
      </c>
      <c r="S445">
        <v>12</v>
      </c>
      <c r="T445">
        <v>6</v>
      </c>
      <c r="U445">
        <v>5</v>
      </c>
      <c r="V445">
        <v>1</v>
      </c>
      <c r="W445">
        <v>4</v>
      </c>
      <c r="X445">
        <v>5</v>
      </c>
      <c r="AC445">
        <v>5701</v>
      </c>
      <c r="AD445">
        <v>4</v>
      </c>
      <c r="AE445">
        <v>0</v>
      </c>
      <c r="AI445">
        <v>11</v>
      </c>
      <c r="AJ445">
        <v>12</v>
      </c>
      <c r="AK445">
        <v>21</v>
      </c>
      <c r="AL445">
        <v>18</v>
      </c>
      <c r="AM445">
        <v>13</v>
      </c>
      <c r="AN445">
        <v>29</v>
      </c>
      <c r="AO445">
        <v>1.5833333333333</v>
      </c>
    </row>
    <row r="446" spans="1:41" x14ac:dyDescent="0.2">
      <c r="A446">
        <v>3067</v>
      </c>
      <c r="B446">
        <v>31697</v>
      </c>
      <c r="C446" s="1">
        <v>45213</v>
      </c>
      <c r="D446" s="1">
        <v>35640</v>
      </c>
      <c r="E446">
        <v>26.21</v>
      </c>
      <c r="F446">
        <v>4</v>
      </c>
      <c r="G446">
        <v>1</v>
      </c>
      <c r="H446">
        <v>15</v>
      </c>
      <c r="I446">
        <v>9</v>
      </c>
      <c r="J446">
        <v>4</v>
      </c>
      <c r="K446">
        <v>18</v>
      </c>
      <c r="L446">
        <v>29</v>
      </c>
      <c r="M446">
        <v>2.625</v>
      </c>
      <c r="N446">
        <v>6</v>
      </c>
      <c r="O446">
        <v>3</v>
      </c>
      <c r="P446">
        <v>9</v>
      </c>
      <c r="Q446">
        <v>0</v>
      </c>
      <c r="R446">
        <v>16</v>
      </c>
      <c r="S446">
        <v>8</v>
      </c>
      <c r="T446">
        <v>3.25</v>
      </c>
      <c r="U446">
        <v>6</v>
      </c>
      <c r="V446">
        <v>2</v>
      </c>
      <c r="W446">
        <v>3</v>
      </c>
      <c r="X446">
        <v>6</v>
      </c>
      <c r="AC446">
        <v>18966</v>
      </c>
      <c r="AD446">
        <v>3</v>
      </c>
      <c r="AE446">
        <v>0</v>
      </c>
      <c r="AI446">
        <v>17</v>
      </c>
      <c r="AJ446">
        <v>15</v>
      </c>
      <c r="AK446">
        <v>18</v>
      </c>
      <c r="AL446">
        <v>15</v>
      </c>
      <c r="AM446">
        <v>19</v>
      </c>
    </row>
    <row r="447" spans="1:41" x14ac:dyDescent="0.2">
      <c r="A447">
        <v>3077</v>
      </c>
      <c r="B447">
        <v>191075</v>
      </c>
      <c r="C447" s="1">
        <v>45213</v>
      </c>
      <c r="D447" s="1">
        <v>27643</v>
      </c>
      <c r="E447">
        <v>48.11</v>
      </c>
      <c r="F447">
        <v>4</v>
      </c>
      <c r="G447">
        <v>1</v>
      </c>
      <c r="H447">
        <v>14</v>
      </c>
      <c r="I447">
        <v>0</v>
      </c>
      <c r="J447">
        <v>0</v>
      </c>
      <c r="K447">
        <v>12</v>
      </c>
      <c r="L447">
        <v>0</v>
      </c>
      <c r="M447">
        <v>3.5</v>
      </c>
      <c r="N447">
        <v>12</v>
      </c>
      <c r="O447">
        <v>3</v>
      </c>
      <c r="P447">
        <v>10</v>
      </c>
      <c r="Q447">
        <v>4</v>
      </c>
      <c r="R447">
        <v>15</v>
      </c>
      <c r="S447">
        <v>12</v>
      </c>
      <c r="T447">
        <v>3.5</v>
      </c>
      <c r="U447">
        <v>5</v>
      </c>
      <c r="V447">
        <v>5</v>
      </c>
      <c r="W447">
        <v>6</v>
      </c>
      <c r="X447">
        <v>5</v>
      </c>
      <c r="AB447">
        <v>2</v>
      </c>
      <c r="AC447">
        <v>58701</v>
      </c>
      <c r="AD447">
        <v>6</v>
      </c>
      <c r="AE447">
        <v>0</v>
      </c>
      <c r="AI447">
        <v>19</v>
      </c>
      <c r="AJ447">
        <v>12</v>
      </c>
      <c r="AK447">
        <v>13</v>
      </c>
      <c r="AL447">
        <v>16</v>
      </c>
      <c r="AM447">
        <v>13</v>
      </c>
    </row>
    <row r="448" spans="1:41" x14ac:dyDescent="0.2">
      <c r="A448">
        <v>3080</v>
      </c>
      <c r="B448">
        <v>41058</v>
      </c>
      <c r="C448" s="1">
        <v>45213</v>
      </c>
      <c r="D448" s="1">
        <v>21290</v>
      </c>
      <c r="E448">
        <v>65.5</v>
      </c>
      <c r="F448">
        <v>3</v>
      </c>
      <c r="G448">
        <v>1</v>
      </c>
      <c r="H448">
        <v>0</v>
      </c>
      <c r="I448">
        <v>0</v>
      </c>
      <c r="J448">
        <v>1</v>
      </c>
      <c r="K448">
        <v>8</v>
      </c>
      <c r="L448">
        <v>28</v>
      </c>
      <c r="M448">
        <v>3.4375</v>
      </c>
      <c r="N448">
        <v>11</v>
      </c>
      <c r="O448">
        <v>8</v>
      </c>
      <c r="P448">
        <v>7</v>
      </c>
      <c r="Q448">
        <v>2</v>
      </c>
      <c r="R448">
        <v>15</v>
      </c>
      <c r="S448">
        <v>12</v>
      </c>
      <c r="T448">
        <v>7</v>
      </c>
      <c r="U448">
        <v>1</v>
      </c>
      <c r="V448">
        <v>0</v>
      </c>
      <c r="W448">
        <v>6</v>
      </c>
      <c r="X448">
        <v>1</v>
      </c>
      <c r="AB448">
        <v>0</v>
      </c>
      <c r="AC448">
        <v>19140</v>
      </c>
      <c r="AD448">
        <v>6</v>
      </c>
      <c r="AE448">
        <v>0</v>
      </c>
      <c r="AI448">
        <v>13</v>
      </c>
      <c r="AJ448">
        <v>13</v>
      </c>
      <c r="AK448">
        <v>9</v>
      </c>
      <c r="AL448">
        <v>10</v>
      </c>
      <c r="AM448">
        <v>10</v>
      </c>
      <c r="AN448">
        <v>28</v>
      </c>
      <c r="AO448">
        <v>1.1666666666667</v>
      </c>
    </row>
    <row r="449" spans="1:41" x14ac:dyDescent="0.2">
      <c r="A449">
        <v>3084</v>
      </c>
      <c r="B449">
        <v>220295</v>
      </c>
      <c r="C449" s="1">
        <v>45222</v>
      </c>
      <c r="D449" s="1">
        <v>34956</v>
      </c>
      <c r="E449">
        <v>28.11</v>
      </c>
      <c r="F449">
        <v>4</v>
      </c>
      <c r="G449">
        <v>1</v>
      </c>
      <c r="H449">
        <v>1</v>
      </c>
      <c r="I449">
        <v>0</v>
      </c>
      <c r="J449">
        <v>0</v>
      </c>
      <c r="K449">
        <v>7</v>
      </c>
      <c r="L449">
        <v>0</v>
      </c>
      <c r="M449">
        <v>2.8125</v>
      </c>
      <c r="N449">
        <v>9</v>
      </c>
      <c r="O449">
        <v>1</v>
      </c>
      <c r="P449">
        <v>11</v>
      </c>
      <c r="Q449">
        <v>0</v>
      </c>
      <c r="R449">
        <v>18</v>
      </c>
      <c r="S449">
        <v>6</v>
      </c>
      <c r="T449">
        <v>3.8333333333333002</v>
      </c>
      <c r="U449">
        <v>5</v>
      </c>
      <c r="V449">
        <v>1</v>
      </c>
      <c r="W449">
        <v>4</v>
      </c>
      <c r="X449">
        <v>5</v>
      </c>
      <c r="AB449">
        <v>1</v>
      </c>
      <c r="AC449">
        <v>8822</v>
      </c>
      <c r="AD449">
        <v>4</v>
      </c>
      <c r="AE449">
        <v>0</v>
      </c>
      <c r="AI449">
        <v>12</v>
      </c>
      <c r="AJ449">
        <v>11</v>
      </c>
      <c r="AK449">
        <v>10</v>
      </c>
      <c r="AL449">
        <v>16</v>
      </c>
      <c r="AM449">
        <v>15</v>
      </c>
    </row>
    <row r="450" spans="1:41" x14ac:dyDescent="0.2">
      <c r="A450">
        <v>3089</v>
      </c>
      <c r="B450">
        <v>10392</v>
      </c>
      <c r="C450" s="1">
        <v>45213</v>
      </c>
      <c r="D450" s="1">
        <v>33741</v>
      </c>
      <c r="E450">
        <v>31.41</v>
      </c>
      <c r="F450">
        <v>4</v>
      </c>
      <c r="G450">
        <v>1</v>
      </c>
      <c r="H450">
        <v>5</v>
      </c>
      <c r="I450">
        <v>5</v>
      </c>
      <c r="J450">
        <v>0</v>
      </c>
      <c r="K450">
        <v>3</v>
      </c>
      <c r="L450">
        <v>25</v>
      </c>
      <c r="M450">
        <v>3.25</v>
      </c>
      <c r="N450">
        <v>12</v>
      </c>
      <c r="O450">
        <v>3</v>
      </c>
      <c r="P450">
        <v>9</v>
      </c>
      <c r="Q450">
        <v>2</v>
      </c>
      <c r="R450">
        <v>16</v>
      </c>
      <c r="S450">
        <v>10</v>
      </c>
      <c r="T450">
        <v>3.5</v>
      </c>
      <c r="U450">
        <v>6</v>
      </c>
      <c r="V450">
        <v>4</v>
      </c>
      <c r="W450">
        <v>9</v>
      </c>
      <c r="X450">
        <v>6</v>
      </c>
      <c r="AB450">
        <v>1</v>
      </c>
      <c r="AC450">
        <v>45050</v>
      </c>
      <c r="AD450">
        <v>9</v>
      </c>
      <c r="AE450">
        <v>0</v>
      </c>
      <c r="AI450">
        <v>16</v>
      </c>
      <c r="AJ450">
        <v>11</v>
      </c>
      <c r="AK450">
        <v>16</v>
      </c>
      <c r="AL450">
        <v>15</v>
      </c>
      <c r="AM450">
        <v>16</v>
      </c>
    </row>
    <row r="451" spans="1:41" x14ac:dyDescent="0.2">
      <c r="A451">
        <v>3092</v>
      </c>
      <c r="B451">
        <v>11602</v>
      </c>
      <c r="C451" s="1">
        <v>45213</v>
      </c>
      <c r="D451" s="1">
        <v>37565</v>
      </c>
      <c r="E451">
        <v>20.94</v>
      </c>
      <c r="F451">
        <v>3</v>
      </c>
      <c r="G451">
        <v>1</v>
      </c>
      <c r="H451">
        <v>3</v>
      </c>
      <c r="I451">
        <v>0</v>
      </c>
      <c r="J451">
        <v>1</v>
      </c>
      <c r="K451">
        <v>6</v>
      </c>
      <c r="L451">
        <v>0</v>
      </c>
      <c r="M451">
        <v>2.8125</v>
      </c>
      <c r="N451">
        <v>8</v>
      </c>
      <c r="O451">
        <v>5</v>
      </c>
      <c r="P451">
        <v>6</v>
      </c>
      <c r="Q451">
        <v>4</v>
      </c>
      <c r="R451">
        <v>15</v>
      </c>
      <c r="S451">
        <v>7</v>
      </c>
      <c r="T451">
        <v>3.6666666666666998</v>
      </c>
      <c r="U451">
        <v>4</v>
      </c>
      <c r="V451">
        <v>1</v>
      </c>
      <c r="W451">
        <v>4</v>
      </c>
      <c r="X451">
        <v>4</v>
      </c>
      <c r="AC451">
        <v>17046</v>
      </c>
      <c r="AD451">
        <v>4</v>
      </c>
      <c r="AE451">
        <v>0</v>
      </c>
      <c r="AI451">
        <v>13</v>
      </c>
      <c r="AJ451">
        <v>14</v>
      </c>
      <c r="AK451">
        <v>19</v>
      </c>
      <c r="AL451">
        <v>18</v>
      </c>
      <c r="AM451">
        <v>19</v>
      </c>
    </row>
    <row r="452" spans="1:41" x14ac:dyDescent="0.2">
      <c r="A452">
        <v>3093</v>
      </c>
      <c r="B452">
        <v>181174</v>
      </c>
      <c r="C452" s="1">
        <v>45213</v>
      </c>
      <c r="D452" s="1">
        <v>27367</v>
      </c>
      <c r="E452">
        <v>48.86</v>
      </c>
      <c r="F452">
        <v>4</v>
      </c>
      <c r="G452">
        <v>1</v>
      </c>
      <c r="H452">
        <v>2</v>
      </c>
      <c r="I452">
        <v>0</v>
      </c>
      <c r="J452">
        <v>0</v>
      </c>
      <c r="K452">
        <v>6</v>
      </c>
      <c r="L452">
        <v>32</v>
      </c>
      <c r="M452">
        <v>3.4375</v>
      </c>
      <c r="N452">
        <v>12</v>
      </c>
      <c r="O452">
        <v>5</v>
      </c>
      <c r="P452">
        <v>12</v>
      </c>
      <c r="Q452">
        <v>3</v>
      </c>
      <c r="R452">
        <v>18</v>
      </c>
      <c r="S452">
        <v>5</v>
      </c>
      <c r="T452">
        <v>3.75</v>
      </c>
      <c r="U452">
        <v>3</v>
      </c>
      <c r="V452">
        <v>1</v>
      </c>
      <c r="W452">
        <v>3</v>
      </c>
      <c r="X452">
        <v>3</v>
      </c>
      <c r="AB452">
        <v>1</v>
      </c>
      <c r="AC452">
        <v>8094</v>
      </c>
      <c r="AD452">
        <v>3</v>
      </c>
      <c r="AE452">
        <v>0</v>
      </c>
      <c r="AI452">
        <v>11</v>
      </c>
      <c r="AJ452">
        <v>13</v>
      </c>
      <c r="AK452">
        <v>13</v>
      </c>
      <c r="AL452">
        <v>16</v>
      </c>
      <c r="AM452">
        <v>15</v>
      </c>
    </row>
    <row r="453" spans="1:41" x14ac:dyDescent="0.2">
      <c r="A453">
        <v>3101</v>
      </c>
      <c r="B453">
        <v>120843</v>
      </c>
      <c r="C453" s="1">
        <v>45213</v>
      </c>
      <c r="D453" s="1">
        <v>15993</v>
      </c>
      <c r="E453">
        <v>80</v>
      </c>
      <c r="F453">
        <v>4</v>
      </c>
      <c r="G453">
        <v>0</v>
      </c>
      <c r="H453">
        <v>0</v>
      </c>
      <c r="I453">
        <v>0</v>
      </c>
      <c r="J453">
        <v>0</v>
      </c>
      <c r="K453">
        <v>8</v>
      </c>
      <c r="L453">
        <v>25</v>
      </c>
      <c r="M453">
        <v>2.8125</v>
      </c>
      <c r="N453">
        <v>10</v>
      </c>
      <c r="O453">
        <v>3</v>
      </c>
      <c r="P453">
        <v>9</v>
      </c>
      <c r="Q453">
        <v>1</v>
      </c>
      <c r="R453">
        <v>14</v>
      </c>
      <c r="S453">
        <v>8</v>
      </c>
      <c r="T453">
        <v>4.8333333333333304</v>
      </c>
      <c r="U453">
        <v>6</v>
      </c>
      <c r="V453">
        <v>2</v>
      </c>
      <c r="W453">
        <v>3</v>
      </c>
      <c r="X453">
        <v>6</v>
      </c>
      <c r="AB453">
        <v>1</v>
      </c>
      <c r="AC453">
        <v>17601</v>
      </c>
      <c r="AD453">
        <v>3</v>
      </c>
      <c r="AE453">
        <v>1</v>
      </c>
      <c r="AI453">
        <v>11</v>
      </c>
      <c r="AJ453">
        <v>11</v>
      </c>
      <c r="AK453">
        <v>10</v>
      </c>
      <c r="AL453">
        <v>14</v>
      </c>
      <c r="AM453">
        <v>13</v>
      </c>
      <c r="AN453">
        <v>5</v>
      </c>
      <c r="AO453">
        <v>1.9166666666666601</v>
      </c>
    </row>
    <row r="454" spans="1:41" x14ac:dyDescent="0.2">
      <c r="A454">
        <v>3103</v>
      </c>
      <c r="B454">
        <v>10899</v>
      </c>
      <c r="C454" s="1">
        <v>45213</v>
      </c>
      <c r="D454" s="1">
        <v>36312</v>
      </c>
      <c r="E454">
        <v>24.37</v>
      </c>
      <c r="F454">
        <v>4</v>
      </c>
      <c r="G454">
        <v>2</v>
      </c>
      <c r="H454">
        <v>2</v>
      </c>
      <c r="I454">
        <v>6</v>
      </c>
      <c r="J454">
        <v>3</v>
      </c>
      <c r="K454">
        <v>12</v>
      </c>
      <c r="L454">
        <v>0</v>
      </c>
      <c r="M454">
        <v>3.25</v>
      </c>
      <c r="N454">
        <v>5</v>
      </c>
      <c r="O454">
        <v>6</v>
      </c>
      <c r="P454">
        <v>10</v>
      </c>
      <c r="Q454">
        <v>9</v>
      </c>
      <c r="R454">
        <v>16</v>
      </c>
      <c r="S454">
        <v>6</v>
      </c>
      <c r="T454">
        <v>3.1666666666666998</v>
      </c>
      <c r="U454">
        <v>5</v>
      </c>
      <c r="V454">
        <v>3</v>
      </c>
      <c r="W454">
        <v>6</v>
      </c>
      <c r="X454">
        <v>5</v>
      </c>
      <c r="AB454">
        <v>4</v>
      </c>
      <c r="AC454">
        <v>8551</v>
      </c>
      <c r="AD454">
        <v>6</v>
      </c>
      <c r="AE454">
        <v>1</v>
      </c>
      <c r="AI454">
        <v>13</v>
      </c>
      <c r="AJ454">
        <v>13</v>
      </c>
      <c r="AK454">
        <v>9</v>
      </c>
      <c r="AL454">
        <v>14</v>
      </c>
      <c r="AM454">
        <v>12</v>
      </c>
    </row>
    <row r="455" spans="1:41" x14ac:dyDescent="0.2">
      <c r="A455">
        <v>3107</v>
      </c>
      <c r="B455">
        <v>100803</v>
      </c>
      <c r="C455" s="1">
        <v>45213</v>
      </c>
      <c r="D455" s="1">
        <v>37734</v>
      </c>
      <c r="E455">
        <v>20.48</v>
      </c>
      <c r="F455">
        <v>3</v>
      </c>
      <c r="G455">
        <v>1</v>
      </c>
      <c r="H455">
        <v>1</v>
      </c>
      <c r="I455">
        <v>0</v>
      </c>
      <c r="J455">
        <v>2</v>
      </c>
      <c r="K455">
        <v>12</v>
      </c>
      <c r="L455">
        <v>0</v>
      </c>
      <c r="M455">
        <v>3.75</v>
      </c>
      <c r="N455">
        <v>5</v>
      </c>
      <c r="O455">
        <v>12</v>
      </c>
      <c r="P455">
        <v>12</v>
      </c>
      <c r="Q455">
        <v>12</v>
      </c>
      <c r="R455">
        <v>15</v>
      </c>
      <c r="S455">
        <v>4</v>
      </c>
      <c r="T455">
        <v>4.9166666666666998</v>
      </c>
      <c r="U455">
        <v>1</v>
      </c>
      <c r="V455">
        <v>0</v>
      </c>
      <c r="W455">
        <v>5</v>
      </c>
      <c r="X455">
        <v>1</v>
      </c>
      <c r="AC455">
        <v>7107</v>
      </c>
      <c r="AD455">
        <v>5</v>
      </c>
      <c r="AE455">
        <v>0</v>
      </c>
      <c r="AI455">
        <v>11</v>
      </c>
      <c r="AJ455">
        <v>9</v>
      </c>
      <c r="AK455">
        <v>13</v>
      </c>
      <c r="AL455">
        <v>12</v>
      </c>
      <c r="AM455">
        <v>13</v>
      </c>
    </row>
    <row r="456" spans="1:41" x14ac:dyDescent="0.2">
      <c r="A456">
        <v>3110</v>
      </c>
      <c r="B456">
        <v>41300</v>
      </c>
      <c r="C456" s="1">
        <v>45213</v>
      </c>
      <c r="D456" s="1">
        <v>36825</v>
      </c>
      <c r="E456">
        <v>22.97</v>
      </c>
      <c r="F456">
        <v>4</v>
      </c>
      <c r="G456">
        <v>2</v>
      </c>
      <c r="H456">
        <v>10</v>
      </c>
      <c r="I456">
        <v>4</v>
      </c>
      <c r="J456">
        <v>4</v>
      </c>
      <c r="K456">
        <v>12</v>
      </c>
      <c r="L456">
        <v>0</v>
      </c>
      <c r="M456">
        <v>3.625</v>
      </c>
      <c r="N456">
        <v>6</v>
      </c>
      <c r="O456">
        <v>12</v>
      </c>
      <c r="P456">
        <v>12</v>
      </c>
      <c r="Q456">
        <v>0</v>
      </c>
      <c r="R456">
        <v>18</v>
      </c>
      <c r="S456">
        <v>10</v>
      </c>
      <c r="T456">
        <v>2.75</v>
      </c>
      <c r="U456">
        <v>5</v>
      </c>
      <c r="V456">
        <v>2</v>
      </c>
      <c r="W456">
        <v>3</v>
      </c>
      <c r="X456">
        <v>5</v>
      </c>
      <c r="AB456">
        <v>0</v>
      </c>
      <c r="AC456">
        <v>21060</v>
      </c>
      <c r="AD456">
        <v>3</v>
      </c>
      <c r="AE456">
        <v>0</v>
      </c>
      <c r="AI456">
        <v>12</v>
      </c>
      <c r="AJ456">
        <v>11</v>
      </c>
      <c r="AK456">
        <v>15</v>
      </c>
      <c r="AL456">
        <v>12</v>
      </c>
      <c r="AM456">
        <v>13</v>
      </c>
    </row>
    <row r="457" spans="1:41" x14ac:dyDescent="0.2">
      <c r="A457">
        <v>3112</v>
      </c>
      <c r="B457">
        <v>181996</v>
      </c>
      <c r="C457" s="1">
        <v>45213</v>
      </c>
      <c r="D457" s="1">
        <v>35317</v>
      </c>
      <c r="E457">
        <v>27.09</v>
      </c>
      <c r="F457">
        <v>4</v>
      </c>
      <c r="G457">
        <v>1</v>
      </c>
      <c r="H457">
        <v>0</v>
      </c>
      <c r="I457">
        <v>0</v>
      </c>
      <c r="J457">
        <v>5</v>
      </c>
      <c r="K457">
        <v>16</v>
      </c>
      <c r="L457">
        <v>0</v>
      </c>
      <c r="M457">
        <v>3.125</v>
      </c>
      <c r="N457">
        <v>12</v>
      </c>
      <c r="O457">
        <v>0</v>
      </c>
      <c r="P457">
        <v>10</v>
      </c>
      <c r="Q457">
        <v>1</v>
      </c>
      <c r="R457">
        <v>18</v>
      </c>
      <c r="S457">
        <v>9</v>
      </c>
      <c r="T457">
        <v>5.3333333333333002</v>
      </c>
      <c r="U457">
        <v>6</v>
      </c>
      <c r="V457">
        <v>2</v>
      </c>
      <c r="W457">
        <v>8</v>
      </c>
      <c r="X457">
        <v>6</v>
      </c>
      <c r="AC457">
        <v>46074</v>
      </c>
      <c r="AD457">
        <v>8</v>
      </c>
      <c r="AE457">
        <v>1</v>
      </c>
      <c r="AI457">
        <v>10</v>
      </c>
      <c r="AJ457">
        <v>10</v>
      </c>
      <c r="AK457">
        <v>10</v>
      </c>
      <c r="AL457">
        <v>16</v>
      </c>
      <c r="AM457">
        <v>17</v>
      </c>
    </row>
    <row r="458" spans="1:41" x14ac:dyDescent="0.2">
      <c r="A458">
        <v>3115</v>
      </c>
      <c r="B458">
        <v>120378</v>
      </c>
      <c r="C458" s="1">
        <v>45213</v>
      </c>
      <c r="D458" s="1">
        <v>28619</v>
      </c>
      <c r="E458">
        <v>45.43</v>
      </c>
      <c r="F458">
        <v>4</v>
      </c>
      <c r="G458">
        <v>1</v>
      </c>
      <c r="H458">
        <v>0</v>
      </c>
      <c r="I458">
        <v>0</v>
      </c>
      <c r="J458">
        <v>0</v>
      </c>
      <c r="K458">
        <v>5</v>
      </c>
      <c r="L458">
        <v>27</v>
      </c>
      <c r="M458">
        <v>3.1875</v>
      </c>
      <c r="N458">
        <v>12</v>
      </c>
      <c r="O458">
        <v>6</v>
      </c>
      <c r="P458">
        <v>8</v>
      </c>
      <c r="Q458">
        <v>1</v>
      </c>
      <c r="R458">
        <v>15</v>
      </c>
      <c r="S458">
        <v>9</v>
      </c>
      <c r="T458">
        <v>4.0833333333333002</v>
      </c>
      <c r="U458">
        <v>5</v>
      </c>
      <c r="V458">
        <v>6</v>
      </c>
      <c r="W458">
        <v>6</v>
      </c>
      <c r="X458">
        <v>5</v>
      </c>
      <c r="AB458">
        <v>4</v>
      </c>
      <c r="AC458">
        <v>19446</v>
      </c>
      <c r="AD458">
        <v>6</v>
      </c>
      <c r="AE458">
        <v>0</v>
      </c>
      <c r="AI458">
        <v>12</v>
      </c>
      <c r="AJ458">
        <v>12</v>
      </c>
      <c r="AK458">
        <v>12</v>
      </c>
      <c r="AL458">
        <v>11</v>
      </c>
      <c r="AM458">
        <v>14</v>
      </c>
    </row>
    <row r="459" spans="1:41" x14ac:dyDescent="0.2">
      <c r="A459">
        <v>3116</v>
      </c>
      <c r="B459">
        <v>191881</v>
      </c>
      <c r="C459" s="1">
        <v>45214</v>
      </c>
      <c r="D459" s="1">
        <v>29714</v>
      </c>
      <c r="E459">
        <v>42.44</v>
      </c>
      <c r="F459">
        <v>4</v>
      </c>
      <c r="G459">
        <v>1</v>
      </c>
      <c r="H459">
        <v>2</v>
      </c>
      <c r="I459">
        <v>0</v>
      </c>
      <c r="J459">
        <v>1</v>
      </c>
      <c r="K459">
        <v>10</v>
      </c>
      <c r="L459">
        <v>29</v>
      </c>
      <c r="M459">
        <v>3.3125</v>
      </c>
      <c r="N459">
        <v>8</v>
      </c>
      <c r="O459">
        <v>9</v>
      </c>
      <c r="P459">
        <v>9</v>
      </c>
      <c r="Q459">
        <v>0</v>
      </c>
      <c r="R459">
        <v>18</v>
      </c>
      <c r="S459">
        <v>9</v>
      </c>
      <c r="T459">
        <v>5.3333333333333002</v>
      </c>
      <c r="U459">
        <v>6</v>
      </c>
      <c r="V459">
        <v>1</v>
      </c>
      <c r="W459">
        <v>5</v>
      </c>
      <c r="X459">
        <v>6</v>
      </c>
      <c r="AB459">
        <v>1</v>
      </c>
      <c r="AC459">
        <v>23456</v>
      </c>
      <c r="AD459">
        <v>5</v>
      </c>
      <c r="AE459">
        <v>1</v>
      </c>
      <c r="AI459">
        <v>16</v>
      </c>
      <c r="AJ459">
        <v>12</v>
      </c>
      <c r="AK459">
        <v>7</v>
      </c>
      <c r="AL459">
        <v>13</v>
      </c>
      <c r="AM459">
        <v>16</v>
      </c>
    </row>
    <row r="460" spans="1:41" x14ac:dyDescent="0.2">
      <c r="A460">
        <v>3121</v>
      </c>
      <c r="B460">
        <v>131172</v>
      </c>
      <c r="C460" s="1">
        <v>45214</v>
      </c>
      <c r="D460" s="1">
        <v>26474</v>
      </c>
      <c r="E460">
        <v>51.31</v>
      </c>
      <c r="F460">
        <v>4</v>
      </c>
      <c r="G460">
        <v>1</v>
      </c>
      <c r="H460">
        <v>6</v>
      </c>
      <c r="I460">
        <v>4</v>
      </c>
      <c r="J460">
        <v>2</v>
      </c>
      <c r="K460">
        <v>11</v>
      </c>
      <c r="L460">
        <v>28</v>
      </c>
      <c r="M460">
        <v>3.5</v>
      </c>
      <c r="N460">
        <v>12</v>
      </c>
      <c r="O460">
        <v>7</v>
      </c>
      <c r="P460">
        <v>9</v>
      </c>
      <c r="Q460">
        <v>2</v>
      </c>
      <c r="R460">
        <v>14</v>
      </c>
      <c r="S460">
        <v>12</v>
      </c>
      <c r="T460">
        <v>7</v>
      </c>
      <c r="U460">
        <v>5</v>
      </c>
      <c r="V460">
        <v>2</v>
      </c>
      <c r="W460">
        <v>6</v>
      </c>
      <c r="X460">
        <v>5</v>
      </c>
      <c r="AB460">
        <v>0</v>
      </c>
      <c r="AC460">
        <v>19106</v>
      </c>
      <c r="AD460">
        <v>6</v>
      </c>
      <c r="AE460">
        <v>0</v>
      </c>
      <c r="AI460">
        <v>16</v>
      </c>
      <c r="AJ460">
        <v>9</v>
      </c>
      <c r="AK460">
        <v>10</v>
      </c>
      <c r="AL460">
        <v>12</v>
      </c>
      <c r="AM460">
        <v>14</v>
      </c>
    </row>
    <row r="461" spans="1:41" x14ac:dyDescent="0.2">
      <c r="A461">
        <v>3124</v>
      </c>
      <c r="B461">
        <v>40881</v>
      </c>
      <c r="C461" s="1">
        <v>45214</v>
      </c>
      <c r="D461" s="1">
        <v>29694</v>
      </c>
      <c r="E461">
        <v>42.49</v>
      </c>
      <c r="F461">
        <v>3</v>
      </c>
      <c r="G461">
        <v>1</v>
      </c>
      <c r="H461">
        <v>0</v>
      </c>
      <c r="I461">
        <v>0</v>
      </c>
      <c r="J461">
        <v>1</v>
      </c>
      <c r="K461">
        <v>4</v>
      </c>
      <c r="L461">
        <v>25</v>
      </c>
      <c r="M461">
        <v>2.8125</v>
      </c>
      <c r="N461">
        <v>11</v>
      </c>
      <c r="O461">
        <v>2</v>
      </c>
      <c r="P461">
        <v>8</v>
      </c>
      <c r="Q461">
        <v>0</v>
      </c>
      <c r="R461">
        <v>16</v>
      </c>
      <c r="S461">
        <v>8</v>
      </c>
      <c r="T461">
        <v>4.25</v>
      </c>
      <c r="U461">
        <v>6</v>
      </c>
      <c r="V461">
        <v>1</v>
      </c>
      <c r="W461">
        <v>6</v>
      </c>
      <c r="X461">
        <v>6</v>
      </c>
      <c r="AB461">
        <v>1</v>
      </c>
      <c r="AC461">
        <v>8046</v>
      </c>
      <c r="AD461">
        <v>6</v>
      </c>
      <c r="AE461">
        <v>0</v>
      </c>
      <c r="AI461">
        <v>18</v>
      </c>
      <c r="AJ461">
        <v>12</v>
      </c>
      <c r="AK461">
        <v>20</v>
      </c>
      <c r="AL461">
        <v>20</v>
      </c>
      <c r="AM461">
        <v>17</v>
      </c>
    </row>
    <row r="462" spans="1:41" x14ac:dyDescent="0.2">
      <c r="A462">
        <v>3125</v>
      </c>
      <c r="B462">
        <v>191895</v>
      </c>
      <c r="C462" s="1">
        <v>45214</v>
      </c>
      <c r="D462" s="1">
        <v>35058</v>
      </c>
      <c r="E462">
        <v>27.81</v>
      </c>
      <c r="F462">
        <v>4</v>
      </c>
      <c r="G462">
        <v>1</v>
      </c>
      <c r="H462">
        <v>2</v>
      </c>
      <c r="I462">
        <v>0</v>
      </c>
      <c r="J462">
        <v>0</v>
      </c>
      <c r="K462">
        <v>5</v>
      </c>
      <c r="L462">
        <v>0</v>
      </c>
      <c r="M462">
        <v>3</v>
      </c>
      <c r="N462">
        <v>6</v>
      </c>
      <c r="O462">
        <v>0</v>
      </c>
      <c r="P462">
        <v>12</v>
      </c>
      <c r="Q462">
        <v>2</v>
      </c>
      <c r="R462">
        <v>17</v>
      </c>
      <c r="S462">
        <v>11</v>
      </c>
      <c r="T462">
        <v>4.25</v>
      </c>
      <c r="U462">
        <v>4</v>
      </c>
      <c r="V462">
        <v>4</v>
      </c>
      <c r="W462">
        <v>6</v>
      </c>
      <c r="X462">
        <v>4</v>
      </c>
      <c r="AB462">
        <v>0</v>
      </c>
      <c r="AC462">
        <v>91744</v>
      </c>
      <c r="AD462">
        <v>6</v>
      </c>
      <c r="AE462">
        <v>0</v>
      </c>
      <c r="AI462">
        <v>11</v>
      </c>
      <c r="AJ462">
        <v>12</v>
      </c>
      <c r="AK462">
        <v>16</v>
      </c>
      <c r="AL462">
        <v>14</v>
      </c>
      <c r="AM462">
        <v>10</v>
      </c>
    </row>
    <row r="463" spans="1:41" x14ac:dyDescent="0.2">
      <c r="A463">
        <v>3127</v>
      </c>
      <c r="B463">
        <v>130399</v>
      </c>
      <c r="C463" s="1">
        <v>45214</v>
      </c>
      <c r="D463" s="1">
        <v>36279</v>
      </c>
      <c r="E463">
        <v>24.46</v>
      </c>
      <c r="F463">
        <v>1</v>
      </c>
      <c r="G463">
        <v>2</v>
      </c>
      <c r="H463">
        <v>1</v>
      </c>
      <c r="I463">
        <v>0</v>
      </c>
      <c r="J463">
        <v>0</v>
      </c>
      <c r="K463">
        <v>3</v>
      </c>
      <c r="L463">
        <v>28</v>
      </c>
      <c r="M463">
        <v>3.8125</v>
      </c>
      <c r="N463">
        <v>11</v>
      </c>
      <c r="O463">
        <v>12</v>
      </c>
      <c r="P463">
        <v>11</v>
      </c>
      <c r="Q463">
        <v>1</v>
      </c>
      <c r="R463">
        <v>15</v>
      </c>
      <c r="S463">
        <v>11</v>
      </c>
      <c r="T463">
        <v>5.5</v>
      </c>
      <c r="U463">
        <v>5</v>
      </c>
      <c r="V463">
        <v>3</v>
      </c>
      <c r="W463">
        <v>5</v>
      </c>
      <c r="X463">
        <v>5</v>
      </c>
      <c r="AC463">
        <v>8536</v>
      </c>
      <c r="AD463">
        <v>5</v>
      </c>
      <c r="AE463">
        <v>0</v>
      </c>
      <c r="AI463">
        <v>14</v>
      </c>
      <c r="AJ463">
        <v>11</v>
      </c>
      <c r="AK463">
        <v>8</v>
      </c>
      <c r="AL463">
        <v>13</v>
      </c>
      <c r="AM463">
        <v>13</v>
      </c>
    </row>
    <row r="464" spans="1:41" x14ac:dyDescent="0.2">
      <c r="A464">
        <v>3134</v>
      </c>
      <c r="B464">
        <v>100201</v>
      </c>
      <c r="C464" s="1">
        <v>45214</v>
      </c>
      <c r="D464" s="1">
        <v>37018</v>
      </c>
      <c r="E464">
        <v>22.44</v>
      </c>
      <c r="F464">
        <v>4</v>
      </c>
      <c r="G464">
        <v>0</v>
      </c>
      <c r="H464">
        <v>4</v>
      </c>
      <c r="I464">
        <v>0</v>
      </c>
      <c r="J464">
        <v>6</v>
      </c>
      <c r="K464">
        <v>11</v>
      </c>
      <c r="L464">
        <v>0</v>
      </c>
      <c r="M464">
        <v>3.1875</v>
      </c>
      <c r="N464">
        <v>7</v>
      </c>
      <c r="O464">
        <v>7</v>
      </c>
      <c r="P464">
        <v>9</v>
      </c>
      <c r="Q464">
        <v>3</v>
      </c>
      <c r="R464">
        <v>16</v>
      </c>
      <c r="S464">
        <v>9</v>
      </c>
      <c r="T464">
        <v>3.6666666666666998</v>
      </c>
      <c r="U464">
        <v>5</v>
      </c>
      <c r="V464">
        <v>1</v>
      </c>
      <c r="W464">
        <v>4</v>
      </c>
      <c r="X464">
        <v>5</v>
      </c>
      <c r="AB464">
        <v>0</v>
      </c>
      <c r="AC464">
        <v>11590</v>
      </c>
      <c r="AD464">
        <v>4</v>
      </c>
      <c r="AE464">
        <v>0</v>
      </c>
      <c r="AI464">
        <v>16</v>
      </c>
      <c r="AJ464">
        <v>13</v>
      </c>
      <c r="AK464">
        <v>13</v>
      </c>
      <c r="AL464">
        <v>15</v>
      </c>
      <c r="AM464">
        <v>17</v>
      </c>
    </row>
    <row r="465" spans="1:41" x14ac:dyDescent="0.2">
      <c r="A465">
        <v>3138</v>
      </c>
      <c r="B465">
        <v>120460</v>
      </c>
      <c r="C465" s="1">
        <v>45214</v>
      </c>
      <c r="D465" s="1">
        <v>22276</v>
      </c>
      <c r="E465">
        <v>62.8</v>
      </c>
      <c r="F465">
        <v>4</v>
      </c>
      <c r="G465">
        <v>1</v>
      </c>
      <c r="H465">
        <v>3</v>
      </c>
      <c r="I465">
        <v>0</v>
      </c>
      <c r="J465">
        <v>0</v>
      </c>
      <c r="K465">
        <v>4</v>
      </c>
      <c r="L465">
        <v>0</v>
      </c>
      <c r="M465">
        <v>4</v>
      </c>
      <c r="N465">
        <v>12</v>
      </c>
      <c r="O465">
        <v>10</v>
      </c>
      <c r="P465">
        <v>12</v>
      </c>
      <c r="Q465">
        <v>0</v>
      </c>
      <c r="R465">
        <v>18</v>
      </c>
      <c r="S465">
        <v>12</v>
      </c>
      <c r="T465">
        <v>7</v>
      </c>
      <c r="U465">
        <v>5</v>
      </c>
      <c r="V465">
        <v>3</v>
      </c>
      <c r="W465">
        <v>10</v>
      </c>
      <c r="X465">
        <v>5</v>
      </c>
      <c r="AB465">
        <v>0</v>
      </c>
      <c r="AC465">
        <v>21222</v>
      </c>
      <c r="AD465">
        <v>10</v>
      </c>
      <c r="AE465">
        <v>0</v>
      </c>
      <c r="AI465">
        <v>14</v>
      </c>
      <c r="AJ465">
        <v>13</v>
      </c>
      <c r="AK465">
        <v>17</v>
      </c>
      <c r="AL465">
        <v>17</v>
      </c>
      <c r="AM465">
        <v>13</v>
      </c>
      <c r="AN465">
        <v>0</v>
      </c>
      <c r="AO465">
        <v>1.1666666666667</v>
      </c>
    </row>
    <row r="466" spans="1:41" x14ac:dyDescent="0.2">
      <c r="A466">
        <v>3140</v>
      </c>
      <c r="B466">
        <v>31965</v>
      </c>
      <c r="C466" s="1">
        <v>45214</v>
      </c>
      <c r="D466" s="1">
        <v>23880</v>
      </c>
      <c r="E466">
        <v>58.41</v>
      </c>
      <c r="F466">
        <v>4</v>
      </c>
      <c r="G466">
        <v>1</v>
      </c>
      <c r="H466">
        <v>3</v>
      </c>
      <c r="I466">
        <v>0</v>
      </c>
      <c r="J466">
        <v>0</v>
      </c>
      <c r="K466">
        <v>7</v>
      </c>
      <c r="L466">
        <v>25</v>
      </c>
      <c r="M466">
        <v>3.625</v>
      </c>
      <c r="N466">
        <v>9</v>
      </c>
      <c r="O466">
        <v>10</v>
      </c>
      <c r="P466">
        <v>12</v>
      </c>
      <c r="Q466">
        <v>0</v>
      </c>
      <c r="R466">
        <v>18</v>
      </c>
      <c r="S466">
        <v>9</v>
      </c>
      <c r="T466">
        <v>4.6666666666666998</v>
      </c>
      <c r="U466">
        <v>5</v>
      </c>
      <c r="V466">
        <v>3</v>
      </c>
      <c r="W466">
        <v>5</v>
      </c>
      <c r="X466">
        <v>5</v>
      </c>
      <c r="AB466">
        <v>1</v>
      </c>
      <c r="AC466">
        <v>7470</v>
      </c>
      <c r="AD466">
        <v>5</v>
      </c>
      <c r="AE466">
        <v>0</v>
      </c>
      <c r="AI466">
        <v>13</v>
      </c>
      <c r="AJ466">
        <v>7</v>
      </c>
      <c r="AK466">
        <v>12</v>
      </c>
      <c r="AL466">
        <v>13</v>
      </c>
      <c r="AM466">
        <v>13</v>
      </c>
      <c r="AN466">
        <v>1</v>
      </c>
      <c r="AO466">
        <v>1.1666666666667</v>
      </c>
    </row>
    <row r="467" spans="1:41" x14ac:dyDescent="0.2">
      <c r="A467">
        <v>3143</v>
      </c>
      <c r="B467">
        <v>11968</v>
      </c>
      <c r="C467" s="1">
        <v>45214</v>
      </c>
      <c r="D467" s="1">
        <v>24949</v>
      </c>
      <c r="E467">
        <v>55.48</v>
      </c>
      <c r="F467">
        <v>4</v>
      </c>
      <c r="G467">
        <v>1</v>
      </c>
      <c r="H467">
        <v>1</v>
      </c>
      <c r="I467">
        <v>0</v>
      </c>
      <c r="J467">
        <v>4</v>
      </c>
      <c r="K467">
        <v>15</v>
      </c>
      <c r="L467">
        <v>28</v>
      </c>
      <c r="M467">
        <v>3.3125</v>
      </c>
      <c r="N467">
        <v>11</v>
      </c>
      <c r="O467">
        <v>7</v>
      </c>
      <c r="P467">
        <v>9</v>
      </c>
      <c r="Q467">
        <v>2</v>
      </c>
      <c r="R467">
        <v>15</v>
      </c>
      <c r="S467">
        <v>9</v>
      </c>
      <c r="T467">
        <v>3.25</v>
      </c>
      <c r="U467">
        <v>6</v>
      </c>
      <c r="V467">
        <v>0</v>
      </c>
      <c r="W467">
        <v>6</v>
      </c>
      <c r="X467">
        <v>6</v>
      </c>
      <c r="AB467">
        <v>0</v>
      </c>
      <c r="AC467">
        <v>19012</v>
      </c>
      <c r="AD467">
        <v>6</v>
      </c>
      <c r="AE467">
        <v>0</v>
      </c>
      <c r="AI467">
        <v>11</v>
      </c>
      <c r="AJ467">
        <v>12</v>
      </c>
      <c r="AK467">
        <v>8</v>
      </c>
      <c r="AL467">
        <v>15</v>
      </c>
      <c r="AM467">
        <v>17</v>
      </c>
      <c r="AN467">
        <v>7</v>
      </c>
      <c r="AO467">
        <v>3.6666666666666998</v>
      </c>
    </row>
    <row r="468" spans="1:41" x14ac:dyDescent="0.2">
      <c r="A468">
        <v>3145</v>
      </c>
      <c r="B468">
        <v>180267</v>
      </c>
      <c r="C468" s="1">
        <v>45214</v>
      </c>
      <c r="D468" s="1">
        <v>24541</v>
      </c>
      <c r="E468">
        <v>56.6</v>
      </c>
      <c r="F468">
        <v>4</v>
      </c>
      <c r="G468">
        <v>1</v>
      </c>
      <c r="H468">
        <v>5</v>
      </c>
      <c r="I468">
        <v>0</v>
      </c>
      <c r="J468">
        <v>0</v>
      </c>
      <c r="K468">
        <v>9</v>
      </c>
      <c r="L468">
        <v>0</v>
      </c>
      <c r="M468">
        <v>3.25</v>
      </c>
      <c r="N468">
        <v>9</v>
      </c>
      <c r="O468">
        <v>8</v>
      </c>
      <c r="P468">
        <v>9</v>
      </c>
      <c r="Q468">
        <v>2</v>
      </c>
      <c r="R468">
        <v>15</v>
      </c>
      <c r="S468">
        <v>9</v>
      </c>
      <c r="T468">
        <v>5.4166666666666998</v>
      </c>
      <c r="U468">
        <v>1</v>
      </c>
      <c r="V468">
        <v>0</v>
      </c>
      <c r="W468">
        <v>6</v>
      </c>
      <c r="X468">
        <v>1</v>
      </c>
      <c r="AB468">
        <v>1</v>
      </c>
      <c r="AC468">
        <v>19154</v>
      </c>
      <c r="AD468">
        <v>6</v>
      </c>
      <c r="AE468">
        <v>1</v>
      </c>
      <c r="AI468">
        <v>18</v>
      </c>
      <c r="AJ468">
        <v>9</v>
      </c>
      <c r="AK468">
        <v>13</v>
      </c>
      <c r="AL468">
        <v>13</v>
      </c>
      <c r="AM468">
        <v>14</v>
      </c>
      <c r="AN468">
        <v>29</v>
      </c>
      <c r="AO468">
        <v>1.25</v>
      </c>
    </row>
    <row r="469" spans="1:41" x14ac:dyDescent="0.2">
      <c r="A469">
        <v>3169</v>
      </c>
      <c r="B469">
        <v>31300</v>
      </c>
      <c r="C469" s="1">
        <v>45215</v>
      </c>
      <c r="D469" s="1">
        <v>36536</v>
      </c>
      <c r="E469">
        <v>23.76</v>
      </c>
      <c r="F469">
        <v>4</v>
      </c>
      <c r="G469">
        <v>1</v>
      </c>
      <c r="H469">
        <v>8</v>
      </c>
      <c r="I469">
        <v>9</v>
      </c>
      <c r="J469">
        <v>2</v>
      </c>
      <c r="K469">
        <v>10</v>
      </c>
      <c r="L469">
        <v>28</v>
      </c>
      <c r="M469">
        <v>3.25</v>
      </c>
      <c r="N469">
        <v>4</v>
      </c>
      <c r="O469">
        <v>6</v>
      </c>
      <c r="P469">
        <v>11</v>
      </c>
      <c r="Q469">
        <v>3</v>
      </c>
      <c r="R469">
        <v>18</v>
      </c>
      <c r="S469">
        <v>10</v>
      </c>
      <c r="T469">
        <v>5.9166666666666998</v>
      </c>
      <c r="U469">
        <v>5</v>
      </c>
      <c r="V469">
        <v>0</v>
      </c>
      <c r="W469">
        <v>4</v>
      </c>
      <c r="X469">
        <v>5</v>
      </c>
      <c r="AB469">
        <v>0</v>
      </c>
      <c r="AC469">
        <v>8610</v>
      </c>
      <c r="AD469">
        <v>4</v>
      </c>
      <c r="AE469">
        <v>0</v>
      </c>
      <c r="AI469">
        <v>17</v>
      </c>
      <c r="AJ469">
        <v>18</v>
      </c>
      <c r="AK469">
        <v>18</v>
      </c>
      <c r="AL469">
        <v>18</v>
      </c>
      <c r="AM469">
        <v>17</v>
      </c>
    </row>
    <row r="470" spans="1:41" x14ac:dyDescent="0.2">
      <c r="A470">
        <v>3171</v>
      </c>
      <c r="B470">
        <v>10897</v>
      </c>
      <c r="C470" s="1">
        <v>45215</v>
      </c>
      <c r="D470" s="1">
        <v>35486</v>
      </c>
      <c r="E470">
        <v>26.64</v>
      </c>
      <c r="F470">
        <v>1</v>
      </c>
      <c r="G470">
        <v>2</v>
      </c>
      <c r="H470">
        <v>0</v>
      </c>
      <c r="I470">
        <v>10</v>
      </c>
      <c r="J470">
        <v>1</v>
      </c>
      <c r="K470">
        <v>9</v>
      </c>
      <c r="L470">
        <v>27</v>
      </c>
      <c r="M470">
        <v>3.8125</v>
      </c>
      <c r="N470">
        <v>12</v>
      </c>
      <c r="O470">
        <v>6</v>
      </c>
      <c r="P470">
        <v>10</v>
      </c>
      <c r="Q470">
        <v>6</v>
      </c>
      <c r="R470">
        <v>15</v>
      </c>
      <c r="S470">
        <v>12</v>
      </c>
      <c r="T470">
        <v>5.25</v>
      </c>
      <c r="U470">
        <v>5</v>
      </c>
      <c r="V470">
        <v>0</v>
      </c>
      <c r="W470">
        <v>6</v>
      </c>
      <c r="X470">
        <v>5</v>
      </c>
      <c r="AB470">
        <v>1</v>
      </c>
      <c r="AC470">
        <v>45701</v>
      </c>
      <c r="AD470">
        <v>6</v>
      </c>
      <c r="AE470">
        <v>1</v>
      </c>
      <c r="AI470">
        <v>12</v>
      </c>
      <c r="AJ470">
        <v>17</v>
      </c>
      <c r="AK470">
        <v>15</v>
      </c>
      <c r="AL470">
        <v>14</v>
      </c>
      <c r="AM470">
        <v>20</v>
      </c>
    </row>
    <row r="471" spans="1:41" x14ac:dyDescent="0.2">
      <c r="A471">
        <v>3184</v>
      </c>
      <c r="B471">
        <v>101996</v>
      </c>
      <c r="C471" s="1">
        <v>45215</v>
      </c>
      <c r="D471" s="1">
        <v>35161</v>
      </c>
      <c r="E471">
        <v>27.53</v>
      </c>
      <c r="F471">
        <v>4</v>
      </c>
      <c r="G471">
        <v>1</v>
      </c>
      <c r="H471">
        <v>3</v>
      </c>
      <c r="I471">
        <v>5</v>
      </c>
      <c r="J471">
        <v>3</v>
      </c>
      <c r="K471">
        <v>15</v>
      </c>
      <c r="L471">
        <v>28</v>
      </c>
      <c r="M471">
        <v>2.625</v>
      </c>
      <c r="N471">
        <v>6</v>
      </c>
      <c r="O471">
        <v>6</v>
      </c>
      <c r="P471">
        <v>6</v>
      </c>
      <c r="Q471">
        <v>6</v>
      </c>
      <c r="R471">
        <v>12</v>
      </c>
      <c r="S471">
        <v>6</v>
      </c>
      <c r="T471">
        <v>6.6666666666666998</v>
      </c>
      <c r="U471">
        <v>5</v>
      </c>
      <c r="V471">
        <v>3</v>
      </c>
      <c r="W471">
        <v>6</v>
      </c>
      <c r="X471">
        <v>5</v>
      </c>
      <c r="AB471">
        <v>2</v>
      </c>
      <c r="AC471">
        <v>19015</v>
      </c>
      <c r="AD471">
        <v>6</v>
      </c>
      <c r="AE471">
        <v>1</v>
      </c>
      <c r="AI471">
        <v>15</v>
      </c>
      <c r="AJ471">
        <v>13</v>
      </c>
      <c r="AK471">
        <v>13</v>
      </c>
      <c r="AL471">
        <v>18</v>
      </c>
      <c r="AM471">
        <v>24</v>
      </c>
    </row>
    <row r="472" spans="1:41" x14ac:dyDescent="0.2">
      <c r="A472">
        <v>3195</v>
      </c>
      <c r="B472">
        <v>50894</v>
      </c>
      <c r="C472" s="1">
        <v>45215</v>
      </c>
      <c r="D472" s="1">
        <v>34597</v>
      </c>
      <c r="E472">
        <v>29.07</v>
      </c>
      <c r="F472">
        <v>3</v>
      </c>
      <c r="G472">
        <v>1</v>
      </c>
      <c r="H472">
        <v>2</v>
      </c>
      <c r="I472">
        <v>0</v>
      </c>
      <c r="J472">
        <v>0</v>
      </c>
      <c r="K472">
        <v>12</v>
      </c>
      <c r="L472">
        <v>0</v>
      </c>
      <c r="M472">
        <v>3.375</v>
      </c>
      <c r="N472">
        <v>9</v>
      </c>
      <c r="O472">
        <v>7</v>
      </c>
      <c r="P472">
        <v>9</v>
      </c>
      <c r="Q472">
        <v>2</v>
      </c>
      <c r="R472">
        <v>18</v>
      </c>
      <c r="S472">
        <v>9</v>
      </c>
      <c r="T472">
        <v>4.5833333333333002</v>
      </c>
      <c r="U472">
        <v>5</v>
      </c>
      <c r="V472">
        <v>3</v>
      </c>
      <c r="W472">
        <v>4</v>
      </c>
      <c r="X472">
        <v>5</v>
      </c>
      <c r="AD472">
        <v>4</v>
      </c>
      <c r="AE472">
        <v>1</v>
      </c>
      <c r="AI472">
        <v>12</v>
      </c>
      <c r="AJ472">
        <v>8</v>
      </c>
      <c r="AK472">
        <v>11</v>
      </c>
      <c r="AL472">
        <v>6</v>
      </c>
      <c r="AM472">
        <v>14</v>
      </c>
    </row>
    <row r="473" spans="1:41" x14ac:dyDescent="0.2">
      <c r="A473">
        <v>3208</v>
      </c>
      <c r="B473">
        <v>111968</v>
      </c>
      <c r="C473" s="1">
        <v>45215</v>
      </c>
      <c r="D473" s="1">
        <v>25171</v>
      </c>
      <c r="E473">
        <v>54.88</v>
      </c>
      <c r="F473">
        <v>4</v>
      </c>
      <c r="G473">
        <v>1</v>
      </c>
      <c r="H473">
        <v>5</v>
      </c>
      <c r="I473">
        <v>2</v>
      </c>
      <c r="J473">
        <v>0</v>
      </c>
      <c r="K473">
        <v>9</v>
      </c>
      <c r="L473">
        <v>0</v>
      </c>
      <c r="M473">
        <v>3</v>
      </c>
      <c r="N473">
        <v>12</v>
      </c>
      <c r="O473">
        <v>3</v>
      </c>
      <c r="P473">
        <v>9</v>
      </c>
      <c r="Q473">
        <v>0</v>
      </c>
      <c r="R473">
        <v>15</v>
      </c>
      <c r="S473">
        <v>9</v>
      </c>
      <c r="T473">
        <v>5.5833333333333002</v>
      </c>
      <c r="U473">
        <v>5</v>
      </c>
      <c r="V473">
        <v>5</v>
      </c>
      <c r="W473">
        <v>7</v>
      </c>
      <c r="X473">
        <v>5</v>
      </c>
      <c r="AB473">
        <v>2</v>
      </c>
      <c r="AC473">
        <v>19403</v>
      </c>
      <c r="AD473">
        <v>7</v>
      </c>
      <c r="AE473">
        <v>1</v>
      </c>
      <c r="AI473">
        <v>16</v>
      </c>
      <c r="AJ473">
        <v>16</v>
      </c>
      <c r="AK473">
        <v>17</v>
      </c>
      <c r="AL473">
        <v>16</v>
      </c>
      <c r="AM473">
        <v>15</v>
      </c>
    </row>
    <row r="474" spans="1:41" x14ac:dyDescent="0.2">
      <c r="A474">
        <v>3227</v>
      </c>
      <c r="B474">
        <v>220197</v>
      </c>
      <c r="C474" s="1">
        <v>45216</v>
      </c>
      <c r="D474" s="1">
        <v>35641</v>
      </c>
      <c r="E474">
        <v>26.22</v>
      </c>
      <c r="F474">
        <v>4</v>
      </c>
      <c r="G474">
        <v>1</v>
      </c>
      <c r="H474">
        <v>2</v>
      </c>
      <c r="I474">
        <v>18</v>
      </c>
      <c r="J474">
        <v>1</v>
      </c>
      <c r="K474">
        <v>10</v>
      </c>
      <c r="L474">
        <v>0</v>
      </c>
      <c r="M474">
        <v>4.125</v>
      </c>
      <c r="N474">
        <v>4</v>
      </c>
      <c r="O474">
        <v>11</v>
      </c>
      <c r="P474">
        <v>12</v>
      </c>
      <c r="Q474">
        <v>12</v>
      </c>
      <c r="R474">
        <v>15</v>
      </c>
      <c r="S474">
        <v>12</v>
      </c>
      <c r="T474">
        <v>4.25</v>
      </c>
      <c r="U474">
        <v>5</v>
      </c>
      <c r="V474">
        <v>4</v>
      </c>
      <c r="W474">
        <v>7</v>
      </c>
      <c r="X474">
        <v>5</v>
      </c>
      <c r="AB474">
        <v>0</v>
      </c>
      <c r="AC474">
        <v>19403</v>
      </c>
      <c r="AD474">
        <v>7</v>
      </c>
      <c r="AE474">
        <v>1</v>
      </c>
      <c r="AI474">
        <v>11</v>
      </c>
      <c r="AJ474">
        <v>10</v>
      </c>
      <c r="AK474">
        <v>22</v>
      </c>
      <c r="AL474">
        <v>12</v>
      </c>
      <c r="AM474">
        <v>17</v>
      </c>
    </row>
    <row r="475" spans="1:41" x14ac:dyDescent="0.2">
      <c r="A475">
        <v>3233</v>
      </c>
      <c r="B475">
        <v>180472</v>
      </c>
      <c r="C475" s="1">
        <v>45216</v>
      </c>
      <c r="D475" s="1">
        <v>26518</v>
      </c>
      <c r="E475">
        <v>51.19</v>
      </c>
      <c r="F475">
        <v>6</v>
      </c>
      <c r="G475">
        <v>0</v>
      </c>
      <c r="H475">
        <v>0</v>
      </c>
      <c r="I475">
        <v>0</v>
      </c>
      <c r="J475">
        <v>0</v>
      </c>
      <c r="K475">
        <v>7</v>
      </c>
      <c r="L475">
        <v>0</v>
      </c>
      <c r="M475">
        <v>3.625</v>
      </c>
      <c r="N475">
        <v>11</v>
      </c>
      <c r="O475">
        <v>8</v>
      </c>
      <c r="P475">
        <v>9</v>
      </c>
      <c r="Q475">
        <v>8</v>
      </c>
      <c r="R475">
        <v>12</v>
      </c>
      <c r="S475">
        <v>10</v>
      </c>
      <c r="T475">
        <v>3.9166666666666599</v>
      </c>
      <c r="U475">
        <v>1</v>
      </c>
      <c r="V475">
        <v>3</v>
      </c>
      <c r="W475">
        <v>5</v>
      </c>
      <c r="X475">
        <v>1</v>
      </c>
      <c r="AB475">
        <v>0</v>
      </c>
      <c r="AC475">
        <v>7652</v>
      </c>
      <c r="AD475">
        <v>5</v>
      </c>
      <c r="AE475">
        <v>0</v>
      </c>
      <c r="AI475">
        <v>13</v>
      </c>
      <c r="AJ475">
        <v>16</v>
      </c>
      <c r="AK475">
        <v>14</v>
      </c>
      <c r="AL475">
        <v>18</v>
      </c>
      <c r="AM475">
        <v>18</v>
      </c>
    </row>
    <row r="476" spans="1:41" x14ac:dyDescent="0.2">
      <c r="A476">
        <v>3240</v>
      </c>
      <c r="B476">
        <v>50189</v>
      </c>
      <c r="C476" s="1">
        <v>45216</v>
      </c>
      <c r="D476" s="1">
        <v>32709</v>
      </c>
      <c r="E476">
        <v>34.24</v>
      </c>
      <c r="F476">
        <v>4</v>
      </c>
      <c r="G476">
        <v>0</v>
      </c>
      <c r="H476">
        <v>1</v>
      </c>
      <c r="I476">
        <v>0</v>
      </c>
      <c r="J476">
        <v>4</v>
      </c>
      <c r="K476">
        <v>1</v>
      </c>
      <c r="L476">
        <v>0</v>
      </c>
      <c r="M476">
        <v>2.0625</v>
      </c>
      <c r="N476">
        <v>8</v>
      </c>
      <c r="O476">
        <v>0</v>
      </c>
      <c r="P476">
        <v>5</v>
      </c>
      <c r="Q476">
        <v>0</v>
      </c>
      <c r="R476">
        <v>18</v>
      </c>
      <c r="S476">
        <v>2</v>
      </c>
      <c r="T476">
        <v>0.33333333333333298</v>
      </c>
      <c r="U476">
        <v>5</v>
      </c>
      <c r="V476">
        <v>1</v>
      </c>
      <c r="W476">
        <v>6</v>
      </c>
      <c r="X476">
        <v>5</v>
      </c>
      <c r="AC476">
        <v>4401</v>
      </c>
      <c r="AD476">
        <v>6</v>
      </c>
      <c r="AE476">
        <v>1</v>
      </c>
      <c r="AI476">
        <v>19</v>
      </c>
      <c r="AJ476">
        <v>20</v>
      </c>
      <c r="AK476">
        <v>19</v>
      </c>
      <c r="AL476">
        <v>13</v>
      </c>
      <c r="AM476">
        <v>14</v>
      </c>
    </row>
    <row r="477" spans="1:41" x14ac:dyDescent="0.2">
      <c r="A477">
        <v>3241</v>
      </c>
      <c r="B477">
        <v>101362</v>
      </c>
      <c r="C477" s="1">
        <v>45216</v>
      </c>
      <c r="D477" s="1">
        <v>22726</v>
      </c>
      <c r="E477">
        <v>61.58</v>
      </c>
      <c r="F477">
        <v>4</v>
      </c>
      <c r="G477">
        <v>1</v>
      </c>
      <c r="H477">
        <v>0</v>
      </c>
      <c r="I477">
        <v>0</v>
      </c>
      <c r="J477">
        <v>0</v>
      </c>
      <c r="K477">
        <v>3</v>
      </c>
      <c r="L477">
        <v>24</v>
      </c>
      <c r="M477">
        <v>2.875</v>
      </c>
      <c r="N477">
        <v>11</v>
      </c>
      <c r="O477">
        <v>6</v>
      </c>
      <c r="P477">
        <v>9</v>
      </c>
      <c r="Q477">
        <v>1</v>
      </c>
      <c r="R477">
        <v>15</v>
      </c>
      <c r="S477">
        <v>4</v>
      </c>
      <c r="T477">
        <v>3.5</v>
      </c>
      <c r="U477">
        <v>6</v>
      </c>
      <c r="V477">
        <v>3</v>
      </c>
      <c r="W477">
        <v>4</v>
      </c>
      <c r="X477">
        <v>6</v>
      </c>
      <c r="AC477">
        <v>19050</v>
      </c>
      <c r="AD477">
        <v>4</v>
      </c>
      <c r="AE477">
        <v>0</v>
      </c>
      <c r="AI477">
        <v>13</v>
      </c>
      <c r="AJ477">
        <v>11</v>
      </c>
      <c r="AK477">
        <v>14</v>
      </c>
      <c r="AL477">
        <v>13</v>
      </c>
      <c r="AM477">
        <v>16</v>
      </c>
      <c r="AN477">
        <v>2</v>
      </c>
      <c r="AO477">
        <v>1</v>
      </c>
    </row>
    <row r="478" spans="1:41" x14ac:dyDescent="0.2">
      <c r="A478">
        <v>3242</v>
      </c>
      <c r="B478">
        <v>230346</v>
      </c>
      <c r="C478" s="1">
        <v>45218</v>
      </c>
      <c r="D478" s="1">
        <v>16886</v>
      </c>
      <c r="E478">
        <v>77.569999999999993</v>
      </c>
      <c r="F478">
        <v>5</v>
      </c>
      <c r="G478">
        <v>0</v>
      </c>
      <c r="H478">
        <v>7</v>
      </c>
      <c r="I478">
        <v>0</v>
      </c>
      <c r="J478">
        <v>0</v>
      </c>
      <c r="K478">
        <v>1</v>
      </c>
      <c r="L478">
        <v>26</v>
      </c>
      <c r="M478">
        <v>2.125</v>
      </c>
      <c r="N478">
        <v>6</v>
      </c>
      <c r="O478">
        <v>4</v>
      </c>
      <c r="P478">
        <v>3</v>
      </c>
      <c r="Q478">
        <v>0</v>
      </c>
      <c r="R478">
        <v>15</v>
      </c>
      <c r="S478">
        <v>6</v>
      </c>
      <c r="T478">
        <v>3.6666666666666998</v>
      </c>
      <c r="U478">
        <v>5</v>
      </c>
      <c r="V478">
        <v>2</v>
      </c>
      <c r="W478">
        <v>8</v>
      </c>
      <c r="X478">
        <v>5</v>
      </c>
      <c r="AB478">
        <v>1</v>
      </c>
      <c r="AC478">
        <v>46206</v>
      </c>
      <c r="AD478">
        <v>8</v>
      </c>
      <c r="AE478">
        <v>1</v>
      </c>
      <c r="AI478">
        <v>15</v>
      </c>
      <c r="AJ478">
        <v>16</v>
      </c>
      <c r="AK478">
        <v>7</v>
      </c>
      <c r="AL478">
        <v>14</v>
      </c>
      <c r="AM478">
        <v>14</v>
      </c>
      <c r="AN478">
        <v>30</v>
      </c>
      <c r="AO478">
        <v>1</v>
      </c>
    </row>
    <row r="479" spans="1:41" x14ac:dyDescent="0.2">
      <c r="A479">
        <v>3245</v>
      </c>
      <c r="B479">
        <v>131393</v>
      </c>
      <c r="C479" s="1">
        <v>45221</v>
      </c>
      <c r="D479" s="1">
        <v>34025</v>
      </c>
      <c r="E479">
        <v>30.65</v>
      </c>
      <c r="F479">
        <v>4</v>
      </c>
      <c r="G479">
        <v>1</v>
      </c>
      <c r="H479">
        <v>0</v>
      </c>
      <c r="I479">
        <v>0</v>
      </c>
      <c r="J479">
        <v>0</v>
      </c>
      <c r="K479">
        <v>6</v>
      </c>
      <c r="L479">
        <v>28</v>
      </c>
      <c r="M479">
        <v>3.125</v>
      </c>
      <c r="N479">
        <v>12</v>
      </c>
      <c r="O479">
        <v>0</v>
      </c>
      <c r="P479">
        <v>12</v>
      </c>
      <c r="Q479">
        <v>2</v>
      </c>
      <c r="R479">
        <v>12</v>
      </c>
      <c r="S479">
        <v>12</v>
      </c>
      <c r="T479">
        <v>3.5833333333333002</v>
      </c>
      <c r="U479">
        <v>5</v>
      </c>
      <c r="V479">
        <v>2</v>
      </c>
      <c r="W479">
        <v>6</v>
      </c>
      <c r="X479">
        <v>5</v>
      </c>
      <c r="AC479">
        <v>80242</v>
      </c>
      <c r="AD479">
        <v>6</v>
      </c>
      <c r="AE479">
        <v>0</v>
      </c>
      <c r="AI479">
        <v>11</v>
      </c>
      <c r="AJ479">
        <v>14</v>
      </c>
      <c r="AK479">
        <v>8</v>
      </c>
      <c r="AL479">
        <v>11</v>
      </c>
      <c r="AM479">
        <v>21</v>
      </c>
    </row>
    <row r="480" spans="1:41" x14ac:dyDescent="0.2">
      <c r="A480">
        <v>3246</v>
      </c>
      <c r="B480">
        <v>190463</v>
      </c>
      <c r="C480" s="1">
        <v>45223</v>
      </c>
      <c r="D480" s="1">
        <v>23132</v>
      </c>
      <c r="E480">
        <v>60.48</v>
      </c>
      <c r="F480">
        <v>4</v>
      </c>
      <c r="G480">
        <v>0</v>
      </c>
      <c r="H480">
        <v>2</v>
      </c>
      <c r="I480">
        <v>0</v>
      </c>
      <c r="J480">
        <v>0</v>
      </c>
      <c r="K480">
        <v>5</v>
      </c>
      <c r="L480">
        <v>0</v>
      </c>
      <c r="M480">
        <v>4.125</v>
      </c>
      <c r="N480">
        <v>12</v>
      </c>
      <c r="O480">
        <v>12</v>
      </c>
      <c r="P480">
        <v>12</v>
      </c>
      <c r="Q480">
        <v>0</v>
      </c>
      <c r="R480">
        <v>18</v>
      </c>
      <c r="S480">
        <v>12</v>
      </c>
      <c r="T480">
        <v>7</v>
      </c>
      <c r="U480">
        <v>5</v>
      </c>
      <c r="V480">
        <v>3</v>
      </c>
      <c r="W480">
        <v>5</v>
      </c>
      <c r="X480">
        <v>5</v>
      </c>
      <c r="AB480">
        <v>2</v>
      </c>
      <c r="AC480">
        <v>19145</v>
      </c>
      <c r="AD480">
        <v>5</v>
      </c>
      <c r="AE480">
        <v>0</v>
      </c>
      <c r="AI480">
        <v>13</v>
      </c>
      <c r="AJ480">
        <v>8</v>
      </c>
      <c r="AK480">
        <v>8</v>
      </c>
      <c r="AL480">
        <v>14</v>
      </c>
      <c r="AM480">
        <v>15</v>
      </c>
      <c r="AN480">
        <v>30</v>
      </c>
      <c r="AO480">
        <v>1</v>
      </c>
    </row>
    <row r="481" spans="1:40" x14ac:dyDescent="0.2">
      <c r="A481">
        <v>3252</v>
      </c>
      <c r="C481" s="1">
        <v>45229</v>
      </c>
      <c r="D481" s="1">
        <v>37141</v>
      </c>
      <c r="E481">
        <v>22.14</v>
      </c>
      <c r="F481">
        <v>4</v>
      </c>
      <c r="G481">
        <v>1</v>
      </c>
      <c r="H481">
        <v>0</v>
      </c>
      <c r="I481">
        <v>0</v>
      </c>
      <c r="J481">
        <v>1</v>
      </c>
      <c r="K481">
        <v>11</v>
      </c>
      <c r="L481">
        <v>26</v>
      </c>
      <c r="M481">
        <v>3.125</v>
      </c>
      <c r="N481">
        <v>12</v>
      </c>
      <c r="O481">
        <v>4</v>
      </c>
      <c r="P481">
        <v>10</v>
      </c>
      <c r="Q481">
        <v>2</v>
      </c>
      <c r="R481">
        <v>15</v>
      </c>
      <c r="S481">
        <v>7</v>
      </c>
      <c r="T481">
        <v>4.5833333333333002</v>
      </c>
      <c r="U481">
        <v>4</v>
      </c>
      <c r="V481">
        <v>4</v>
      </c>
      <c r="W481">
        <v>6</v>
      </c>
      <c r="X481">
        <v>4</v>
      </c>
      <c r="AB481">
        <v>3</v>
      </c>
      <c r="AC481">
        <v>8251</v>
      </c>
      <c r="AD481">
        <v>6</v>
      </c>
      <c r="AE481">
        <v>0</v>
      </c>
      <c r="AI481">
        <v>9</v>
      </c>
      <c r="AJ481">
        <v>13</v>
      </c>
      <c r="AK481">
        <v>16</v>
      </c>
      <c r="AL481">
        <v>12</v>
      </c>
      <c r="AM481">
        <v>20</v>
      </c>
    </row>
    <row r="482" spans="1:40" x14ac:dyDescent="0.2">
      <c r="A482" t="s">
        <v>151</v>
      </c>
      <c r="J482">
        <v>3</v>
      </c>
      <c r="L482">
        <v>0</v>
      </c>
      <c r="O482">
        <v>999</v>
      </c>
      <c r="R482">
        <v>999</v>
      </c>
      <c r="U482">
        <v>5</v>
      </c>
      <c r="W482">
        <v>6</v>
      </c>
      <c r="X482">
        <v>5</v>
      </c>
      <c r="AD482">
        <v>6</v>
      </c>
      <c r="AE482">
        <v>1</v>
      </c>
    </row>
    <row r="483" spans="1:40" x14ac:dyDescent="0.2">
      <c r="A483" t="s">
        <v>182</v>
      </c>
      <c r="B483">
        <v>191960</v>
      </c>
      <c r="K483">
        <v>7</v>
      </c>
      <c r="O483">
        <v>999</v>
      </c>
      <c r="R483">
        <v>999</v>
      </c>
      <c r="U483">
        <v>4</v>
      </c>
      <c r="V483">
        <v>0</v>
      </c>
      <c r="X483">
        <v>4</v>
      </c>
      <c r="AB483">
        <v>0</v>
      </c>
      <c r="AC483">
        <v>19810</v>
      </c>
      <c r="AE483">
        <v>1</v>
      </c>
    </row>
    <row r="484" spans="1:40" x14ac:dyDescent="0.2">
      <c r="A484" t="s">
        <v>152</v>
      </c>
      <c r="B484">
        <v>11892</v>
      </c>
      <c r="C484" s="1">
        <v>45105</v>
      </c>
      <c r="D484" s="1">
        <v>33936</v>
      </c>
      <c r="E484">
        <v>30.58</v>
      </c>
      <c r="H484">
        <v>4</v>
      </c>
      <c r="I484">
        <v>0</v>
      </c>
      <c r="J484">
        <v>1</v>
      </c>
      <c r="L484">
        <v>0</v>
      </c>
      <c r="M484">
        <v>3.2777777777777999</v>
      </c>
      <c r="N484">
        <v>8</v>
      </c>
      <c r="O484">
        <v>999</v>
      </c>
      <c r="P484">
        <v>7</v>
      </c>
      <c r="Q484">
        <v>12</v>
      </c>
      <c r="R484">
        <v>999</v>
      </c>
      <c r="S484">
        <v>11</v>
      </c>
      <c r="U484">
        <v>1</v>
      </c>
      <c r="V484">
        <v>4</v>
      </c>
      <c r="W484">
        <v>6</v>
      </c>
      <c r="X484">
        <v>1</v>
      </c>
      <c r="AB484">
        <v>1</v>
      </c>
      <c r="AC484">
        <v>29651</v>
      </c>
      <c r="AD484">
        <v>6</v>
      </c>
      <c r="AE484">
        <v>1</v>
      </c>
    </row>
    <row r="485" spans="1:40" x14ac:dyDescent="0.2">
      <c r="A485" t="s">
        <v>153</v>
      </c>
      <c r="B485">
        <v>30791</v>
      </c>
      <c r="C485" s="1">
        <v>45105</v>
      </c>
      <c r="D485" s="1">
        <v>33288</v>
      </c>
      <c r="E485">
        <v>32.35</v>
      </c>
      <c r="H485">
        <v>9</v>
      </c>
      <c r="I485">
        <v>13</v>
      </c>
      <c r="J485">
        <v>3</v>
      </c>
      <c r="L485">
        <v>0</v>
      </c>
      <c r="M485">
        <v>3.5</v>
      </c>
      <c r="N485">
        <v>12</v>
      </c>
      <c r="O485">
        <v>999</v>
      </c>
      <c r="P485">
        <v>8</v>
      </c>
      <c r="Q485">
        <v>12</v>
      </c>
      <c r="R485">
        <v>999</v>
      </c>
      <c r="S485">
        <v>11</v>
      </c>
      <c r="T485">
        <v>4.5</v>
      </c>
      <c r="U485">
        <v>5</v>
      </c>
      <c r="V485">
        <v>1</v>
      </c>
      <c r="W485">
        <v>4</v>
      </c>
      <c r="X485">
        <v>5</v>
      </c>
      <c r="AC485">
        <v>19054</v>
      </c>
      <c r="AD485">
        <v>4</v>
      </c>
      <c r="AE485">
        <v>1</v>
      </c>
    </row>
    <row r="486" spans="1:40" x14ac:dyDescent="0.2">
      <c r="A486" t="s">
        <v>154</v>
      </c>
      <c r="B486">
        <v>42699</v>
      </c>
      <c r="C486" s="1">
        <v>45105</v>
      </c>
      <c r="D486" s="1">
        <v>36199</v>
      </c>
      <c r="E486">
        <v>24.38</v>
      </c>
      <c r="H486">
        <v>4</v>
      </c>
      <c r="I486">
        <v>4</v>
      </c>
      <c r="J486">
        <v>0</v>
      </c>
      <c r="L486">
        <v>0</v>
      </c>
      <c r="M486">
        <v>2.6111111111111001</v>
      </c>
      <c r="N486">
        <v>5</v>
      </c>
      <c r="O486">
        <v>999</v>
      </c>
      <c r="P486">
        <v>8</v>
      </c>
      <c r="Q486">
        <v>6</v>
      </c>
      <c r="R486">
        <v>999</v>
      </c>
      <c r="S486">
        <v>10</v>
      </c>
      <c r="T486">
        <v>4.75</v>
      </c>
      <c r="U486">
        <v>5</v>
      </c>
      <c r="V486">
        <v>1</v>
      </c>
      <c r="W486">
        <v>7</v>
      </c>
      <c r="X486">
        <v>5</v>
      </c>
      <c r="AD486">
        <v>7</v>
      </c>
      <c r="AE486">
        <v>1</v>
      </c>
    </row>
    <row r="487" spans="1:40" x14ac:dyDescent="0.2">
      <c r="A487" t="s">
        <v>155</v>
      </c>
      <c r="B487">
        <v>31265</v>
      </c>
      <c r="C487" s="1">
        <v>45047</v>
      </c>
      <c r="D487" s="1">
        <v>24037</v>
      </c>
      <c r="E487">
        <v>57.52</v>
      </c>
      <c r="H487">
        <v>1</v>
      </c>
      <c r="I487">
        <v>0</v>
      </c>
      <c r="J487">
        <v>2</v>
      </c>
      <c r="L487">
        <v>0</v>
      </c>
      <c r="M487">
        <v>2.7777777777777999</v>
      </c>
      <c r="N487">
        <v>12</v>
      </c>
      <c r="O487">
        <v>999</v>
      </c>
      <c r="P487">
        <v>8</v>
      </c>
      <c r="Q487">
        <v>4</v>
      </c>
      <c r="R487">
        <v>999</v>
      </c>
      <c r="S487">
        <v>12</v>
      </c>
      <c r="T487">
        <v>5</v>
      </c>
      <c r="U487">
        <v>5</v>
      </c>
      <c r="V487">
        <v>2</v>
      </c>
      <c r="W487">
        <v>8</v>
      </c>
      <c r="X487">
        <v>5</v>
      </c>
      <c r="AB487">
        <v>1</v>
      </c>
      <c r="AC487">
        <v>96118</v>
      </c>
      <c r="AD487">
        <v>8</v>
      </c>
      <c r="AE487">
        <v>1</v>
      </c>
      <c r="AN487">
        <v>0</v>
      </c>
    </row>
    <row r="488" spans="1:40" x14ac:dyDescent="0.2">
      <c r="A488" t="s">
        <v>156</v>
      </c>
      <c r="B488">
        <v>111978</v>
      </c>
      <c r="C488" s="1">
        <v>45105</v>
      </c>
      <c r="D488" s="1">
        <v>28713</v>
      </c>
      <c r="E488">
        <v>44.88</v>
      </c>
      <c r="H488">
        <v>3</v>
      </c>
      <c r="I488">
        <v>0</v>
      </c>
      <c r="J488">
        <v>1</v>
      </c>
      <c r="K488">
        <v>13</v>
      </c>
      <c r="L488">
        <v>21</v>
      </c>
      <c r="M488">
        <v>1.8888888888888999</v>
      </c>
      <c r="N488">
        <v>8</v>
      </c>
      <c r="O488">
        <v>999</v>
      </c>
      <c r="P488">
        <v>5</v>
      </c>
      <c r="Q488">
        <v>1</v>
      </c>
      <c r="R488">
        <v>999</v>
      </c>
      <c r="S488">
        <v>8</v>
      </c>
      <c r="T488">
        <v>4.0833333333333304</v>
      </c>
      <c r="U488">
        <v>5</v>
      </c>
      <c r="V488">
        <v>1</v>
      </c>
      <c r="W488">
        <v>6</v>
      </c>
      <c r="X488">
        <v>5</v>
      </c>
      <c r="AC488">
        <v>13210</v>
      </c>
      <c r="AD488">
        <v>6</v>
      </c>
      <c r="AE488">
        <v>1</v>
      </c>
    </row>
    <row r="489" spans="1:40" x14ac:dyDescent="0.2">
      <c r="A489" t="s">
        <v>157</v>
      </c>
      <c r="B489">
        <v>20286</v>
      </c>
      <c r="C489" s="1">
        <v>45105</v>
      </c>
      <c r="D489" s="1">
        <v>31748</v>
      </c>
      <c r="E489">
        <v>36.57</v>
      </c>
      <c r="H489">
        <v>3</v>
      </c>
      <c r="I489">
        <v>2</v>
      </c>
      <c r="J489">
        <v>2</v>
      </c>
      <c r="L489">
        <v>28</v>
      </c>
      <c r="M489">
        <v>2</v>
      </c>
      <c r="N489">
        <v>3</v>
      </c>
      <c r="O489">
        <v>999</v>
      </c>
      <c r="P489">
        <v>8</v>
      </c>
      <c r="Q489">
        <v>0</v>
      </c>
      <c r="R489">
        <v>999</v>
      </c>
      <c r="S489">
        <v>7</v>
      </c>
      <c r="T489">
        <v>3.25</v>
      </c>
      <c r="U489">
        <v>4</v>
      </c>
      <c r="V489">
        <v>1</v>
      </c>
      <c r="W489">
        <v>3</v>
      </c>
      <c r="X489">
        <v>4</v>
      </c>
      <c r="AC489">
        <v>8081</v>
      </c>
      <c r="AD489">
        <v>3</v>
      </c>
      <c r="AE489">
        <v>1</v>
      </c>
    </row>
    <row r="490" spans="1:40" x14ac:dyDescent="0.2">
      <c r="A490" t="s">
        <v>158</v>
      </c>
      <c r="H490">
        <v>3</v>
      </c>
      <c r="I490">
        <v>2</v>
      </c>
      <c r="J490">
        <v>1</v>
      </c>
      <c r="L490">
        <v>27</v>
      </c>
      <c r="M490">
        <v>2.4444444444443998</v>
      </c>
      <c r="N490">
        <v>11</v>
      </c>
      <c r="O490">
        <v>999</v>
      </c>
      <c r="P490">
        <v>6</v>
      </c>
      <c r="Q490">
        <v>0</v>
      </c>
      <c r="R490">
        <v>999</v>
      </c>
      <c r="S490">
        <v>10</v>
      </c>
      <c r="T490">
        <v>4.25</v>
      </c>
      <c r="U490">
        <v>6</v>
      </c>
      <c r="V490">
        <v>1</v>
      </c>
      <c r="W490">
        <v>8</v>
      </c>
      <c r="X490">
        <v>6</v>
      </c>
      <c r="AB490">
        <v>1</v>
      </c>
      <c r="AC490">
        <v>44112</v>
      </c>
      <c r="AD490">
        <v>8</v>
      </c>
      <c r="AE490">
        <v>1</v>
      </c>
      <c r="AN490">
        <v>1</v>
      </c>
    </row>
    <row r="491" spans="1:40" x14ac:dyDescent="0.2">
      <c r="A491" t="s">
        <v>159</v>
      </c>
      <c r="B491">
        <v>100359</v>
      </c>
      <c r="C491" s="1">
        <v>45105</v>
      </c>
      <c r="D491" s="1">
        <v>21800</v>
      </c>
      <c r="E491">
        <v>63.81</v>
      </c>
      <c r="H491">
        <v>1</v>
      </c>
      <c r="I491">
        <v>0</v>
      </c>
      <c r="J491">
        <v>4</v>
      </c>
      <c r="L491">
        <v>40</v>
      </c>
      <c r="M491">
        <v>2.1666666666666998</v>
      </c>
      <c r="N491">
        <v>10</v>
      </c>
      <c r="O491">
        <v>999</v>
      </c>
      <c r="P491">
        <v>6</v>
      </c>
      <c r="Q491">
        <v>5</v>
      </c>
      <c r="R491">
        <v>999</v>
      </c>
      <c r="S491">
        <v>9</v>
      </c>
      <c r="T491">
        <v>2.8333333333333299</v>
      </c>
      <c r="U491">
        <v>1</v>
      </c>
      <c r="V491">
        <v>0</v>
      </c>
      <c r="W491">
        <v>5</v>
      </c>
      <c r="X491">
        <v>1</v>
      </c>
      <c r="AD491">
        <v>5</v>
      </c>
      <c r="AE491">
        <v>1</v>
      </c>
      <c r="AN491">
        <v>0</v>
      </c>
    </row>
    <row r="492" spans="1:40" x14ac:dyDescent="0.2">
      <c r="A492" t="s">
        <v>160</v>
      </c>
      <c r="B492">
        <v>21960</v>
      </c>
      <c r="C492" s="1">
        <v>45105</v>
      </c>
      <c r="D492" s="1">
        <v>22225</v>
      </c>
      <c r="E492">
        <v>62.64</v>
      </c>
      <c r="H492">
        <v>0</v>
      </c>
      <c r="I492">
        <v>0</v>
      </c>
      <c r="J492">
        <v>8</v>
      </c>
      <c r="K492">
        <v>4</v>
      </c>
      <c r="L492">
        <v>0</v>
      </c>
      <c r="M492">
        <v>2.2222222222222001</v>
      </c>
      <c r="N492">
        <v>12</v>
      </c>
      <c r="O492">
        <v>999</v>
      </c>
      <c r="P492">
        <v>7</v>
      </c>
      <c r="Q492">
        <v>2</v>
      </c>
      <c r="R492">
        <v>999</v>
      </c>
      <c r="S492">
        <v>11</v>
      </c>
      <c r="T492">
        <v>4.25</v>
      </c>
      <c r="U492">
        <v>6</v>
      </c>
      <c r="V492">
        <v>1</v>
      </c>
      <c r="W492">
        <v>7</v>
      </c>
      <c r="X492">
        <v>6</v>
      </c>
      <c r="AC492">
        <v>90044</v>
      </c>
      <c r="AD492">
        <v>7</v>
      </c>
      <c r="AE492">
        <v>1</v>
      </c>
      <c r="AN492">
        <v>0</v>
      </c>
    </row>
    <row r="493" spans="1:40" x14ac:dyDescent="0.2">
      <c r="A493" t="s">
        <v>161</v>
      </c>
      <c r="B493">
        <v>201495</v>
      </c>
      <c r="C493" s="1">
        <v>45105</v>
      </c>
      <c r="D493" s="1">
        <v>34703</v>
      </c>
      <c r="E493">
        <v>28.48</v>
      </c>
      <c r="H493">
        <v>1</v>
      </c>
      <c r="I493">
        <v>0</v>
      </c>
      <c r="J493">
        <v>3</v>
      </c>
      <c r="L493">
        <v>33</v>
      </c>
      <c r="M493">
        <v>3</v>
      </c>
      <c r="N493">
        <v>12</v>
      </c>
      <c r="O493">
        <v>999</v>
      </c>
      <c r="P493">
        <v>7</v>
      </c>
      <c r="Q493">
        <v>7</v>
      </c>
      <c r="R493">
        <v>999</v>
      </c>
      <c r="S493">
        <v>11</v>
      </c>
      <c r="T493">
        <v>4.5</v>
      </c>
      <c r="U493">
        <v>6</v>
      </c>
      <c r="V493">
        <v>2</v>
      </c>
      <c r="W493">
        <v>9</v>
      </c>
      <c r="X493">
        <v>6</v>
      </c>
      <c r="AC493">
        <v>19120</v>
      </c>
      <c r="AD493">
        <v>9</v>
      </c>
      <c r="AE493">
        <v>1</v>
      </c>
    </row>
    <row r="494" spans="1:40" x14ac:dyDescent="0.2">
      <c r="A494" t="s">
        <v>162</v>
      </c>
      <c r="B494">
        <v>130492</v>
      </c>
      <c r="C494" s="1">
        <v>45105</v>
      </c>
      <c r="D494" s="1">
        <v>33741</v>
      </c>
      <c r="E494">
        <v>31.11</v>
      </c>
      <c r="H494">
        <v>8</v>
      </c>
      <c r="I494">
        <v>0</v>
      </c>
      <c r="J494">
        <v>0</v>
      </c>
      <c r="L494">
        <v>24</v>
      </c>
      <c r="M494">
        <v>3.6111111111111001</v>
      </c>
      <c r="N494">
        <v>12</v>
      </c>
      <c r="O494">
        <v>999</v>
      </c>
      <c r="P494">
        <v>8</v>
      </c>
      <c r="Q494">
        <v>11</v>
      </c>
      <c r="R494">
        <v>999</v>
      </c>
      <c r="S494">
        <v>12</v>
      </c>
      <c r="U494">
        <v>5</v>
      </c>
      <c r="V494">
        <v>2</v>
      </c>
      <c r="W494">
        <v>7</v>
      </c>
      <c r="X494">
        <v>5</v>
      </c>
      <c r="AB494">
        <v>1</v>
      </c>
      <c r="AC494">
        <v>19147</v>
      </c>
      <c r="AD494">
        <v>7</v>
      </c>
      <c r="AE494">
        <v>1</v>
      </c>
    </row>
    <row r="495" spans="1:40" x14ac:dyDescent="0.2">
      <c r="A495" t="s">
        <v>163</v>
      </c>
      <c r="B495">
        <v>131381</v>
      </c>
      <c r="C495" s="1">
        <v>45105</v>
      </c>
      <c r="D495" s="1">
        <v>29682</v>
      </c>
      <c r="E495">
        <v>42.23</v>
      </c>
      <c r="H495">
        <v>1</v>
      </c>
      <c r="I495">
        <v>0</v>
      </c>
      <c r="J495">
        <v>1</v>
      </c>
      <c r="K495">
        <v>5</v>
      </c>
      <c r="L495">
        <v>23</v>
      </c>
      <c r="M495">
        <v>2.1111111111111001</v>
      </c>
      <c r="N495">
        <v>9</v>
      </c>
      <c r="O495">
        <v>999</v>
      </c>
      <c r="P495">
        <v>5</v>
      </c>
      <c r="Q495">
        <v>2</v>
      </c>
      <c r="R495">
        <v>999</v>
      </c>
      <c r="S495">
        <v>9</v>
      </c>
      <c r="U495">
        <v>6</v>
      </c>
      <c r="V495">
        <v>2</v>
      </c>
      <c r="W495">
        <v>6</v>
      </c>
      <c r="X495">
        <v>6</v>
      </c>
      <c r="AC495">
        <v>19403</v>
      </c>
      <c r="AD495">
        <v>6</v>
      </c>
      <c r="AE495">
        <v>1</v>
      </c>
    </row>
    <row r="496" spans="1:40" x14ac:dyDescent="0.2">
      <c r="A496" t="s">
        <v>164</v>
      </c>
      <c r="B496">
        <v>110387</v>
      </c>
      <c r="C496" s="1">
        <v>45105</v>
      </c>
      <c r="D496" s="1">
        <v>32096</v>
      </c>
      <c r="E496">
        <v>35.619999999999997</v>
      </c>
      <c r="H496">
        <v>1</v>
      </c>
      <c r="I496">
        <v>0</v>
      </c>
      <c r="J496">
        <v>3</v>
      </c>
      <c r="L496">
        <v>0</v>
      </c>
      <c r="M496">
        <v>2.1666666666666998</v>
      </c>
      <c r="N496">
        <v>4</v>
      </c>
      <c r="O496">
        <v>999</v>
      </c>
      <c r="P496">
        <v>6</v>
      </c>
      <c r="Q496">
        <v>0</v>
      </c>
      <c r="R496">
        <v>999</v>
      </c>
      <c r="S496">
        <v>7</v>
      </c>
      <c r="T496">
        <v>4.25</v>
      </c>
      <c r="U496">
        <v>6</v>
      </c>
      <c r="V496">
        <v>4</v>
      </c>
      <c r="W496">
        <v>6</v>
      </c>
      <c r="X496">
        <v>6</v>
      </c>
      <c r="AB496">
        <v>3</v>
      </c>
      <c r="AC496">
        <v>11520</v>
      </c>
      <c r="AD496">
        <v>6</v>
      </c>
      <c r="AE496">
        <v>1</v>
      </c>
    </row>
    <row r="497" spans="1:40" x14ac:dyDescent="0.2">
      <c r="A497" t="s">
        <v>165</v>
      </c>
      <c r="B497">
        <v>100260</v>
      </c>
      <c r="C497" s="1">
        <v>45105</v>
      </c>
      <c r="D497" s="1">
        <v>21946</v>
      </c>
      <c r="E497">
        <v>63.41</v>
      </c>
      <c r="H497">
        <v>0</v>
      </c>
      <c r="I497">
        <v>0</v>
      </c>
      <c r="J497">
        <v>0</v>
      </c>
      <c r="L497">
        <v>27</v>
      </c>
      <c r="M497">
        <v>2.1111111111111001</v>
      </c>
      <c r="N497">
        <v>11</v>
      </c>
      <c r="O497">
        <v>999</v>
      </c>
      <c r="P497">
        <v>7</v>
      </c>
      <c r="Q497">
        <v>0</v>
      </c>
      <c r="R497">
        <v>999</v>
      </c>
      <c r="S497">
        <v>7</v>
      </c>
      <c r="T497">
        <v>4.5</v>
      </c>
      <c r="U497">
        <v>5</v>
      </c>
      <c r="V497">
        <v>2</v>
      </c>
      <c r="W497">
        <v>7</v>
      </c>
      <c r="X497">
        <v>5</v>
      </c>
      <c r="AB497">
        <v>1</v>
      </c>
      <c r="AC497">
        <v>19126</v>
      </c>
      <c r="AD497">
        <v>7</v>
      </c>
      <c r="AE497">
        <v>1</v>
      </c>
      <c r="AN497">
        <v>1</v>
      </c>
    </row>
    <row r="498" spans="1:40" x14ac:dyDescent="0.2">
      <c r="A498" t="s">
        <v>166</v>
      </c>
      <c r="B498">
        <v>110255</v>
      </c>
      <c r="C498" s="1">
        <v>45106</v>
      </c>
      <c r="D498" s="1">
        <v>20208</v>
      </c>
      <c r="E498">
        <v>68.17</v>
      </c>
      <c r="H498">
        <v>1</v>
      </c>
      <c r="I498">
        <v>0</v>
      </c>
      <c r="J498">
        <v>2</v>
      </c>
      <c r="K498">
        <v>6</v>
      </c>
      <c r="L498">
        <v>28</v>
      </c>
      <c r="M498">
        <v>2.2222222222222001</v>
      </c>
      <c r="N498">
        <v>12</v>
      </c>
      <c r="O498">
        <v>999</v>
      </c>
      <c r="P498">
        <v>7</v>
      </c>
      <c r="Q498">
        <v>0</v>
      </c>
      <c r="R498">
        <v>999</v>
      </c>
      <c r="S498">
        <v>11</v>
      </c>
      <c r="T498">
        <v>3.5</v>
      </c>
      <c r="U498">
        <v>1</v>
      </c>
      <c r="V498">
        <v>0</v>
      </c>
      <c r="W498">
        <v>1</v>
      </c>
      <c r="X498">
        <v>1</v>
      </c>
      <c r="AC498">
        <v>19120</v>
      </c>
      <c r="AD498">
        <v>1</v>
      </c>
      <c r="AE498">
        <v>0</v>
      </c>
      <c r="AN498">
        <v>0</v>
      </c>
    </row>
    <row r="499" spans="1:40" x14ac:dyDescent="0.2">
      <c r="A499" t="s">
        <v>167</v>
      </c>
      <c r="B499">
        <v>51385</v>
      </c>
      <c r="C499" s="1">
        <v>45106</v>
      </c>
      <c r="D499" s="1">
        <v>31395</v>
      </c>
      <c r="E499">
        <v>37.54</v>
      </c>
      <c r="H499">
        <v>8</v>
      </c>
      <c r="I499">
        <v>0</v>
      </c>
      <c r="J499">
        <v>0</v>
      </c>
      <c r="L499">
        <v>32</v>
      </c>
      <c r="M499">
        <v>1.8333333333333</v>
      </c>
      <c r="N499">
        <v>5</v>
      </c>
      <c r="O499">
        <v>999</v>
      </c>
      <c r="P499">
        <v>6</v>
      </c>
      <c r="Q499">
        <v>3</v>
      </c>
      <c r="R499">
        <v>999</v>
      </c>
      <c r="S499">
        <v>6</v>
      </c>
      <c r="T499">
        <v>4</v>
      </c>
      <c r="U499">
        <v>2</v>
      </c>
      <c r="V499">
        <v>1</v>
      </c>
      <c r="W499">
        <v>8</v>
      </c>
      <c r="X499">
        <v>2</v>
      </c>
      <c r="AD499">
        <v>8</v>
      </c>
      <c r="AE499">
        <v>1</v>
      </c>
    </row>
    <row r="500" spans="1:40" x14ac:dyDescent="0.2">
      <c r="A500" t="s">
        <v>168</v>
      </c>
      <c r="B500">
        <v>30253</v>
      </c>
      <c r="C500" s="1">
        <v>45106</v>
      </c>
      <c r="D500" s="1">
        <v>19652</v>
      </c>
      <c r="E500">
        <v>69.69</v>
      </c>
      <c r="H500">
        <v>1</v>
      </c>
      <c r="I500">
        <v>0</v>
      </c>
      <c r="J500">
        <v>0</v>
      </c>
      <c r="K500">
        <v>0</v>
      </c>
      <c r="L500">
        <v>24</v>
      </c>
      <c r="M500">
        <v>1.9444444444444</v>
      </c>
      <c r="N500">
        <v>12</v>
      </c>
      <c r="O500">
        <v>999</v>
      </c>
      <c r="P500">
        <v>4</v>
      </c>
      <c r="Q500">
        <v>1</v>
      </c>
      <c r="R500">
        <v>999</v>
      </c>
      <c r="S500">
        <v>9</v>
      </c>
      <c r="T500">
        <v>3.5833333333333299</v>
      </c>
      <c r="U500">
        <v>5</v>
      </c>
      <c r="V500">
        <v>4</v>
      </c>
      <c r="W500">
        <v>8</v>
      </c>
      <c r="X500">
        <v>5</v>
      </c>
      <c r="AB500">
        <v>1</v>
      </c>
      <c r="AC500">
        <v>7067</v>
      </c>
      <c r="AD500">
        <v>8</v>
      </c>
      <c r="AE500">
        <v>1</v>
      </c>
      <c r="AN500">
        <v>0</v>
      </c>
    </row>
    <row r="501" spans="1:40" x14ac:dyDescent="0.2">
      <c r="A501" t="s">
        <v>169</v>
      </c>
      <c r="B501">
        <v>141294</v>
      </c>
      <c r="C501" s="1">
        <v>45106</v>
      </c>
      <c r="D501" s="1">
        <v>34427</v>
      </c>
      <c r="E501">
        <v>29.24</v>
      </c>
      <c r="H501">
        <v>3</v>
      </c>
      <c r="I501">
        <v>8</v>
      </c>
      <c r="J501">
        <v>5</v>
      </c>
      <c r="L501">
        <v>0</v>
      </c>
      <c r="M501">
        <v>3.1666666666666998</v>
      </c>
      <c r="N501">
        <v>7</v>
      </c>
      <c r="O501">
        <v>999</v>
      </c>
      <c r="P501">
        <v>6</v>
      </c>
      <c r="Q501">
        <v>11</v>
      </c>
      <c r="R501">
        <v>999</v>
      </c>
      <c r="S501">
        <v>11</v>
      </c>
      <c r="T501">
        <v>4.5</v>
      </c>
      <c r="U501">
        <v>4</v>
      </c>
      <c r="V501">
        <v>2</v>
      </c>
      <c r="W501">
        <v>5</v>
      </c>
      <c r="X501">
        <v>4</v>
      </c>
      <c r="AB501">
        <v>1</v>
      </c>
      <c r="AC501">
        <v>18077</v>
      </c>
      <c r="AD501">
        <v>5</v>
      </c>
      <c r="AE501">
        <v>1</v>
      </c>
    </row>
    <row r="502" spans="1:40" x14ac:dyDescent="0.2">
      <c r="A502" t="s">
        <v>181</v>
      </c>
      <c r="B502">
        <v>131894</v>
      </c>
      <c r="H502">
        <v>13</v>
      </c>
      <c r="I502">
        <v>5</v>
      </c>
      <c r="J502">
        <v>2</v>
      </c>
      <c r="K502">
        <v>16</v>
      </c>
      <c r="L502">
        <v>0</v>
      </c>
      <c r="M502">
        <v>2.5625</v>
      </c>
      <c r="N502">
        <v>1</v>
      </c>
      <c r="O502">
        <v>10</v>
      </c>
      <c r="P502">
        <v>7</v>
      </c>
      <c r="Q502">
        <v>0</v>
      </c>
      <c r="R502">
        <v>14</v>
      </c>
      <c r="S502">
        <v>9</v>
      </c>
      <c r="T502">
        <v>4.0833333333333002</v>
      </c>
      <c r="U502">
        <v>5</v>
      </c>
      <c r="V502">
        <v>5</v>
      </c>
      <c r="W502">
        <v>7</v>
      </c>
      <c r="X502">
        <v>5</v>
      </c>
      <c r="AB502">
        <v>4</v>
      </c>
      <c r="AC502">
        <v>19454</v>
      </c>
      <c r="AD502">
        <v>7</v>
      </c>
      <c r="AE502">
        <v>1</v>
      </c>
    </row>
    <row r="503" spans="1:40" x14ac:dyDescent="0.2">
      <c r="A503" t="s">
        <v>170</v>
      </c>
      <c r="B503">
        <v>142074</v>
      </c>
      <c r="C503" s="1">
        <v>45106</v>
      </c>
      <c r="D503" s="1">
        <v>27206</v>
      </c>
      <c r="E503">
        <v>49.01</v>
      </c>
      <c r="H503">
        <v>6</v>
      </c>
      <c r="I503">
        <v>0</v>
      </c>
      <c r="J503">
        <v>0</v>
      </c>
      <c r="L503">
        <v>24</v>
      </c>
      <c r="M503">
        <v>2.3888888888888999</v>
      </c>
      <c r="N503">
        <v>10</v>
      </c>
      <c r="O503">
        <v>999</v>
      </c>
      <c r="P503">
        <v>6</v>
      </c>
      <c r="Q503">
        <v>4</v>
      </c>
      <c r="R503">
        <v>999</v>
      </c>
      <c r="S503">
        <v>9</v>
      </c>
      <c r="T503">
        <v>4.75</v>
      </c>
      <c r="U503">
        <v>5</v>
      </c>
      <c r="V503">
        <v>2</v>
      </c>
      <c r="W503">
        <v>6</v>
      </c>
      <c r="X503">
        <v>5</v>
      </c>
      <c r="AB503">
        <v>4</v>
      </c>
      <c r="AC503">
        <v>19139</v>
      </c>
      <c r="AD503">
        <v>6</v>
      </c>
      <c r="AE503">
        <v>1</v>
      </c>
    </row>
    <row r="504" spans="1:40" x14ac:dyDescent="0.2">
      <c r="A504" t="s">
        <v>171</v>
      </c>
      <c r="B504">
        <v>10252</v>
      </c>
      <c r="C504" s="1">
        <v>45106</v>
      </c>
      <c r="D504" s="1">
        <v>19250</v>
      </c>
      <c r="E504">
        <v>70.790000000000006</v>
      </c>
      <c r="H504">
        <v>1</v>
      </c>
      <c r="I504">
        <v>0</v>
      </c>
      <c r="J504">
        <v>0</v>
      </c>
      <c r="L504">
        <v>28</v>
      </c>
      <c r="M504">
        <v>2.3333333333333002</v>
      </c>
      <c r="N504">
        <v>12</v>
      </c>
      <c r="O504">
        <v>999</v>
      </c>
      <c r="P504">
        <v>6</v>
      </c>
      <c r="Q504">
        <v>2</v>
      </c>
      <c r="R504">
        <v>999</v>
      </c>
      <c r="S504">
        <v>8</v>
      </c>
      <c r="U504">
        <v>5</v>
      </c>
      <c r="V504">
        <v>1</v>
      </c>
      <c r="W504">
        <v>7</v>
      </c>
      <c r="X504">
        <v>5</v>
      </c>
      <c r="AB504">
        <v>1</v>
      </c>
      <c r="AC504">
        <v>18249</v>
      </c>
      <c r="AD504">
        <v>7</v>
      </c>
      <c r="AE504">
        <v>1</v>
      </c>
      <c r="AN504">
        <v>0</v>
      </c>
    </row>
    <row r="505" spans="1:40" x14ac:dyDescent="0.2">
      <c r="A505" t="s">
        <v>172</v>
      </c>
      <c r="B505">
        <v>101274</v>
      </c>
      <c r="C505" s="1">
        <v>45106</v>
      </c>
      <c r="D505" s="1">
        <v>27360</v>
      </c>
      <c r="E505">
        <v>48.59</v>
      </c>
      <c r="H505">
        <v>3</v>
      </c>
      <c r="I505">
        <v>0</v>
      </c>
      <c r="J505">
        <v>4</v>
      </c>
      <c r="K505">
        <v>2</v>
      </c>
      <c r="L505">
        <v>0</v>
      </c>
      <c r="M505">
        <v>2.5</v>
      </c>
      <c r="N505">
        <v>9</v>
      </c>
      <c r="O505">
        <v>999</v>
      </c>
      <c r="P505">
        <v>6</v>
      </c>
      <c r="Q505">
        <v>0</v>
      </c>
      <c r="R505">
        <v>999</v>
      </c>
      <c r="S505">
        <v>9</v>
      </c>
      <c r="T505">
        <v>5</v>
      </c>
      <c r="U505">
        <v>1</v>
      </c>
      <c r="V505">
        <v>0</v>
      </c>
      <c r="W505">
        <v>6</v>
      </c>
      <c r="X505">
        <v>1</v>
      </c>
      <c r="AB505">
        <v>1</v>
      </c>
      <c r="AC505">
        <v>19138</v>
      </c>
      <c r="AD505">
        <v>6</v>
      </c>
      <c r="AE505">
        <v>1</v>
      </c>
    </row>
    <row r="506" spans="1:40" x14ac:dyDescent="0.2">
      <c r="A506" t="s">
        <v>173</v>
      </c>
      <c r="B506">
        <v>50366</v>
      </c>
      <c r="C506" s="1">
        <v>45106</v>
      </c>
      <c r="D506" s="1">
        <v>24466</v>
      </c>
      <c r="E506">
        <v>56.51</v>
      </c>
      <c r="H506">
        <v>0</v>
      </c>
      <c r="I506">
        <v>0</v>
      </c>
      <c r="J506">
        <v>4</v>
      </c>
      <c r="L506">
        <v>0</v>
      </c>
      <c r="M506">
        <v>1.6111111111111001</v>
      </c>
      <c r="N506">
        <v>9</v>
      </c>
      <c r="O506">
        <v>999</v>
      </c>
      <c r="P506">
        <v>3</v>
      </c>
      <c r="Q506">
        <v>0</v>
      </c>
      <c r="R506">
        <v>999</v>
      </c>
      <c r="S506">
        <v>9</v>
      </c>
      <c r="T506">
        <v>4.9166666666666599</v>
      </c>
      <c r="U506">
        <v>2</v>
      </c>
      <c r="V506">
        <v>0</v>
      </c>
      <c r="W506">
        <v>2</v>
      </c>
      <c r="X506">
        <v>2</v>
      </c>
      <c r="AB506">
        <v>2</v>
      </c>
      <c r="AC506">
        <v>19132</v>
      </c>
      <c r="AD506">
        <v>2</v>
      </c>
      <c r="AE506">
        <v>1</v>
      </c>
      <c r="AN506">
        <v>4</v>
      </c>
    </row>
    <row r="507" spans="1:40" x14ac:dyDescent="0.2">
      <c r="A507" t="s">
        <v>174</v>
      </c>
      <c r="B507">
        <v>221173</v>
      </c>
      <c r="C507" s="1">
        <v>45106</v>
      </c>
      <c r="D507" s="1">
        <v>26779</v>
      </c>
      <c r="E507">
        <v>50.18</v>
      </c>
      <c r="H507">
        <v>2</v>
      </c>
      <c r="I507">
        <v>0</v>
      </c>
      <c r="J507">
        <v>1</v>
      </c>
      <c r="L507">
        <v>12</v>
      </c>
      <c r="M507">
        <v>2.3333333333333002</v>
      </c>
      <c r="N507">
        <v>12</v>
      </c>
      <c r="O507">
        <v>999</v>
      </c>
      <c r="P507">
        <v>5</v>
      </c>
      <c r="Q507">
        <v>3</v>
      </c>
      <c r="R507">
        <v>999</v>
      </c>
      <c r="S507">
        <v>10</v>
      </c>
      <c r="T507">
        <v>4</v>
      </c>
      <c r="U507">
        <v>5</v>
      </c>
      <c r="V507">
        <v>5</v>
      </c>
      <c r="W507">
        <v>7</v>
      </c>
      <c r="X507">
        <v>5</v>
      </c>
      <c r="AD507">
        <v>7</v>
      </c>
      <c r="AE507">
        <v>1</v>
      </c>
    </row>
    <row r="508" spans="1:40" x14ac:dyDescent="0.2">
      <c r="A508" t="s">
        <v>175</v>
      </c>
      <c r="B508">
        <v>161859</v>
      </c>
      <c r="C508" s="1">
        <v>45106</v>
      </c>
      <c r="D508" s="1">
        <v>21854</v>
      </c>
      <c r="E508">
        <v>63.66</v>
      </c>
      <c r="H508">
        <v>0</v>
      </c>
      <c r="I508">
        <v>0</v>
      </c>
      <c r="J508">
        <v>1</v>
      </c>
      <c r="L508">
        <v>28</v>
      </c>
      <c r="M508">
        <v>2.6111111111111001</v>
      </c>
      <c r="N508">
        <v>12</v>
      </c>
      <c r="O508">
        <v>999</v>
      </c>
      <c r="P508">
        <v>7</v>
      </c>
      <c r="Q508">
        <v>1</v>
      </c>
      <c r="R508">
        <v>999</v>
      </c>
      <c r="S508">
        <v>10</v>
      </c>
      <c r="U508">
        <v>6</v>
      </c>
      <c r="V508">
        <v>3</v>
      </c>
      <c r="W508">
        <v>8</v>
      </c>
      <c r="X508">
        <v>6</v>
      </c>
      <c r="AB508">
        <v>2</v>
      </c>
      <c r="AC508">
        <v>11793</v>
      </c>
      <c r="AD508">
        <v>8</v>
      </c>
      <c r="AE508">
        <v>1</v>
      </c>
      <c r="AN508">
        <v>0</v>
      </c>
    </row>
    <row r="509" spans="1:40" x14ac:dyDescent="0.2">
      <c r="A509" t="s">
        <v>176</v>
      </c>
      <c r="B509">
        <v>161988</v>
      </c>
      <c r="C509" s="1">
        <v>45106</v>
      </c>
      <c r="D509" s="1">
        <v>32284</v>
      </c>
      <c r="E509">
        <v>35.11</v>
      </c>
      <c r="H509">
        <v>8</v>
      </c>
      <c r="I509">
        <v>5</v>
      </c>
      <c r="J509">
        <v>4</v>
      </c>
      <c r="K509">
        <v>6</v>
      </c>
      <c r="L509">
        <v>26</v>
      </c>
      <c r="M509">
        <v>2.5</v>
      </c>
      <c r="N509">
        <v>12</v>
      </c>
      <c r="O509">
        <v>999</v>
      </c>
      <c r="P509">
        <v>7</v>
      </c>
      <c r="Q509">
        <v>0</v>
      </c>
      <c r="R509">
        <v>999</v>
      </c>
      <c r="S509">
        <v>12</v>
      </c>
      <c r="T509">
        <v>3.5833333333333299</v>
      </c>
      <c r="U509">
        <v>5</v>
      </c>
      <c r="V509">
        <v>0</v>
      </c>
      <c r="W509">
        <v>3</v>
      </c>
      <c r="X509">
        <v>5</v>
      </c>
      <c r="AC509">
        <v>19468</v>
      </c>
      <c r="AD509">
        <v>3</v>
      </c>
      <c r="AE509">
        <v>0</v>
      </c>
    </row>
    <row r="510" spans="1:40" x14ac:dyDescent="0.2">
      <c r="A510" t="s">
        <v>177</v>
      </c>
      <c r="B510">
        <v>130995</v>
      </c>
      <c r="C510" s="1">
        <v>45106</v>
      </c>
      <c r="D510" s="1">
        <v>35004</v>
      </c>
      <c r="E510">
        <v>27.66</v>
      </c>
      <c r="H510">
        <v>0</v>
      </c>
      <c r="I510">
        <v>0</v>
      </c>
      <c r="J510">
        <v>3</v>
      </c>
      <c r="L510">
        <v>26</v>
      </c>
      <c r="M510">
        <v>2.0555555555556002</v>
      </c>
      <c r="N510">
        <v>6</v>
      </c>
      <c r="O510">
        <v>999</v>
      </c>
      <c r="P510">
        <v>4</v>
      </c>
      <c r="Q510">
        <v>4</v>
      </c>
      <c r="R510">
        <v>999</v>
      </c>
      <c r="S510">
        <v>11</v>
      </c>
      <c r="T510">
        <v>4.3333333333333304</v>
      </c>
      <c r="U510">
        <v>4</v>
      </c>
      <c r="V510">
        <v>1</v>
      </c>
      <c r="W510">
        <v>2</v>
      </c>
      <c r="X510">
        <v>4</v>
      </c>
      <c r="AD510">
        <v>2</v>
      </c>
      <c r="AE510">
        <v>1</v>
      </c>
    </row>
    <row r="511" spans="1:40" x14ac:dyDescent="0.2">
      <c r="A511" t="s">
        <v>178</v>
      </c>
      <c r="B511">
        <v>31853</v>
      </c>
      <c r="C511" s="1">
        <v>45034</v>
      </c>
      <c r="D511" s="1">
        <v>19676</v>
      </c>
      <c r="E511">
        <v>69.430000000000007</v>
      </c>
      <c r="H511">
        <v>0</v>
      </c>
      <c r="I511">
        <v>0</v>
      </c>
      <c r="J511">
        <v>0</v>
      </c>
      <c r="L511">
        <v>28</v>
      </c>
      <c r="M511">
        <v>2.5555555555556002</v>
      </c>
      <c r="N511">
        <v>12</v>
      </c>
      <c r="O511">
        <v>999</v>
      </c>
      <c r="P511">
        <v>5</v>
      </c>
      <c r="Q511">
        <v>0</v>
      </c>
      <c r="R511">
        <v>999</v>
      </c>
      <c r="S511">
        <v>9</v>
      </c>
      <c r="T511">
        <v>4.1666666666666599</v>
      </c>
      <c r="U511">
        <v>4</v>
      </c>
      <c r="V511">
        <v>0</v>
      </c>
      <c r="W511">
        <v>8</v>
      </c>
      <c r="X511">
        <v>4</v>
      </c>
      <c r="AC511">
        <v>19133</v>
      </c>
      <c r="AD511">
        <v>8</v>
      </c>
      <c r="AE511">
        <v>1</v>
      </c>
      <c r="AN511">
        <v>0</v>
      </c>
    </row>
    <row r="512" spans="1:40" x14ac:dyDescent="0.2">
      <c r="A512" t="s">
        <v>179</v>
      </c>
      <c r="B512">
        <v>51200</v>
      </c>
      <c r="C512" s="1">
        <v>45106</v>
      </c>
      <c r="D512" s="1">
        <v>36779</v>
      </c>
      <c r="E512">
        <v>22.8</v>
      </c>
      <c r="H512">
        <v>0</v>
      </c>
      <c r="I512">
        <v>0</v>
      </c>
      <c r="J512">
        <v>1</v>
      </c>
      <c r="L512">
        <v>28</v>
      </c>
      <c r="M512">
        <v>2.2777777777777999</v>
      </c>
      <c r="N512">
        <v>8</v>
      </c>
      <c r="O512">
        <v>999</v>
      </c>
      <c r="P512">
        <v>6</v>
      </c>
      <c r="Q512">
        <v>2</v>
      </c>
      <c r="R512">
        <v>999</v>
      </c>
      <c r="S512">
        <v>11</v>
      </c>
      <c r="T512">
        <v>3.9166666666666599</v>
      </c>
      <c r="U512">
        <v>5</v>
      </c>
      <c r="V512">
        <v>4</v>
      </c>
      <c r="W512">
        <v>6</v>
      </c>
      <c r="X512">
        <v>5</v>
      </c>
      <c r="AB512">
        <v>3</v>
      </c>
      <c r="AC512">
        <v>8077</v>
      </c>
      <c r="AD512">
        <v>6</v>
      </c>
      <c r="AE512">
        <v>1</v>
      </c>
    </row>
    <row r="513" spans="1:31" x14ac:dyDescent="0.2">
      <c r="A513" t="s">
        <v>180</v>
      </c>
      <c r="B513">
        <v>40594</v>
      </c>
      <c r="C513" s="1">
        <v>45105</v>
      </c>
      <c r="D513" s="1">
        <v>34339</v>
      </c>
      <c r="E513">
        <v>29.48</v>
      </c>
      <c r="H513">
        <v>3</v>
      </c>
      <c r="I513">
        <v>2</v>
      </c>
      <c r="J513">
        <v>3</v>
      </c>
      <c r="L513">
        <v>28</v>
      </c>
      <c r="M513">
        <v>2.7777777777777999</v>
      </c>
      <c r="N513">
        <v>12</v>
      </c>
      <c r="O513">
        <v>999</v>
      </c>
      <c r="P513">
        <v>7</v>
      </c>
      <c r="Q513">
        <v>5</v>
      </c>
      <c r="R513">
        <v>999</v>
      </c>
      <c r="S513">
        <v>10</v>
      </c>
      <c r="T513">
        <v>3.9166666666666599</v>
      </c>
      <c r="U513">
        <v>5</v>
      </c>
      <c r="V513">
        <v>1</v>
      </c>
      <c r="W513">
        <v>5</v>
      </c>
      <c r="X513">
        <v>5</v>
      </c>
      <c r="AB513">
        <v>1</v>
      </c>
      <c r="AC513">
        <v>19120</v>
      </c>
      <c r="AD513">
        <v>5</v>
      </c>
      <c r="AE513">
        <v>1</v>
      </c>
    </row>
    <row r="514" spans="1:31" x14ac:dyDescent="0.2">
      <c r="A514" t="s">
        <v>183</v>
      </c>
      <c r="B514">
        <v>41654</v>
      </c>
      <c r="K514">
        <v>1</v>
      </c>
      <c r="O514">
        <v>999</v>
      </c>
      <c r="R514">
        <v>999</v>
      </c>
      <c r="AE514">
        <v>1</v>
      </c>
    </row>
    <row r="515" spans="1:31" x14ac:dyDescent="0.2">
      <c r="A515" t="s">
        <v>184</v>
      </c>
      <c r="B515">
        <v>10259</v>
      </c>
      <c r="K515">
        <v>6</v>
      </c>
      <c r="O515">
        <v>999</v>
      </c>
      <c r="R515">
        <v>999</v>
      </c>
      <c r="AE5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635A-AB5E-6945-9231-BE386DF3A640}">
  <sheetPr>
    <tabColor rgb="FFBC767B"/>
  </sheetPr>
  <dimension ref="A1:CS73"/>
  <sheetViews>
    <sheetView workbookViewId="0">
      <pane xSplit="1" ySplit="1" topLeftCell="AT2" activePane="bottomRight" state="frozen"/>
      <selection pane="topRight" activeCell="B1" sqref="B1"/>
      <selection pane="bottomLeft" activeCell="A2" sqref="A2"/>
      <selection pane="bottomRight" activeCell="AV1" sqref="AV1"/>
    </sheetView>
  </sheetViews>
  <sheetFormatPr baseColWidth="10" defaultColWidth="22" defaultRowHeight="16" x14ac:dyDescent="0.2"/>
  <sheetData>
    <row r="1" spans="1:97" x14ac:dyDescent="0.2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U1" t="s">
        <v>210</v>
      </c>
      <c r="V1" t="s">
        <v>211</v>
      </c>
      <c r="W1" t="s">
        <v>212</v>
      </c>
      <c r="X1" t="s">
        <v>213</v>
      </c>
      <c r="Y1" t="s">
        <v>214</v>
      </c>
      <c r="Z1" t="s">
        <v>215</v>
      </c>
      <c r="AA1" t="s">
        <v>216</v>
      </c>
      <c r="AB1" t="s">
        <v>217</v>
      </c>
      <c r="AC1" t="s">
        <v>218</v>
      </c>
      <c r="AD1" t="s">
        <v>219</v>
      </c>
      <c r="AE1" t="s">
        <v>220</v>
      </c>
      <c r="AF1" t="s">
        <v>221</v>
      </c>
      <c r="AG1" t="s">
        <v>222</v>
      </c>
      <c r="AH1" t="s">
        <v>223</v>
      </c>
      <c r="AI1" t="s">
        <v>224</v>
      </c>
      <c r="AJ1" t="s">
        <v>225</v>
      </c>
      <c r="AK1" t="s">
        <v>226</v>
      </c>
      <c r="AL1" t="s">
        <v>227</v>
      </c>
      <c r="AM1" t="s">
        <v>228</v>
      </c>
      <c r="AN1" t="s">
        <v>229</v>
      </c>
      <c r="AO1" t="s">
        <v>230</v>
      </c>
      <c r="AP1" t="s">
        <v>231</v>
      </c>
      <c r="AQ1" t="s">
        <v>232</v>
      </c>
      <c r="AR1" t="s">
        <v>233</v>
      </c>
      <c r="AS1" t="s">
        <v>234</v>
      </c>
      <c r="AT1" t="s">
        <v>235</v>
      </c>
      <c r="AU1" t="s">
        <v>236</v>
      </c>
      <c r="AV1" t="s">
        <v>237</v>
      </c>
      <c r="AW1" t="s">
        <v>238</v>
      </c>
      <c r="AX1" t="s">
        <v>239</v>
      </c>
      <c r="AY1" t="s">
        <v>240</v>
      </c>
      <c r="AZ1" t="s">
        <v>241</v>
      </c>
      <c r="BA1" t="s">
        <v>242</v>
      </c>
      <c r="BB1" t="s">
        <v>243</v>
      </c>
      <c r="BC1" t="s">
        <v>244</v>
      </c>
      <c r="BD1" t="s">
        <v>245</v>
      </c>
      <c r="BE1" t="s">
        <v>246</v>
      </c>
      <c r="BF1" t="s">
        <v>247</v>
      </c>
      <c r="BG1" t="s">
        <v>248</v>
      </c>
      <c r="BH1" t="s">
        <v>249</v>
      </c>
      <c r="BI1" t="s">
        <v>250</v>
      </c>
      <c r="BJ1" t="s">
        <v>251</v>
      </c>
      <c r="BK1" t="s">
        <v>252</v>
      </c>
      <c r="BL1" t="s">
        <v>253</v>
      </c>
      <c r="BM1" t="s">
        <v>254</v>
      </c>
      <c r="BN1" t="s">
        <v>255</v>
      </c>
      <c r="BO1" t="s">
        <v>256</v>
      </c>
      <c r="BP1" t="s">
        <v>257</v>
      </c>
      <c r="BQ1" t="s">
        <v>258</v>
      </c>
      <c r="BR1" t="s">
        <v>259</v>
      </c>
      <c r="BS1" t="s">
        <v>260</v>
      </c>
      <c r="BT1" t="s">
        <v>261</v>
      </c>
      <c r="BU1" t="s">
        <v>262</v>
      </c>
      <c r="BV1" t="s">
        <v>263</v>
      </c>
      <c r="BW1" t="s">
        <v>264</v>
      </c>
      <c r="BX1" t="s">
        <v>265</v>
      </c>
      <c r="BY1" t="s">
        <v>266</v>
      </c>
      <c r="BZ1" t="s">
        <v>267</v>
      </c>
      <c r="CA1" t="s">
        <v>268</v>
      </c>
      <c r="CB1" t="s">
        <v>269</v>
      </c>
      <c r="CC1" t="s">
        <v>270</v>
      </c>
      <c r="CD1" t="s">
        <v>271</v>
      </c>
      <c r="CE1" t="s">
        <v>272</v>
      </c>
      <c r="CF1" t="s">
        <v>273</v>
      </c>
      <c r="CG1" t="s">
        <v>274</v>
      </c>
      <c r="CH1" t="s">
        <v>275</v>
      </c>
      <c r="CI1" t="s">
        <v>276</v>
      </c>
      <c r="CJ1" t="s">
        <v>277</v>
      </c>
      <c r="CK1" t="s">
        <v>278</v>
      </c>
      <c r="CL1" t="s">
        <v>279</v>
      </c>
      <c r="CM1" t="s">
        <v>280</v>
      </c>
      <c r="CN1" t="s">
        <v>281</v>
      </c>
      <c r="CO1" t="s">
        <v>282</v>
      </c>
      <c r="CP1" t="s">
        <v>283</v>
      </c>
      <c r="CQ1" t="s">
        <v>284</v>
      </c>
      <c r="CR1" t="s">
        <v>285</v>
      </c>
      <c r="CS1" t="s">
        <v>286</v>
      </c>
    </row>
    <row r="2" spans="1:97" x14ac:dyDescent="0.2">
      <c r="A2">
        <v>10486</v>
      </c>
      <c r="B2" s="1">
        <v>45001</v>
      </c>
      <c r="C2" s="7">
        <v>0.59229166666666666</v>
      </c>
      <c r="D2" s="1">
        <v>45001</v>
      </c>
      <c r="E2" s="7">
        <v>0.61157407407407405</v>
      </c>
      <c r="F2" s="1">
        <v>45001</v>
      </c>
      <c r="G2" s="7">
        <v>0.61193287037037036</v>
      </c>
      <c r="H2">
        <v>7451</v>
      </c>
      <c r="I2" t="s">
        <v>287</v>
      </c>
      <c r="J2">
        <v>144</v>
      </c>
      <c r="K2" t="s">
        <v>288</v>
      </c>
      <c r="L2">
        <v>169</v>
      </c>
      <c r="M2" t="s">
        <v>287</v>
      </c>
      <c r="N2">
        <v>266</v>
      </c>
      <c r="O2" t="s">
        <v>289</v>
      </c>
      <c r="P2" t="s">
        <v>290</v>
      </c>
      <c r="Q2" t="s">
        <v>291</v>
      </c>
      <c r="R2" t="s">
        <v>292</v>
      </c>
      <c r="S2" t="s">
        <v>293</v>
      </c>
      <c r="U2" t="s">
        <v>294</v>
      </c>
      <c r="V2" t="b">
        <v>0</v>
      </c>
      <c r="W2" t="s">
        <v>295</v>
      </c>
      <c r="X2" t="s">
        <v>296</v>
      </c>
      <c r="Z2">
        <v>41</v>
      </c>
      <c r="AB2" t="s">
        <v>141</v>
      </c>
      <c r="AC2">
        <v>21</v>
      </c>
      <c r="AD2" t="s">
        <v>297</v>
      </c>
      <c r="AO2" t="s">
        <v>298</v>
      </c>
      <c r="AP2" t="s">
        <v>298</v>
      </c>
      <c r="AQ2" t="s">
        <v>298</v>
      </c>
      <c r="AR2" t="s">
        <v>298</v>
      </c>
      <c r="AS2" t="s">
        <v>299</v>
      </c>
      <c r="AT2" t="s">
        <v>300</v>
      </c>
      <c r="AU2">
        <v>186</v>
      </c>
      <c r="AV2" t="b">
        <v>1</v>
      </c>
      <c r="AW2">
        <v>6</v>
      </c>
      <c r="AX2">
        <v>0</v>
      </c>
      <c r="AY2">
        <v>7.31</v>
      </c>
      <c r="AZ2">
        <v>31</v>
      </c>
      <c r="BA2">
        <v>0.92623</v>
      </c>
      <c r="BB2">
        <v>0.11973385321508501</v>
      </c>
      <c r="BC2">
        <v>16</v>
      </c>
      <c r="BD2">
        <v>0.84400750000000002</v>
      </c>
      <c r="BE2">
        <v>15</v>
      </c>
      <c r="BF2">
        <v>1.0143359999999999</v>
      </c>
      <c r="BG2">
        <v>-2.1509429999999998</v>
      </c>
      <c r="BH2" t="s">
        <v>301</v>
      </c>
      <c r="BI2" t="s">
        <v>300</v>
      </c>
      <c r="BJ2">
        <v>252</v>
      </c>
      <c r="BK2">
        <v>1</v>
      </c>
      <c r="BL2">
        <v>6</v>
      </c>
      <c r="BM2">
        <v>1</v>
      </c>
      <c r="BN2">
        <v>6</v>
      </c>
      <c r="BO2">
        <v>9</v>
      </c>
      <c r="BP2">
        <v>1</v>
      </c>
      <c r="BQ2">
        <v>9</v>
      </c>
      <c r="BR2">
        <v>10</v>
      </c>
      <c r="BS2">
        <v>0.83333333333333304</v>
      </c>
      <c r="BT2">
        <v>9.5</v>
      </c>
      <c r="BU2">
        <v>12</v>
      </c>
      <c r="BV2">
        <v>0.8</v>
      </c>
      <c r="BW2">
        <v>8.5</v>
      </c>
      <c r="BX2">
        <v>37</v>
      </c>
      <c r="BY2">
        <v>0.88095238095238004</v>
      </c>
      <c r="BZ2">
        <v>33</v>
      </c>
      <c r="CA2" t="s">
        <v>301</v>
      </c>
      <c r="CB2" t="s">
        <v>300</v>
      </c>
      <c r="CC2">
        <v>261</v>
      </c>
      <c r="CD2" t="b">
        <v>1</v>
      </c>
      <c r="CE2">
        <v>7</v>
      </c>
      <c r="CF2">
        <v>0</v>
      </c>
      <c r="CG2">
        <v>7.35</v>
      </c>
      <c r="CH2">
        <v>16</v>
      </c>
      <c r="CI2">
        <v>0.78146000000000004</v>
      </c>
      <c r="CJ2">
        <v>16</v>
      </c>
      <c r="CK2">
        <v>0.86896499999999999</v>
      </c>
      <c r="CL2">
        <v>31</v>
      </c>
      <c r="CM2">
        <v>0.958179</v>
      </c>
      <c r="CN2">
        <v>18</v>
      </c>
      <c r="CO2">
        <v>1.0139419999999999</v>
      </c>
      <c r="CP2">
        <v>0.21513787119404201</v>
      </c>
      <c r="CQ2">
        <v>54</v>
      </c>
      <c r="CR2">
        <v>0.85442299999999904</v>
      </c>
      <c r="CS2">
        <v>-0.69565200000000005</v>
      </c>
    </row>
    <row r="3" spans="1:97" x14ac:dyDescent="0.2">
      <c r="A3">
        <v>3003</v>
      </c>
      <c r="B3" s="1">
        <v>44999</v>
      </c>
      <c r="C3" s="7">
        <v>0.38439814814814816</v>
      </c>
      <c r="D3" s="1">
        <v>45001</v>
      </c>
      <c r="E3" s="7">
        <v>0.59226851851851847</v>
      </c>
      <c r="F3" s="1">
        <v>45001</v>
      </c>
      <c r="G3" s="7">
        <v>0.61193287037037036</v>
      </c>
      <c r="H3">
        <v>7452</v>
      </c>
      <c r="I3" t="s">
        <v>287</v>
      </c>
      <c r="J3">
        <v>144</v>
      </c>
      <c r="K3" t="s">
        <v>288</v>
      </c>
      <c r="L3">
        <v>169</v>
      </c>
      <c r="M3" t="s">
        <v>287</v>
      </c>
      <c r="N3">
        <v>266</v>
      </c>
      <c r="O3" t="s">
        <v>289</v>
      </c>
      <c r="P3" t="s">
        <v>290</v>
      </c>
      <c r="Q3" t="s">
        <v>291</v>
      </c>
      <c r="R3" t="s">
        <v>302</v>
      </c>
      <c r="S3" t="s">
        <v>293</v>
      </c>
      <c r="U3" t="s">
        <v>294</v>
      </c>
      <c r="V3" t="b">
        <v>0</v>
      </c>
      <c r="W3" t="s">
        <v>303</v>
      </c>
      <c r="X3" t="s">
        <v>304</v>
      </c>
      <c r="Z3">
        <v>20</v>
      </c>
      <c r="AA3" t="s">
        <v>300</v>
      </c>
      <c r="AB3" t="s">
        <v>142</v>
      </c>
      <c r="AC3">
        <v>14</v>
      </c>
      <c r="AD3" t="s">
        <v>297</v>
      </c>
      <c r="AO3" t="s">
        <v>298</v>
      </c>
      <c r="AP3" t="s">
        <v>298</v>
      </c>
      <c r="AQ3" t="s">
        <v>298</v>
      </c>
      <c r="AR3" t="s">
        <v>298</v>
      </c>
      <c r="AS3" t="s">
        <v>299</v>
      </c>
      <c r="AT3" t="s">
        <v>300</v>
      </c>
      <c r="AU3">
        <v>202</v>
      </c>
      <c r="AV3" t="b">
        <v>1</v>
      </c>
      <c r="AW3">
        <v>6</v>
      </c>
      <c r="AX3">
        <v>0</v>
      </c>
      <c r="AY3">
        <v>9.93</v>
      </c>
      <c r="AZ3">
        <v>32</v>
      </c>
      <c r="BA3">
        <v>0.57623950000000002</v>
      </c>
      <c r="BB3">
        <v>0.112373041441341</v>
      </c>
      <c r="BC3">
        <v>16</v>
      </c>
      <c r="BD3">
        <v>0.57329050000000004</v>
      </c>
      <c r="BE3">
        <v>16</v>
      </c>
      <c r="BF3">
        <v>0.58419849999999995</v>
      </c>
      <c r="BG3">
        <v>2.7924530000000001</v>
      </c>
      <c r="CA3" t="s">
        <v>301</v>
      </c>
      <c r="CB3" t="s">
        <v>300</v>
      </c>
      <c r="CC3">
        <v>245</v>
      </c>
      <c r="CD3" t="b">
        <v>1</v>
      </c>
      <c r="CE3">
        <v>8</v>
      </c>
      <c r="CF3">
        <v>0</v>
      </c>
      <c r="CG3">
        <v>8.0500000000000007</v>
      </c>
      <c r="CH3">
        <v>16</v>
      </c>
      <c r="CI3">
        <v>0.42127799999999999</v>
      </c>
      <c r="CJ3">
        <v>16</v>
      </c>
      <c r="CK3">
        <v>0.54713199999999995</v>
      </c>
      <c r="CL3">
        <v>28</v>
      </c>
      <c r="CM3">
        <v>0.67955199999999905</v>
      </c>
      <c r="CN3">
        <v>18</v>
      </c>
      <c r="CO3">
        <v>0.65211399999999997</v>
      </c>
      <c r="CP3">
        <v>0.25350523899717597</v>
      </c>
      <c r="CQ3">
        <v>52</v>
      </c>
      <c r="CR3">
        <v>0.51032</v>
      </c>
      <c r="CS3">
        <v>0.31884099999999999</v>
      </c>
    </row>
    <row r="4" spans="1:97" x14ac:dyDescent="0.2">
      <c r="A4">
        <v>10606</v>
      </c>
      <c r="B4" s="1">
        <v>45004</v>
      </c>
      <c r="C4" s="7">
        <v>0.62927083333333333</v>
      </c>
      <c r="D4" s="1">
        <v>45004</v>
      </c>
      <c r="E4" s="7">
        <v>0.65353009259259254</v>
      </c>
      <c r="F4" s="1">
        <v>45004</v>
      </c>
      <c r="G4" s="7">
        <v>0.65387731481481481</v>
      </c>
      <c r="H4">
        <v>7507</v>
      </c>
      <c r="I4" t="s">
        <v>287</v>
      </c>
      <c r="J4">
        <v>144</v>
      </c>
      <c r="K4" t="s">
        <v>288</v>
      </c>
      <c r="L4">
        <v>169</v>
      </c>
      <c r="M4" t="s">
        <v>287</v>
      </c>
      <c r="N4">
        <v>266</v>
      </c>
      <c r="O4" t="s">
        <v>305</v>
      </c>
      <c r="P4" t="s">
        <v>306</v>
      </c>
      <c r="Q4" t="s">
        <v>307</v>
      </c>
      <c r="R4" t="s">
        <v>292</v>
      </c>
      <c r="S4" t="s">
        <v>293</v>
      </c>
      <c r="T4" t="s">
        <v>308</v>
      </c>
      <c r="U4" t="s">
        <v>294</v>
      </c>
      <c r="V4" t="b">
        <v>0</v>
      </c>
      <c r="W4" t="s">
        <v>309</v>
      </c>
      <c r="X4" t="s">
        <v>310</v>
      </c>
      <c r="Z4">
        <v>66</v>
      </c>
      <c r="AA4" t="s">
        <v>300</v>
      </c>
      <c r="AB4" t="s">
        <v>141</v>
      </c>
      <c r="AC4">
        <v>10</v>
      </c>
      <c r="AD4" t="s">
        <v>297</v>
      </c>
      <c r="AE4" t="s">
        <v>308</v>
      </c>
      <c r="AO4" t="s">
        <v>298</v>
      </c>
      <c r="AP4" t="s">
        <v>298</v>
      </c>
      <c r="AQ4" t="s">
        <v>298</v>
      </c>
      <c r="AR4" t="s">
        <v>298</v>
      </c>
      <c r="AS4" t="s">
        <v>299</v>
      </c>
      <c r="AT4" t="s">
        <v>300</v>
      </c>
      <c r="AU4">
        <v>161</v>
      </c>
      <c r="AV4" t="b">
        <v>1</v>
      </c>
      <c r="AW4">
        <v>6</v>
      </c>
      <c r="AX4">
        <v>0</v>
      </c>
      <c r="AY4">
        <v>7.96</v>
      </c>
      <c r="AZ4">
        <v>32</v>
      </c>
      <c r="BA4">
        <v>0.8543655</v>
      </c>
      <c r="BB4">
        <v>0.153528888888215</v>
      </c>
      <c r="BC4">
        <v>16</v>
      </c>
      <c r="BD4">
        <v>0.81366150000000004</v>
      </c>
      <c r="BE4">
        <v>16</v>
      </c>
      <c r="BF4">
        <v>0.93706800000000001</v>
      </c>
      <c r="BG4" t="s">
        <v>311</v>
      </c>
      <c r="BH4" t="s">
        <v>301</v>
      </c>
      <c r="BI4" t="s">
        <v>300</v>
      </c>
      <c r="BJ4">
        <v>227</v>
      </c>
      <c r="BK4">
        <v>1</v>
      </c>
      <c r="BL4">
        <v>6</v>
      </c>
      <c r="BM4">
        <v>1</v>
      </c>
      <c r="BN4">
        <v>6</v>
      </c>
      <c r="BO4">
        <v>9</v>
      </c>
      <c r="BP4">
        <v>1</v>
      </c>
      <c r="BQ4">
        <v>7.5</v>
      </c>
      <c r="BR4">
        <v>12</v>
      </c>
      <c r="BS4">
        <v>1</v>
      </c>
      <c r="BT4">
        <v>12</v>
      </c>
      <c r="BU4">
        <v>13</v>
      </c>
      <c r="BV4">
        <v>0.86666666666666603</v>
      </c>
      <c r="BW4">
        <v>7.5</v>
      </c>
      <c r="BX4">
        <v>40</v>
      </c>
      <c r="BY4">
        <v>0.952380952380952</v>
      </c>
      <c r="BZ4">
        <v>33</v>
      </c>
      <c r="CA4" t="s">
        <v>301</v>
      </c>
      <c r="CB4" t="s">
        <v>300</v>
      </c>
      <c r="CC4">
        <v>218</v>
      </c>
      <c r="CD4" t="b">
        <v>1</v>
      </c>
      <c r="CE4">
        <v>8</v>
      </c>
      <c r="CF4">
        <v>0</v>
      </c>
      <c r="CG4">
        <v>7.81</v>
      </c>
      <c r="CH4">
        <v>16</v>
      </c>
      <c r="CI4">
        <v>0.58428100000000005</v>
      </c>
      <c r="CJ4">
        <v>16</v>
      </c>
      <c r="CK4">
        <v>0.62961650000000002</v>
      </c>
      <c r="CL4">
        <v>27</v>
      </c>
      <c r="CM4">
        <v>0.69625899999999996</v>
      </c>
      <c r="CN4">
        <v>18</v>
      </c>
      <c r="CO4">
        <v>0.72157899999999997</v>
      </c>
      <c r="CP4">
        <v>0.24857362651614001</v>
      </c>
      <c r="CQ4">
        <v>51</v>
      </c>
      <c r="CR4">
        <v>0.63765700000000003</v>
      </c>
      <c r="CS4" t="s">
        <v>311</v>
      </c>
    </row>
    <row r="5" spans="1:97" x14ac:dyDescent="0.2">
      <c r="A5">
        <v>10596</v>
      </c>
      <c r="B5" s="1">
        <v>45003</v>
      </c>
      <c r="C5" s="7">
        <v>0.61944444444444446</v>
      </c>
      <c r="D5" s="1">
        <v>45003</v>
      </c>
      <c r="E5" s="7">
        <v>0.63129629629629636</v>
      </c>
      <c r="F5" s="1">
        <v>45004</v>
      </c>
      <c r="G5" s="7">
        <v>0.65387731481481481</v>
      </c>
      <c r="H5">
        <v>7508</v>
      </c>
      <c r="I5" t="s">
        <v>287</v>
      </c>
      <c r="J5">
        <v>144</v>
      </c>
      <c r="K5" t="s">
        <v>288</v>
      </c>
      <c r="L5">
        <v>169</v>
      </c>
      <c r="M5" t="s">
        <v>287</v>
      </c>
      <c r="N5">
        <v>266</v>
      </c>
      <c r="O5" t="s">
        <v>305</v>
      </c>
      <c r="P5" t="s">
        <v>306</v>
      </c>
      <c r="Q5" t="s">
        <v>307</v>
      </c>
      <c r="R5" t="s">
        <v>312</v>
      </c>
      <c r="T5" t="s">
        <v>308</v>
      </c>
      <c r="U5" t="s">
        <v>294</v>
      </c>
      <c r="V5" t="b">
        <v>0</v>
      </c>
      <c r="W5" t="s">
        <v>313</v>
      </c>
      <c r="X5" t="s">
        <v>314</v>
      </c>
      <c r="Z5">
        <v>27</v>
      </c>
      <c r="AA5" t="s">
        <v>300</v>
      </c>
      <c r="AB5" t="s">
        <v>141</v>
      </c>
      <c r="AD5" t="s">
        <v>297</v>
      </c>
      <c r="AE5" t="s">
        <v>308</v>
      </c>
      <c r="AO5" t="s">
        <v>298</v>
      </c>
      <c r="AP5" t="s">
        <v>298</v>
      </c>
      <c r="AQ5" t="s">
        <v>298</v>
      </c>
      <c r="AR5" t="s">
        <v>298</v>
      </c>
      <c r="AS5" t="s">
        <v>299</v>
      </c>
      <c r="AT5" t="s">
        <v>300</v>
      </c>
      <c r="AU5">
        <v>160</v>
      </c>
      <c r="AV5" t="b">
        <v>1</v>
      </c>
      <c r="AW5">
        <v>6</v>
      </c>
      <c r="AX5">
        <v>0</v>
      </c>
      <c r="AY5">
        <v>8.7100000000000009</v>
      </c>
      <c r="AZ5">
        <v>32</v>
      </c>
      <c r="BA5">
        <v>0.7164315</v>
      </c>
      <c r="BB5">
        <v>0.238032636258072</v>
      </c>
      <c r="BC5">
        <v>16</v>
      </c>
      <c r="BD5">
        <v>0.70426100000000003</v>
      </c>
      <c r="BE5">
        <v>16</v>
      </c>
      <c r="BF5">
        <v>0.78310349999999995</v>
      </c>
      <c r="BG5" t="s">
        <v>311</v>
      </c>
      <c r="BH5" t="s">
        <v>301</v>
      </c>
      <c r="BI5" t="s">
        <v>300</v>
      </c>
      <c r="BJ5">
        <v>243</v>
      </c>
      <c r="BK5">
        <v>1</v>
      </c>
      <c r="BL5">
        <v>6</v>
      </c>
      <c r="BM5">
        <v>1</v>
      </c>
      <c r="BN5">
        <v>6</v>
      </c>
      <c r="BO5">
        <v>6</v>
      </c>
      <c r="BP5">
        <v>0.66666666666666596</v>
      </c>
      <c r="BQ5">
        <v>6</v>
      </c>
      <c r="BR5">
        <v>11</v>
      </c>
      <c r="BS5">
        <v>0.91666666666666596</v>
      </c>
      <c r="BT5">
        <v>9</v>
      </c>
      <c r="BU5">
        <v>8</v>
      </c>
      <c r="BV5">
        <v>0.53333333333333299</v>
      </c>
      <c r="BW5">
        <v>6</v>
      </c>
      <c r="BX5">
        <v>31</v>
      </c>
      <c r="BY5">
        <v>0.73809523809523803</v>
      </c>
      <c r="BZ5">
        <v>27</v>
      </c>
      <c r="CA5" t="s">
        <v>301</v>
      </c>
      <c r="CB5" t="s">
        <v>300</v>
      </c>
      <c r="CC5">
        <v>235</v>
      </c>
      <c r="CD5" t="b">
        <v>1</v>
      </c>
      <c r="CE5">
        <v>8</v>
      </c>
      <c r="CF5">
        <v>0</v>
      </c>
      <c r="CG5">
        <v>7.34</v>
      </c>
      <c r="CH5">
        <v>16</v>
      </c>
      <c r="CI5">
        <v>0.70880999999999905</v>
      </c>
      <c r="CJ5">
        <v>16</v>
      </c>
      <c r="CK5">
        <v>0.71315099999999998</v>
      </c>
      <c r="CL5">
        <v>30</v>
      </c>
      <c r="CM5">
        <v>0.91720950000000001</v>
      </c>
      <c r="CN5">
        <v>19</v>
      </c>
      <c r="CO5">
        <v>0.92975699999999994</v>
      </c>
      <c r="CP5">
        <v>0.162796030539297</v>
      </c>
      <c r="CQ5">
        <v>53</v>
      </c>
      <c r="CR5">
        <v>0.75517500000000004</v>
      </c>
      <c r="CS5" t="s">
        <v>311</v>
      </c>
    </row>
    <row r="6" spans="1:97" x14ac:dyDescent="0.2">
      <c r="A6">
        <v>10555</v>
      </c>
      <c r="B6" s="1">
        <v>45000</v>
      </c>
      <c r="C6" s="7">
        <v>0.50597222222222216</v>
      </c>
      <c r="D6" s="1">
        <v>45000</v>
      </c>
      <c r="E6" s="7">
        <v>0.51975694444444442</v>
      </c>
      <c r="F6" s="1">
        <v>45004</v>
      </c>
      <c r="G6" s="7">
        <v>0.65387731481481481</v>
      </c>
      <c r="H6">
        <v>7509</v>
      </c>
      <c r="I6" t="s">
        <v>287</v>
      </c>
      <c r="J6">
        <v>144</v>
      </c>
      <c r="K6" t="s">
        <v>288</v>
      </c>
      <c r="L6">
        <v>169</v>
      </c>
      <c r="M6" t="s">
        <v>287</v>
      </c>
      <c r="N6">
        <v>266</v>
      </c>
      <c r="O6" t="s">
        <v>305</v>
      </c>
      <c r="P6" t="s">
        <v>306</v>
      </c>
      <c r="Q6" t="s">
        <v>307</v>
      </c>
      <c r="R6" t="s">
        <v>292</v>
      </c>
      <c r="S6" t="s">
        <v>293</v>
      </c>
      <c r="T6" t="s">
        <v>308</v>
      </c>
      <c r="U6" t="s">
        <v>294</v>
      </c>
      <c r="V6" t="b">
        <v>0</v>
      </c>
      <c r="Z6">
        <v>28</v>
      </c>
      <c r="AA6" t="s">
        <v>300</v>
      </c>
      <c r="AB6" t="s">
        <v>141</v>
      </c>
      <c r="AD6" t="s">
        <v>297</v>
      </c>
      <c r="AO6" t="s">
        <v>298</v>
      </c>
      <c r="AP6" t="s">
        <v>298</v>
      </c>
      <c r="AQ6" t="s">
        <v>298</v>
      </c>
      <c r="AR6" t="s">
        <v>298</v>
      </c>
      <c r="AS6" t="s">
        <v>299</v>
      </c>
      <c r="AT6" t="s">
        <v>300</v>
      </c>
      <c r="AU6">
        <v>158</v>
      </c>
      <c r="AV6" t="b">
        <v>1</v>
      </c>
      <c r="AW6">
        <v>6</v>
      </c>
      <c r="AX6">
        <v>0</v>
      </c>
      <c r="AY6">
        <v>8.4499999999999993</v>
      </c>
      <c r="AZ6">
        <v>28</v>
      </c>
      <c r="BA6">
        <v>0.76668950000000002</v>
      </c>
      <c r="BB6">
        <v>0.127606194093525</v>
      </c>
      <c r="BC6">
        <v>13</v>
      </c>
      <c r="BD6">
        <v>0.74599899999999997</v>
      </c>
      <c r="BE6">
        <v>15</v>
      </c>
      <c r="BF6">
        <v>0.77349900000000005</v>
      </c>
      <c r="BG6" t="s">
        <v>311</v>
      </c>
      <c r="BH6" t="s">
        <v>301</v>
      </c>
      <c r="BI6" t="s">
        <v>300</v>
      </c>
      <c r="BJ6">
        <v>265</v>
      </c>
      <c r="BK6">
        <v>1</v>
      </c>
      <c r="BL6">
        <v>6</v>
      </c>
      <c r="BM6">
        <v>1</v>
      </c>
      <c r="BN6">
        <v>6</v>
      </c>
      <c r="BO6">
        <v>9</v>
      </c>
      <c r="BP6">
        <v>1</v>
      </c>
      <c r="BQ6">
        <v>7.5</v>
      </c>
      <c r="BR6">
        <v>12</v>
      </c>
      <c r="BS6">
        <v>1</v>
      </c>
      <c r="BT6">
        <v>11</v>
      </c>
      <c r="BU6">
        <v>10</v>
      </c>
      <c r="BV6">
        <v>0.66666666666666596</v>
      </c>
      <c r="BW6">
        <v>5.5</v>
      </c>
      <c r="BX6">
        <v>37</v>
      </c>
      <c r="BY6">
        <v>0.88095238095238004</v>
      </c>
      <c r="BZ6">
        <v>30</v>
      </c>
      <c r="CA6" t="s">
        <v>301</v>
      </c>
      <c r="CB6" t="s">
        <v>300</v>
      </c>
      <c r="CC6">
        <v>225</v>
      </c>
      <c r="CD6" t="b">
        <v>1</v>
      </c>
      <c r="CE6">
        <v>7</v>
      </c>
      <c r="CF6">
        <v>0</v>
      </c>
      <c r="CG6">
        <v>7.67</v>
      </c>
      <c r="CH6">
        <v>16</v>
      </c>
      <c r="CI6">
        <v>0.54653850000000004</v>
      </c>
      <c r="CJ6">
        <v>15</v>
      </c>
      <c r="CK6">
        <v>0.64623200000000003</v>
      </c>
      <c r="CL6">
        <v>26</v>
      </c>
      <c r="CM6">
        <v>0.69203149999999902</v>
      </c>
      <c r="CN6">
        <v>15</v>
      </c>
      <c r="CO6">
        <v>0.97115899999999999</v>
      </c>
      <c r="CP6">
        <v>0.23909110342234699</v>
      </c>
      <c r="CQ6">
        <v>51</v>
      </c>
      <c r="CR6">
        <v>0.61310100000000001</v>
      </c>
      <c r="CS6" t="s">
        <v>311</v>
      </c>
    </row>
    <row r="7" spans="1:97" x14ac:dyDescent="0.2">
      <c r="A7">
        <v>10418</v>
      </c>
      <c r="B7" s="1">
        <v>45007</v>
      </c>
      <c r="C7" s="7">
        <v>0.52071759259259254</v>
      </c>
      <c r="D7" s="1">
        <v>45007</v>
      </c>
      <c r="E7" s="7">
        <v>0.53104166666666663</v>
      </c>
      <c r="F7" s="1">
        <v>45007</v>
      </c>
      <c r="G7" s="7">
        <v>0.58576388888888886</v>
      </c>
      <c r="H7">
        <v>7579</v>
      </c>
      <c r="I7" t="s">
        <v>287</v>
      </c>
      <c r="J7">
        <v>144</v>
      </c>
      <c r="K7" t="s">
        <v>288</v>
      </c>
      <c r="L7">
        <v>169</v>
      </c>
      <c r="M7" t="s">
        <v>287</v>
      </c>
      <c r="N7">
        <v>266</v>
      </c>
      <c r="O7" t="s">
        <v>305</v>
      </c>
      <c r="P7" t="s">
        <v>306</v>
      </c>
      <c r="Q7" t="s">
        <v>307</v>
      </c>
      <c r="R7" t="s">
        <v>292</v>
      </c>
      <c r="S7" t="s">
        <v>293</v>
      </c>
      <c r="U7" t="s">
        <v>294</v>
      </c>
      <c r="V7" t="b">
        <v>0</v>
      </c>
      <c r="Z7">
        <v>68</v>
      </c>
      <c r="AA7" t="s">
        <v>300</v>
      </c>
      <c r="AB7" t="s">
        <v>141</v>
      </c>
      <c r="AD7" t="s">
        <v>297</v>
      </c>
      <c r="AO7" t="s">
        <v>298</v>
      </c>
      <c r="AP7" t="s">
        <v>298</v>
      </c>
      <c r="AQ7" t="s">
        <v>298</v>
      </c>
      <c r="AR7" t="s">
        <v>298</v>
      </c>
      <c r="AS7" t="s">
        <v>299</v>
      </c>
      <c r="AT7" t="s">
        <v>300</v>
      </c>
      <c r="AU7">
        <v>179</v>
      </c>
      <c r="AV7" t="b">
        <v>1</v>
      </c>
      <c r="AW7">
        <v>6</v>
      </c>
      <c r="AX7">
        <v>0</v>
      </c>
      <c r="AY7">
        <v>7.67</v>
      </c>
      <c r="AZ7">
        <v>32</v>
      </c>
      <c r="BA7">
        <v>0.94600499999999998</v>
      </c>
      <c r="BB7">
        <v>8.0847854677566097E-2</v>
      </c>
      <c r="BC7">
        <v>16</v>
      </c>
      <c r="BD7">
        <v>0.90141950000000004</v>
      </c>
      <c r="BE7">
        <v>16</v>
      </c>
      <c r="BF7">
        <v>1.0043255</v>
      </c>
      <c r="BG7" t="s">
        <v>311</v>
      </c>
      <c r="BH7" t="s">
        <v>301</v>
      </c>
      <c r="BI7" t="s">
        <v>300</v>
      </c>
      <c r="BJ7">
        <v>264</v>
      </c>
      <c r="BK7">
        <v>1</v>
      </c>
      <c r="BL7">
        <v>6</v>
      </c>
      <c r="BM7">
        <v>1</v>
      </c>
      <c r="BN7">
        <v>6</v>
      </c>
      <c r="BO7">
        <v>6</v>
      </c>
      <c r="BP7">
        <v>0.66666666666666596</v>
      </c>
      <c r="BQ7">
        <v>6</v>
      </c>
      <c r="BR7">
        <v>5</v>
      </c>
      <c r="BS7">
        <v>0.41666666666666602</v>
      </c>
      <c r="BT7">
        <v>4</v>
      </c>
      <c r="BU7">
        <v>11</v>
      </c>
      <c r="BV7">
        <v>0.73333333333333295</v>
      </c>
      <c r="BW7">
        <v>6.5</v>
      </c>
      <c r="BX7">
        <v>28</v>
      </c>
      <c r="BY7">
        <v>0.66666666666666596</v>
      </c>
      <c r="BZ7">
        <v>22.5</v>
      </c>
      <c r="CA7" t="s">
        <v>301</v>
      </c>
      <c r="CB7" t="s">
        <v>300</v>
      </c>
      <c r="CC7">
        <v>252</v>
      </c>
      <c r="CD7" t="b">
        <v>1</v>
      </c>
      <c r="CE7">
        <v>8</v>
      </c>
      <c r="CF7">
        <v>0</v>
      </c>
      <c r="CG7">
        <v>7.06</v>
      </c>
      <c r="CH7">
        <v>16</v>
      </c>
      <c r="CI7">
        <v>0.91807399999999995</v>
      </c>
      <c r="CJ7">
        <v>16</v>
      </c>
      <c r="CK7">
        <v>0.97564300000000004</v>
      </c>
      <c r="CL7">
        <v>32</v>
      </c>
      <c r="CM7">
        <v>1.0920859999999999</v>
      </c>
      <c r="CN7">
        <v>20</v>
      </c>
      <c r="CO7">
        <v>1.0920859999999999</v>
      </c>
      <c r="CP7">
        <v>0.21773659814309401</v>
      </c>
      <c r="CQ7">
        <v>54</v>
      </c>
      <c r="CR7">
        <v>0.95480149999999997</v>
      </c>
      <c r="CS7" t="s">
        <v>311</v>
      </c>
    </row>
    <row r="8" spans="1:97" x14ac:dyDescent="0.2">
      <c r="A8">
        <v>10478</v>
      </c>
      <c r="B8" s="1">
        <v>45005</v>
      </c>
      <c r="C8" s="7">
        <v>0.53809027777777774</v>
      </c>
      <c r="D8" s="1">
        <v>45005</v>
      </c>
      <c r="E8" s="7">
        <v>0.555150462962963</v>
      </c>
      <c r="F8" s="1">
        <v>45007</v>
      </c>
      <c r="G8" s="7">
        <v>0.58576388888888886</v>
      </c>
      <c r="H8">
        <v>7580</v>
      </c>
      <c r="I8" t="s">
        <v>287</v>
      </c>
      <c r="J8">
        <v>144</v>
      </c>
      <c r="K8" t="s">
        <v>288</v>
      </c>
      <c r="L8">
        <v>169</v>
      </c>
      <c r="M8" t="s">
        <v>287</v>
      </c>
      <c r="N8">
        <v>266</v>
      </c>
      <c r="O8" t="s">
        <v>305</v>
      </c>
      <c r="P8" t="s">
        <v>306</v>
      </c>
      <c r="Q8" t="s">
        <v>307</v>
      </c>
      <c r="R8" t="s">
        <v>292</v>
      </c>
      <c r="S8" t="s">
        <v>293</v>
      </c>
      <c r="U8" t="s">
        <v>294</v>
      </c>
      <c r="V8" t="b">
        <v>0</v>
      </c>
      <c r="Z8">
        <v>28</v>
      </c>
      <c r="AA8" t="s">
        <v>300</v>
      </c>
      <c r="AB8" t="s">
        <v>141</v>
      </c>
      <c r="AD8" t="s">
        <v>297</v>
      </c>
      <c r="AO8" t="s">
        <v>298</v>
      </c>
      <c r="AP8" t="s">
        <v>298</v>
      </c>
      <c r="AQ8" t="s">
        <v>298</v>
      </c>
      <c r="AR8" t="s">
        <v>298</v>
      </c>
      <c r="AS8" t="s">
        <v>299</v>
      </c>
      <c r="AT8" t="s">
        <v>300</v>
      </c>
      <c r="AU8">
        <v>161</v>
      </c>
      <c r="AV8" t="b">
        <v>1</v>
      </c>
      <c r="AW8">
        <v>6</v>
      </c>
      <c r="AX8">
        <v>0</v>
      </c>
      <c r="AY8">
        <v>9.51</v>
      </c>
      <c r="AZ8">
        <v>32</v>
      </c>
      <c r="BA8">
        <v>0.60426150000000001</v>
      </c>
      <c r="BB8">
        <v>7.4319400519074694E-2</v>
      </c>
      <c r="BC8">
        <v>16</v>
      </c>
      <c r="BD8">
        <v>0.56268249999999997</v>
      </c>
      <c r="BE8">
        <v>16</v>
      </c>
      <c r="BF8">
        <v>0.64586200000000005</v>
      </c>
      <c r="BG8" t="s">
        <v>311</v>
      </c>
      <c r="BH8" t="s">
        <v>301</v>
      </c>
      <c r="BI8" t="s">
        <v>300</v>
      </c>
      <c r="BJ8">
        <v>234</v>
      </c>
      <c r="BK8">
        <v>1</v>
      </c>
      <c r="BL8">
        <v>6</v>
      </c>
      <c r="BM8">
        <v>1</v>
      </c>
      <c r="BN8">
        <v>6</v>
      </c>
      <c r="BO8">
        <v>8</v>
      </c>
      <c r="BP8">
        <v>0.88888888888888795</v>
      </c>
      <c r="BQ8">
        <v>8</v>
      </c>
      <c r="BR8">
        <v>11</v>
      </c>
      <c r="BS8">
        <v>0.91666666666666596</v>
      </c>
      <c r="BT8">
        <v>9.5</v>
      </c>
      <c r="BU8">
        <v>11</v>
      </c>
      <c r="BV8">
        <v>0.73333333333333295</v>
      </c>
      <c r="BW8">
        <v>8</v>
      </c>
      <c r="BX8">
        <v>36</v>
      </c>
      <c r="BY8">
        <v>0.85714285714285698</v>
      </c>
      <c r="BZ8">
        <v>31.5</v>
      </c>
      <c r="CA8" t="s">
        <v>301</v>
      </c>
      <c r="CB8" t="s">
        <v>300</v>
      </c>
      <c r="CC8">
        <v>207</v>
      </c>
      <c r="CD8" t="b">
        <v>1</v>
      </c>
      <c r="CE8">
        <v>8</v>
      </c>
      <c r="CF8">
        <v>0</v>
      </c>
      <c r="CG8">
        <v>9.27</v>
      </c>
      <c r="CH8">
        <v>16</v>
      </c>
      <c r="CI8">
        <v>0.51705350000000005</v>
      </c>
      <c r="CJ8">
        <v>15</v>
      </c>
      <c r="CK8">
        <v>0.39922400000000002</v>
      </c>
      <c r="CL8">
        <v>31</v>
      </c>
      <c r="CM8">
        <v>0.54448799999999997</v>
      </c>
      <c r="CN8">
        <v>18</v>
      </c>
      <c r="CO8">
        <v>0.55042199999999997</v>
      </c>
      <c r="CP8">
        <v>0.22648849191586001</v>
      </c>
      <c r="CQ8">
        <v>54</v>
      </c>
      <c r="CR8">
        <v>0.4672365</v>
      </c>
      <c r="CS8" t="s">
        <v>311</v>
      </c>
    </row>
    <row r="9" spans="1:97" x14ac:dyDescent="0.2">
      <c r="A9">
        <v>1001</v>
      </c>
      <c r="B9" s="1">
        <v>45014</v>
      </c>
      <c r="C9" s="7">
        <v>0.38284722222222217</v>
      </c>
      <c r="D9" s="1">
        <v>45014</v>
      </c>
      <c r="E9" s="7">
        <v>0.39083333333333337</v>
      </c>
      <c r="F9" s="1">
        <v>45014</v>
      </c>
      <c r="G9" s="7">
        <v>0.3910763888888889</v>
      </c>
      <c r="H9">
        <v>7753</v>
      </c>
      <c r="I9" t="s">
        <v>287</v>
      </c>
      <c r="J9">
        <v>144</v>
      </c>
      <c r="K9" t="s">
        <v>288</v>
      </c>
      <c r="L9">
        <v>169</v>
      </c>
      <c r="M9" t="s">
        <v>287</v>
      </c>
      <c r="N9">
        <v>266</v>
      </c>
      <c r="O9" t="s">
        <v>305</v>
      </c>
      <c r="P9" t="s">
        <v>306</v>
      </c>
      <c r="Q9" t="s">
        <v>307</v>
      </c>
      <c r="R9" t="s">
        <v>302</v>
      </c>
      <c r="S9" t="s">
        <v>293</v>
      </c>
      <c r="U9" t="s">
        <v>294</v>
      </c>
      <c r="V9" t="b">
        <v>0</v>
      </c>
      <c r="W9" t="s">
        <v>313</v>
      </c>
      <c r="X9" t="s">
        <v>315</v>
      </c>
      <c r="Z9">
        <v>23</v>
      </c>
      <c r="AA9" t="s">
        <v>300</v>
      </c>
      <c r="AB9" t="s">
        <v>141</v>
      </c>
      <c r="AC9">
        <v>4</v>
      </c>
      <c r="AD9" t="s">
        <v>297</v>
      </c>
      <c r="AO9" t="s">
        <v>298</v>
      </c>
      <c r="AP9" t="s">
        <v>298</v>
      </c>
      <c r="AQ9" t="s">
        <v>298</v>
      </c>
      <c r="AR9" t="s">
        <v>298</v>
      </c>
      <c r="AS9" t="s">
        <v>299</v>
      </c>
      <c r="AT9" t="s">
        <v>300</v>
      </c>
      <c r="AU9">
        <v>91</v>
      </c>
      <c r="AV9" t="b">
        <v>0</v>
      </c>
      <c r="AW9">
        <v>4</v>
      </c>
      <c r="AX9">
        <v>2</v>
      </c>
      <c r="AZ9">
        <v>0</v>
      </c>
      <c r="BA9" t="s">
        <v>311</v>
      </c>
      <c r="BB9" t="s">
        <v>311</v>
      </c>
      <c r="BC9">
        <v>0</v>
      </c>
      <c r="BD9" t="s">
        <v>311</v>
      </c>
      <c r="BE9">
        <v>0</v>
      </c>
      <c r="BF9" t="s">
        <v>311</v>
      </c>
      <c r="BG9" t="s">
        <v>311</v>
      </c>
    </row>
    <row r="10" spans="1:97" x14ac:dyDescent="0.2">
      <c r="A10">
        <v>10479</v>
      </c>
      <c r="B10" s="1">
        <v>45011</v>
      </c>
      <c r="C10" s="7">
        <v>0.53459490740740734</v>
      </c>
      <c r="D10" s="1">
        <v>45011</v>
      </c>
      <c r="E10" s="7">
        <v>0.54299768518518521</v>
      </c>
      <c r="F10" s="1">
        <v>45014</v>
      </c>
      <c r="G10" s="7">
        <v>0.3910763888888889</v>
      </c>
      <c r="H10">
        <v>7754</v>
      </c>
      <c r="I10" t="s">
        <v>287</v>
      </c>
      <c r="J10">
        <v>144</v>
      </c>
      <c r="K10" t="s">
        <v>288</v>
      </c>
      <c r="L10">
        <v>169</v>
      </c>
      <c r="M10" t="s">
        <v>287</v>
      </c>
      <c r="N10">
        <v>266</v>
      </c>
      <c r="O10" t="s">
        <v>305</v>
      </c>
      <c r="P10" t="s">
        <v>306</v>
      </c>
      <c r="Q10" t="s">
        <v>307</v>
      </c>
      <c r="R10" t="s">
        <v>292</v>
      </c>
      <c r="S10" t="s">
        <v>293</v>
      </c>
      <c r="T10" t="s">
        <v>308</v>
      </c>
      <c r="U10" t="s">
        <v>294</v>
      </c>
      <c r="V10" t="b">
        <v>0</v>
      </c>
      <c r="W10" t="s">
        <v>315</v>
      </c>
      <c r="X10" t="s">
        <v>316</v>
      </c>
      <c r="Z10">
        <v>30</v>
      </c>
      <c r="AA10" t="s">
        <v>300</v>
      </c>
      <c r="AB10" t="s">
        <v>142</v>
      </c>
      <c r="AD10" t="s">
        <v>297</v>
      </c>
      <c r="AE10" t="s">
        <v>308</v>
      </c>
      <c r="AO10" t="s">
        <v>298</v>
      </c>
      <c r="AP10" t="s">
        <v>298</v>
      </c>
      <c r="AQ10" t="s">
        <v>298</v>
      </c>
      <c r="AR10" t="s">
        <v>298</v>
      </c>
      <c r="AS10" t="s">
        <v>299</v>
      </c>
      <c r="AT10" t="s">
        <v>300</v>
      </c>
      <c r="AU10">
        <v>178</v>
      </c>
      <c r="AV10" t="b">
        <v>1</v>
      </c>
      <c r="AW10">
        <v>5</v>
      </c>
      <c r="AX10">
        <v>0</v>
      </c>
      <c r="AY10">
        <v>8.01</v>
      </c>
      <c r="AZ10">
        <v>32</v>
      </c>
      <c r="BA10">
        <v>0.82510850000000002</v>
      </c>
      <c r="BB10">
        <v>0.110107493292847</v>
      </c>
      <c r="BC10">
        <v>16</v>
      </c>
      <c r="BD10">
        <v>0.79176349999999995</v>
      </c>
      <c r="BE10">
        <v>16</v>
      </c>
      <c r="BF10">
        <v>0.92577600000000004</v>
      </c>
      <c r="BG10" t="s">
        <v>311</v>
      </c>
      <c r="BH10" t="s">
        <v>301</v>
      </c>
      <c r="BI10" t="s">
        <v>300</v>
      </c>
      <c r="BJ10">
        <v>256</v>
      </c>
      <c r="BK10">
        <v>1</v>
      </c>
      <c r="BL10">
        <v>6</v>
      </c>
      <c r="BM10">
        <v>1</v>
      </c>
      <c r="BN10">
        <v>6</v>
      </c>
      <c r="BO10">
        <v>7</v>
      </c>
      <c r="BP10">
        <v>0.77777777777777701</v>
      </c>
      <c r="BQ10">
        <v>5.5</v>
      </c>
      <c r="BR10">
        <v>10</v>
      </c>
      <c r="BS10">
        <v>0.83333333333333304</v>
      </c>
      <c r="BT10">
        <v>6</v>
      </c>
      <c r="BU10">
        <v>12</v>
      </c>
      <c r="BV10">
        <v>0.8</v>
      </c>
      <c r="BW10">
        <v>7.5</v>
      </c>
      <c r="BX10">
        <v>35</v>
      </c>
      <c r="BY10">
        <v>0.83333333333333304</v>
      </c>
      <c r="BZ10">
        <v>25</v>
      </c>
      <c r="CA10" t="s">
        <v>301</v>
      </c>
      <c r="CB10" t="s">
        <v>300</v>
      </c>
      <c r="CC10">
        <v>237</v>
      </c>
      <c r="CD10" t="b">
        <v>1</v>
      </c>
      <c r="CE10">
        <v>8</v>
      </c>
      <c r="CF10">
        <v>0</v>
      </c>
      <c r="CG10">
        <v>7.34</v>
      </c>
      <c r="CH10">
        <v>16</v>
      </c>
      <c r="CI10">
        <v>0.88822249999999903</v>
      </c>
      <c r="CJ10">
        <v>16</v>
      </c>
      <c r="CK10">
        <v>0.82996099999999995</v>
      </c>
      <c r="CL10">
        <v>32</v>
      </c>
      <c r="CM10">
        <v>1.004839</v>
      </c>
      <c r="CN10">
        <v>15</v>
      </c>
      <c r="CO10">
        <v>0.89626899999999998</v>
      </c>
      <c r="CP10">
        <v>0.30290721503571499</v>
      </c>
      <c r="CQ10">
        <v>59</v>
      </c>
      <c r="CR10">
        <v>0.91317199999999998</v>
      </c>
      <c r="CS10" t="s">
        <v>311</v>
      </c>
    </row>
    <row r="11" spans="1:97" x14ac:dyDescent="0.2">
      <c r="A11">
        <v>10462</v>
      </c>
      <c r="B11" s="1">
        <v>45008</v>
      </c>
      <c r="C11" s="7">
        <v>0.48039351851851847</v>
      </c>
      <c r="D11" s="1">
        <v>45011</v>
      </c>
      <c r="E11" s="7">
        <v>0.53457175925925926</v>
      </c>
      <c r="F11" s="1">
        <v>45014</v>
      </c>
      <c r="G11" s="7">
        <v>0.3910763888888889</v>
      </c>
      <c r="H11">
        <v>7755</v>
      </c>
      <c r="I11" t="s">
        <v>287</v>
      </c>
      <c r="J11">
        <v>144</v>
      </c>
      <c r="K11" t="s">
        <v>288</v>
      </c>
      <c r="L11">
        <v>169</v>
      </c>
      <c r="M11" t="s">
        <v>287</v>
      </c>
      <c r="N11">
        <v>266</v>
      </c>
      <c r="O11" t="s">
        <v>305</v>
      </c>
      <c r="P11" t="s">
        <v>306</v>
      </c>
      <c r="Q11" t="s">
        <v>307</v>
      </c>
      <c r="R11" t="s">
        <v>292</v>
      </c>
      <c r="S11" t="s">
        <v>293</v>
      </c>
      <c r="U11" t="s">
        <v>294</v>
      </c>
      <c r="V11" t="b">
        <v>0</v>
      </c>
      <c r="W11" t="s">
        <v>303</v>
      </c>
      <c r="X11" t="s">
        <v>304</v>
      </c>
      <c r="Z11">
        <v>62</v>
      </c>
      <c r="AA11" t="s">
        <v>300</v>
      </c>
      <c r="AB11" t="s">
        <v>142</v>
      </c>
      <c r="AD11" t="s">
        <v>297</v>
      </c>
      <c r="AO11" t="s">
        <v>298</v>
      </c>
      <c r="AP11" t="s">
        <v>298</v>
      </c>
      <c r="AQ11" t="s">
        <v>298</v>
      </c>
      <c r="AR11" t="s">
        <v>298</v>
      </c>
      <c r="AS11" t="s">
        <v>299</v>
      </c>
      <c r="AT11" t="s">
        <v>300</v>
      </c>
      <c r="AU11">
        <v>315</v>
      </c>
      <c r="AV11" t="b">
        <v>1</v>
      </c>
      <c r="AW11">
        <v>6</v>
      </c>
      <c r="AX11">
        <v>0</v>
      </c>
      <c r="AY11">
        <v>7.95</v>
      </c>
      <c r="AZ11">
        <v>31</v>
      </c>
      <c r="BA11">
        <v>0.81256499999999998</v>
      </c>
      <c r="BB11">
        <v>0.129618185582768</v>
      </c>
      <c r="BC11">
        <v>16</v>
      </c>
      <c r="BD11">
        <v>0.72964799999999996</v>
      </c>
      <c r="BE11">
        <v>15</v>
      </c>
      <c r="BF11">
        <v>0.87082300000000001</v>
      </c>
      <c r="BG11" t="s">
        <v>311</v>
      </c>
      <c r="BH11" t="s">
        <v>301</v>
      </c>
      <c r="BI11" t="s">
        <v>300</v>
      </c>
      <c r="BJ11">
        <v>263</v>
      </c>
      <c r="BK11">
        <v>1</v>
      </c>
      <c r="BL11">
        <v>5</v>
      </c>
      <c r="BM11">
        <v>0.83333333333333304</v>
      </c>
      <c r="BN11">
        <v>4</v>
      </c>
      <c r="BO11">
        <v>9</v>
      </c>
      <c r="BP11">
        <v>1</v>
      </c>
      <c r="BQ11">
        <v>9</v>
      </c>
      <c r="BR11">
        <v>10</v>
      </c>
      <c r="BS11">
        <v>0.83333333333333304</v>
      </c>
      <c r="BT11">
        <v>9.5</v>
      </c>
      <c r="BU11">
        <v>13</v>
      </c>
      <c r="BV11">
        <v>0.86666666666666603</v>
      </c>
      <c r="BW11">
        <v>7.5</v>
      </c>
      <c r="BX11">
        <v>37</v>
      </c>
      <c r="BY11">
        <v>0.88095238095238004</v>
      </c>
      <c r="BZ11">
        <v>30</v>
      </c>
      <c r="CA11" t="s">
        <v>301</v>
      </c>
      <c r="CB11" t="s">
        <v>300</v>
      </c>
      <c r="CC11">
        <v>224</v>
      </c>
      <c r="CD11" t="b">
        <v>1</v>
      </c>
      <c r="CE11">
        <v>8</v>
      </c>
      <c r="CF11">
        <v>0</v>
      </c>
      <c r="CG11">
        <v>6.85</v>
      </c>
      <c r="CH11">
        <v>15</v>
      </c>
      <c r="CI11">
        <v>0.763123</v>
      </c>
      <c r="CJ11">
        <v>16</v>
      </c>
      <c r="CK11">
        <v>0.67995300000000003</v>
      </c>
      <c r="CL11">
        <v>29</v>
      </c>
      <c r="CM11">
        <v>1.0128459999999999</v>
      </c>
      <c r="CN11">
        <v>19</v>
      </c>
      <c r="CO11">
        <v>0.996309</v>
      </c>
      <c r="CP11">
        <v>0.31287724731177802</v>
      </c>
      <c r="CQ11">
        <v>51</v>
      </c>
      <c r="CR11">
        <v>0.763123</v>
      </c>
      <c r="CS11" t="s">
        <v>311</v>
      </c>
    </row>
    <row r="12" spans="1:97" x14ac:dyDescent="0.2">
      <c r="A12">
        <v>10589</v>
      </c>
      <c r="B12" s="1">
        <v>45014</v>
      </c>
      <c r="C12" s="7">
        <v>0.51290509259259254</v>
      </c>
      <c r="D12" s="1">
        <v>45014</v>
      </c>
      <c r="E12" s="7">
        <v>0.51982638888888888</v>
      </c>
      <c r="F12" s="1">
        <v>45014</v>
      </c>
      <c r="G12" s="7">
        <v>0.52</v>
      </c>
      <c r="H12">
        <v>7770</v>
      </c>
      <c r="I12" t="s">
        <v>287</v>
      </c>
      <c r="J12">
        <v>144</v>
      </c>
      <c r="K12" t="s">
        <v>288</v>
      </c>
      <c r="L12">
        <v>169</v>
      </c>
      <c r="M12" t="s">
        <v>287</v>
      </c>
      <c r="N12">
        <v>266</v>
      </c>
      <c r="O12" t="s">
        <v>305</v>
      </c>
      <c r="P12" t="s">
        <v>306</v>
      </c>
      <c r="Q12" t="s">
        <v>307</v>
      </c>
      <c r="R12" t="s">
        <v>292</v>
      </c>
      <c r="S12" t="s">
        <v>293</v>
      </c>
      <c r="T12" t="s">
        <v>317</v>
      </c>
      <c r="U12" t="s">
        <v>294</v>
      </c>
      <c r="V12" t="b">
        <v>0</v>
      </c>
      <c r="W12" t="s">
        <v>315</v>
      </c>
      <c r="X12" t="s">
        <v>316</v>
      </c>
      <c r="Z12">
        <v>34</v>
      </c>
      <c r="AB12" t="s">
        <v>142</v>
      </c>
      <c r="AD12" t="s">
        <v>297</v>
      </c>
      <c r="AO12" t="s">
        <v>298</v>
      </c>
      <c r="AP12" t="s">
        <v>298</v>
      </c>
      <c r="AQ12" t="s">
        <v>298</v>
      </c>
      <c r="AR12" t="s">
        <v>298</v>
      </c>
      <c r="AS12" t="s">
        <v>299</v>
      </c>
      <c r="AT12" t="s">
        <v>300</v>
      </c>
      <c r="AU12">
        <v>164</v>
      </c>
      <c r="AV12" t="b">
        <v>1</v>
      </c>
      <c r="AW12">
        <v>6</v>
      </c>
      <c r="AX12">
        <v>0</v>
      </c>
      <c r="AY12">
        <v>9.35</v>
      </c>
      <c r="AZ12">
        <v>32</v>
      </c>
      <c r="BA12">
        <v>0.64345649999999999</v>
      </c>
      <c r="BB12">
        <v>6.8093593489006607E-2</v>
      </c>
      <c r="BC12">
        <v>16</v>
      </c>
      <c r="BD12">
        <v>0.60859599999999903</v>
      </c>
      <c r="BE12">
        <v>16</v>
      </c>
      <c r="BF12">
        <v>0.67206600000000005</v>
      </c>
      <c r="BG12" t="s">
        <v>311</v>
      </c>
      <c r="BH12" t="s">
        <v>301</v>
      </c>
      <c r="BI12" t="s">
        <v>300</v>
      </c>
      <c r="BJ12">
        <v>98</v>
      </c>
      <c r="BK12">
        <v>0</v>
      </c>
      <c r="BN12">
        <v>0</v>
      </c>
      <c r="BQ12">
        <v>0</v>
      </c>
      <c r="BT12">
        <v>0</v>
      </c>
      <c r="BW12">
        <v>0</v>
      </c>
      <c r="CA12" t="s">
        <v>301</v>
      </c>
      <c r="CB12" t="s">
        <v>300</v>
      </c>
      <c r="CC12">
        <v>199</v>
      </c>
      <c r="CD12" t="b">
        <v>1</v>
      </c>
      <c r="CE12">
        <v>7</v>
      </c>
      <c r="CF12">
        <v>0</v>
      </c>
      <c r="CG12">
        <v>9.39</v>
      </c>
      <c r="CH12">
        <v>16</v>
      </c>
      <c r="CI12">
        <v>0.44652349999999902</v>
      </c>
      <c r="CJ12">
        <v>16</v>
      </c>
      <c r="CK12">
        <v>0.5006195</v>
      </c>
      <c r="CL12">
        <v>29</v>
      </c>
      <c r="CM12">
        <v>0.47983999999999999</v>
      </c>
      <c r="CN12">
        <v>18</v>
      </c>
      <c r="CO12">
        <v>0.47140900000000002</v>
      </c>
      <c r="CP12">
        <v>0.11709923623049499</v>
      </c>
      <c r="CQ12">
        <v>52</v>
      </c>
      <c r="CR12">
        <v>0.47993649999999999</v>
      </c>
      <c r="CS12" t="s">
        <v>311</v>
      </c>
    </row>
    <row r="13" spans="1:97" x14ac:dyDescent="0.2">
      <c r="A13">
        <v>10608</v>
      </c>
      <c r="B13" s="1">
        <v>45019</v>
      </c>
      <c r="C13" s="7">
        <v>0.67523148148148149</v>
      </c>
      <c r="D13" s="1">
        <v>45019</v>
      </c>
      <c r="E13" s="7">
        <v>0.70179398148148142</v>
      </c>
      <c r="F13" s="1">
        <v>45021</v>
      </c>
      <c r="G13" s="7">
        <v>0.52456018518518521</v>
      </c>
      <c r="H13">
        <v>7984</v>
      </c>
      <c r="I13" t="s">
        <v>287</v>
      </c>
      <c r="J13">
        <v>144</v>
      </c>
      <c r="K13" t="s">
        <v>288</v>
      </c>
      <c r="L13">
        <v>169</v>
      </c>
      <c r="M13" t="s">
        <v>287</v>
      </c>
      <c r="N13">
        <v>266</v>
      </c>
      <c r="O13" t="s">
        <v>305</v>
      </c>
      <c r="P13" t="s">
        <v>306</v>
      </c>
      <c r="Q13" t="s">
        <v>307</v>
      </c>
      <c r="R13" t="s">
        <v>292</v>
      </c>
      <c r="S13" t="s">
        <v>293</v>
      </c>
      <c r="U13" t="s">
        <v>294</v>
      </c>
      <c r="V13" t="b">
        <v>0</v>
      </c>
      <c r="W13" t="s">
        <v>304</v>
      </c>
      <c r="Z13">
        <v>29</v>
      </c>
      <c r="AA13" t="s">
        <v>300</v>
      </c>
      <c r="AB13" t="s">
        <v>141</v>
      </c>
      <c r="AD13" t="s">
        <v>297</v>
      </c>
      <c r="AO13" t="s">
        <v>298</v>
      </c>
      <c r="AP13" t="s">
        <v>298</v>
      </c>
      <c r="AQ13" t="s">
        <v>298</v>
      </c>
      <c r="AR13" t="s">
        <v>298</v>
      </c>
      <c r="AS13" t="s">
        <v>299</v>
      </c>
      <c r="AT13" t="s">
        <v>300</v>
      </c>
      <c r="AU13">
        <v>204</v>
      </c>
      <c r="AV13" t="b">
        <v>1</v>
      </c>
      <c r="AW13">
        <v>6</v>
      </c>
      <c r="AX13">
        <v>0</v>
      </c>
      <c r="AY13">
        <v>8.01</v>
      </c>
      <c r="AZ13">
        <v>32</v>
      </c>
      <c r="BA13">
        <v>0.88339749999999995</v>
      </c>
      <c r="BB13">
        <v>0.153694148958371</v>
      </c>
      <c r="BC13">
        <v>16</v>
      </c>
      <c r="BD13">
        <v>0.87044549999999998</v>
      </c>
      <c r="BE13">
        <v>16</v>
      </c>
      <c r="BF13">
        <v>0.92510999999999999</v>
      </c>
      <c r="BG13" t="s">
        <v>311</v>
      </c>
      <c r="BH13" t="s">
        <v>301</v>
      </c>
      <c r="BI13" t="s">
        <v>300</v>
      </c>
      <c r="BJ13">
        <v>282</v>
      </c>
      <c r="BK13">
        <v>1</v>
      </c>
      <c r="BL13">
        <v>6</v>
      </c>
      <c r="BM13">
        <v>1</v>
      </c>
      <c r="BN13">
        <v>6</v>
      </c>
      <c r="BO13">
        <v>8</v>
      </c>
      <c r="BP13">
        <v>0.88888888888888795</v>
      </c>
      <c r="BQ13">
        <v>7</v>
      </c>
      <c r="BR13">
        <v>11</v>
      </c>
      <c r="BS13">
        <v>0.91666666666666596</v>
      </c>
      <c r="BT13">
        <v>10.5</v>
      </c>
      <c r="BU13">
        <v>7</v>
      </c>
      <c r="BV13">
        <v>0.46666666666666601</v>
      </c>
      <c r="BW13">
        <v>4.5</v>
      </c>
      <c r="BX13">
        <v>32</v>
      </c>
      <c r="BY13">
        <v>0.76190476190476097</v>
      </c>
      <c r="BZ13">
        <v>28</v>
      </c>
      <c r="CA13" t="s">
        <v>301</v>
      </c>
      <c r="CB13" t="s">
        <v>300</v>
      </c>
      <c r="CC13">
        <v>235</v>
      </c>
      <c r="CD13" t="b">
        <v>1</v>
      </c>
      <c r="CE13">
        <v>8</v>
      </c>
      <c r="CF13">
        <v>0</v>
      </c>
      <c r="CG13">
        <v>8.02</v>
      </c>
      <c r="CH13">
        <v>16</v>
      </c>
      <c r="CI13">
        <v>0.84217249999999999</v>
      </c>
      <c r="CJ13">
        <v>16</v>
      </c>
      <c r="CK13">
        <v>0.83828749999999996</v>
      </c>
      <c r="CL13">
        <v>32</v>
      </c>
      <c r="CM13">
        <v>0.82316199999999995</v>
      </c>
      <c r="CN13">
        <v>20</v>
      </c>
      <c r="CO13">
        <v>0.80458600000000002</v>
      </c>
      <c r="CP13">
        <v>0.11289353592451599</v>
      </c>
      <c r="CQ13">
        <v>54</v>
      </c>
      <c r="CR13">
        <v>0.84658149999999999</v>
      </c>
      <c r="CS13" t="s">
        <v>311</v>
      </c>
    </row>
    <row r="14" spans="1:97" x14ac:dyDescent="0.2">
      <c r="A14">
        <v>10585</v>
      </c>
      <c r="B14" s="1">
        <v>45019</v>
      </c>
      <c r="C14" s="7">
        <v>0.56929398148148147</v>
      </c>
      <c r="D14" s="1">
        <v>45019</v>
      </c>
      <c r="E14" s="7">
        <v>0.57893518518518516</v>
      </c>
      <c r="F14" s="1">
        <v>45021</v>
      </c>
      <c r="G14" s="7">
        <v>0.52456018518518521</v>
      </c>
      <c r="H14">
        <v>7985</v>
      </c>
      <c r="I14" t="s">
        <v>287</v>
      </c>
      <c r="J14">
        <v>144</v>
      </c>
      <c r="K14" t="s">
        <v>288</v>
      </c>
      <c r="L14">
        <v>169</v>
      </c>
      <c r="M14" t="s">
        <v>287</v>
      </c>
      <c r="N14">
        <v>266</v>
      </c>
      <c r="O14" t="s">
        <v>305</v>
      </c>
      <c r="P14" t="s">
        <v>306</v>
      </c>
      <c r="Q14" t="s">
        <v>307</v>
      </c>
      <c r="R14" t="s">
        <v>292</v>
      </c>
      <c r="S14" t="s">
        <v>293</v>
      </c>
      <c r="U14" t="s">
        <v>294</v>
      </c>
      <c r="V14" t="b">
        <v>0</v>
      </c>
      <c r="W14" t="s">
        <v>313</v>
      </c>
      <c r="X14" t="s">
        <v>315</v>
      </c>
      <c r="Z14">
        <v>63</v>
      </c>
      <c r="AA14" t="s">
        <v>300</v>
      </c>
      <c r="AB14" t="s">
        <v>141</v>
      </c>
      <c r="AO14" t="s">
        <v>298</v>
      </c>
      <c r="AP14" t="s">
        <v>298</v>
      </c>
      <c r="AQ14" t="s">
        <v>298</v>
      </c>
      <c r="AR14" t="s">
        <v>298</v>
      </c>
      <c r="AS14" t="s">
        <v>299</v>
      </c>
      <c r="AT14" t="s">
        <v>300</v>
      </c>
      <c r="AU14">
        <v>213</v>
      </c>
      <c r="AV14" t="b">
        <v>1</v>
      </c>
      <c r="AW14">
        <v>5</v>
      </c>
      <c r="AX14">
        <v>0</v>
      </c>
      <c r="AY14">
        <v>7.26</v>
      </c>
      <c r="AZ14">
        <v>32</v>
      </c>
      <c r="BA14">
        <v>1.0537334999999901</v>
      </c>
      <c r="BB14">
        <v>0.17476982868279201</v>
      </c>
      <c r="BC14">
        <v>16</v>
      </c>
      <c r="BD14">
        <v>0.94551649999999998</v>
      </c>
      <c r="BE14">
        <v>16</v>
      </c>
      <c r="BF14">
        <v>1.1075515</v>
      </c>
      <c r="BG14" t="s">
        <v>311</v>
      </c>
      <c r="BH14" t="s">
        <v>301</v>
      </c>
      <c r="BI14" t="s">
        <v>300</v>
      </c>
      <c r="BJ14">
        <v>279</v>
      </c>
      <c r="BK14">
        <v>1</v>
      </c>
      <c r="BL14">
        <v>6</v>
      </c>
      <c r="BM14">
        <v>1</v>
      </c>
      <c r="BN14">
        <v>6</v>
      </c>
      <c r="BO14">
        <v>8</v>
      </c>
      <c r="BP14">
        <v>0.88888888888888795</v>
      </c>
      <c r="BQ14">
        <v>8</v>
      </c>
      <c r="BR14">
        <v>12</v>
      </c>
      <c r="BS14">
        <v>1</v>
      </c>
      <c r="BT14">
        <v>10</v>
      </c>
      <c r="BU14">
        <v>11</v>
      </c>
      <c r="BV14">
        <v>0.73333333333333295</v>
      </c>
      <c r="BW14">
        <v>8</v>
      </c>
      <c r="BX14">
        <v>37</v>
      </c>
      <c r="BY14">
        <v>0.88095238095238004</v>
      </c>
      <c r="BZ14">
        <v>32</v>
      </c>
      <c r="CA14" t="s">
        <v>301</v>
      </c>
      <c r="CB14" t="s">
        <v>300</v>
      </c>
      <c r="CC14">
        <v>251</v>
      </c>
      <c r="CD14" t="b">
        <v>1</v>
      </c>
      <c r="CE14">
        <v>8</v>
      </c>
      <c r="CF14">
        <v>0</v>
      </c>
      <c r="CG14">
        <v>7.25</v>
      </c>
      <c r="CH14">
        <v>16</v>
      </c>
      <c r="CI14">
        <v>0.82971649999999997</v>
      </c>
      <c r="CJ14">
        <v>16</v>
      </c>
      <c r="CK14">
        <v>0.8047955</v>
      </c>
      <c r="CL14">
        <v>30</v>
      </c>
      <c r="CM14">
        <v>0.94206649999999903</v>
      </c>
      <c r="CN14">
        <v>19</v>
      </c>
      <c r="CO14">
        <v>0.91305800000000004</v>
      </c>
      <c r="CP14">
        <v>0.19269953337857701</v>
      </c>
      <c r="CQ14">
        <v>53</v>
      </c>
      <c r="CR14">
        <v>0.85462499999999997</v>
      </c>
      <c r="CS14" t="s">
        <v>311</v>
      </c>
    </row>
    <row r="15" spans="1:97" x14ac:dyDescent="0.2">
      <c r="A15">
        <v>10529</v>
      </c>
      <c r="B15" s="1">
        <v>45014</v>
      </c>
      <c r="C15" s="7">
        <v>0.52252314814814815</v>
      </c>
      <c r="D15" s="1">
        <v>45019</v>
      </c>
      <c r="E15" s="7">
        <v>0.56927083333333328</v>
      </c>
      <c r="F15" s="1">
        <v>45021</v>
      </c>
      <c r="G15" s="7">
        <v>0.52456018518518521</v>
      </c>
      <c r="H15">
        <v>7986</v>
      </c>
      <c r="I15" t="s">
        <v>287</v>
      </c>
      <c r="J15">
        <v>144</v>
      </c>
      <c r="K15" t="s">
        <v>288</v>
      </c>
      <c r="L15">
        <v>169</v>
      </c>
      <c r="M15" t="s">
        <v>287</v>
      </c>
      <c r="N15">
        <v>266</v>
      </c>
      <c r="O15" t="s">
        <v>305</v>
      </c>
      <c r="P15" t="s">
        <v>306</v>
      </c>
      <c r="Q15" t="s">
        <v>307</v>
      </c>
      <c r="R15" t="s">
        <v>292</v>
      </c>
      <c r="S15" t="s">
        <v>293</v>
      </c>
      <c r="U15" t="s">
        <v>294</v>
      </c>
      <c r="V15" t="b">
        <v>0</v>
      </c>
      <c r="W15" t="s">
        <v>303</v>
      </c>
      <c r="X15" t="s">
        <v>304</v>
      </c>
      <c r="Z15">
        <v>67</v>
      </c>
      <c r="AB15" t="s">
        <v>142</v>
      </c>
      <c r="AD15" t="s">
        <v>297</v>
      </c>
      <c r="AO15" t="s">
        <v>298</v>
      </c>
      <c r="AP15" t="s">
        <v>298</v>
      </c>
      <c r="AQ15" t="s">
        <v>298</v>
      </c>
      <c r="AR15" t="s">
        <v>298</v>
      </c>
      <c r="AS15" t="s">
        <v>299</v>
      </c>
      <c r="AT15" t="s">
        <v>300</v>
      </c>
      <c r="AU15">
        <v>191</v>
      </c>
      <c r="AV15" t="b">
        <v>1</v>
      </c>
      <c r="AW15">
        <v>3</v>
      </c>
      <c r="AX15">
        <v>6</v>
      </c>
      <c r="AY15">
        <v>8.8000000000000007</v>
      </c>
      <c r="AZ15">
        <v>32</v>
      </c>
      <c r="BA15">
        <v>0.75856449999999997</v>
      </c>
      <c r="BB15">
        <v>9.6650160064998505E-2</v>
      </c>
      <c r="BC15">
        <v>16</v>
      </c>
      <c r="BD15">
        <v>0.74011549999999904</v>
      </c>
      <c r="BE15">
        <v>16</v>
      </c>
      <c r="BF15">
        <v>0.76677249999999997</v>
      </c>
      <c r="BG15" t="s">
        <v>311</v>
      </c>
      <c r="BH15" t="s">
        <v>301</v>
      </c>
      <c r="BI15" t="s">
        <v>300</v>
      </c>
      <c r="BJ15">
        <v>244</v>
      </c>
      <c r="BK15">
        <v>1</v>
      </c>
      <c r="BL15">
        <v>6</v>
      </c>
      <c r="BM15">
        <v>1</v>
      </c>
      <c r="BN15">
        <v>5</v>
      </c>
      <c r="BO15">
        <v>8</v>
      </c>
      <c r="BP15">
        <v>0.88888888888888795</v>
      </c>
      <c r="BQ15">
        <v>6</v>
      </c>
      <c r="BR15">
        <v>11</v>
      </c>
      <c r="BS15">
        <v>0.91666666666666596</v>
      </c>
      <c r="BT15">
        <v>5.5</v>
      </c>
      <c r="BU15">
        <v>12</v>
      </c>
      <c r="BV15">
        <v>0.8</v>
      </c>
      <c r="BW15">
        <v>7.5</v>
      </c>
      <c r="BX15">
        <v>37</v>
      </c>
      <c r="BY15">
        <v>0.88095238095238004</v>
      </c>
      <c r="BZ15">
        <v>24</v>
      </c>
      <c r="CA15" t="s">
        <v>301</v>
      </c>
      <c r="CB15" t="s">
        <v>300</v>
      </c>
      <c r="CC15">
        <v>227</v>
      </c>
      <c r="CD15" t="b">
        <v>1</v>
      </c>
      <c r="CE15">
        <v>8</v>
      </c>
      <c r="CF15">
        <v>0</v>
      </c>
      <c r="CG15">
        <v>8.83</v>
      </c>
      <c r="CH15">
        <v>16</v>
      </c>
      <c r="CI15">
        <v>0.45895249999999999</v>
      </c>
      <c r="CJ15">
        <v>16</v>
      </c>
      <c r="CK15">
        <v>0.52989549999999996</v>
      </c>
      <c r="CL15">
        <v>30</v>
      </c>
      <c r="CM15">
        <v>0.59206950000000003</v>
      </c>
      <c r="CN15">
        <v>21</v>
      </c>
      <c r="CO15">
        <v>0.60432300000000005</v>
      </c>
      <c r="CP15">
        <v>0.28285280807096902</v>
      </c>
      <c r="CQ15">
        <v>51</v>
      </c>
      <c r="CR15">
        <v>0.52146800000000004</v>
      </c>
      <c r="CS15" t="s">
        <v>311</v>
      </c>
    </row>
    <row r="16" spans="1:97" x14ac:dyDescent="0.2">
      <c r="A16">
        <v>10369</v>
      </c>
      <c r="B16" s="1">
        <v>45002</v>
      </c>
      <c r="C16" s="7">
        <v>0.59236111111111112</v>
      </c>
      <c r="D16" s="1">
        <v>45002</v>
      </c>
      <c r="E16" s="7">
        <v>0.61516203703703709</v>
      </c>
      <c r="F16" s="1">
        <v>45021</v>
      </c>
      <c r="G16" s="7">
        <v>0.52456018518518521</v>
      </c>
      <c r="H16">
        <v>7987</v>
      </c>
      <c r="I16" t="s">
        <v>287</v>
      </c>
      <c r="J16">
        <v>144</v>
      </c>
      <c r="K16" t="s">
        <v>288</v>
      </c>
      <c r="L16">
        <v>169</v>
      </c>
      <c r="M16" t="s">
        <v>287</v>
      </c>
      <c r="N16">
        <v>266</v>
      </c>
      <c r="O16" t="s">
        <v>305</v>
      </c>
      <c r="P16" t="s">
        <v>306</v>
      </c>
      <c r="Q16" t="s">
        <v>307</v>
      </c>
      <c r="R16" t="s">
        <v>292</v>
      </c>
      <c r="S16" t="s">
        <v>293</v>
      </c>
      <c r="U16" t="s">
        <v>294</v>
      </c>
      <c r="V16" t="b">
        <v>0</v>
      </c>
      <c r="W16" t="s">
        <v>318</v>
      </c>
      <c r="X16" t="s">
        <v>318</v>
      </c>
      <c r="AA16" t="s">
        <v>300</v>
      </c>
      <c r="AB16" t="s">
        <v>142</v>
      </c>
      <c r="AD16" t="s">
        <v>297</v>
      </c>
      <c r="AO16" t="s">
        <v>298</v>
      </c>
      <c r="AP16" t="s">
        <v>298</v>
      </c>
      <c r="AQ16" t="s">
        <v>298</v>
      </c>
      <c r="AR16" t="s">
        <v>298</v>
      </c>
      <c r="AS16" t="s">
        <v>299</v>
      </c>
      <c r="AT16" t="s">
        <v>300</v>
      </c>
      <c r="AU16">
        <v>183</v>
      </c>
      <c r="AV16" t="b">
        <v>1</v>
      </c>
      <c r="AW16">
        <v>6</v>
      </c>
      <c r="AX16">
        <v>0</v>
      </c>
      <c r="AY16">
        <v>8.32</v>
      </c>
      <c r="AZ16">
        <v>32</v>
      </c>
      <c r="BA16">
        <v>0.82917099999999999</v>
      </c>
      <c r="BB16">
        <v>0.19469296132736999</v>
      </c>
      <c r="BC16">
        <v>16</v>
      </c>
      <c r="BD16">
        <v>0.70854099999999998</v>
      </c>
      <c r="BE16">
        <v>16</v>
      </c>
      <c r="BF16">
        <v>0.85822100000000001</v>
      </c>
      <c r="BG16" t="s">
        <v>311</v>
      </c>
      <c r="BH16" t="s">
        <v>301</v>
      </c>
      <c r="BI16" t="s">
        <v>300</v>
      </c>
      <c r="BJ16">
        <v>262</v>
      </c>
      <c r="BK16">
        <v>1</v>
      </c>
      <c r="BL16">
        <v>6</v>
      </c>
      <c r="BM16">
        <v>1</v>
      </c>
      <c r="BN16">
        <v>6</v>
      </c>
      <c r="BO16">
        <v>8</v>
      </c>
      <c r="BP16">
        <v>0.88888888888888795</v>
      </c>
      <c r="BQ16">
        <v>8</v>
      </c>
      <c r="BR16">
        <v>9</v>
      </c>
      <c r="BS16">
        <v>0.75</v>
      </c>
      <c r="BT16">
        <v>8</v>
      </c>
      <c r="BU16">
        <v>10</v>
      </c>
      <c r="BV16">
        <v>0.66666666666666596</v>
      </c>
      <c r="BW16">
        <v>8.5</v>
      </c>
      <c r="BX16">
        <v>33</v>
      </c>
      <c r="BY16">
        <v>0.78571428571428503</v>
      </c>
      <c r="BZ16">
        <v>30.5</v>
      </c>
      <c r="CA16" t="s">
        <v>301</v>
      </c>
      <c r="CB16" t="s">
        <v>300</v>
      </c>
      <c r="CC16">
        <v>275</v>
      </c>
      <c r="CD16" t="b">
        <v>1</v>
      </c>
      <c r="CE16">
        <v>8</v>
      </c>
      <c r="CF16">
        <v>0</v>
      </c>
      <c r="CG16">
        <v>6.47</v>
      </c>
      <c r="CH16">
        <v>15</v>
      </c>
      <c r="CI16">
        <v>0.93821600000000005</v>
      </c>
      <c r="CJ16">
        <v>16</v>
      </c>
      <c r="CK16">
        <v>1.562937</v>
      </c>
      <c r="CL16">
        <v>32</v>
      </c>
      <c r="CM16">
        <v>1.296432</v>
      </c>
      <c r="CN16">
        <v>16</v>
      </c>
      <c r="CO16">
        <v>1.3922405</v>
      </c>
      <c r="CP16">
        <v>0.54860255626499199</v>
      </c>
      <c r="CQ16">
        <v>57</v>
      </c>
      <c r="CR16">
        <v>1.1960729999999999</v>
      </c>
      <c r="CS16" t="s">
        <v>311</v>
      </c>
    </row>
    <row r="17" spans="1:97" x14ac:dyDescent="0.2">
      <c r="A17">
        <v>31934</v>
      </c>
      <c r="B17" s="1">
        <v>45021</v>
      </c>
      <c r="C17" s="7">
        <v>0.52611111111111108</v>
      </c>
      <c r="D17" s="1">
        <v>45021</v>
      </c>
      <c r="E17" s="7">
        <v>0.53548611111111111</v>
      </c>
      <c r="F17" s="1">
        <v>45021</v>
      </c>
      <c r="G17" s="7">
        <v>0.53557870370370375</v>
      </c>
      <c r="H17">
        <v>7988</v>
      </c>
      <c r="I17" t="s">
        <v>287</v>
      </c>
      <c r="J17">
        <v>144</v>
      </c>
      <c r="K17" t="s">
        <v>288</v>
      </c>
      <c r="L17">
        <v>169</v>
      </c>
      <c r="M17" t="s">
        <v>287</v>
      </c>
      <c r="N17">
        <v>266</v>
      </c>
      <c r="O17" t="s">
        <v>289</v>
      </c>
      <c r="P17" t="s">
        <v>290</v>
      </c>
      <c r="Q17" t="s">
        <v>291</v>
      </c>
      <c r="R17" t="s">
        <v>292</v>
      </c>
      <c r="S17" t="s">
        <v>293</v>
      </c>
      <c r="T17" t="s">
        <v>319</v>
      </c>
      <c r="U17" t="s">
        <v>294</v>
      </c>
      <c r="V17" t="b">
        <v>0</v>
      </c>
      <c r="Z17">
        <v>21</v>
      </c>
      <c r="AA17" t="s">
        <v>300</v>
      </c>
      <c r="AB17" t="s">
        <v>142</v>
      </c>
      <c r="AD17" t="s">
        <v>297</v>
      </c>
      <c r="AE17" t="s">
        <v>308</v>
      </c>
      <c r="AO17" t="s">
        <v>298</v>
      </c>
      <c r="AP17" t="s">
        <v>298</v>
      </c>
      <c r="AQ17" t="s">
        <v>298</v>
      </c>
      <c r="AR17" t="s">
        <v>298</v>
      </c>
      <c r="AS17" t="s">
        <v>299</v>
      </c>
      <c r="AT17" t="s">
        <v>300</v>
      </c>
      <c r="AU17">
        <v>153</v>
      </c>
      <c r="AV17" t="b">
        <v>1</v>
      </c>
      <c r="AW17">
        <v>6</v>
      </c>
      <c r="AX17">
        <v>0</v>
      </c>
      <c r="AY17">
        <v>8.75</v>
      </c>
      <c r="AZ17">
        <v>32</v>
      </c>
      <c r="BA17">
        <v>0.74995900000000004</v>
      </c>
      <c r="BB17">
        <v>0.281050368316282</v>
      </c>
      <c r="BC17">
        <v>16</v>
      </c>
      <c r="BD17">
        <v>0.69173750000000001</v>
      </c>
      <c r="BE17">
        <v>16</v>
      </c>
      <c r="BF17">
        <v>0.77495499999999995</v>
      </c>
      <c r="BG17" t="s">
        <v>311</v>
      </c>
      <c r="BH17" t="s">
        <v>301</v>
      </c>
      <c r="BI17" t="s">
        <v>300</v>
      </c>
      <c r="BJ17">
        <v>359</v>
      </c>
      <c r="BK17">
        <v>1</v>
      </c>
      <c r="BL17">
        <v>4</v>
      </c>
      <c r="BM17">
        <v>0.66666666666666596</v>
      </c>
      <c r="BN17">
        <v>4</v>
      </c>
      <c r="BO17">
        <v>9</v>
      </c>
      <c r="BP17">
        <v>1</v>
      </c>
      <c r="BQ17">
        <v>5.5</v>
      </c>
      <c r="BR17">
        <v>9</v>
      </c>
      <c r="BS17">
        <v>0.75</v>
      </c>
      <c r="BT17">
        <v>6.5</v>
      </c>
      <c r="BU17">
        <v>3</v>
      </c>
      <c r="BV17">
        <v>0.2</v>
      </c>
      <c r="BW17">
        <v>1.5</v>
      </c>
      <c r="BX17">
        <v>25</v>
      </c>
      <c r="BY17">
        <v>0.59523809523809501</v>
      </c>
      <c r="BZ17">
        <v>17.5</v>
      </c>
      <c r="CA17" t="s">
        <v>301</v>
      </c>
      <c r="CB17" t="s">
        <v>300</v>
      </c>
      <c r="CC17">
        <v>196</v>
      </c>
      <c r="CD17" t="b">
        <v>1</v>
      </c>
      <c r="CE17">
        <v>8</v>
      </c>
      <c r="CF17">
        <v>0</v>
      </c>
      <c r="CG17">
        <v>8.4</v>
      </c>
      <c r="CH17">
        <v>15</v>
      </c>
      <c r="CI17">
        <v>0.70516999999999996</v>
      </c>
      <c r="CJ17">
        <v>16</v>
      </c>
      <c r="CK17">
        <v>0.54636149999999895</v>
      </c>
      <c r="CL17">
        <v>28</v>
      </c>
      <c r="CM17">
        <v>0.61336849999999998</v>
      </c>
      <c r="CN17">
        <v>14</v>
      </c>
      <c r="CO17">
        <v>0.70208300000000001</v>
      </c>
      <c r="CP17">
        <v>0.29492698771357101</v>
      </c>
      <c r="CQ17">
        <v>55</v>
      </c>
      <c r="CR17">
        <v>0.61359200000000003</v>
      </c>
      <c r="CS17" t="s">
        <v>311</v>
      </c>
    </row>
    <row r="18" spans="1:97" x14ac:dyDescent="0.2">
      <c r="A18">
        <v>10486</v>
      </c>
      <c r="B18" s="1">
        <v>45026</v>
      </c>
      <c r="C18" s="7">
        <v>0.67070601851851841</v>
      </c>
      <c r="D18" s="1">
        <v>45027</v>
      </c>
      <c r="E18" s="7">
        <v>0.54586805555555562</v>
      </c>
      <c r="F18" s="1">
        <v>45027</v>
      </c>
      <c r="G18" s="7">
        <v>0.54594907407407411</v>
      </c>
      <c r="H18">
        <v>8127</v>
      </c>
      <c r="I18" t="s">
        <v>287</v>
      </c>
      <c r="J18">
        <v>144</v>
      </c>
      <c r="K18" t="s">
        <v>288</v>
      </c>
      <c r="L18">
        <v>169</v>
      </c>
      <c r="M18" t="s">
        <v>287</v>
      </c>
      <c r="N18">
        <v>266</v>
      </c>
      <c r="O18" t="s">
        <v>305</v>
      </c>
      <c r="P18" t="s">
        <v>306</v>
      </c>
      <c r="Q18" t="s">
        <v>307</v>
      </c>
      <c r="R18" t="s">
        <v>312</v>
      </c>
      <c r="S18" t="s">
        <v>320</v>
      </c>
      <c r="T18" t="s">
        <v>321</v>
      </c>
      <c r="U18" t="s">
        <v>294</v>
      </c>
      <c r="V18" t="b">
        <v>0</v>
      </c>
      <c r="W18" t="s">
        <v>313</v>
      </c>
      <c r="X18" t="s">
        <v>315</v>
      </c>
      <c r="Z18">
        <v>41</v>
      </c>
      <c r="AA18" t="s">
        <v>300</v>
      </c>
      <c r="AB18" t="s">
        <v>141</v>
      </c>
      <c r="AD18" t="s">
        <v>297</v>
      </c>
      <c r="AO18" t="s">
        <v>298</v>
      </c>
      <c r="AP18" t="s">
        <v>298</v>
      </c>
      <c r="AQ18" t="s">
        <v>298</v>
      </c>
      <c r="AR18" t="s">
        <v>298</v>
      </c>
      <c r="AS18" t="s">
        <v>299</v>
      </c>
      <c r="AT18" t="s">
        <v>300</v>
      </c>
      <c r="AU18">
        <v>178</v>
      </c>
      <c r="AV18" t="b">
        <v>1</v>
      </c>
      <c r="AW18">
        <v>6</v>
      </c>
      <c r="AX18">
        <v>0</v>
      </c>
      <c r="AY18">
        <v>7.76</v>
      </c>
      <c r="AZ18">
        <v>32</v>
      </c>
      <c r="BA18">
        <v>0.89996399999999999</v>
      </c>
      <c r="BB18">
        <v>0.172556317139096</v>
      </c>
      <c r="BC18">
        <v>16</v>
      </c>
      <c r="BD18">
        <v>0.80826399999999998</v>
      </c>
      <c r="BE18">
        <v>16</v>
      </c>
      <c r="BF18">
        <v>0.98301949999999905</v>
      </c>
      <c r="BG18" t="s">
        <v>311</v>
      </c>
    </row>
    <row r="19" spans="1:97" x14ac:dyDescent="0.2">
      <c r="A19">
        <v>10617</v>
      </c>
      <c r="B19" s="1">
        <v>45022</v>
      </c>
      <c r="C19" s="7">
        <v>0.51754629629629634</v>
      </c>
      <c r="D19" s="1">
        <v>45026</v>
      </c>
      <c r="E19" s="7">
        <v>0.6705092592592593</v>
      </c>
      <c r="F19" s="1">
        <v>45027</v>
      </c>
      <c r="G19" s="7">
        <v>0.54594907407407411</v>
      </c>
      <c r="H19">
        <v>8128</v>
      </c>
      <c r="I19" t="s">
        <v>287</v>
      </c>
      <c r="J19">
        <v>144</v>
      </c>
      <c r="K19" t="s">
        <v>288</v>
      </c>
      <c r="L19">
        <v>169</v>
      </c>
      <c r="M19" t="s">
        <v>287</v>
      </c>
      <c r="N19">
        <v>266</v>
      </c>
      <c r="O19" t="s">
        <v>305</v>
      </c>
      <c r="P19" t="s">
        <v>306</v>
      </c>
      <c r="Q19" t="s">
        <v>307</v>
      </c>
      <c r="R19" t="s">
        <v>312</v>
      </c>
      <c r="U19" t="s">
        <v>294</v>
      </c>
      <c r="V19" t="b">
        <v>0</v>
      </c>
      <c r="Z19">
        <v>73</v>
      </c>
      <c r="AA19" t="s">
        <v>300</v>
      </c>
      <c r="AB19" t="s">
        <v>141</v>
      </c>
      <c r="AD19" t="s">
        <v>322</v>
      </c>
      <c r="AE19" t="s">
        <v>308</v>
      </c>
      <c r="AO19" t="s">
        <v>298</v>
      </c>
      <c r="AP19" t="s">
        <v>298</v>
      </c>
      <c r="AQ19" t="s">
        <v>298</v>
      </c>
      <c r="AR19" t="s">
        <v>298</v>
      </c>
      <c r="AS19" t="s">
        <v>299</v>
      </c>
      <c r="AT19" t="s">
        <v>300</v>
      </c>
      <c r="AU19">
        <v>195</v>
      </c>
      <c r="AV19" t="b">
        <v>1</v>
      </c>
      <c r="AW19">
        <v>5</v>
      </c>
      <c r="AX19">
        <v>0</v>
      </c>
      <c r="AY19">
        <v>6.72</v>
      </c>
      <c r="AZ19">
        <v>32</v>
      </c>
      <c r="BA19">
        <v>1.1916910000000001</v>
      </c>
      <c r="BB19">
        <v>0.209368341975498</v>
      </c>
      <c r="BC19">
        <v>16</v>
      </c>
      <c r="BD19">
        <v>1.1332249999999999</v>
      </c>
      <c r="BE19">
        <v>16</v>
      </c>
      <c r="BF19">
        <v>1.2585454999999901</v>
      </c>
      <c r="BG19" t="s">
        <v>311</v>
      </c>
      <c r="BH19" t="s">
        <v>301</v>
      </c>
      <c r="BI19" t="s">
        <v>300</v>
      </c>
      <c r="BJ19">
        <v>136</v>
      </c>
      <c r="BK19">
        <v>0</v>
      </c>
      <c r="BN19">
        <v>0</v>
      </c>
      <c r="BQ19">
        <v>0</v>
      </c>
      <c r="BT19">
        <v>0</v>
      </c>
      <c r="BW19">
        <v>0</v>
      </c>
      <c r="CA19" t="s">
        <v>301</v>
      </c>
      <c r="CB19" t="s">
        <v>300</v>
      </c>
      <c r="CC19">
        <v>243</v>
      </c>
      <c r="CD19" t="b">
        <v>1</v>
      </c>
      <c r="CE19">
        <v>8</v>
      </c>
      <c r="CF19">
        <v>0</v>
      </c>
      <c r="CG19">
        <v>7.76</v>
      </c>
      <c r="CH19">
        <v>16</v>
      </c>
      <c r="CI19">
        <v>0.96934849999999995</v>
      </c>
      <c r="CJ19">
        <v>16</v>
      </c>
      <c r="CK19">
        <v>1.0884274999999899</v>
      </c>
      <c r="CL19">
        <v>32</v>
      </c>
      <c r="CM19">
        <v>0.88822000000000001</v>
      </c>
      <c r="CN19">
        <v>20</v>
      </c>
      <c r="CO19">
        <v>0.90886199999999995</v>
      </c>
      <c r="CP19">
        <v>0.248435019796304</v>
      </c>
      <c r="CQ19">
        <v>54</v>
      </c>
      <c r="CR19">
        <v>1.0091155000000001</v>
      </c>
      <c r="CS19" t="s">
        <v>311</v>
      </c>
    </row>
    <row r="20" spans="1:97" x14ac:dyDescent="0.2">
      <c r="A20">
        <v>10559</v>
      </c>
      <c r="B20" s="1">
        <v>45021</v>
      </c>
      <c r="C20" s="7">
        <v>0.75843749999999999</v>
      </c>
      <c r="D20" s="1">
        <v>45022</v>
      </c>
      <c r="E20" s="7">
        <v>0.51752314814814815</v>
      </c>
      <c r="F20" s="1">
        <v>45027</v>
      </c>
      <c r="G20" s="7">
        <v>0.54594907407407411</v>
      </c>
      <c r="H20">
        <v>8129</v>
      </c>
      <c r="I20" t="s">
        <v>287</v>
      </c>
      <c r="J20">
        <v>144</v>
      </c>
      <c r="K20" t="s">
        <v>288</v>
      </c>
      <c r="L20">
        <v>169</v>
      </c>
      <c r="M20" t="s">
        <v>287</v>
      </c>
      <c r="N20">
        <v>266</v>
      </c>
      <c r="O20" t="s">
        <v>305</v>
      </c>
      <c r="P20" t="s">
        <v>306</v>
      </c>
      <c r="Q20" t="s">
        <v>307</v>
      </c>
      <c r="R20" t="s">
        <v>292</v>
      </c>
      <c r="S20" t="s">
        <v>293</v>
      </c>
      <c r="U20" t="s">
        <v>294</v>
      </c>
      <c r="V20" t="b">
        <v>0</v>
      </c>
      <c r="Z20">
        <v>28</v>
      </c>
      <c r="AA20" t="s">
        <v>300</v>
      </c>
      <c r="AB20" t="s">
        <v>142</v>
      </c>
      <c r="AD20" t="s">
        <v>322</v>
      </c>
      <c r="AE20" t="s">
        <v>308</v>
      </c>
      <c r="AO20" t="s">
        <v>298</v>
      </c>
      <c r="AP20" t="s">
        <v>298</v>
      </c>
      <c r="AQ20" t="s">
        <v>298</v>
      </c>
      <c r="AR20" t="s">
        <v>298</v>
      </c>
      <c r="AS20" t="s">
        <v>299</v>
      </c>
      <c r="AT20" t="s">
        <v>300</v>
      </c>
      <c r="AU20">
        <v>180</v>
      </c>
      <c r="AV20" t="b">
        <v>1</v>
      </c>
      <c r="AW20">
        <v>6</v>
      </c>
      <c r="AX20">
        <v>0</v>
      </c>
      <c r="AY20">
        <v>9.1</v>
      </c>
      <c r="AZ20">
        <v>32</v>
      </c>
      <c r="BA20">
        <v>0.69184500000000004</v>
      </c>
      <c r="BB20">
        <v>0.18746561227235101</v>
      </c>
      <c r="BC20">
        <v>16</v>
      </c>
      <c r="BD20">
        <v>0.62105900000000003</v>
      </c>
      <c r="BE20">
        <v>16</v>
      </c>
      <c r="BF20">
        <v>0.71269850000000001</v>
      </c>
      <c r="BG20" t="s">
        <v>311</v>
      </c>
      <c r="BH20" t="s">
        <v>301</v>
      </c>
      <c r="BI20" t="s">
        <v>300</v>
      </c>
      <c r="BJ20">
        <v>241</v>
      </c>
      <c r="BK20">
        <v>1</v>
      </c>
      <c r="BL20">
        <v>6</v>
      </c>
      <c r="BM20">
        <v>1</v>
      </c>
      <c r="BN20">
        <v>6</v>
      </c>
      <c r="BO20">
        <v>8</v>
      </c>
      <c r="BP20">
        <v>0.88888888888888795</v>
      </c>
      <c r="BQ20">
        <v>8</v>
      </c>
      <c r="BR20">
        <v>12</v>
      </c>
      <c r="BS20">
        <v>1</v>
      </c>
      <c r="BT20">
        <v>10</v>
      </c>
      <c r="BU20">
        <v>11</v>
      </c>
      <c r="BV20">
        <v>0.73333333333333295</v>
      </c>
      <c r="BW20">
        <v>7.5</v>
      </c>
      <c r="BX20">
        <v>37</v>
      </c>
      <c r="BY20">
        <v>0.88095238095238004</v>
      </c>
      <c r="BZ20">
        <v>31.5</v>
      </c>
      <c r="CA20" t="s">
        <v>301</v>
      </c>
      <c r="CB20" t="s">
        <v>300</v>
      </c>
      <c r="CC20">
        <v>215</v>
      </c>
      <c r="CD20" t="b">
        <v>1</v>
      </c>
      <c r="CE20">
        <v>8</v>
      </c>
      <c r="CF20">
        <v>0</v>
      </c>
      <c r="CG20">
        <v>8.2799999999999994</v>
      </c>
      <c r="CH20">
        <v>16</v>
      </c>
      <c r="CI20">
        <v>0.56730049999999999</v>
      </c>
      <c r="CJ20">
        <v>15</v>
      </c>
      <c r="CK20">
        <v>0.77141499999999996</v>
      </c>
      <c r="CL20">
        <v>32</v>
      </c>
      <c r="CM20">
        <v>0.76301649999999999</v>
      </c>
      <c r="CN20">
        <v>20</v>
      </c>
      <c r="CO20">
        <v>0.78792299999999904</v>
      </c>
      <c r="CP20">
        <v>0.28199865810214397</v>
      </c>
      <c r="CQ20">
        <v>53</v>
      </c>
      <c r="CR20">
        <v>0.67988899999999997</v>
      </c>
      <c r="CS20" t="s">
        <v>311</v>
      </c>
    </row>
    <row r="21" spans="1:97" x14ac:dyDescent="0.2">
      <c r="A21">
        <v>10572</v>
      </c>
      <c r="B21" s="1">
        <v>45015</v>
      </c>
      <c r="C21" s="7">
        <v>0.57528935185185182</v>
      </c>
      <c r="D21" s="1">
        <v>45015</v>
      </c>
      <c r="E21" s="7">
        <v>0.63364583333333335</v>
      </c>
      <c r="F21" s="1">
        <v>45027</v>
      </c>
      <c r="G21" s="7">
        <v>0.54594907407407411</v>
      </c>
      <c r="H21">
        <v>8130</v>
      </c>
      <c r="I21" t="s">
        <v>287</v>
      </c>
      <c r="J21">
        <v>144</v>
      </c>
      <c r="K21" t="s">
        <v>288</v>
      </c>
      <c r="L21">
        <v>169</v>
      </c>
      <c r="M21" t="s">
        <v>287</v>
      </c>
      <c r="N21">
        <v>266</v>
      </c>
      <c r="O21" t="s">
        <v>305</v>
      </c>
      <c r="P21" t="s">
        <v>306</v>
      </c>
      <c r="Q21" t="s">
        <v>307</v>
      </c>
      <c r="R21" t="s">
        <v>292</v>
      </c>
      <c r="S21" t="s">
        <v>293</v>
      </c>
      <c r="U21" t="s">
        <v>294</v>
      </c>
      <c r="V21" t="b">
        <v>0</v>
      </c>
      <c r="W21" t="s">
        <v>303</v>
      </c>
      <c r="X21" t="s">
        <v>304</v>
      </c>
      <c r="Z21">
        <v>70</v>
      </c>
      <c r="AA21" t="s">
        <v>300</v>
      </c>
      <c r="AB21" t="s">
        <v>141</v>
      </c>
      <c r="AO21" t="s">
        <v>298</v>
      </c>
      <c r="AP21" t="s">
        <v>298</v>
      </c>
      <c r="AQ21" t="s">
        <v>298</v>
      </c>
      <c r="AR21" t="s">
        <v>298</v>
      </c>
      <c r="AS21" t="s">
        <v>299</v>
      </c>
      <c r="AT21" t="s">
        <v>300</v>
      </c>
      <c r="AU21">
        <v>184</v>
      </c>
      <c r="AV21" t="b">
        <v>1</v>
      </c>
      <c r="AW21">
        <v>6</v>
      </c>
      <c r="AX21">
        <v>0</v>
      </c>
      <c r="AY21">
        <v>7.12</v>
      </c>
      <c r="AZ21">
        <v>32</v>
      </c>
      <c r="BA21">
        <v>1.1169514999999901</v>
      </c>
      <c r="BB21">
        <v>0.107613146960495</v>
      </c>
      <c r="BC21">
        <v>16</v>
      </c>
      <c r="BD21">
        <v>1.1042615</v>
      </c>
      <c r="BE21">
        <v>16</v>
      </c>
      <c r="BF21">
        <v>1.145953</v>
      </c>
      <c r="BG21" t="s">
        <v>311</v>
      </c>
      <c r="BH21" t="s">
        <v>301</v>
      </c>
      <c r="BI21" t="s">
        <v>300</v>
      </c>
      <c r="BJ21">
        <v>321</v>
      </c>
      <c r="BK21">
        <v>1</v>
      </c>
      <c r="BL21">
        <v>5</v>
      </c>
      <c r="BM21">
        <v>0.83333333333333304</v>
      </c>
      <c r="BN21">
        <v>5</v>
      </c>
      <c r="BO21">
        <v>9</v>
      </c>
      <c r="BP21">
        <v>1</v>
      </c>
      <c r="BQ21">
        <v>9</v>
      </c>
      <c r="BR21">
        <v>8</v>
      </c>
      <c r="BS21">
        <v>0.66666666666666596</v>
      </c>
      <c r="BT21">
        <v>7</v>
      </c>
      <c r="BU21">
        <v>6</v>
      </c>
      <c r="BV21">
        <v>0.4</v>
      </c>
      <c r="BW21">
        <v>3</v>
      </c>
      <c r="BX21">
        <v>28</v>
      </c>
      <c r="BY21">
        <v>0.66666666666666596</v>
      </c>
      <c r="BZ21">
        <v>24</v>
      </c>
      <c r="CA21" t="s">
        <v>301</v>
      </c>
      <c r="CB21" t="s">
        <v>300</v>
      </c>
      <c r="CC21">
        <v>239</v>
      </c>
      <c r="CD21" t="b">
        <v>1</v>
      </c>
      <c r="CE21">
        <v>7</v>
      </c>
      <c r="CF21">
        <v>0</v>
      </c>
      <c r="CG21">
        <v>9.06</v>
      </c>
      <c r="CH21">
        <v>16</v>
      </c>
      <c r="CI21">
        <v>0.70906800000000003</v>
      </c>
      <c r="CJ21">
        <v>16</v>
      </c>
      <c r="CK21">
        <v>0.71735249999999995</v>
      </c>
      <c r="CL21">
        <v>31</v>
      </c>
      <c r="CM21">
        <v>0.57982100000000003</v>
      </c>
      <c r="CN21">
        <v>17</v>
      </c>
      <c r="CO21">
        <v>0.57143900000000003</v>
      </c>
      <c r="CP21">
        <v>0.14769271528581901</v>
      </c>
      <c r="CQ21">
        <v>55</v>
      </c>
      <c r="CR21">
        <v>0.71332499999999999</v>
      </c>
      <c r="CS21" t="s">
        <v>311</v>
      </c>
    </row>
    <row r="22" spans="1:97" x14ac:dyDescent="0.2">
      <c r="A22">
        <v>10541</v>
      </c>
      <c r="B22" s="1">
        <v>45048</v>
      </c>
      <c r="C22" s="7">
        <v>0.39804398148148151</v>
      </c>
      <c r="D22" s="1">
        <v>45048</v>
      </c>
      <c r="E22" s="7">
        <v>0.41678240740740741</v>
      </c>
      <c r="F22" s="1">
        <v>45048</v>
      </c>
      <c r="G22" s="7">
        <v>0.41712962962962963</v>
      </c>
      <c r="H22">
        <v>8799</v>
      </c>
      <c r="I22" t="s">
        <v>287</v>
      </c>
      <c r="J22">
        <v>144</v>
      </c>
      <c r="K22" t="s">
        <v>288</v>
      </c>
      <c r="L22">
        <v>169</v>
      </c>
      <c r="M22" t="s">
        <v>287</v>
      </c>
      <c r="N22">
        <v>266</v>
      </c>
      <c r="O22" t="s">
        <v>305</v>
      </c>
      <c r="P22" t="s">
        <v>306</v>
      </c>
      <c r="Q22" t="s">
        <v>307</v>
      </c>
      <c r="R22" t="s">
        <v>292</v>
      </c>
      <c r="S22" t="s">
        <v>293</v>
      </c>
      <c r="U22" t="s">
        <v>294</v>
      </c>
      <c r="V22" t="b">
        <v>0</v>
      </c>
      <c r="W22" t="s">
        <v>315</v>
      </c>
      <c r="X22" t="s">
        <v>316</v>
      </c>
      <c r="Z22">
        <v>69</v>
      </c>
      <c r="AB22" t="s">
        <v>142</v>
      </c>
      <c r="AD22" t="s">
        <v>297</v>
      </c>
      <c r="AO22" t="s">
        <v>298</v>
      </c>
      <c r="AP22" t="s">
        <v>298</v>
      </c>
      <c r="AQ22" t="s">
        <v>298</v>
      </c>
      <c r="AR22" t="s">
        <v>298</v>
      </c>
      <c r="AS22" t="s">
        <v>299</v>
      </c>
      <c r="AT22" t="s">
        <v>300</v>
      </c>
      <c r="AU22">
        <v>180</v>
      </c>
      <c r="AV22" t="b">
        <v>1</v>
      </c>
      <c r="AW22">
        <v>6</v>
      </c>
      <c r="AX22">
        <v>0</v>
      </c>
      <c r="AY22">
        <v>8.75</v>
      </c>
      <c r="AZ22">
        <v>32</v>
      </c>
      <c r="BA22">
        <v>0.73359149999999995</v>
      </c>
      <c r="BB22">
        <v>9.93951103596806E-2</v>
      </c>
      <c r="BC22">
        <v>16</v>
      </c>
      <c r="BD22">
        <v>0.69478149999999905</v>
      </c>
      <c r="BE22">
        <v>16</v>
      </c>
      <c r="BF22">
        <v>0.774976</v>
      </c>
      <c r="BG22" t="s">
        <v>311</v>
      </c>
      <c r="BH22" t="s">
        <v>301</v>
      </c>
      <c r="BI22" t="s">
        <v>300</v>
      </c>
      <c r="BJ22">
        <v>276</v>
      </c>
      <c r="BK22">
        <v>1</v>
      </c>
      <c r="BL22">
        <v>6</v>
      </c>
      <c r="BM22">
        <v>1</v>
      </c>
      <c r="BN22">
        <v>4</v>
      </c>
      <c r="BO22">
        <v>8</v>
      </c>
      <c r="BP22">
        <v>0.88888888888888795</v>
      </c>
      <c r="BQ22">
        <v>8</v>
      </c>
      <c r="BR22">
        <v>11</v>
      </c>
      <c r="BS22">
        <v>0.91666666666666596</v>
      </c>
      <c r="BT22">
        <v>10.5</v>
      </c>
      <c r="BU22">
        <v>12</v>
      </c>
      <c r="BV22">
        <v>0.8</v>
      </c>
      <c r="BW22">
        <v>8.5</v>
      </c>
      <c r="BX22">
        <v>37</v>
      </c>
      <c r="BY22">
        <v>0.88095238095238004</v>
      </c>
      <c r="BZ22">
        <v>31</v>
      </c>
      <c r="CA22" t="s">
        <v>301</v>
      </c>
      <c r="CB22" t="s">
        <v>300</v>
      </c>
      <c r="CC22">
        <v>226</v>
      </c>
      <c r="CD22" t="b">
        <v>1</v>
      </c>
      <c r="CE22">
        <v>7</v>
      </c>
      <c r="CF22">
        <v>0</v>
      </c>
      <c r="CG22">
        <v>7.49</v>
      </c>
      <c r="CH22">
        <v>15</v>
      </c>
      <c r="CI22">
        <v>0.60481099999999999</v>
      </c>
      <c r="CJ22">
        <v>15</v>
      </c>
      <c r="CK22">
        <v>0.62145300000000003</v>
      </c>
      <c r="CL22">
        <v>28</v>
      </c>
      <c r="CM22">
        <v>0.80039400000000005</v>
      </c>
      <c r="CN22">
        <v>18</v>
      </c>
      <c r="CO22">
        <v>0.81294599999999995</v>
      </c>
      <c r="CP22">
        <v>0.22070633295431</v>
      </c>
      <c r="CQ22">
        <v>49</v>
      </c>
      <c r="CR22">
        <v>0.69660900000000003</v>
      </c>
      <c r="CS22" t="s">
        <v>311</v>
      </c>
    </row>
    <row r="23" spans="1:97" x14ac:dyDescent="0.2">
      <c r="A23">
        <v>10657</v>
      </c>
      <c r="B23" s="1">
        <v>45043</v>
      </c>
      <c r="C23" s="7">
        <v>0.47760416666666666</v>
      </c>
      <c r="D23" s="1">
        <v>45048</v>
      </c>
      <c r="E23" s="7">
        <v>0.39802083333333332</v>
      </c>
      <c r="F23" s="1">
        <v>45048</v>
      </c>
      <c r="G23" s="7">
        <v>0.41712962962962963</v>
      </c>
      <c r="H23">
        <v>8800</v>
      </c>
      <c r="I23" t="s">
        <v>287</v>
      </c>
      <c r="J23">
        <v>144</v>
      </c>
      <c r="K23" t="s">
        <v>288</v>
      </c>
      <c r="L23">
        <v>169</v>
      </c>
      <c r="M23" t="s">
        <v>287</v>
      </c>
      <c r="N23">
        <v>266</v>
      </c>
      <c r="O23" t="s">
        <v>305</v>
      </c>
      <c r="P23" t="s">
        <v>306</v>
      </c>
      <c r="Q23" t="s">
        <v>307</v>
      </c>
      <c r="R23" t="s">
        <v>292</v>
      </c>
      <c r="S23" t="s">
        <v>293</v>
      </c>
      <c r="U23" t="s">
        <v>294</v>
      </c>
      <c r="V23" t="b">
        <v>0</v>
      </c>
      <c r="W23" t="s">
        <v>303</v>
      </c>
      <c r="X23" t="s">
        <v>304</v>
      </c>
      <c r="Z23">
        <v>58</v>
      </c>
      <c r="AB23" t="s">
        <v>142</v>
      </c>
      <c r="AD23" t="s">
        <v>297</v>
      </c>
      <c r="AO23" t="s">
        <v>298</v>
      </c>
      <c r="AP23" t="s">
        <v>298</v>
      </c>
      <c r="AQ23" t="s">
        <v>298</v>
      </c>
      <c r="AR23" t="s">
        <v>298</v>
      </c>
      <c r="AS23" t="s">
        <v>299</v>
      </c>
      <c r="AT23" t="s">
        <v>300</v>
      </c>
      <c r="AU23">
        <v>143</v>
      </c>
      <c r="AV23" t="b">
        <v>1</v>
      </c>
      <c r="AW23">
        <v>6</v>
      </c>
      <c r="AX23">
        <v>0</v>
      </c>
      <c r="AY23">
        <v>8.07</v>
      </c>
      <c r="AZ23">
        <v>32</v>
      </c>
      <c r="BA23">
        <v>0.82917599999999902</v>
      </c>
      <c r="BB23">
        <v>8.7923749835167597E-2</v>
      </c>
      <c r="BC23">
        <v>16</v>
      </c>
      <c r="BD23">
        <v>0.75840549999999995</v>
      </c>
      <c r="BE23">
        <v>16</v>
      </c>
      <c r="BF23">
        <v>0.91241349999999999</v>
      </c>
      <c r="BG23" t="s">
        <v>311</v>
      </c>
      <c r="BH23" t="s">
        <v>301</v>
      </c>
      <c r="BI23" t="s">
        <v>300</v>
      </c>
      <c r="BJ23">
        <v>314</v>
      </c>
      <c r="BK23">
        <v>1</v>
      </c>
      <c r="BL23">
        <v>6</v>
      </c>
      <c r="BM23">
        <v>1</v>
      </c>
      <c r="BN23">
        <v>6</v>
      </c>
      <c r="BO23">
        <v>9</v>
      </c>
      <c r="BP23">
        <v>1</v>
      </c>
      <c r="BQ23">
        <v>8</v>
      </c>
      <c r="BR23">
        <v>11</v>
      </c>
      <c r="BS23">
        <v>0.91666666666666596</v>
      </c>
      <c r="BT23">
        <v>8.5</v>
      </c>
      <c r="BU23">
        <v>13</v>
      </c>
      <c r="BV23">
        <v>0.86666666666666603</v>
      </c>
      <c r="BW23">
        <v>9.5</v>
      </c>
      <c r="BX23">
        <v>39</v>
      </c>
      <c r="BY23">
        <v>0.92857142857142805</v>
      </c>
      <c r="BZ23">
        <v>32</v>
      </c>
      <c r="CA23" t="s">
        <v>301</v>
      </c>
      <c r="CB23" t="s">
        <v>300</v>
      </c>
      <c r="CC23">
        <v>318</v>
      </c>
      <c r="CD23" t="b">
        <v>1</v>
      </c>
      <c r="CE23">
        <v>5</v>
      </c>
      <c r="CF23">
        <v>8</v>
      </c>
      <c r="CG23">
        <v>5.92</v>
      </c>
      <c r="CH23">
        <v>16</v>
      </c>
      <c r="CI23">
        <v>1.0632204999999999</v>
      </c>
      <c r="CJ23">
        <v>16</v>
      </c>
      <c r="CK23">
        <v>0.92144349999999997</v>
      </c>
      <c r="CL23">
        <v>29</v>
      </c>
      <c r="CM23">
        <v>1.329529</v>
      </c>
      <c r="CN23">
        <v>22</v>
      </c>
      <c r="CO23">
        <v>1.354511</v>
      </c>
      <c r="CP23">
        <v>0.23079493523295</v>
      </c>
      <c r="CQ23">
        <v>54</v>
      </c>
      <c r="CR23">
        <v>1.0756825000000001</v>
      </c>
      <c r="CS23" t="s">
        <v>311</v>
      </c>
    </row>
    <row r="24" spans="1:97" x14ac:dyDescent="0.2">
      <c r="A24">
        <v>10663</v>
      </c>
      <c r="B24" s="1">
        <v>45042</v>
      </c>
      <c r="C24" s="7">
        <v>0.73280092592592594</v>
      </c>
      <c r="D24" s="1">
        <v>45043</v>
      </c>
      <c r="E24" s="7">
        <v>0.47583333333333333</v>
      </c>
      <c r="F24" s="1">
        <v>45048</v>
      </c>
      <c r="G24" s="7">
        <v>0.41712962962962963</v>
      </c>
      <c r="H24">
        <v>8802</v>
      </c>
      <c r="I24" t="s">
        <v>287</v>
      </c>
      <c r="J24">
        <v>144</v>
      </c>
      <c r="K24" t="s">
        <v>288</v>
      </c>
      <c r="L24">
        <v>169</v>
      </c>
      <c r="M24" t="s">
        <v>287</v>
      </c>
      <c r="N24">
        <v>266</v>
      </c>
      <c r="O24" t="s">
        <v>305</v>
      </c>
      <c r="P24" t="s">
        <v>306</v>
      </c>
      <c r="Q24" t="s">
        <v>307</v>
      </c>
      <c r="R24" t="s">
        <v>292</v>
      </c>
      <c r="S24" t="s">
        <v>293</v>
      </c>
      <c r="U24" t="s">
        <v>294</v>
      </c>
      <c r="V24" t="b">
        <v>0</v>
      </c>
      <c r="W24" t="s">
        <v>303</v>
      </c>
      <c r="X24" t="s">
        <v>304</v>
      </c>
      <c r="Z24">
        <v>22</v>
      </c>
      <c r="AB24" t="s">
        <v>141</v>
      </c>
      <c r="AD24" t="s">
        <v>322</v>
      </c>
      <c r="AO24" t="s">
        <v>298</v>
      </c>
      <c r="AP24" t="s">
        <v>298</v>
      </c>
      <c r="AQ24" t="s">
        <v>298</v>
      </c>
      <c r="AR24" t="s">
        <v>298</v>
      </c>
      <c r="AS24" t="s">
        <v>299</v>
      </c>
      <c r="AT24" t="s">
        <v>300</v>
      </c>
      <c r="AU24">
        <v>184</v>
      </c>
      <c r="AV24" t="b">
        <v>1</v>
      </c>
      <c r="AW24">
        <v>6</v>
      </c>
      <c r="AX24">
        <v>0</v>
      </c>
      <c r="AY24">
        <v>6.59</v>
      </c>
      <c r="AZ24">
        <v>32</v>
      </c>
      <c r="BA24">
        <v>1.237741</v>
      </c>
      <c r="BB24">
        <v>0.30143547973167001</v>
      </c>
      <c r="BC24">
        <v>16</v>
      </c>
      <c r="BD24">
        <v>1.1083769999999999</v>
      </c>
      <c r="BE24">
        <v>16</v>
      </c>
      <c r="BF24">
        <v>1.3000924999999901</v>
      </c>
      <c r="BG24" t="s">
        <v>311</v>
      </c>
      <c r="BH24" t="s">
        <v>301</v>
      </c>
      <c r="BI24" t="s">
        <v>300</v>
      </c>
      <c r="BJ24">
        <v>295</v>
      </c>
      <c r="BK24">
        <v>1</v>
      </c>
      <c r="BL24">
        <v>6</v>
      </c>
      <c r="BM24">
        <v>1</v>
      </c>
      <c r="BN24">
        <v>6</v>
      </c>
      <c r="BO24">
        <v>7</v>
      </c>
      <c r="BP24">
        <v>0.77777777777777701</v>
      </c>
      <c r="BQ24">
        <v>7</v>
      </c>
      <c r="BR24">
        <v>10</v>
      </c>
      <c r="BS24">
        <v>0.83333333333333304</v>
      </c>
      <c r="BT24">
        <v>7.5</v>
      </c>
      <c r="BU24">
        <v>9</v>
      </c>
      <c r="BV24">
        <v>0.6</v>
      </c>
      <c r="BW24">
        <v>5</v>
      </c>
      <c r="BX24">
        <v>32</v>
      </c>
      <c r="BY24">
        <v>0.76190476190476097</v>
      </c>
      <c r="BZ24">
        <v>25.5</v>
      </c>
      <c r="CA24" t="s">
        <v>301</v>
      </c>
      <c r="CB24" t="s">
        <v>300</v>
      </c>
      <c r="CC24">
        <v>221</v>
      </c>
      <c r="CD24" t="b">
        <v>1</v>
      </c>
      <c r="CE24">
        <v>8</v>
      </c>
      <c r="CF24">
        <v>0</v>
      </c>
      <c r="CG24">
        <v>7.87</v>
      </c>
      <c r="CH24">
        <v>16</v>
      </c>
      <c r="CI24">
        <v>0.54229899999999998</v>
      </c>
      <c r="CJ24">
        <v>16</v>
      </c>
      <c r="CK24">
        <v>0.60043449999999998</v>
      </c>
      <c r="CL24">
        <v>31</v>
      </c>
      <c r="CM24">
        <v>0.82125800000000004</v>
      </c>
      <c r="CN24">
        <v>21</v>
      </c>
      <c r="CO24">
        <v>0.81322799999999995</v>
      </c>
      <c r="CP24">
        <v>0.283057104627365</v>
      </c>
      <c r="CQ24">
        <v>52</v>
      </c>
      <c r="CR24">
        <v>0.59239399999999998</v>
      </c>
      <c r="CS24" t="s">
        <v>311</v>
      </c>
    </row>
    <row r="25" spans="1:97" x14ac:dyDescent="0.2">
      <c r="A25">
        <v>10649</v>
      </c>
      <c r="B25" s="1">
        <v>45042</v>
      </c>
      <c r="C25" s="7">
        <v>0.64098379629629632</v>
      </c>
      <c r="D25" s="1">
        <v>45042</v>
      </c>
      <c r="E25" s="7">
        <v>0.7327662037037036</v>
      </c>
      <c r="F25" s="1">
        <v>45048</v>
      </c>
      <c r="G25" s="7">
        <v>0.41712962962962963</v>
      </c>
      <c r="H25">
        <v>8803</v>
      </c>
      <c r="I25" t="s">
        <v>287</v>
      </c>
      <c r="J25">
        <v>144</v>
      </c>
      <c r="K25" t="s">
        <v>288</v>
      </c>
      <c r="L25">
        <v>169</v>
      </c>
      <c r="M25" t="s">
        <v>287</v>
      </c>
      <c r="N25">
        <v>266</v>
      </c>
      <c r="O25" t="s">
        <v>305</v>
      </c>
      <c r="P25" t="s">
        <v>306</v>
      </c>
      <c r="Q25" t="s">
        <v>307</v>
      </c>
      <c r="R25" t="s">
        <v>292</v>
      </c>
      <c r="S25" t="s">
        <v>293</v>
      </c>
      <c r="U25" t="s">
        <v>294</v>
      </c>
      <c r="V25" t="b">
        <v>0</v>
      </c>
      <c r="W25" t="s">
        <v>303</v>
      </c>
      <c r="X25" t="s">
        <v>304</v>
      </c>
      <c r="Z25">
        <v>63</v>
      </c>
      <c r="AA25" t="s">
        <v>300</v>
      </c>
      <c r="AB25" t="s">
        <v>141</v>
      </c>
      <c r="AD25" t="s">
        <v>297</v>
      </c>
      <c r="AO25" t="s">
        <v>298</v>
      </c>
      <c r="AP25" t="s">
        <v>298</v>
      </c>
      <c r="AQ25" t="s">
        <v>298</v>
      </c>
      <c r="AR25" t="s">
        <v>298</v>
      </c>
      <c r="AS25" t="s">
        <v>299</v>
      </c>
      <c r="AT25" t="s">
        <v>300</v>
      </c>
      <c r="AU25">
        <v>163</v>
      </c>
      <c r="AV25" t="b">
        <v>1</v>
      </c>
      <c r="AW25">
        <v>6</v>
      </c>
      <c r="AX25">
        <v>0</v>
      </c>
      <c r="AY25">
        <v>7.77</v>
      </c>
      <c r="AZ25">
        <v>32</v>
      </c>
      <c r="BA25">
        <v>0.96269850000000001</v>
      </c>
      <c r="BB25">
        <v>0.106355560476238</v>
      </c>
      <c r="BC25">
        <v>16</v>
      </c>
      <c r="BD25">
        <v>0.93769049999999998</v>
      </c>
      <c r="BE25">
        <v>16</v>
      </c>
      <c r="BF25">
        <v>0.97934299999999996</v>
      </c>
      <c r="BG25" t="s">
        <v>311</v>
      </c>
      <c r="BH25" t="s">
        <v>301</v>
      </c>
      <c r="BI25" t="s">
        <v>300</v>
      </c>
      <c r="BJ25">
        <v>241</v>
      </c>
      <c r="BK25">
        <v>1</v>
      </c>
      <c r="BL25">
        <v>6</v>
      </c>
      <c r="BM25">
        <v>1</v>
      </c>
      <c r="BN25">
        <v>6</v>
      </c>
      <c r="BO25">
        <v>9</v>
      </c>
      <c r="BP25">
        <v>1</v>
      </c>
      <c r="BQ25">
        <v>9</v>
      </c>
      <c r="BR25">
        <v>11</v>
      </c>
      <c r="BS25">
        <v>0.91666666666666596</v>
      </c>
      <c r="BT25">
        <v>11</v>
      </c>
      <c r="BU25">
        <v>12</v>
      </c>
      <c r="BV25">
        <v>0.8</v>
      </c>
      <c r="BW25">
        <v>7.5</v>
      </c>
      <c r="BX25">
        <v>38</v>
      </c>
      <c r="BY25">
        <v>0.90476190476190399</v>
      </c>
      <c r="BZ25">
        <v>33.5</v>
      </c>
      <c r="CA25" t="s">
        <v>301</v>
      </c>
      <c r="CB25" t="s">
        <v>300</v>
      </c>
      <c r="CC25">
        <v>258</v>
      </c>
      <c r="CD25" t="b">
        <v>1</v>
      </c>
      <c r="CE25">
        <v>8</v>
      </c>
      <c r="CF25">
        <v>0</v>
      </c>
      <c r="CG25">
        <v>7.33</v>
      </c>
      <c r="CH25">
        <v>16</v>
      </c>
      <c r="CI25">
        <v>0.90041400000000005</v>
      </c>
      <c r="CJ25">
        <v>16</v>
      </c>
      <c r="CK25">
        <v>0.85460599999999998</v>
      </c>
      <c r="CL25">
        <v>32</v>
      </c>
      <c r="CM25">
        <v>1.0093144999999999</v>
      </c>
      <c r="CN25">
        <v>20</v>
      </c>
      <c r="CO25">
        <v>0.98381399999999997</v>
      </c>
      <c r="CP25">
        <v>0.199049377938741</v>
      </c>
      <c r="CQ25">
        <v>54</v>
      </c>
      <c r="CR25">
        <v>0.89240350000000002</v>
      </c>
      <c r="CS25" t="s">
        <v>311</v>
      </c>
    </row>
    <row r="26" spans="1:97" x14ac:dyDescent="0.2">
      <c r="A26">
        <v>10671</v>
      </c>
      <c r="B26" s="1">
        <v>45039</v>
      </c>
      <c r="C26" s="7">
        <v>0.5803356481481482</v>
      </c>
      <c r="D26" s="1">
        <v>45042</v>
      </c>
      <c r="E26" s="7">
        <v>0.64087962962962963</v>
      </c>
      <c r="F26" s="1">
        <v>45048</v>
      </c>
      <c r="G26" s="7">
        <v>0.41712962962962963</v>
      </c>
      <c r="H26">
        <v>8804</v>
      </c>
      <c r="I26" t="s">
        <v>287</v>
      </c>
      <c r="J26">
        <v>144</v>
      </c>
      <c r="K26" t="s">
        <v>288</v>
      </c>
      <c r="L26">
        <v>169</v>
      </c>
      <c r="M26" t="s">
        <v>287</v>
      </c>
      <c r="N26">
        <v>266</v>
      </c>
      <c r="O26" t="s">
        <v>289</v>
      </c>
      <c r="P26" t="s">
        <v>290</v>
      </c>
      <c r="Q26" t="s">
        <v>291</v>
      </c>
      <c r="T26" t="s">
        <v>323</v>
      </c>
      <c r="U26" t="s">
        <v>294</v>
      </c>
      <c r="V26" t="b">
        <v>0</v>
      </c>
      <c r="W26" t="s">
        <v>303</v>
      </c>
      <c r="X26" t="s">
        <v>304</v>
      </c>
      <c r="Z26">
        <v>66</v>
      </c>
      <c r="AA26" t="s">
        <v>300</v>
      </c>
      <c r="AB26" t="s">
        <v>142</v>
      </c>
      <c r="AO26" t="s">
        <v>298</v>
      </c>
      <c r="AP26" t="s">
        <v>298</v>
      </c>
      <c r="AQ26" t="s">
        <v>298</v>
      </c>
      <c r="AR26" t="s">
        <v>298</v>
      </c>
      <c r="AS26" t="s">
        <v>299</v>
      </c>
      <c r="AT26" t="s">
        <v>300</v>
      </c>
      <c r="AU26">
        <v>165</v>
      </c>
      <c r="AV26" t="b">
        <v>1</v>
      </c>
      <c r="AW26">
        <v>6</v>
      </c>
      <c r="AX26">
        <v>0</v>
      </c>
      <c r="AY26">
        <v>7.84</v>
      </c>
      <c r="AZ26">
        <v>32</v>
      </c>
      <c r="BA26">
        <v>0.91670549999999995</v>
      </c>
      <c r="BB26">
        <v>0.14479782063059801</v>
      </c>
      <c r="BC26">
        <v>16</v>
      </c>
      <c r="BD26">
        <v>0.85466249999999999</v>
      </c>
      <c r="BE26">
        <v>16</v>
      </c>
      <c r="BF26">
        <v>0.96253100000000003</v>
      </c>
      <c r="BG26" t="s">
        <v>311</v>
      </c>
      <c r="BH26" t="s">
        <v>301</v>
      </c>
      <c r="BI26" t="s">
        <v>300</v>
      </c>
      <c r="BJ26">
        <v>269</v>
      </c>
      <c r="BK26">
        <v>1</v>
      </c>
      <c r="BL26">
        <v>5</v>
      </c>
      <c r="BM26">
        <v>0.83333333333333304</v>
      </c>
      <c r="BN26">
        <v>3.5</v>
      </c>
      <c r="BO26">
        <v>8</v>
      </c>
      <c r="BP26">
        <v>0.88888888888888795</v>
      </c>
      <c r="BQ26">
        <v>7.5</v>
      </c>
      <c r="BR26">
        <v>7</v>
      </c>
      <c r="BS26">
        <v>0.58333333333333304</v>
      </c>
      <c r="BT26">
        <v>4</v>
      </c>
      <c r="BU26">
        <v>10</v>
      </c>
      <c r="BV26">
        <v>0.66666666666666596</v>
      </c>
      <c r="BW26">
        <v>7.5</v>
      </c>
      <c r="BX26">
        <v>30</v>
      </c>
      <c r="BY26">
        <v>0.71428571428571397</v>
      </c>
      <c r="BZ26">
        <v>22.5</v>
      </c>
      <c r="CA26" t="s">
        <v>301</v>
      </c>
      <c r="CB26" t="s">
        <v>300</v>
      </c>
      <c r="CC26">
        <v>219</v>
      </c>
      <c r="CD26" t="b">
        <v>1</v>
      </c>
      <c r="CE26">
        <v>8</v>
      </c>
      <c r="CF26">
        <v>0</v>
      </c>
      <c r="CG26">
        <v>8.51</v>
      </c>
      <c r="CH26">
        <v>16</v>
      </c>
      <c r="CI26">
        <v>0.60070099999999904</v>
      </c>
      <c r="CJ26">
        <v>16</v>
      </c>
      <c r="CK26">
        <v>0.48407050000000001</v>
      </c>
      <c r="CL26">
        <v>29</v>
      </c>
      <c r="CM26">
        <v>0.62126499999999996</v>
      </c>
      <c r="CN26">
        <v>16</v>
      </c>
      <c r="CO26">
        <v>0.55668849999999903</v>
      </c>
      <c r="CP26">
        <v>0.17593763495940601</v>
      </c>
      <c r="CQ26">
        <v>54</v>
      </c>
      <c r="CR26">
        <v>0.60070099999999904</v>
      </c>
      <c r="CS26" t="s">
        <v>311</v>
      </c>
    </row>
    <row r="27" spans="1:97" x14ac:dyDescent="0.2">
      <c r="A27">
        <v>10656</v>
      </c>
      <c r="B27" s="1">
        <v>45037</v>
      </c>
      <c r="C27" s="7">
        <v>0.59368055555555554</v>
      </c>
      <c r="D27" s="1">
        <v>45039</v>
      </c>
      <c r="E27" s="7">
        <v>0.58030092592592586</v>
      </c>
      <c r="F27" s="1">
        <v>45048</v>
      </c>
      <c r="G27" s="7">
        <v>0.41712962962962963</v>
      </c>
      <c r="H27">
        <v>8805</v>
      </c>
      <c r="I27" t="s">
        <v>287</v>
      </c>
      <c r="J27">
        <v>144</v>
      </c>
      <c r="K27" t="s">
        <v>288</v>
      </c>
      <c r="L27">
        <v>169</v>
      </c>
      <c r="M27" t="s">
        <v>287</v>
      </c>
      <c r="N27">
        <v>266</v>
      </c>
      <c r="O27" t="s">
        <v>289</v>
      </c>
      <c r="P27" t="s">
        <v>290</v>
      </c>
      <c r="Q27" t="s">
        <v>291</v>
      </c>
      <c r="R27" t="s">
        <v>292</v>
      </c>
      <c r="S27" t="s">
        <v>293</v>
      </c>
      <c r="U27" t="s">
        <v>294</v>
      </c>
      <c r="V27" t="b">
        <v>0</v>
      </c>
      <c r="W27" t="s">
        <v>324</v>
      </c>
      <c r="X27" t="s">
        <v>324</v>
      </c>
      <c r="Z27">
        <v>21</v>
      </c>
      <c r="AA27" t="s">
        <v>300</v>
      </c>
      <c r="AB27" t="s">
        <v>142</v>
      </c>
      <c r="AC27">
        <v>12</v>
      </c>
      <c r="AD27" t="s">
        <v>297</v>
      </c>
      <c r="AO27" t="s">
        <v>298</v>
      </c>
      <c r="AP27" t="s">
        <v>298</v>
      </c>
      <c r="AQ27" t="s">
        <v>298</v>
      </c>
      <c r="AR27" t="s">
        <v>298</v>
      </c>
      <c r="AS27" t="s">
        <v>299</v>
      </c>
      <c r="AT27" t="s">
        <v>300</v>
      </c>
      <c r="AU27">
        <v>162</v>
      </c>
      <c r="AV27" t="b">
        <v>1</v>
      </c>
      <c r="AW27">
        <v>6</v>
      </c>
      <c r="AX27">
        <v>0</v>
      </c>
      <c r="AY27">
        <v>8.4</v>
      </c>
      <c r="AZ27">
        <v>29</v>
      </c>
      <c r="BA27">
        <v>0.70737499999999998</v>
      </c>
      <c r="BB27">
        <v>0.27951608909512599</v>
      </c>
      <c r="BC27">
        <v>14</v>
      </c>
      <c r="BD27">
        <v>0.64453050000000001</v>
      </c>
      <c r="BE27">
        <v>15</v>
      </c>
      <c r="BF27">
        <v>0.78176400000000001</v>
      </c>
      <c r="BG27">
        <v>-9.4339999999999993E-2</v>
      </c>
      <c r="BH27" t="s">
        <v>301</v>
      </c>
      <c r="BI27" t="s">
        <v>300</v>
      </c>
      <c r="BJ27">
        <v>279</v>
      </c>
      <c r="BK27">
        <v>1</v>
      </c>
      <c r="BL27">
        <v>6</v>
      </c>
      <c r="BM27">
        <v>1</v>
      </c>
      <c r="BN27">
        <v>6</v>
      </c>
      <c r="BO27">
        <v>9</v>
      </c>
      <c r="BP27">
        <v>1</v>
      </c>
      <c r="BQ27">
        <v>9</v>
      </c>
      <c r="BR27">
        <v>10</v>
      </c>
      <c r="BS27">
        <v>0.83333333333333304</v>
      </c>
      <c r="BT27">
        <v>8.5</v>
      </c>
      <c r="BU27">
        <v>10</v>
      </c>
      <c r="BV27">
        <v>0.66666666666666596</v>
      </c>
      <c r="BW27">
        <v>5.5</v>
      </c>
      <c r="BX27">
        <v>35</v>
      </c>
      <c r="BY27">
        <v>0.83333333333333304</v>
      </c>
      <c r="BZ27">
        <v>29</v>
      </c>
      <c r="CA27" t="s">
        <v>301</v>
      </c>
      <c r="CB27" t="s">
        <v>300</v>
      </c>
      <c r="CC27">
        <v>237</v>
      </c>
      <c r="CD27" t="b">
        <v>1</v>
      </c>
      <c r="CE27">
        <v>8</v>
      </c>
      <c r="CF27">
        <v>0</v>
      </c>
      <c r="CG27">
        <v>8.7899999999999991</v>
      </c>
      <c r="CH27">
        <v>15</v>
      </c>
      <c r="CI27">
        <v>0.61134900000000003</v>
      </c>
      <c r="CJ27">
        <v>16</v>
      </c>
      <c r="CK27">
        <v>0.52594149999999995</v>
      </c>
      <c r="CL27">
        <v>32</v>
      </c>
      <c r="CM27">
        <v>0.65595800000000004</v>
      </c>
      <c r="CN27">
        <v>24</v>
      </c>
      <c r="CO27">
        <v>0.66843849999999905</v>
      </c>
      <c r="CP27">
        <v>0.328286349373824</v>
      </c>
      <c r="CQ27">
        <v>49</v>
      </c>
      <c r="CR27">
        <v>0.57136100000000001</v>
      </c>
      <c r="CS27">
        <v>1.3913040000000001</v>
      </c>
    </row>
    <row r="28" spans="1:97" x14ac:dyDescent="0.2">
      <c r="A28">
        <v>10584</v>
      </c>
      <c r="B28" s="1">
        <v>45035</v>
      </c>
      <c r="C28" s="7">
        <v>0.48189814814814813</v>
      </c>
      <c r="D28" s="1">
        <v>45035</v>
      </c>
      <c r="E28" s="7">
        <v>0.49099537037037039</v>
      </c>
      <c r="F28" s="1">
        <v>45048</v>
      </c>
      <c r="G28" s="7">
        <v>0.41712962962962963</v>
      </c>
      <c r="H28">
        <v>8806</v>
      </c>
      <c r="I28" t="s">
        <v>287</v>
      </c>
      <c r="J28">
        <v>144</v>
      </c>
      <c r="K28" t="s">
        <v>288</v>
      </c>
      <c r="L28">
        <v>169</v>
      </c>
      <c r="M28" t="s">
        <v>287</v>
      </c>
      <c r="N28">
        <v>266</v>
      </c>
      <c r="O28" t="s">
        <v>289</v>
      </c>
      <c r="P28" t="s">
        <v>290</v>
      </c>
      <c r="Q28" t="s">
        <v>291</v>
      </c>
      <c r="R28" t="s">
        <v>292</v>
      </c>
      <c r="S28" t="s">
        <v>293</v>
      </c>
      <c r="U28" t="s">
        <v>294</v>
      </c>
      <c r="V28" t="b">
        <v>0</v>
      </c>
      <c r="W28" t="s">
        <v>313</v>
      </c>
      <c r="X28" t="s">
        <v>315</v>
      </c>
      <c r="Z28">
        <v>49</v>
      </c>
      <c r="AA28" t="s">
        <v>300</v>
      </c>
      <c r="AB28" t="s">
        <v>141</v>
      </c>
      <c r="AD28" t="s">
        <v>297</v>
      </c>
      <c r="AO28" t="s">
        <v>298</v>
      </c>
      <c r="AP28" t="s">
        <v>298</v>
      </c>
      <c r="AQ28" t="s">
        <v>298</v>
      </c>
      <c r="AR28" t="s">
        <v>298</v>
      </c>
      <c r="AS28" t="s">
        <v>299</v>
      </c>
      <c r="AT28" t="s">
        <v>300</v>
      </c>
      <c r="AU28">
        <v>182</v>
      </c>
      <c r="AV28" t="b">
        <v>1</v>
      </c>
      <c r="AW28">
        <v>5</v>
      </c>
      <c r="AX28">
        <v>0</v>
      </c>
      <c r="AY28">
        <v>8.83</v>
      </c>
      <c r="AZ28">
        <v>32</v>
      </c>
      <c r="BA28">
        <v>0.75379599999999902</v>
      </c>
      <c r="BB28">
        <v>0.11152107706783899</v>
      </c>
      <c r="BC28">
        <v>16</v>
      </c>
      <c r="BD28">
        <v>0.738514</v>
      </c>
      <c r="BE28">
        <v>16</v>
      </c>
      <c r="BF28">
        <v>0.76051999999999997</v>
      </c>
      <c r="BG28" t="s">
        <v>311</v>
      </c>
      <c r="BH28" t="s">
        <v>301</v>
      </c>
      <c r="BI28" t="s">
        <v>300</v>
      </c>
      <c r="BJ28">
        <v>250</v>
      </c>
      <c r="BK28">
        <v>1</v>
      </c>
      <c r="BL28">
        <v>6</v>
      </c>
      <c r="BM28">
        <v>1</v>
      </c>
      <c r="BN28">
        <v>6</v>
      </c>
      <c r="BO28">
        <v>8</v>
      </c>
      <c r="BP28">
        <v>0.88888888888888795</v>
      </c>
      <c r="BQ28">
        <v>8</v>
      </c>
      <c r="BR28">
        <v>10</v>
      </c>
      <c r="BS28">
        <v>0.83333333333333304</v>
      </c>
      <c r="BT28">
        <v>8.5</v>
      </c>
      <c r="BU28">
        <v>8</v>
      </c>
      <c r="BV28">
        <v>0.53333333333333299</v>
      </c>
      <c r="BW28">
        <v>7</v>
      </c>
      <c r="BX28">
        <v>32</v>
      </c>
      <c r="BY28">
        <v>0.76190476190476097</v>
      </c>
      <c r="BZ28">
        <v>29.5</v>
      </c>
      <c r="CA28" t="s">
        <v>301</v>
      </c>
      <c r="CB28" t="s">
        <v>300</v>
      </c>
      <c r="CC28">
        <v>251</v>
      </c>
      <c r="CD28" t="b">
        <v>1</v>
      </c>
      <c r="CE28">
        <v>8</v>
      </c>
      <c r="CF28">
        <v>0</v>
      </c>
      <c r="CG28">
        <v>8.2100000000000009</v>
      </c>
      <c r="CH28">
        <v>16</v>
      </c>
      <c r="CI28">
        <v>0.80440449999999997</v>
      </c>
      <c r="CJ28">
        <v>16</v>
      </c>
      <c r="CK28">
        <v>0.78330199999999905</v>
      </c>
      <c r="CL28">
        <v>32</v>
      </c>
      <c r="CM28">
        <v>0.77921200000000002</v>
      </c>
      <c r="CN28">
        <v>17</v>
      </c>
      <c r="CO28">
        <v>0.79033200000000003</v>
      </c>
      <c r="CP28">
        <v>0.13099823512060299</v>
      </c>
      <c r="CQ28">
        <v>57</v>
      </c>
      <c r="CR28">
        <v>0.79572699999999996</v>
      </c>
      <c r="CS28" t="s">
        <v>311</v>
      </c>
    </row>
    <row r="29" spans="1:97" x14ac:dyDescent="0.2">
      <c r="A29">
        <v>10603</v>
      </c>
      <c r="B29" s="1">
        <v>45034</v>
      </c>
      <c r="C29" s="7">
        <v>0.46039351851851856</v>
      </c>
      <c r="D29" s="1">
        <v>45034</v>
      </c>
      <c r="E29" s="7">
        <v>0.48571759259259256</v>
      </c>
      <c r="F29" s="1">
        <v>45048</v>
      </c>
      <c r="G29" s="7">
        <v>0.41712962962962963</v>
      </c>
      <c r="H29">
        <v>8807</v>
      </c>
      <c r="I29" t="s">
        <v>287</v>
      </c>
      <c r="J29">
        <v>144</v>
      </c>
      <c r="K29" t="s">
        <v>288</v>
      </c>
      <c r="L29">
        <v>169</v>
      </c>
      <c r="M29" t="s">
        <v>287</v>
      </c>
      <c r="N29">
        <v>266</v>
      </c>
      <c r="O29" t="s">
        <v>289</v>
      </c>
      <c r="P29" t="s">
        <v>290</v>
      </c>
      <c r="Q29" t="s">
        <v>291</v>
      </c>
      <c r="R29" t="s">
        <v>292</v>
      </c>
      <c r="S29" t="s">
        <v>293</v>
      </c>
      <c r="U29" t="s">
        <v>294</v>
      </c>
      <c r="V29" t="b">
        <v>0</v>
      </c>
      <c r="W29" t="s">
        <v>313</v>
      </c>
      <c r="X29" t="s">
        <v>315</v>
      </c>
      <c r="Z29">
        <v>69</v>
      </c>
      <c r="AA29" t="s">
        <v>300</v>
      </c>
      <c r="AB29" t="s">
        <v>141</v>
      </c>
      <c r="AD29" t="s">
        <v>297</v>
      </c>
      <c r="AO29" t="s">
        <v>298</v>
      </c>
      <c r="AP29" t="s">
        <v>298</v>
      </c>
      <c r="AQ29" t="s">
        <v>298</v>
      </c>
      <c r="AR29" t="s">
        <v>298</v>
      </c>
      <c r="AS29" t="s">
        <v>299</v>
      </c>
      <c r="AT29" t="s">
        <v>300</v>
      </c>
      <c r="AU29">
        <v>341</v>
      </c>
      <c r="AV29" t="b">
        <v>1</v>
      </c>
      <c r="AW29">
        <v>5</v>
      </c>
      <c r="AX29">
        <v>0</v>
      </c>
      <c r="AY29">
        <v>6.53</v>
      </c>
      <c r="AZ29">
        <v>32</v>
      </c>
      <c r="BA29">
        <v>1.262065</v>
      </c>
      <c r="BB29">
        <v>0.14484197966312901</v>
      </c>
      <c r="BC29">
        <v>16</v>
      </c>
      <c r="BD29">
        <v>1.2046625</v>
      </c>
      <c r="BE29">
        <v>16</v>
      </c>
      <c r="BF29">
        <v>1.3170255</v>
      </c>
      <c r="BG29" t="s">
        <v>311</v>
      </c>
      <c r="BH29" t="s">
        <v>301</v>
      </c>
      <c r="BI29" t="s">
        <v>300</v>
      </c>
      <c r="BJ29">
        <v>281</v>
      </c>
      <c r="BK29">
        <v>1</v>
      </c>
      <c r="BL29">
        <v>6</v>
      </c>
      <c r="BM29">
        <v>1</v>
      </c>
      <c r="BN29">
        <v>5</v>
      </c>
      <c r="BO29">
        <v>9</v>
      </c>
      <c r="BP29">
        <v>1</v>
      </c>
      <c r="BQ29">
        <v>8</v>
      </c>
      <c r="BR29">
        <v>9</v>
      </c>
      <c r="BS29">
        <v>0.75</v>
      </c>
      <c r="BT29">
        <v>4.5</v>
      </c>
      <c r="BU29">
        <v>11</v>
      </c>
      <c r="BV29">
        <v>0.73333333333333295</v>
      </c>
      <c r="BW29">
        <v>7</v>
      </c>
      <c r="BX29">
        <v>35</v>
      </c>
      <c r="BY29">
        <v>0.83333333333333304</v>
      </c>
      <c r="BZ29">
        <v>24.5</v>
      </c>
      <c r="CA29" t="s">
        <v>301</v>
      </c>
      <c r="CB29" t="s">
        <v>300</v>
      </c>
      <c r="CC29">
        <v>275</v>
      </c>
      <c r="CD29" t="b">
        <v>1</v>
      </c>
      <c r="CE29">
        <v>7</v>
      </c>
      <c r="CF29">
        <v>0</v>
      </c>
      <c r="CG29">
        <v>6.01</v>
      </c>
      <c r="CH29">
        <v>15</v>
      </c>
      <c r="CI29">
        <v>1.0462100000000001</v>
      </c>
      <c r="CJ29">
        <v>16</v>
      </c>
      <c r="CK29">
        <v>0.87566349999999904</v>
      </c>
      <c r="CL29">
        <v>30</v>
      </c>
      <c r="CM29">
        <v>1.354463</v>
      </c>
      <c r="CN29">
        <v>15</v>
      </c>
      <c r="CO29">
        <v>1.4444189999999999</v>
      </c>
      <c r="CP29">
        <v>0.51392177634653902</v>
      </c>
      <c r="CQ29">
        <v>55</v>
      </c>
      <c r="CR29">
        <v>0.99633899999999997</v>
      </c>
      <c r="CS29" t="s">
        <v>311</v>
      </c>
    </row>
    <row r="30" spans="1:97" x14ac:dyDescent="0.2">
      <c r="A30">
        <v>10666</v>
      </c>
      <c r="B30" s="1">
        <v>45057</v>
      </c>
      <c r="C30" s="7">
        <v>0.63164351851851852</v>
      </c>
      <c r="D30" s="1">
        <v>45057</v>
      </c>
      <c r="E30" s="7">
        <v>0.66068287037037032</v>
      </c>
      <c r="F30" s="1">
        <v>45057</v>
      </c>
      <c r="G30" s="7">
        <v>0.66093750000000007</v>
      </c>
      <c r="H30">
        <v>9188</v>
      </c>
      <c r="I30" t="s">
        <v>287</v>
      </c>
      <c r="J30">
        <v>144</v>
      </c>
      <c r="K30" t="s">
        <v>288</v>
      </c>
      <c r="L30">
        <v>169</v>
      </c>
      <c r="M30" t="s">
        <v>287</v>
      </c>
      <c r="N30">
        <v>266</v>
      </c>
      <c r="O30" t="s">
        <v>305</v>
      </c>
      <c r="P30" t="s">
        <v>306</v>
      </c>
      <c r="Q30" t="s">
        <v>307</v>
      </c>
      <c r="R30" t="s">
        <v>292</v>
      </c>
      <c r="S30" t="s">
        <v>293</v>
      </c>
      <c r="U30" t="s">
        <v>294</v>
      </c>
      <c r="V30" t="b">
        <v>0</v>
      </c>
      <c r="W30" t="s">
        <v>304</v>
      </c>
      <c r="X30" t="s">
        <v>313</v>
      </c>
      <c r="Z30">
        <v>64</v>
      </c>
      <c r="AA30" t="s">
        <v>300</v>
      </c>
      <c r="AB30" t="s">
        <v>142</v>
      </c>
      <c r="AC30">
        <v>14</v>
      </c>
      <c r="AD30" t="s">
        <v>297</v>
      </c>
      <c r="AO30" t="s">
        <v>298</v>
      </c>
      <c r="AP30" t="s">
        <v>298</v>
      </c>
      <c r="AQ30" t="s">
        <v>298</v>
      </c>
      <c r="AR30" t="s">
        <v>298</v>
      </c>
      <c r="AS30" t="s">
        <v>299</v>
      </c>
      <c r="AT30" t="s">
        <v>300</v>
      </c>
      <c r="AU30">
        <v>207</v>
      </c>
      <c r="AV30" t="b">
        <v>1</v>
      </c>
      <c r="AW30">
        <v>6</v>
      </c>
      <c r="AX30">
        <v>0</v>
      </c>
      <c r="AY30">
        <v>5.25</v>
      </c>
      <c r="AZ30">
        <v>32</v>
      </c>
      <c r="BA30">
        <v>1.6371825</v>
      </c>
      <c r="BB30">
        <v>0.38537732146376902</v>
      </c>
      <c r="BC30">
        <v>16</v>
      </c>
      <c r="BD30">
        <v>1.37595</v>
      </c>
      <c r="BE30">
        <v>16</v>
      </c>
      <c r="BF30">
        <v>1.790591</v>
      </c>
      <c r="BG30">
        <v>-6.0377359999999998</v>
      </c>
      <c r="BH30" t="s">
        <v>301</v>
      </c>
      <c r="BI30" t="s">
        <v>300</v>
      </c>
      <c r="BJ30">
        <v>351</v>
      </c>
      <c r="BK30">
        <v>1</v>
      </c>
      <c r="BL30">
        <v>4</v>
      </c>
      <c r="BM30">
        <v>0.66666666666666596</v>
      </c>
      <c r="BN30">
        <v>4</v>
      </c>
      <c r="BO30">
        <v>6</v>
      </c>
      <c r="BP30">
        <v>0.66666666666666596</v>
      </c>
      <c r="BQ30">
        <v>5</v>
      </c>
      <c r="BR30">
        <v>5</v>
      </c>
      <c r="BS30">
        <v>0.41666666666666602</v>
      </c>
      <c r="BT30">
        <v>3</v>
      </c>
      <c r="BU30">
        <v>7</v>
      </c>
      <c r="BV30">
        <v>0.46666666666666601</v>
      </c>
      <c r="BW30">
        <v>4.5</v>
      </c>
      <c r="BX30">
        <v>22</v>
      </c>
      <c r="BY30">
        <v>0.52380952380952295</v>
      </c>
      <c r="BZ30">
        <v>16.5</v>
      </c>
      <c r="CA30" t="s">
        <v>301</v>
      </c>
      <c r="CB30" t="s">
        <v>300</v>
      </c>
      <c r="CC30">
        <v>282</v>
      </c>
      <c r="CD30" t="b">
        <v>1</v>
      </c>
      <c r="CE30">
        <v>6</v>
      </c>
      <c r="CF30">
        <v>0</v>
      </c>
      <c r="CG30">
        <v>8.61</v>
      </c>
      <c r="CH30">
        <v>16</v>
      </c>
      <c r="CI30">
        <v>0.99242350000000001</v>
      </c>
      <c r="CJ30">
        <v>16</v>
      </c>
      <c r="CK30">
        <v>1.1798035</v>
      </c>
      <c r="CL30">
        <v>32</v>
      </c>
      <c r="CM30">
        <v>0.692334</v>
      </c>
      <c r="CN30">
        <v>13</v>
      </c>
      <c r="CO30">
        <v>0.82994299999999999</v>
      </c>
      <c r="CP30">
        <v>0.262947164536323</v>
      </c>
      <c r="CQ30">
        <v>59</v>
      </c>
      <c r="CR30">
        <v>0.95468200000000003</v>
      </c>
      <c r="CS30">
        <v>1.1304350000000001</v>
      </c>
    </row>
    <row r="31" spans="1:97" x14ac:dyDescent="0.2">
      <c r="A31">
        <v>10656</v>
      </c>
      <c r="B31" s="1">
        <v>45050</v>
      </c>
      <c r="C31" s="7">
        <v>0.58043981481481477</v>
      </c>
      <c r="D31" s="1">
        <v>45050</v>
      </c>
      <c r="E31" s="7">
        <v>0.58792824074074079</v>
      </c>
      <c r="F31" s="1">
        <v>45057</v>
      </c>
      <c r="G31" s="7">
        <v>0.66093750000000007</v>
      </c>
      <c r="H31">
        <v>9189</v>
      </c>
      <c r="I31" t="s">
        <v>287</v>
      </c>
      <c r="J31">
        <v>144</v>
      </c>
      <c r="K31" t="s">
        <v>288</v>
      </c>
      <c r="L31">
        <v>169</v>
      </c>
      <c r="M31" t="s">
        <v>287</v>
      </c>
      <c r="N31">
        <v>266</v>
      </c>
      <c r="O31" t="s">
        <v>305</v>
      </c>
      <c r="P31" t="s">
        <v>306</v>
      </c>
      <c r="Q31" t="s">
        <v>307</v>
      </c>
      <c r="R31" t="s">
        <v>292</v>
      </c>
      <c r="S31" t="s">
        <v>293</v>
      </c>
      <c r="U31" t="s">
        <v>294</v>
      </c>
      <c r="V31" t="b">
        <v>0</v>
      </c>
      <c r="W31" t="s">
        <v>314</v>
      </c>
      <c r="X31" t="s">
        <v>325</v>
      </c>
      <c r="Z31">
        <v>21</v>
      </c>
      <c r="AA31" t="s">
        <v>300</v>
      </c>
      <c r="AB31" t="s">
        <v>142</v>
      </c>
      <c r="AC31">
        <v>12</v>
      </c>
      <c r="AD31" t="s">
        <v>297</v>
      </c>
      <c r="AO31" t="s">
        <v>298</v>
      </c>
      <c r="AP31" t="s">
        <v>298</v>
      </c>
      <c r="AQ31" t="s">
        <v>298</v>
      </c>
      <c r="AR31" t="s">
        <v>298</v>
      </c>
      <c r="AS31" t="s">
        <v>299</v>
      </c>
      <c r="AT31" t="s">
        <v>300</v>
      </c>
      <c r="AU31">
        <v>153</v>
      </c>
      <c r="AV31" t="b">
        <v>1</v>
      </c>
      <c r="AW31">
        <v>6</v>
      </c>
      <c r="AX31">
        <v>0</v>
      </c>
      <c r="AY31">
        <v>9.35</v>
      </c>
      <c r="AZ31">
        <v>32</v>
      </c>
      <c r="BA31">
        <v>0.64693149999999999</v>
      </c>
      <c r="BB31">
        <v>5.67299521718631E-2</v>
      </c>
      <c r="BC31">
        <v>16</v>
      </c>
      <c r="BD31">
        <v>0.63650799999999996</v>
      </c>
      <c r="BE31">
        <v>16</v>
      </c>
      <c r="BF31">
        <v>0.67231399999999997</v>
      </c>
      <c r="BG31">
        <v>1.698113</v>
      </c>
      <c r="BH31" t="s">
        <v>301</v>
      </c>
      <c r="BI31" t="s">
        <v>300</v>
      </c>
      <c r="BJ31">
        <v>216</v>
      </c>
      <c r="BK31">
        <v>1</v>
      </c>
      <c r="BL31">
        <v>5</v>
      </c>
      <c r="BM31">
        <v>0.83333333333333304</v>
      </c>
      <c r="BN31">
        <v>5</v>
      </c>
      <c r="BO31">
        <v>8</v>
      </c>
      <c r="BP31">
        <v>0.88888888888888795</v>
      </c>
      <c r="BQ31">
        <v>8</v>
      </c>
      <c r="BR31">
        <v>11</v>
      </c>
      <c r="BS31">
        <v>0.91666666666666596</v>
      </c>
      <c r="BT31">
        <v>9.5</v>
      </c>
      <c r="BU31">
        <v>11</v>
      </c>
      <c r="BV31">
        <v>0.73333333333333295</v>
      </c>
      <c r="BW31">
        <v>7.5</v>
      </c>
      <c r="BX31">
        <v>35</v>
      </c>
      <c r="BY31">
        <v>0.83333333333333304</v>
      </c>
      <c r="BZ31">
        <v>30</v>
      </c>
      <c r="CA31" t="s">
        <v>301</v>
      </c>
      <c r="CB31" t="s">
        <v>300</v>
      </c>
      <c r="CC31">
        <v>206</v>
      </c>
      <c r="CD31" t="b">
        <v>1</v>
      </c>
      <c r="CE31">
        <v>8</v>
      </c>
      <c r="CF31">
        <v>0</v>
      </c>
      <c r="CG31">
        <v>8.3000000000000007</v>
      </c>
      <c r="CH31">
        <v>15</v>
      </c>
      <c r="CI31">
        <v>0.62814599999999998</v>
      </c>
      <c r="CJ31">
        <v>16</v>
      </c>
      <c r="CK31">
        <v>0.56185850000000004</v>
      </c>
      <c r="CL31">
        <v>32</v>
      </c>
      <c r="CM31">
        <v>0.75773049999999997</v>
      </c>
      <c r="CN31">
        <v>18</v>
      </c>
      <c r="CO31">
        <v>0.76765749999999999</v>
      </c>
      <c r="CP31">
        <v>0.24792403966264501</v>
      </c>
      <c r="CQ31">
        <v>55</v>
      </c>
      <c r="CR31">
        <v>0.62814599999999998</v>
      </c>
      <c r="CS31">
        <v>0.68115899999999996</v>
      </c>
    </row>
    <row r="32" spans="1:97" x14ac:dyDescent="0.2">
      <c r="A32">
        <v>10677</v>
      </c>
      <c r="B32" s="1">
        <v>45048</v>
      </c>
      <c r="C32" s="7">
        <v>0.42336805555555551</v>
      </c>
      <c r="D32" s="1">
        <v>45048</v>
      </c>
      <c r="E32" s="7">
        <v>0.43222222222222223</v>
      </c>
      <c r="F32" s="1">
        <v>45057</v>
      </c>
      <c r="G32" s="7">
        <v>0.66093750000000007</v>
      </c>
      <c r="H32">
        <v>9191</v>
      </c>
      <c r="I32" t="s">
        <v>287</v>
      </c>
      <c r="J32">
        <v>144</v>
      </c>
      <c r="K32" t="s">
        <v>288</v>
      </c>
      <c r="L32">
        <v>169</v>
      </c>
      <c r="M32" t="s">
        <v>287</v>
      </c>
      <c r="N32">
        <v>266</v>
      </c>
      <c r="O32" t="s">
        <v>305</v>
      </c>
      <c r="P32" t="s">
        <v>306</v>
      </c>
      <c r="Q32" t="s">
        <v>307</v>
      </c>
      <c r="R32" t="s">
        <v>292</v>
      </c>
      <c r="S32" t="s">
        <v>293</v>
      </c>
      <c r="U32" t="s">
        <v>294</v>
      </c>
      <c r="V32" t="b">
        <v>0</v>
      </c>
      <c r="W32" t="s">
        <v>313</v>
      </c>
      <c r="X32" t="s">
        <v>315</v>
      </c>
      <c r="Z32">
        <v>33</v>
      </c>
      <c r="AA32" t="s">
        <v>300</v>
      </c>
      <c r="AD32" t="s">
        <v>322</v>
      </c>
      <c r="AO32" t="s">
        <v>298</v>
      </c>
      <c r="AP32" t="s">
        <v>298</v>
      </c>
      <c r="AQ32" t="s">
        <v>298</v>
      </c>
      <c r="AR32" t="s">
        <v>298</v>
      </c>
      <c r="AS32" t="s">
        <v>299</v>
      </c>
      <c r="AT32" t="s">
        <v>300</v>
      </c>
      <c r="AU32">
        <v>191</v>
      </c>
      <c r="AV32" t="b">
        <v>1</v>
      </c>
      <c r="AW32">
        <v>6</v>
      </c>
      <c r="AX32">
        <v>0</v>
      </c>
      <c r="AY32">
        <v>7.64</v>
      </c>
      <c r="AZ32">
        <v>32</v>
      </c>
      <c r="BA32">
        <v>0.95505949999999995</v>
      </c>
      <c r="BB32">
        <v>0.113987464697586</v>
      </c>
      <c r="BC32">
        <v>16</v>
      </c>
      <c r="BD32">
        <v>0.90126099999999998</v>
      </c>
      <c r="BE32">
        <v>16</v>
      </c>
      <c r="BF32">
        <v>1.00972</v>
      </c>
      <c r="BG32" t="s">
        <v>311</v>
      </c>
      <c r="BH32" t="s">
        <v>301</v>
      </c>
      <c r="BI32" t="s">
        <v>300</v>
      </c>
      <c r="BJ32">
        <v>281</v>
      </c>
      <c r="BK32">
        <v>1</v>
      </c>
      <c r="BL32">
        <v>6</v>
      </c>
      <c r="BM32">
        <v>1</v>
      </c>
      <c r="BN32">
        <v>6</v>
      </c>
      <c r="BO32">
        <v>6</v>
      </c>
      <c r="BP32">
        <v>0.66666666666666596</v>
      </c>
      <c r="BQ32">
        <v>6</v>
      </c>
      <c r="BR32">
        <v>8</v>
      </c>
      <c r="BS32">
        <v>0.66666666666666596</v>
      </c>
      <c r="BT32">
        <v>5</v>
      </c>
      <c r="BU32">
        <v>8</v>
      </c>
      <c r="BV32">
        <v>0.53333333333333299</v>
      </c>
      <c r="BW32">
        <v>6.5</v>
      </c>
      <c r="BX32">
        <v>28</v>
      </c>
      <c r="BY32">
        <v>0.66666666666666596</v>
      </c>
      <c r="BZ32">
        <v>23.5</v>
      </c>
      <c r="CA32" t="s">
        <v>301</v>
      </c>
      <c r="CB32" t="s">
        <v>300</v>
      </c>
      <c r="CC32">
        <v>236</v>
      </c>
      <c r="CD32" t="b">
        <v>1</v>
      </c>
      <c r="CE32">
        <v>8</v>
      </c>
      <c r="CF32">
        <v>0</v>
      </c>
      <c r="CG32">
        <v>8.19</v>
      </c>
      <c r="CH32">
        <v>16</v>
      </c>
      <c r="CI32">
        <v>0.77891100000000002</v>
      </c>
      <c r="CJ32">
        <v>16</v>
      </c>
      <c r="CK32">
        <v>0.81342150000000002</v>
      </c>
      <c r="CL32">
        <v>32</v>
      </c>
      <c r="CM32">
        <v>0.78355299999999894</v>
      </c>
      <c r="CN32">
        <v>21</v>
      </c>
      <c r="CO32">
        <v>0.789879</v>
      </c>
      <c r="CP32">
        <v>0.169988482701174</v>
      </c>
      <c r="CQ32">
        <v>53</v>
      </c>
      <c r="CR32">
        <v>0.80913599999999997</v>
      </c>
      <c r="CS32" t="s">
        <v>311</v>
      </c>
    </row>
    <row r="33" spans="1:97" x14ac:dyDescent="0.2">
      <c r="A33">
        <v>10644</v>
      </c>
      <c r="B33" s="1">
        <v>45044</v>
      </c>
      <c r="C33" s="7">
        <v>0.60792824074074081</v>
      </c>
      <c r="D33" s="1">
        <v>45048</v>
      </c>
      <c r="E33" s="7">
        <v>0.42334490740740738</v>
      </c>
      <c r="F33" s="1">
        <v>45057</v>
      </c>
      <c r="G33" s="7">
        <v>0.66093750000000007</v>
      </c>
      <c r="H33">
        <v>9192</v>
      </c>
      <c r="I33" t="s">
        <v>287</v>
      </c>
      <c r="J33">
        <v>144</v>
      </c>
      <c r="K33" t="s">
        <v>288</v>
      </c>
      <c r="L33">
        <v>169</v>
      </c>
      <c r="M33" t="s">
        <v>287</v>
      </c>
      <c r="N33">
        <v>266</v>
      </c>
      <c r="O33" t="s">
        <v>305</v>
      </c>
      <c r="P33" t="s">
        <v>306</v>
      </c>
      <c r="Q33" t="s">
        <v>307</v>
      </c>
      <c r="R33" t="s">
        <v>292</v>
      </c>
      <c r="S33" t="s">
        <v>293</v>
      </c>
      <c r="U33" t="s">
        <v>294</v>
      </c>
      <c r="V33" t="b">
        <v>0</v>
      </c>
      <c r="W33" t="s">
        <v>295</v>
      </c>
      <c r="X33" t="s">
        <v>296</v>
      </c>
      <c r="Z33">
        <v>69</v>
      </c>
      <c r="AA33" t="s">
        <v>300</v>
      </c>
      <c r="AB33" t="s">
        <v>141</v>
      </c>
      <c r="AC33">
        <v>21</v>
      </c>
      <c r="AD33" t="s">
        <v>297</v>
      </c>
      <c r="AO33" t="s">
        <v>298</v>
      </c>
      <c r="AP33" t="s">
        <v>298</v>
      </c>
      <c r="AQ33" t="s">
        <v>298</v>
      </c>
      <c r="AR33" t="s">
        <v>298</v>
      </c>
      <c r="AS33" t="s">
        <v>299</v>
      </c>
      <c r="AT33" t="s">
        <v>300</v>
      </c>
      <c r="AU33">
        <v>185</v>
      </c>
      <c r="AV33" t="b">
        <v>1</v>
      </c>
      <c r="AW33">
        <v>5</v>
      </c>
      <c r="AX33">
        <v>0</v>
      </c>
      <c r="AY33">
        <v>8.26</v>
      </c>
      <c r="AZ33">
        <v>32</v>
      </c>
      <c r="BA33">
        <v>0.81842949999999903</v>
      </c>
      <c r="BB33">
        <v>0.14427463808568999</v>
      </c>
      <c r="BC33">
        <v>16</v>
      </c>
      <c r="BD33">
        <v>0.78517099999999995</v>
      </c>
      <c r="BE33">
        <v>16</v>
      </c>
      <c r="BF33">
        <v>0.87256</v>
      </c>
      <c r="BG33">
        <v>-0.358491</v>
      </c>
      <c r="BH33" t="s">
        <v>301</v>
      </c>
      <c r="BI33" t="s">
        <v>300</v>
      </c>
      <c r="BJ33">
        <v>283</v>
      </c>
      <c r="BK33">
        <v>1</v>
      </c>
      <c r="BL33">
        <v>6</v>
      </c>
      <c r="BM33">
        <v>1</v>
      </c>
      <c r="BN33">
        <v>6</v>
      </c>
      <c r="BO33">
        <v>7</v>
      </c>
      <c r="BP33">
        <v>0.77777777777777701</v>
      </c>
      <c r="BQ33">
        <v>6.5</v>
      </c>
      <c r="BR33">
        <v>10</v>
      </c>
      <c r="BS33">
        <v>0.83333333333333304</v>
      </c>
      <c r="BT33">
        <v>7.5</v>
      </c>
      <c r="BU33">
        <v>10</v>
      </c>
      <c r="BV33">
        <v>0.66666666666666596</v>
      </c>
      <c r="BW33">
        <v>9.5</v>
      </c>
      <c r="BX33">
        <v>33</v>
      </c>
      <c r="BY33">
        <v>0.78571428571428503</v>
      </c>
      <c r="BZ33">
        <v>29.5</v>
      </c>
      <c r="CA33" t="s">
        <v>301</v>
      </c>
      <c r="CB33" t="s">
        <v>300</v>
      </c>
      <c r="CC33">
        <v>248</v>
      </c>
      <c r="CD33" t="b">
        <v>1</v>
      </c>
      <c r="CE33">
        <v>8</v>
      </c>
      <c r="CF33">
        <v>0</v>
      </c>
      <c r="CG33">
        <v>8.31</v>
      </c>
      <c r="CH33">
        <v>16</v>
      </c>
      <c r="CI33">
        <v>0.86764299999999905</v>
      </c>
      <c r="CJ33">
        <v>16</v>
      </c>
      <c r="CK33">
        <v>0.77310349999999906</v>
      </c>
      <c r="CL33">
        <v>32</v>
      </c>
      <c r="CM33">
        <v>0.75637799999999999</v>
      </c>
      <c r="CN33">
        <v>19</v>
      </c>
      <c r="CO33">
        <v>0.78566599999999998</v>
      </c>
      <c r="CP33">
        <v>0.214062195449019</v>
      </c>
      <c r="CQ33">
        <v>55</v>
      </c>
      <c r="CR33">
        <v>0.81383499999999998</v>
      </c>
      <c r="CS33">
        <v>0.69565200000000005</v>
      </c>
    </row>
    <row r="34" spans="1:97" x14ac:dyDescent="0.2">
      <c r="A34">
        <v>10696</v>
      </c>
      <c r="B34" s="1">
        <v>45041</v>
      </c>
      <c r="C34" s="7">
        <v>0.54888888888888887</v>
      </c>
      <c r="D34" s="1">
        <v>45041</v>
      </c>
      <c r="E34" s="7">
        <v>0.55901620370370375</v>
      </c>
      <c r="F34" s="1">
        <v>45057</v>
      </c>
      <c r="G34" s="7">
        <v>0.66093750000000007</v>
      </c>
      <c r="H34">
        <v>9193</v>
      </c>
      <c r="I34" t="s">
        <v>287</v>
      </c>
      <c r="J34">
        <v>144</v>
      </c>
      <c r="K34" t="s">
        <v>288</v>
      </c>
      <c r="L34">
        <v>169</v>
      </c>
      <c r="M34" t="s">
        <v>287</v>
      </c>
      <c r="N34">
        <v>266</v>
      </c>
      <c r="O34" t="s">
        <v>305</v>
      </c>
      <c r="P34" t="s">
        <v>306</v>
      </c>
      <c r="Q34" t="s">
        <v>307</v>
      </c>
      <c r="R34" t="s">
        <v>292</v>
      </c>
      <c r="S34" t="s">
        <v>293</v>
      </c>
      <c r="U34" t="s">
        <v>294</v>
      </c>
      <c r="V34" t="b">
        <v>0</v>
      </c>
      <c r="W34" t="s">
        <v>309</v>
      </c>
      <c r="X34" t="s">
        <v>326</v>
      </c>
      <c r="Z34">
        <v>37</v>
      </c>
      <c r="AB34" t="s">
        <v>142</v>
      </c>
      <c r="AO34" t="s">
        <v>298</v>
      </c>
      <c r="AP34" t="s">
        <v>298</v>
      </c>
      <c r="AQ34" t="s">
        <v>298</v>
      </c>
      <c r="AR34" t="s">
        <v>298</v>
      </c>
      <c r="AS34" t="s">
        <v>299</v>
      </c>
      <c r="AT34" t="s">
        <v>300</v>
      </c>
      <c r="AU34">
        <v>192</v>
      </c>
      <c r="AV34" t="b">
        <v>1</v>
      </c>
      <c r="AW34">
        <v>6</v>
      </c>
      <c r="AX34">
        <v>0</v>
      </c>
      <c r="AY34">
        <v>8.0500000000000007</v>
      </c>
      <c r="AZ34">
        <v>32</v>
      </c>
      <c r="BA34">
        <v>0.88416300000000003</v>
      </c>
      <c r="BB34">
        <v>0.18698879657110301</v>
      </c>
      <c r="BC34">
        <v>16</v>
      </c>
      <c r="BD34">
        <v>0.82016999999999995</v>
      </c>
      <c r="BE34">
        <v>16</v>
      </c>
      <c r="BF34">
        <v>0.91656950000000004</v>
      </c>
      <c r="BG34" t="s">
        <v>311</v>
      </c>
      <c r="BH34" t="s">
        <v>301</v>
      </c>
      <c r="BI34" t="s">
        <v>300</v>
      </c>
      <c r="BJ34">
        <v>338</v>
      </c>
      <c r="BK34">
        <v>1</v>
      </c>
      <c r="BL34">
        <v>6</v>
      </c>
      <c r="BM34">
        <v>1</v>
      </c>
      <c r="BN34">
        <v>6</v>
      </c>
      <c r="BO34">
        <v>7</v>
      </c>
      <c r="BP34">
        <v>0.77777777777777701</v>
      </c>
      <c r="BQ34">
        <v>7</v>
      </c>
      <c r="BR34">
        <v>6</v>
      </c>
      <c r="BS34">
        <v>0.5</v>
      </c>
      <c r="BT34">
        <v>6</v>
      </c>
      <c r="BU34">
        <v>12</v>
      </c>
      <c r="BV34">
        <v>0.8</v>
      </c>
      <c r="BW34">
        <v>7</v>
      </c>
      <c r="BX34">
        <v>31</v>
      </c>
      <c r="BY34">
        <v>0.73809523809523803</v>
      </c>
      <c r="BZ34">
        <v>26</v>
      </c>
      <c r="CA34" t="s">
        <v>301</v>
      </c>
      <c r="CB34" t="s">
        <v>300</v>
      </c>
      <c r="CC34">
        <v>251</v>
      </c>
      <c r="CD34" t="b">
        <v>1</v>
      </c>
      <c r="CE34">
        <v>8</v>
      </c>
      <c r="CF34">
        <v>0</v>
      </c>
      <c r="CG34">
        <v>8.19</v>
      </c>
      <c r="CH34">
        <v>16</v>
      </c>
      <c r="CI34">
        <v>0.66876899999999995</v>
      </c>
      <c r="CJ34">
        <v>16</v>
      </c>
      <c r="CK34">
        <v>0.74627299999999996</v>
      </c>
      <c r="CL34">
        <v>30</v>
      </c>
      <c r="CM34">
        <v>0.71432499999999999</v>
      </c>
      <c r="CN34">
        <v>17</v>
      </c>
      <c r="CO34">
        <v>0.79181599999999996</v>
      </c>
      <c r="CP34">
        <v>0.222724252775445</v>
      </c>
      <c r="CQ34">
        <v>55</v>
      </c>
      <c r="CR34">
        <v>0.68461899999999998</v>
      </c>
      <c r="CS34" t="s">
        <v>311</v>
      </c>
    </row>
    <row r="35" spans="1:97" x14ac:dyDescent="0.2">
      <c r="A35">
        <v>10674</v>
      </c>
      <c r="B35" s="1">
        <v>45058</v>
      </c>
      <c r="C35" s="7">
        <v>0.43662037037037038</v>
      </c>
      <c r="D35" s="1">
        <v>45061</v>
      </c>
      <c r="E35" s="7">
        <v>0.5426157407407407</v>
      </c>
      <c r="F35" s="1">
        <v>45063</v>
      </c>
      <c r="G35" s="7">
        <v>0.5619791666666667</v>
      </c>
      <c r="H35">
        <v>9371</v>
      </c>
      <c r="I35" t="s">
        <v>287</v>
      </c>
      <c r="J35">
        <v>144</v>
      </c>
      <c r="K35" t="s">
        <v>288</v>
      </c>
      <c r="L35">
        <v>169</v>
      </c>
      <c r="M35" t="s">
        <v>287</v>
      </c>
      <c r="N35">
        <v>266</v>
      </c>
      <c r="O35" t="s">
        <v>305</v>
      </c>
      <c r="P35" t="s">
        <v>306</v>
      </c>
      <c r="Q35" t="s">
        <v>307</v>
      </c>
      <c r="R35" t="s">
        <v>292</v>
      </c>
      <c r="S35" t="s">
        <v>293</v>
      </c>
      <c r="U35" t="s">
        <v>294</v>
      </c>
      <c r="V35" t="b">
        <v>0</v>
      </c>
      <c r="Z35">
        <v>33</v>
      </c>
      <c r="AB35" t="s">
        <v>142</v>
      </c>
      <c r="AD35" t="s">
        <v>297</v>
      </c>
      <c r="AO35" t="s">
        <v>298</v>
      </c>
      <c r="AP35" t="s">
        <v>298</v>
      </c>
      <c r="AQ35" t="s">
        <v>298</v>
      </c>
      <c r="AR35" t="s">
        <v>298</v>
      </c>
      <c r="AS35" t="s">
        <v>299</v>
      </c>
      <c r="AT35" t="s">
        <v>300</v>
      </c>
      <c r="AU35">
        <v>403</v>
      </c>
      <c r="AV35" t="b">
        <v>1</v>
      </c>
      <c r="AW35">
        <v>4</v>
      </c>
      <c r="AX35">
        <v>6</v>
      </c>
      <c r="AY35">
        <v>8.4700000000000006</v>
      </c>
      <c r="AZ35">
        <v>32</v>
      </c>
      <c r="BA35">
        <v>0.77072949999999996</v>
      </c>
      <c r="BB35">
        <v>0.103476490064541</v>
      </c>
      <c r="BC35">
        <v>16</v>
      </c>
      <c r="BD35">
        <v>0.72075299999999998</v>
      </c>
      <c r="BE35">
        <v>16</v>
      </c>
      <c r="BF35">
        <v>0.82911650000000003</v>
      </c>
      <c r="BG35" t="s">
        <v>311</v>
      </c>
      <c r="BH35" t="s">
        <v>301</v>
      </c>
      <c r="BI35" t="s">
        <v>300</v>
      </c>
      <c r="BJ35">
        <v>353</v>
      </c>
      <c r="BK35">
        <v>1</v>
      </c>
      <c r="BL35">
        <v>6</v>
      </c>
      <c r="BM35">
        <v>1</v>
      </c>
      <c r="BN35">
        <v>6</v>
      </c>
      <c r="BO35">
        <v>8</v>
      </c>
      <c r="BP35">
        <v>0.88888888888888795</v>
      </c>
      <c r="BQ35">
        <v>7</v>
      </c>
      <c r="BR35">
        <v>8</v>
      </c>
      <c r="BS35">
        <v>0.66666666666666596</v>
      </c>
      <c r="BT35">
        <v>7.5</v>
      </c>
      <c r="BU35">
        <v>13</v>
      </c>
      <c r="BV35">
        <v>0.86666666666666603</v>
      </c>
      <c r="BW35">
        <v>10</v>
      </c>
      <c r="BX35">
        <v>35</v>
      </c>
      <c r="BY35">
        <v>0.83333333333333304</v>
      </c>
      <c r="BZ35">
        <v>30.5</v>
      </c>
      <c r="CA35" t="s">
        <v>301</v>
      </c>
      <c r="CB35" t="s">
        <v>300</v>
      </c>
      <c r="CC35">
        <v>289</v>
      </c>
      <c r="CD35" t="b">
        <v>1</v>
      </c>
      <c r="CE35">
        <v>8</v>
      </c>
      <c r="CF35">
        <v>0</v>
      </c>
      <c r="CG35">
        <v>9.02</v>
      </c>
      <c r="CH35">
        <v>16</v>
      </c>
      <c r="CI35">
        <v>0.61696449999999903</v>
      </c>
      <c r="CJ35">
        <v>15</v>
      </c>
      <c r="CK35">
        <v>0.66297899999999998</v>
      </c>
      <c r="CL35">
        <v>32</v>
      </c>
      <c r="CM35">
        <v>0.61296949999999994</v>
      </c>
      <c r="CN35">
        <v>18</v>
      </c>
      <c r="CO35">
        <v>0.62949999999999995</v>
      </c>
      <c r="CP35">
        <v>0.389983512480299</v>
      </c>
      <c r="CQ35">
        <v>55</v>
      </c>
      <c r="CR35">
        <v>0.629776</v>
      </c>
      <c r="CS35" t="s">
        <v>311</v>
      </c>
    </row>
    <row r="36" spans="1:97" x14ac:dyDescent="0.2">
      <c r="A36">
        <v>10673</v>
      </c>
      <c r="B36" s="1">
        <v>45054</v>
      </c>
      <c r="C36" s="7">
        <v>0.47237268518518521</v>
      </c>
      <c r="D36" s="1">
        <v>45054</v>
      </c>
      <c r="E36" s="7">
        <v>0.48221064814814812</v>
      </c>
      <c r="F36" s="1">
        <v>45063</v>
      </c>
      <c r="G36" s="7">
        <v>0.5619791666666667</v>
      </c>
      <c r="H36">
        <v>9372</v>
      </c>
      <c r="I36" t="s">
        <v>287</v>
      </c>
      <c r="J36">
        <v>144</v>
      </c>
      <c r="K36" t="s">
        <v>288</v>
      </c>
      <c r="L36">
        <v>169</v>
      </c>
      <c r="M36" t="s">
        <v>287</v>
      </c>
      <c r="N36">
        <v>266</v>
      </c>
      <c r="O36" t="s">
        <v>305</v>
      </c>
      <c r="P36" t="s">
        <v>306</v>
      </c>
      <c r="Q36" t="s">
        <v>307</v>
      </c>
      <c r="R36" t="s">
        <v>312</v>
      </c>
      <c r="U36" t="s">
        <v>294</v>
      </c>
      <c r="V36" t="b">
        <v>0</v>
      </c>
      <c r="W36" t="s">
        <v>313</v>
      </c>
      <c r="X36" t="s">
        <v>315</v>
      </c>
      <c r="Z36">
        <v>48</v>
      </c>
      <c r="AA36" t="s">
        <v>300</v>
      </c>
      <c r="AB36" t="s">
        <v>141</v>
      </c>
      <c r="AD36" t="s">
        <v>297</v>
      </c>
      <c r="AO36" t="s">
        <v>298</v>
      </c>
      <c r="AP36" t="s">
        <v>298</v>
      </c>
      <c r="AQ36" t="s">
        <v>298</v>
      </c>
      <c r="AR36" t="s">
        <v>298</v>
      </c>
      <c r="AS36" t="s">
        <v>299</v>
      </c>
      <c r="AT36" t="s">
        <v>300</v>
      </c>
      <c r="AU36">
        <v>219</v>
      </c>
      <c r="AV36" t="b">
        <v>1</v>
      </c>
      <c r="AW36">
        <v>6</v>
      </c>
      <c r="AX36">
        <v>0</v>
      </c>
      <c r="AY36">
        <v>7.72</v>
      </c>
      <c r="AZ36">
        <v>32</v>
      </c>
      <c r="BA36">
        <v>0.92927000000000004</v>
      </c>
      <c r="BB36">
        <v>0.19610370441099401</v>
      </c>
      <c r="BC36">
        <v>16</v>
      </c>
      <c r="BD36">
        <v>0.87475550000000002</v>
      </c>
      <c r="BE36">
        <v>16</v>
      </c>
      <c r="BF36">
        <v>0.99171750000000003</v>
      </c>
      <c r="BG36" t="s">
        <v>311</v>
      </c>
      <c r="BH36" t="s">
        <v>301</v>
      </c>
      <c r="BI36" t="s">
        <v>300</v>
      </c>
      <c r="BJ36">
        <v>288</v>
      </c>
      <c r="BK36">
        <v>1</v>
      </c>
      <c r="BL36">
        <v>6</v>
      </c>
      <c r="BM36">
        <v>1</v>
      </c>
      <c r="BN36">
        <v>6</v>
      </c>
      <c r="BO36">
        <v>9</v>
      </c>
      <c r="BP36">
        <v>1</v>
      </c>
      <c r="BQ36">
        <v>8</v>
      </c>
      <c r="BR36">
        <v>8</v>
      </c>
      <c r="BS36">
        <v>0.66666666666666596</v>
      </c>
      <c r="BT36">
        <v>7</v>
      </c>
      <c r="BU36">
        <v>8</v>
      </c>
      <c r="BV36">
        <v>0.53333333333333299</v>
      </c>
      <c r="BW36">
        <v>4.5</v>
      </c>
      <c r="BX36">
        <v>31</v>
      </c>
      <c r="BY36">
        <v>0.73809523809523803</v>
      </c>
      <c r="BZ36">
        <v>25.5</v>
      </c>
      <c r="CA36" t="s">
        <v>301</v>
      </c>
      <c r="CB36" t="s">
        <v>300</v>
      </c>
      <c r="CC36">
        <v>262</v>
      </c>
      <c r="CD36" t="b">
        <v>1</v>
      </c>
      <c r="CE36">
        <v>8</v>
      </c>
      <c r="CF36">
        <v>0</v>
      </c>
      <c r="CG36">
        <v>7.42</v>
      </c>
      <c r="CH36">
        <v>13</v>
      </c>
      <c r="CI36">
        <v>0.91285499999999997</v>
      </c>
      <c r="CJ36">
        <v>16</v>
      </c>
      <c r="CK36">
        <v>0.79212099999999996</v>
      </c>
      <c r="CL36">
        <v>31</v>
      </c>
      <c r="CM36">
        <v>0.93774800000000003</v>
      </c>
      <c r="CN36">
        <v>21</v>
      </c>
      <c r="CO36">
        <v>1.0297289999999999</v>
      </c>
      <c r="CP36">
        <v>0.29175310203162302</v>
      </c>
      <c r="CQ36">
        <v>49</v>
      </c>
      <c r="CR36">
        <v>0.82949300000000004</v>
      </c>
      <c r="CS36" t="s">
        <v>311</v>
      </c>
    </row>
    <row r="37" spans="1:97" x14ac:dyDescent="0.2">
      <c r="A37">
        <v>10636</v>
      </c>
      <c r="B37" s="1">
        <v>45053</v>
      </c>
      <c r="C37" s="7">
        <v>0.54401620370370374</v>
      </c>
      <c r="D37" s="1">
        <v>45053</v>
      </c>
      <c r="E37" s="7">
        <v>0.55170138888888887</v>
      </c>
      <c r="F37" s="1">
        <v>45063</v>
      </c>
      <c r="G37" s="7">
        <v>0.5619791666666667</v>
      </c>
      <c r="H37">
        <v>9373</v>
      </c>
      <c r="I37" t="s">
        <v>287</v>
      </c>
      <c r="J37">
        <v>144</v>
      </c>
      <c r="K37" t="s">
        <v>288</v>
      </c>
      <c r="L37">
        <v>169</v>
      </c>
      <c r="M37" t="s">
        <v>287</v>
      </c>
      <c r="N37">
        <v>266</v>
      </c>
      <c r="O37" t="s">
        <v>305</v>
      </c>
      <c r="P37" t="s">
        <v>306</v>
      </c>
      <c r="Q37" t="s">
        <v>307</v>
      </c>
      <c r="R37" t="s">
        <v>292</v>
      </c>
      <c r="S37" t="s">
        <v>293</v>
      </c>
      <c r="U37" t="s">
        <v>294</v>
      </c>
      <c r="V37" t="b">
        <v>0</v>
      </c>
      <c r="W37" t="s">
        <v>315</v>
      </c>
      <c r="X37" t="s">
        <v>316</v>
      </c>
      <c r="Z37">
        <v>26</v>
      </c>
      <c r="AA37" t="s">
        <v>300</v>
      </c>
      <c r="AB37" t="s">
        <v>141</v>
      </c>
      <c r="AD37" t="s">
        <v>322</v>
      </c>
      <c r="AO37" t="s">
        <v>298</v>
      </c>
      <c r="AP37" t="s">
        <v>298</v>
      </c>
      <c r="AQ37" t="s">
        <v>298</v>
      </c>
      <c r="AR37" t="s">
        <v>298</v>
      </c>
      <c r="AS37" t="s">
        <v>299</v>
      </c>
      <c r="AT37" t="s">
        <v>300</v>
      </c>
      <c r="AU37">
        <v>152</v>
      </c>
      <c r="AV37" t="b">
        <v>1</v>
      </c>
      <c r="AW37">
        <v>6</v>
      </c>
      <c r="AX37">
        <v>0</v>
      </c>
      <c r="AY37">
        <v>9.83</v>
      </c>
      <c r="AZ37">
        <v>32</v>
      </c>
      <c r="BA37">
        <v>0.59433000000000002</v>
      </c>
      <c r="BB37">
        <v>6.1553541346132098E-2</v>
      </c>
      <c r="BC37">
        <v>16</v>
      </c>
      <c r="BD37">
        <v>0.55002399999999996</v>
      </c>
      <c r="BE37">
        <v>16</v>
      </c>
      <c r="BF37">
        <v>0.59864799999999996</v>
      </c>
      <c r="BG37" t="s">
        <v>311</v>
      </c>
      <c r="BH37" t="s">
        <v>301</v>
      </c>
      <c r="BI37" t="s">
        <v>300</v>
      </c>
      <c r="BJ37">
        <v>250</v>
      </c>
      <c r="BK37">
        <v>1</v>
      </c>
      <c r="BL37">
        <v>6</v>
      </c>
      <c r="BM37">
        <v>1</v>
      </c>
      <c r="BN37">
        <v>6</v>
      </c>
      <c r="BO37">
        <v>8</v>
      </c>
      <c r="BP37">
        <v>0.88888888888888795</v>
      </c>
      <c r="BQ37">
        <v>8</v>
      </c>
      <c r="BR37">
        <v>11</v>
      </c>
      <c r="BS37">
        <v>0.91666666666666596</v>
      </c>
      <c r="BT37">
        <v>9.5</v>
      </c>
      <c r="BU37">
        <v>12</v>
      </c>
      <c r="BV37">
        <v>0.8</v>
      </c>
      <c r="BW37">
        <v>11</v>
      </c>
      <c r="BX37">
        <v>37</v>
      </c>
      <c r="BY37">
        <v>0.88095238095238004</v>
      </c>
      <c r="BZ37">
        <v>34.5</v>
      </c>
      <c r="CA37" t="s">
        <v>301</v>
      </c>
      <c r="CB37" t="s">
        <v>300</v>
      </c>
      <c r="CC37">
        <v>215</v>
      </c>
      <c r="CD37" t="b">
        <v>1</v>
      </c>
      <c r="CE37">
        <v>8</v>
      </c>
      <c r="CF37">
        <v>0</v>
      </c>
      <c r="CG37">
        <v>9.6199999999999992</v>
      </c>
      <c r="CH37">
        <v>16</v>
      </c>
      <c r="CI37">
        <v>0.44657799999999997</v>
      </c>
      <c r="CJ37">
        <v>16</v>
      </c>
      <c r="CK37">
        <v>0.51312999999999998</v>
      </c>
      <c r="CL37">
        <v>32</v>
      </c>
      <c r="CM37">
        <v>0.51427250000000002</v>
      </c>
      <c r="CN37">
        <v>23</v>
      </c>
      <c r="CO37">
        <v>0.49645699999999998</v>
      </c>
      <c r="CP37">
        <v>5.9588507044528602E-2</v>
      </c>
      <c r="CQ37">
        <v>51</v>
      </c>
      <c r="CR37">
        <v>0.49634299999999998</v>
      </c>
      <c r="CS37" t="s">
        <v>311</v>
      </c>
    </row>
    <row r="38" spans="1:97" x14ac:dyDescent="0.2">
      <c r="A38">
        <v>10642</v>
      </c>
      <c r="B38" s="1">
        <v>45063</v>
      </c>
      <c r="C38" s="7">
        <v>0.56202546296296296</v>
      </c>
      <c r="D38" s="1">
        <v>45063</v>
      </c>
      <c r="E38" s="7">
        <v>0.57059027777777771</v>
      </c>
      <c r="F38" s="1">
        <v>45063</v>
      </c>
      <c r="G38" s="7">
        <v>0.57063657407407409</v>
      </c>
      <c r="H38">
        <v>9375</v>
      </c>
      <c r="I38" t="s">
        <v>287</v>
      </c>
      <c r="J38">
        <v>144</v>
      </c>
      <c r="K38" t="s">
        <v>288</v>
      </c>
      <c r="L38">
        <v>169</v>
      </c>
      <c r="M38" t="s">
        <v>287</v>
      </c>
      <c r="N38">
        <v>266</v>
      </c>
      <c r="O38" t="s">
        <v>305</v>
      </c>
      <c r="P38" t="s">
        <v>306</v>
      </c>
      <c r="Q38" t="s">
        <v>307</v>
      </c>
      <c r="R38" t="s">
        <v>292</v>
      </c>
      <c r="S38" t="s">
        <v>293</v>
      </c>
      <c r="U38" t="s">
        <v>294</v>
      </c>
      <c r="V38" t="b">
        <v>0</v>
      </c>
      <c r="W38" t="s">
        <v>295</v>
      </c>
      <c r="X38" t="s">
        <v>296</v>
      </c>
      <c r="Z38">
        <v>31</v>
      </c>
      <c r="AA38" t="s">
        <v>300</v>
      </c>
      <c r="AB38" t="s">
        <v>141</v>
      </c>
      <c r="AC38">
        <v>14</v>
      </c>
      <c r="AD38" t="s">
        <v>297</v>
      </c>
      <c r="AO38" t="s">
        <v>298</v>
      </c>
      <c r="AP38" t="s">
        <v>298</v>
      </c>
      <c r="AQ38" t="s">
        <v>298</v>
      </c>
      <c r="AR38" t="s">
        <v>298</v>
      </c>
      <c r="AS38" t="s">
        <v>299</v>
      </c>
      <c r="AT38" t="s">
        <v>300</v>
      </c>
      <c r="AU38">
        <v>183</v>
      </c>
      <c r="AV38" t="b">
        <v>1</v>
      </c>
      <c r="AW38">
        <v>5</v>
      </c>
      <c r="AX38">
        <v>0</v>
      </c>
      <c r="AY38">
        <v>8.5</v>
      </c>
      <c r="AZ38">
        <v>30</v>
      </c>
      <c r="BA38">
        <v>0.694824</v>
      </c>
      <c r="BB38">
        <v>6.97689448151778E-2</v>
      </c>
      <c r="BC38">
        <v>16</v>
      </c>
      <c r="BD38">
        <v>0.67087600000000003</v>
      </c>
      <c r="BE38">
        <v>14</v>
      </c>
      <c r="BF38">
        <v>0.70832450000000002</v>
      </c>
      <c r="BG38">
        <v>9.4339999999999993E-2</v>
      </c>
      <c r="BH38" t="s">
        <v>301</v>
      </c>
      <c r="BI38" t="s">
        <v>300</v>
      </c>
      <c r="BJ38">
        <v>262</v>
      </c>
      <c r="BK38">
        <v>1</v>
      </c>
      <c r="BL38">
        <v>6</v>
      </c>
      <c r="BM38">
        <v>1</v>
      </c>
      <c r="BN38">
        <v>5</v>
      </c>
      <c r="BO38">
        <v>9</v>
      </c>
      <c r="BP38">
        <v>1</v>
      </c>
      <c r="BQ38">
        <v>9</v>
      </c>
      <c r="BR38">
        <v>10</v>
      </c>
      <c r="BS38">
        <v>0.83333333333333304</v>
      </c>
      <c r="BT38">
        <v>9</v>
      </c>
      <c r="BU38">
        <v>13</v>
      </c>
      <c r="BV38">
        <v>0.86666666666666603</v>
      </c>
      <c r="BW38">
        <v>7.5</v>
      </c>
      <c r="BX38">
        <v>38</v>
      </c>
      <c r="BY38">
        <v>0.90476190476190399</v>
      </c>
      <c r="BZ38">
        <v>30.5</v>
      </c>
      <c r="CA38" t="s">
        <v>301</v>
      </c>
      <c r="CB38" t="s">
        <v>300</v>
      </c>
      <c r="CC38">
        <v>213</v>
      </c>
      <c r="CD38" t="b">
        <v>1</v>
      </c>
      <c r="CE38">
        <v>7</v>
      </c>
      <c r="CF38">
        <v>0</v>
      </c>
      <c r="CG38">
        <v>8.8699999999999992</v>
      </c>
      <c r="CH38">
        <v>16</v>
      </c>
      <c r="CI38">
        <v>0.57957250000000005</v>
      </c>
      <c r="CJ38">
        <v>16</v>
      </c>
      <c r="CK38">
        <v>0.60061549999999997</v>
      </c>
      <c r="CL38">
        <v>31</v>
      </c>
      <c r="CM38">
        <v>0.61310799999999999</v>
      </c>
      <c r="CN38">
        <v>19</v>
      </c>
      <c r="CO38">
        <v>0.61310799999999999</v>
      </c>
      <c r="CP38">
        <v>0.241281587265714</v>
      </c>
      <c r="CQ38">
        <v>53</v>
      </c>
      <c r="CR38">
        <v>0.61325799999999997</v>
      </c>
      <c r="CS38">
        <v>1.5072460000000001</v>
      </c>
    </row>
    <row r="39" spans="1:97" x14ac:dyDescent="0.2">
      <c r="A39">
        <v>10691</v>
      </c>
      <c r="B39" s="1">
        <v>45068</v>
      </c>
      <c r="C39" s="7">
        <v>0.52415509259259252</v>
      </c>
      <c r="D39" s="1">
        <v>45069</v>
      </c>
      <c r="E39" s="7">
        <v>0.4982638888888889</v>
      </c>
      <c r="F39" s="1">
        <v>45069</v>
      </c>
      <c r="G39" s="7">
        <v>0.49846064814814817</v>
      </c>
      <c r="H39">
        <v>9511</v>
      </c>
      <c r="I39" t="s">
        <v>287</v>
      </c>
      <c r="J39">
        <v>144</v>
      </c>
      <c r="K39" t="s">
        <v>288</v>
      </c>
      <c r="L39">
        <v>169</v>
      </c>
      <c r="M39" t="s">
        <v>287</v>
      </c>
      <c r="N39">
        <v>266</v>
      </c>
      <c r="O39" t="s">
        <v>305</v>
      </c>
      <c r="P39" t="s">
        <v>306</v>
      </c>
      <c r="Q39" t="s">
        <v>307</v>
      </c>
      <c r="R39" t="s">
        <v>292</v>
      </c>
      <c r="S39" t="s">
        <v>293</v>
      </c>
      <c r="U39" t="s">
        <v>294</v>
      </c>
      <c r="V39" t="b">
        <v>0</v>
      </c>
      <c r="W39" t="s">
        <v>303</v>
      </c>
      <c r="X39" t="s">
        <v>304</v>
      </c>
      <c r="AB39" t="s">
        <v>141</v>
      </c>
      <c r="AO39" t="s">
        <v>298</v>
      </c>
      <c r="AP39" t="s">
        <v>298</v>
      </c>
      <c r="AQ39" t="s">
        <v>298</v>
      </c>
      <c r="AR39" t="s">
        <v>298</v>
      </c>
      <c r="AS39" t="s">
        <v>299</v>
      </c>
      <c r="AT39" t="s">
        <v>300</v>
      </c>
      <c r="AU39">
        <v>174</v>
      </c>
      <c r="AV39" t="b">
        <v>1</v>
      </c>
      <c r="AW39">
        <v>5</v>
      </c>
      <c r="AX39">
        <v>0</v>
      </c>
      <c r="AY39">
        <v>7.67</v>
      </c>
      <c r="AZ39">
        <v>32</v>
      </c>
      <c r="BA39">
        <v>1.0001275000000001</v>
      </c>
      <c r="BB39">
        <v>0.11730420430171799</v>
      </c>
      <c r="BC39">
        <v>16</v>
      </c>
      <c r="BD39">
        <v>0.90409849999999903</v>
      </c>
      <c r="BE39">
        <v>16</v>
      </c>
      <c r="BF39">
        <v>1.0042614999999999</v>
      </c>
      <c r="BG39" t="s">
        <v>311</v>
      </c>
      <c r="BH39" t="s">
        <v>301</v>
      </c>
      <c r="BI39" t="s">
        <v>300</v>
      </c>
      <c r="BJ39">
        <v>270</v>
      </c>
      <c r="BK39">
        <v>1</v>
      </c>
      <c r="BL39">
        <v>6</v>
      </c>
      <c r="BM39">
        <v>1</v>
      </c>
      <c r="BN39">
        <v>5</v>
      </c>
      <c r="BO39">
        <v>8</v>
      </c>
      <c r="BP39">
        <v>0.88888888888888795</v>
      </c>
      <c r="BQ39">
        <v>5</v>
      </c>
      <c r="BR39">
        <v>9</v>
      </c>
      <c r="BS39">
        <v>0.75</v>
      </c>
      <c r="BT39">
        <v>4.5</v>
      </c>
      <c r="BU39">
        <v>12</v>
      </c>
      <c r="BV39">
        <v>0.8</v>
      </c>
      <c r="BW39">
        <v>7</v>
      </c>
      <c r="BX39">
        <v>35</v>
      </c>
      <c r="BY39">
        <v>0.83333333333333304</v>
      </c>
      <c r="BZ39">
        <v>21.5</v>
      </c>
      <c r="CA39" t="s">
        <v>301</v>
      </c>
      <c r="CB39" t="s">
        <v>300</v>
      </c>
      <c r="CC39">
        <v>257</v>
      </c>
      <c r="CD39" t="b">
        <v>1</v>
      </c>
      <c r="CE39">
        <v>8</v>
      </c>
      <c r="CF39">
        <v>0</v>
      </c>
      <c r="CG39">
        <v>7.1</v>
      </c>
      <c r="CH39">
        <v>16</v>
      </c>
      <c r="CI39">
        <v>0.95624399999999998</v>
      </c>
      <c r="CJ39">
        <v>16</v>
      </c>
      <c r="CK39">
        <v>1.0254645</v>
      </c>
      <c r="CL39">
        <v>32</v>
      </c>
      <c r="CM39">
        <v>1.0796515</v>
      </c>
      <c r="CN39">
        <v>17</v>
      </c>
      <c r="CO39">
        <v>1.054438</v>
      </c>
      <c r="CP39">
        <v>0.29437671301920698</v>
      </c>
      <c r="CQ39">
        <v>57</v>
      </c>
      <c r="CR39">
        <v>0.99957300000000004</v>
      </c>
      <c r="CS39" t="s">
        <v>311</v>
      </c>
    </row>
    <row r="40" spans="1:97" x14ac:dyDescent="0.2">
      <c r="A40">
        <v>10690</v>
      </c>
      <c r="B40" s="1">
        <v>45069</v>
      </c>
      <c r="C40" s="7">
        <v>0.49857638888888894</v>
      </c>
      <c r="D40" s="1">
        <v>45069</v>
      </c>
      <c r="E40" s="7">
        <v>0.50799768518518518</v>
      </c>
      <c r="F40" s="1">
        <v>45069</v>
      </c>
      <c r="G40" s="7">
        <v>0.50805555555555559</v>
      </c>
      <c r="H40">
        <v>9512</v>
      </c>
      <c r="I40" t="s">
        <v>287</v>
      </c>
      <c r="J40">
        <v>144</v>
      </c>
      <c r="K40" t="s">
        <v>288</v>
      </c>
      <c r="L40">
        <v>169</v>
      </c>
      <c r="M40" t="s">
        <v>287</v>
      </c>
      <c r="N40">
        <v>266</v>
      </c>
      <c r="O40" t="s">
        <v>305</v>
      </c>
      <c r="P40" t="s">
        <v>306</v>
      </c>
      <c r="Q40" t="s">
        <v>307</v>
      </c>
      <c r="R40" t="s">
        <v>292</v>
      </c>
      <c r="S40" t="s">
        <v>293</v>
      </c>
      <c r="U40" t="s">
        <v>294</v>
      </c>
      <c r="V40" t="b">
        <v>0</v>
      </c>
      <c r="W40" t="s">
        <v>295</v>
      </c>
      <c r="X40" t="s">
        <v>296</v>
      </c>
      <c r="Z40">
        <v>55</v>
      </c>
      <c r="AA40" t="s">
        <v>300</v>
      </c>
      <c r="AB40" t="s">
        <v>141</v>
      </c>
      <c r="AC40">
        <v>20</v>
      </c>
      <c r="AD40" t="s">
        <v>297</v>
      </c>
      <c r="AO40" t="s">
        <v>298</v>
      </c>
      <c r="AP40" t="s">
        <v>298</v>
      </c>
      <c r="AQ40" t="s">
        <v>298</v>
      </c>
      <c r="AR40" t="s">
        <v>298</v>
      </c>
      <c r="AS40" t="s">
        <v>299</v>
      </c>
      <c r="AT40" t="s">
        <v>300</v>
      </c>
      <c r="AU40">
        <v>178</v>
      </c>
      <c r="AV40" t="b">
        <v>1</v>
      </c>
      <c r="AW40">
        <v>6</v>
      </c>
      <c r="AX40">
        <v>0</v>
      </c>
      <c r="AY40">
        <v>8.24</v>
      </c>
      <c r="AZ40">
        <v>32</v>
      </c>
      <c r="BA40">
        <v>0.833287</v>
      </c>
      <c r="BB40">
        <v>8.6956647864210299E-2</v>
      </c>
      <c r="BC40">
        <v>16</v>
      </c>
      <c r="BD40">
        <v>0.79417800000000005</v>
      </c>
      <c r="BE40">
        <v>16</v>
      </c>
      <c r="BF40">
        <v>0.874969</v>
      </c>
      <c r="BG40">
        <v>-0.39622600000000002</v>
      </c>
      <c r="BH40" t="s">
        <v>301</v>
      </c>
      <c r="BI40" t="s">
        <v>300</v>
      </c>
      <c r="BJ40">
        <v>285</v>
      </c>
      <c r="BK40">
        <v>1</v>
      </c>
      <c r="BL40">
        <v>5</v>
      </c>
      <c r="BM40">
        <v>0.83333333333333304</v>
      </c>
      <c r="BN40">
        <v>5</v>
      </c>
      <c r="BO40">
        <v>8</v>
      </c>
      <c r="BP40">
        <v>0.88888888888888795</v>
      </c>
      <c r="BQ40">
        <v>7</v>
      </c>
      <c r="BR40">
        <v>10</v>
      </c>
      <c r="BS40">
        <v>0.83333333333333304</v>
      </c>
      <c r="BT40">
        <v>9</v>
      </c>
      <c r="BU40">
        <v>13</v>
      </c>
      <c r="BV40">
        <v>0.86666666666666603</v>
      </c>
      <c r="BW40">
        <v>10</v>
      </c>
      <c r="BX40">
        <v>36</v>
      </c>
      <c r="BY40">
        <v>0.85714285714285698</v>
      </c>
      <c r="BZ40">
        <v>31</v>
      </c>
      <c r="CA40" t="s">
        <v>301</v>
      </c>
      <c r="CB40" t="s">
        <v>300</v>
      </c>
      <c r="CC40">
        <v>244</v>
      </c>
      <c r="CD40" t="b">
        <v>1</v>
      </c>
      <c r="CE40">
        <v>8</v>
      </c>
      <c r="CF40">
        <v>0</v>
      </c>
      <c r="CG40">
        <v>8.3800000000000008</v>
      </c>
      <c r="CH40">
        <v>16</v>
      </c>
      <c r="CI40">
        <v>0.68796449999999998</v>
      </c>
      <c r="CJ40">
        <v>16</v>
      </c>
      <c r="CK40">
        <v>0.59646699999999997</v>
      </c>
      <c r="CL40">
        <v>30</v>
      </c>
      <c r="CM40">
        <v>0.67553750000000001</v>
      </c>
      <c r="CN40">
        <v>20</v>
      </c>
      <c r="CO40">
        <v>0.679786</v>
      </c>
      <c r="CP40">
        <v>0.21364533003358599</v>
      </c>
      <c r="CQ40">
        <v>52</v>
      </c>
      <c r="CR40">
        <v>0.67572600000000005</v>
      </c>
      <c r="CS40">
        <v>0.79710099999999995</v>
      </c>
    </row>
    <row r="41" spans="1:97" x14ac:dyDescent="0.2">
      <c r="A41">
        <v>10590</v>
      </c>
      <c r="B41" s="1">
        <v>45098</v>
      </c>
      <c r="C41" s="7">
        <v>0.3979166666666667</v>
      </c>
      <c r="D41" s="1">
        <v>45098</v>
      </c>
      <c r="E41" s="7">
        <v>0.40699074074074071</v>
      </c>
      <c r="F41" s="1">
        <v>45098</v>
      </c>
      <c r="G41" s="7">
        <v>0.67700231481481488</v>
      </c>
      <c r="H41">
        <v>10409</v>
      </c>
      <c r="I41" t="s">
        <v>287</v>
      </c>
      <c r="J41">
        <v>144</v>
      </c>
      <c r="K41" t="s">
        <v>288</v>
      </c>
      <c r="L41">
        <v>169</v>
      </c>
      <c r="M41" t="s">
        <v>287</v>
      </c>
      <c r="N41">
        <v>266</v>
      </c>
      <c r="O41" t="s">
        <v>305</v>
      </c>
      <c r="P41" t="s">
        <v>306</v>
      </c>
      <c r="Q41" t="s">
        <v>307</v>
      </c>
      <c r="R41" t="s">
        <v>292</v>
      </c>
      <c r="S41" t="s">
        <v>293</v>
      </c>
      <c r="U41" t="s">
        <v>327</v>
      </c>
      <c r="V41" t="b">
        <v>0</v>
      </c>
      <c r="W41" t="s">
        <v>315</v>
      </c>
      <c r="X41" t="s">
        <v>304</v>
      </c>
      <c r="Z41">
        <v>56</v>
      </c>
      <c r="AA41" t="s">
        <v>300</v>
      </c>
      <c r="AB41" t="s">
        <v>141</v>
      </c>
      <c r="AC41">
        <v>7</v>
      </c>
      <c r="AD41" t="s">
        <v>297</v>
      </c>
      <c r="AO41" t="s">
        <v>298</v>
      </c>
      <c r="AP41" t="s">
        <v>298</v>
      </c>
      <c r="AQ41" t="s">
        <v>298</v>
      </c>
      <c r="AR41" t="s">
        <v>298</v>
      </c>
      <c r="AS41" t="s">
        <v>299</v>
      </c>
      <c r="AT41" t="s">
        <v>300</v>
      </c>
      <c r="AU41">
        <v>175</v>
      </c>
      <c r="AV41" t="b">
        <v>1</v>
      </c>
      <c r="AW41">
        <v>5</v>
      </c>
      <c r="AX41">
        <v>0</v>
      </c>
      <c r="AY41">
        <v>7.09</v>
      </c>
      <c r="AZ41">
        <v>32</v>
      </c>
      <c r="BA41">
        <v>1.077472</v>
      </c>
      <c r="BB41">
        <v>0.14360181204405101</v>
      </c>
      <c r="BC41">
        <v>16</v>
      </c>
      <c r="BD41">
        <v>1.0297620000000001</v>
      </c>
      <c r="BE41">
        <v>16</v>
      </c>
      <c r="BF41">
        <v>1.1521124999999901</v>
      </c>
      <c r="BG41">
        <v>-2.5660379999999998</v>
      </c>
      <c r="BH41" t="s">
        <v>301</v>
      </c>
      <c r="BI41" t="s">
        <v>300</v>
      </c>
      <c r="BJ41">
        <v>278</v>
      </c>
      <c r="BK41">
        <v>1</v>
      </c>
      <c r="BL41">
        <v>6</v>
      </c>
      <c r="BM41">
        <v>1</v>
      </c>
      <c r="BN41">
        <v>6</v>
      </c>
      <c r="BO41">
        <v>8</v>
      </c>
      <c r="BP41">
        <v>0.88888888888888795</v>
      </c>
      <c r="BQ41">
        <v>8</v>
      </c>
      <c r="BR41">
        <v>10</v>
      </c>
      <c r="BS41">
        <v>0.83333333333333304</v>
      </c>
      <c r="BT41">
        <v>9.5</v>
      </c>
      <c r="BU41">
        <v>14</v>
      </c>
      <c r="BV41">
        <v>0.93333333333333302</v>
      </c>
      <c r="BW41">
        <v>13</v>
      </c>
      <c r="BX41">
        <v>38</v>
      </c>
      <c r="BY41">
        <v>0.90476190476190399</v>
      </c>
      <c r="BZ41">
        <v>36.5</v>
      </c>
      <c r="CA41" t="s">
        <v>301</v>
      </c>
      <c r="CB41" t="s">
        <v>300</v>
      </c>
      <c r="CC41">
        <v>226</v>
      </c>
      <c r="CD41" t="b">
        <v>1</v>
      </c>
      <c r="CE41">
        <v>8</v>
      </c>
      <c r="CF41">
        <v>0</v>
      </c>
      <c r="CG41">
        <v>7.87</v>
      </c>
      <c r="CH41">
        <v>16</v>
      </c>
      <c r="CI41">
        <v>0.80851200000000001</v>
      </c>
      <c r="CJ41">
        <v>16</v>
      </c>
      <c r="CK41">
        <v>0.62768250000000003</v>
      </c>
      <c r="CL41">
        <v>32</v>
      </c>
      <c r="CM41">
        <v>0.859734</v>
      </c>
      <c r="CN41">
        <v>20</v>
      </c>
      <c r="CO41">
        <v>0.89170349999999998</v>
      </c>
      <c r="CP41">
        <v>0.22241972029217</v>
      </c>
      <c r="CQ41">
        <v>54</v>
      </c>
      <c r="CR41">
        <v>0.73173350000000004</v>
      </c>
      <c r="CS41">
        <v>5.7971000000000002E-2</v>
      </c>
    </row>
    <row r="42" spans="1:97" x14ac:dyDescent="0.2">
      <c r="A42">
        <v>10723</v>
      </c>
      <c r="B42" s="1">
        <v>45096</v>
      </c>
      <c r="C42" s="7">
        <v>0.54784722222222226</v>
      </c>
      <c r="D42" s="1">
        <v>45098</v>
      </c>
      <c r="E42" s="7">
        <v>0.39789351851851856</v>
      </c>
      <c r="F42" s="1">
        <v>45098</v>
      </c>
      <c r="G42" s="7">
        <v>0.67700231481481488</v>
      </c>
      <c r="H42">
        <v>10410</v>
      </c>
      <c r="I42" t="s">
        <v>287</v>
      </c>
      <c r="J42">
        <v>144</v>
      </c>
      <c r="K42" t="s">
        <v>288</v>
      </c>
      <c r="L42">
        <v>169</v>
      </c>
      <c r="M42" t="s">
        <v>287</v>
      </c>
      <c r="N42">
        <v>266</v>
      </c>
      <c r="O42" t="s">
        <v>305</v>
      </c>
      <c r="P42" t="s">
        <v>306</v>
      </c>
      <c r="Q42" t="s">
        <v>307</v>
      </c>
      <c r="R42" t="s">
        <v>292</v>
      </c>
      <c r="S42" t="s">
        <v>293</v>
      </c>
      <c r="U42" t="s">
        <v>327</v>
      </c>
      <c r="V42" t="b">
        <v>0</v>
      </c>
      <c r="W42" t="s">
        <v>303</v>
      </c>
      <c r="X42" t="s">
        <v>304</v>
      </c>
      <c r="Z42">
        <v>21</v>
      </c>
      <c r="AA42" t="s">
        <v>300</v>
      </c>
      <c r="AB42" t="s">
        <v>142</v>
      </c>
      <c r="AC42">
        <v>18</v>
      </c>
      <c r="AD42" t="s">
        <v>297</v>
      </c>
      <c r="AO42" t="s">
        <v>298</v>
      </c>
      <c r="AP42" t="s">
        <v>298</v>
      </c>
      <c r="AQ42" t="s">
        <v>298</v>
      </c>
      <c r="AR42" t="s">
        <v>298</v>
      </c>
      <c r="AS42" t="s">
        <v>299</v>
      </c>
      <c r="AT42" t="s">
        <v>300</v>
      </c>
      <c r="AU42">
        <v>146</v>
      </c>
      <c r="AV42" t="b">
        <v>1</v>
      </c>
      <c r="AW42">
        <v>6</v>
      </c>
      <c r="AX42">
        <v>0</v>
      </c>
      <c r="AY42">
        <v>9.69</v>
      </c>
      <c r="AZ42">
        <v>31</v>
      </c>
      <c r="BA42">
        <v>0.498475</v>
      </c>
      <c r="BB42">
        <v>5.1449828383574502E-2</v>
      </c>
      <c r="BC42">
        <v>16</v>
      </c>
      <c r="BD42">
        <v>0.466086</v>
      </c>
      <c r="BE42">
        <v>15</v>
      </c>
      <c r="BF42">
        <v>0.54993300000000001</v>
      </c>
      <c r="BG42">
        <v>2.339623</v>
      </c>
      <c r="BH42" t="s">
        <v>301</v>
      </c>
      <c r="BI42" t="s">
        <v>300</v>
      </c>
      <c r="BJ42">
        <v>241</v>
      </c>
      <c r="BK42">
        <v>1</v>
      </c>
      <c r="BL42">
        <v>6</v>
      </c>
      <c r="BM42">
        <v>1</v>
      </c>
      <c r="BN42">
        <v>6</v>
      </c>
      <c r="BO42">
        <v>8</v>
      </c>
      <c r="BP42">
        <v>0.88888888888888795</v>
      </c>
      <c r="BQ42">
        <v>8</v>
      </c>
      <c r="BR42">
        <v>9</v>
      </c>
      <c r="BS42">
        <v>0.75</v>
      </c>
      <c r="BT42">
        <v>8.5</v>
      </c>
      <c r="BU42">
        <v>9</v>
      </c>
      <c r="BV42">
        <v>0.6</v>
      </c>
      <c r="BW42">
        <v>6.5</v>
      </c>
      <c r="BX42">
        <v>32</v>
      </c>
      <c r="BY42">
        <v>0.76190476190476097</v>
      </c>
      <c r="BZ42">
        <v>29</v>
      </c>
      <c r="CA42" t="s">
        <v>301</v>
      </c>
      <c r="CB42" t="s">
        <v>300</v>
      </c>
      <c r="CC42">
        <v>205</v>
      </c>
      <c r="CD42" t="b">
        <v>1</v>
      </c>
      <c r="CE42">
        <v>8</v>
      </c>
      <c r="CF42">
        <v>0</v>
      </c>
      <c r="CG42">
        <v>8.64</v>
      </c>
      <c r="CH42">
        <v>16</v>
      </c>
      <c r="CI42">
        <v>0.41270950000000001</v>
      </c>
      <c r="CJ42">
        <v>16</v>
      </c>
      <c r="CK42">
        <v>0.38784399999999902</v>
      </c>
      <c r="CL42">
        <v>27</v>
      </c>
      <c r="CM42">
        <v>0.54451000000000005</v>
      </c>
      <c r="CN42">
        <v>19</v>
      </c>
      <c r="CO42">
        <v>0.552867</v>
      </c>
      <c r="CP42">
        <v>0.25035784450091902</v>
      </c>
      <c r="CQ42">
        <v>50</v>
      </c>
      <c r="CR42">
        <v>0.40813450000000001</v>
      </c>
      <c r="CS42">
        <v>1.173913</v>
      </c>
    </row>
    <row r="43" spans="1:97" x14ac:dyDescent="0.2">
      <c r="A43">
        <v>10685</v>
      </c>
      <c r="B43" s="1">
        <v>45117</v>
      </c>
      <c r="C43" s="7">
        <v>0.59531250000000002</v>
      </c>
      <c r="D43" s="1">
        <v>45117</v>
      </c>
      <c r="E43" s="7">
        <v>0.65442129629629631</v>
      </c>
      <c r="F43" s="1">
        <v>45117</v>
      </c>
      <c r="G43" s="7">
        <v>0.71834490740740742</v>
      </c>
      <c r="H43">
        <v>10923</v>
      </c>
      <c r="I43" t="s">
        <v>287</v>
      </c>
      <c r="J43">
        <v>144</v>
      </c>
      <c r="K43" t="s">
        <v>288</v>
      </c>
      <c r="L43">
        <v>169</v>
      </c>
      <c r="M43" t="s">
        <v>287</v>
      </c>
      <c r="N43">
        <v>266</v>
      </c>
      <c r="O43" t="s">
        <v>305</v>
      </c>
      <c r="P43" t="s">
        <v>306</v>
      </c>
      <c r="Q43" t="s">
        <v>307</v>
      </c>
      <c r="R43" t="s">
        <v>292</v>
      </c>
      <c r="S43" t="s">
        <v>293</v>
      </c>
      <c r="U43" t="s">
        <v>327</v>
      </c>
      <c r="V43" t="b">
        <v>0</v>
      </c>
      <c r="W43" t="s">
        <v>316</v>
      </c>
      <c r="X43" t="s">
        <v>313</v>
      </c>
      <c r="Z43">
        <v>34</v>
      </c>
      <c r="AB43" t="s">
        <v>142</v>
      </c>
      <c r="AD43" t="s">
        <v>297</v>
      </c>
      <c r="AO43" t="s">
        <v>298</v>
      </c>
      <c r="AP43" t="s">
        <v>298</v>
      </c>
      <c r="AQ43" t="s">
        <v>298</v>
      </c>
      <c r="AR43" t="s">
        <v>298</v>
      </c>
      <c r="AS43" t="s">
        <v>299</v>
      </c>
      <c r="AT43" t="s">
        <v>300</v>
      </c>
      <c r="AU43">
        <v>149</v>
      </c>
      <c r="AV43" t="b">
        <v>1</v>
      </c>
      <c r="AW43">
        <v>6</v>
      </c>
      <c r="AX43">
        <v>0</v>
      </c>
      <c r="AY43">
        <v>9.7200000000000006</v>
      </c>
      <c r="AZ43">
        <v>32</v>
      </c>
      <c r="BA43">
        <v>0.60765249999999904</v>
      </c>
      <c r="BB43">
        <v>6.5888875836628502E-2</v>
      </c>
      <c r="BC43">
        <v>16</v>
      </c>
      <c r="BD43">
        <v>0.60637049999999904</v>
      </c>
      <c r="BE43">
        <v>16</v>
      </c>
      <c r="BF43">
        <v>0.61470549999999902</v>
      </c>
      <c r="BG43" t="s">
        <v>311</v>
      </c>
      <c r="BH43" t="s">
        <v>301</v>
      </c>
      <c r="BI43" t="s">
        <v>300</v>
      </c>
      <c r="BJ43">
        <v>231</v>
      </c>
      <c r="BK43">
        <v>1</v>
      </c>
      <c r="BL43">
        <v>6</v>
      </c>
      <c r="BM43">
        <v>1</v>
      </c>
      <c r="BN43">
        <v>6</v>
      </c>
      <c r="BO43">
        <v>9</v>
      </c>
      <c r="BP43">
        <v>1</v>
      </c>
      <c r="BQ43">
        <v>9</v>
      </c>
      <c r="BR43">
        <v>10</v>
      </c>
      <c r="BS43">
        <v>0.83333333333333304</v>
      </c>
      <c r="BT43">
        <v>10</v>
      </c>
      <c r="BU43">
        <v>11</v>
      </c>
      <c r="BV43">
        <v>0.73333333333333295</v>
      </c>
      <c r="BW43">
        <v>8.5</v>
      </c>
      <c r="BX43">
        <v>36</v>
      </c>
      <c r="BY43">
        <v>0.85714285714285698</v>
      </c>
      <c r="BZ43">
        <v>33.5</v>
      </c>
      <c r="CA43" t="s">
        <v>301</v>
      </c>
      <c r="CB43" t="s">
        <v>300</v>
      </c>
      <c r="CC43">
        <v>232</v>
      </c>
      <c r="CD43" t="b">
        <v>1</v>
      </c>
      <c r="CE43">
        <v>8</v>
      </c>
      <c r="CF43">
        <v>0</v>
      </c>
      <c r="CG43">
        <v>7.73</v>
      </c>
      <c r="CH43">
        <v>16</v>
      </c>
      <c r="CI43">
        <v>0.75741099999999995</v>
      </c>
      <c r="CJ43">
        <v>15</v>
      </c>
      <c r="CK43">
        <v>0.74560000000000004</v>
      </c>
      <c r="CL43">
        <v>31</v>
      </c>
      <c r="CM43">
        <v>0.85649600000000004</v>
      </c>
      <c r="CN43">
        <v>19</v>
      </c>
      <c r="CO43">
        <v>0.85649600000000004</v>
      </c>
      <c r="CP43">
        <v>0.19155542924677599</v>
      </c>
      <c r="CQ43">
        <v>53</v>
      </c>
      <c r="CR43">
        <v>0.77890099999999995</v>
      </c>
      <c r="CS43" t="s">
        <v>311</v>
      </c>
    </row>
    <row r="44" spans="1:97" x14ac:dyDescent="0.2">
      <c r="A44">
        <v>10685</v>
      </c>
      <c r="B44" s="1">
        <v>45108</v>
      </c>
      <c r="C44" s="7">
        <v>0.64012731481481489</v>
      </c>
      <c r="D44" s="1">
        <v>45117</v>
      </c>
      <c r="E44" s="7">
        <v>0.59528935185185183</v>
      </c>
      <c r="F44" s="1">
        <v>45117</v>
      </c>
      <c r="G44" s="7">
        <v>0.71834490740740742</v>
      </c>
      <c r="H44">
        <v>10924</v>
      </c>
      <c r="I44" t="s">
        <v>287</v>
      </c>
      <c r="J44">
        <v>144</v>
      </c>
      <c r="K44" t="s">
        <v>288</v>
      </c>
      <c r="L44">
        <v>169</v>
      </c>
      <c r="M44" t="s">
        <v>287</v>
      </c>
      <c r="N44">
        <v>266</v>
      </c>
      <c r="O44" t="s">
        <v>305</v>
      </c>
      <c r="P44" t="s">
        <v>306</v>
      </c>
      <c r="Q44" t="s">
        <v>307</v>
      </c>
      <c r="R44" t="s">
        <v>312</v>
      </c>
      <c r="U44" t="s">
        <v>327</v>
      </c>
      <c r="V44" t="b">
        <v>0</v>
      </c>
      <c r="W44" t="s">
        <v>316</v>
      </c>
      <c r="X44" t="s">
        <v>313</v>
      </c>
      <c r="Z44">
        <v>34</v>
      </c>
      <c r="AB44" t="s">
        <v>142</v>
      </c>
      <c r="AD44" t="s">
        <v>297</v>
      </c>
      <c r="AO44" t="s">
        <v>298</v>
      </c>
      <c r="AP44" t="s">
        <v>298</v>
      </c>
      <c r="AQ44" t="s">
        <v>298</v>
      </c>
      <c r="AR44" t="s">
        <v>298</v>
      </c>
      <c r="AS44" t="s">
        <v>299</v>
      </c>
      <c r="AT44" t="s">
        <v>300</v>
      </c>
      <c r="AU44">
        <v>163</v>
      </c>
      <c r="AV44" t="b">
        <v>1</v>
      </c>
      <c r="AW44">
        <v>6</v>
      </c>
      <c r="AX44">
        <v>0</v>
      </c>
      <c r="AY44">
        <v>9.02</v>
      </c>
      <c r="AZ44">
        <v>32</v>
      </c>
      <c r="BA44">
        <v>0.69558450000000005</v>
      </c>
      <c r="BB44">
        <v>0.11159707375398401</v>
      </c>
      <c r="BC44">
        <v>16</v>
      </c>
      <c r="BD44">
        <v>0.67139599999999999</v>
      </c>
      <c r="BE44">
        <v>16</v>
      </c>
      <c r="BF44">
        <v>0.72741149999999999</v>
      </c>
      <c r="BG44" t="s">
        <v>311</v>
      </c>
      <c r="BH44" t="s">
        <v>301</v>
      </c>
      <c r="BI44" t="s">
        <v>300</v>
      </c>
      <c r="BJ44">
        <v>250</v>
      </c>
      <c r="BK44">
        <v>1</v>
      </c>
      <c r="BL44">
        <v>6</v>
      </c>
      <c r="BM44">
        <v>1</v>
      </c>
      <c r="BN44">
        <v>6</v>
      </c>
      <c r="BO44">
        <v>9</v>
      </c>
      <c r="BP44">
        <v>1</v>
      </c>
      <c r="BQ44">
        <v>9</v>
      </c>
      <c r="BR44">
        <v>9</v>
      </c>
      <c r="BS44">
        <v>0.75</v>
      </c>
      <c r="BT44">
        <v>9</v>
      </c>
      <c r="BU44">
        <v>13</v>
      </c>
      <c r="BV44">
        <v>0.86666666666666603</v>
      </c>
      <c r="BW44">
        <v>10</v>
      </c>
      <c r="BX44">
        <v>37</v>
      </c>
      <c r="BY44">
        <v>0.88095238095238004</v>
      </c>
      <c r="BZ44">
        <v>34</v>
      </c>
      <c r="CA44" t="s">
        <v>301</v>
      </c>
      <c r="CB44" t="s">
        <v>300</v>
      </c>
      <c r="CC44">
        <v>213</v>
      </c>
      <c r="CD44" t="b">
        <v>1</v>
      </c>
      <c r="CE44">
        <v>8</v>
      </c>
      <c r="CF44">
        <v>0</v>
      </c>
      <c r="CG44">
        <v>8.8000000000000007</v>
      </c>
      <c r="CH44">
        <v>16</v>
      </c>
      <c r="CI44">
        <v>0.55735699999999999</v>
      </c>
      <c r="CJ44">
        <v>16</v>
      </c>
      <c r="CK44">
        <v>0.60891899999999999</v>
      </c>
      <c r="CL44">
        <v>32</v>
      </c>
      <c r="CM44">
        <v>0.65542199999999995</v>
      </c>
      <c r="CN44">
        <v>20</v>
      </c>
      <c r="CO44">
        <v>0.76271549999999999</v>
      </c>
      <c r="CP44">
        <v>0.25469831348704902</v>
      </c>
      <c r="CQ44">
        <v>54</v>
      </c>
      <c r="CR44">
        <v>0.59151900000000002</v>
      </c>
      <c r="CS44" t="s">
        <v>311</v>
      </c>
    </row>
    <row r="45" spans="1:97" x14ac:dyDescent="0.2">
      <c r="A45">
        <v>10647</v>
      </c>
      <c r="B45" s="1">
        <v>45107</v>
      </c>
      <c r="C45" s="7">
        <v>0.71752314814814822</v>
      </c>
      <c r="D45" s="1">
        <v>45108</v>
      </c>
      <c r="E45" s="7">
        <v>0.6401041666666667</v>
      </c>
      <c r="F45" s="1">
        <v>45117</v>
      </c>
      <c r="G45" s="7">
        <v>0.71834490740740742</v>
      </c>
      <c r="H45">
        <v>10925</v>
      </c>
      <c r="I45" t="s">
        <v>287</v>
      </c>
      <c r="J45">
        <v>144</v>
      </c>
      <c r="K45" t="s">
        <v>288</v>
      </c>
      <c r="L45">
        <v>169</v>
      </c>
      <c r="M45" t="s">
        <v>287</v>
      </c>
      <c r="N45">
        <v>266</v>
      </c>
      <c r="O45" t="s">
        <v>305</v>
      </c>
      <c r="P45" t="s">
        <v>306</v>
      </c>
      <c r="Q45" t="s">
        <v>307</v>
      </c>
      <c r="R45" t="s">
        <v>292</v>
      </c>
      <c r="S45" t="s">
        <v>293</v>
      </c>
      <c r="U45" t="s">
        <v>327</v>
      </c>
      <c r="V45" t="b">
        <v>0</v>
      </c>
      <c r="W45" t="s">
        <v>315</v>
      </c>
      <c r="X45" t="s">
        <v>316</v>
      </c>
      <c r="Z45">
        <v>24</v>
      </c>
      <c r="AB45" t="s">
        <v>141</v>
      </c>
      <c r="AC45">
        <v>16</v>
      </c>
      <c r="AD45" t="s">
        <v>297</v>
      </c>
      <c r="AO45" t="s">
        <v>298</v>
      </c>
      <c r="AP45" t="s">
        <v>298</v>
      </c>
      <c r="AQ45" t="s">
        <v>298</v>
      </c>
      <c r="AR45" t="s">
        <v>298</v>
      </c>
      <c r="AS45" t="s">
        <v>299</v>
      </c>
      <c r="AT45" t="s">
        <v>300</v>
      </c>
      <c r="AU45">
        <v>145</v>
      </c>
      <c r="AV45" t="b">
        <v>1</v>
      </c>
      <c r="AW45">
        <v>6</v>
      </c>
      <c r="AX45">
        <v>0</v>
      </c>
      <c r="AY45">
        <v>9.44</v>
      </c>
      <c r="AZ45">
        <v>31</v>
      </c>
      <c r="BA45">
        <v>0.58534600000000003</v>
      </c>
      <c r="BB45">
        <v>8.5369044877036504E-2</v>
      </c>
      <c r="BC45">
        <v>16</v>
      </c>
      <c r="BD45">
        <v>0.52801900000000002</v>
      </c>
      <c r="BE45">
        <v>15</v>
      </c>
      <c r="BF45">
        <v>0.61024400000000001</v>
      </c>
      <c r="BG45">
        <v>1.8679250000000001</v>
      </c>
      <c r="BH45" t="s">
        <v>301</v>
      </c>
      <c r="BI45" t="s">
        <v>300</v>
      </c>
      <c r="BJ45">
        <v>232</v>
      </c>
      <c r="BK45">
        <v>1</v>
      </c>
      <c r="BL45">
        <v>6</v>
      </c>
      <c r="BM45">
        <v>1</v>
      </c>
      <c r="BN45">
        <v>6</v>
      </c>
      <c r="BO45">
        <v>9</v>
      </c>
      <c r="BP45">
        <v>1</v>
      </c>
      <c r="BQ45">
        <v>9</v>
      </c>
      <c r="BR45">
        <v>12</v>
      </c>
      <c r="BS45">
        <v>1</v>
      </c>
      <c r="BT45">
        <v>12</v>
      </c>
      <c r="BU45">
        <v>11</v>
      </c>
      <c r="BV45">
        <v>0.73333333333333295</v>
      </c>
      <c r="BW45">
        <v>10</v>
      </c>
      <c r="BX45">
        <v>38</v>
      </c>
      <c r="BY45">
        <v>0.90476190476190399</v>
      </c>
      <c r="BZ45">
        <v>37</v>
      </c>
      <c r="CA45" t="s">
        <v>301</v>
      </c>
      <c r="CB45" t="s">
        <v>300</v>
      </c>
      <c r="CC45">
        <v>195</v>
      </c>
      <c r="CD45" t="b">
        <v>1</v>
      </c>
      <c r="CE45">
        <v>8</v>
      </c>
      <c r="CF45">
        <v>0</v>
      </c>
      <c r="CG45">
        <v>9.35</v>
      </c>
      <c r="CH45">
        <v>16</v>
      </c>
      <c r="CI45">
        <v>0.46552199999999999</v>
      </c>
      <c r="CJ45">
        <v>16</v>
      </c>
      <c r="CK45">
        <v>0.50381900000000002</v>
      </c>
      <c r="CL45">
        <v>31</v>
      </c>
      <c r="CM45">
        <v>0.53232000000000002</v>
      </c>
      <c r="CN45">
        <v>18</v>
      </c>
      <c r="CO45">
        <v>0.56631699999999996</v>
      </c>
      <c r="CP45">
        <v>0.18735445110634799</v>
      </c>
      <c r="CQ45">
        <v>55</v>
      </c>
      <c r="CR45">
        <v>0.497446</v>
      </c>
      <c r="CS45">
        <v>2.2028989999999999</v>
      </c>
    </row>
    <row r="46" spans="1:97" x14ac:dyDescent="0.2">
      <c r="A46">
        <v>10595</v>
      </c>
      <c r="B46" s="1">
        <v>45107</v>
      </c>
      <c r="C46" s="7">
        <v>0.56775462962962964</v>
      </c>
      <c r="D46" s="1">
        <v>45107</v>
      </c>
      <c r="E46" s="7">
        <v>0.57603009259259264</v>
      </c>
      <c r="F46" s="1">
        <v>45117</v>
      </c>
      <c r="G46" s="7">
        <v>0.71834490740740742</v>
      </c>
      <c r="H46">
        <v>10926</v>
      </c>
      <c r="I46" t="s">
        <v>287</v>
      </c>
      <c r="J46">
        <v>144</v>
      </c>
      <c r="K46" t="s">
        <v>288</v>
      </c>
      <c r="L46">
        <v>169</v>
      </c>
      <c r="M46" t="s">
        <v>287</v>
      </c>
      <c r="N46">
        <v>266</v>
      </c>
      <c r="O46" t="s">
        <v>305</v>
      </c>
      <c r="P46" t="s">
        <v>306</v>
      </c>
      <c r="Q46" t="s">
        <v>307</v>
      </c>
      <c r="R46" t="s">
        <v>292</v>
      </c>
      <c r="S46" t="s">
        <v>293</v>
      </c>
      <c r="T46" t="s">
        <v>308</v>
      </c>
      <c r="U46" t="s">
        <v>327</v>
      </c>
      <c r="V46" t="b">
        <v>0</v>
      </c>
      <c r="W46" t="s">
        <v>315</v>
      </c>
      <c r="X46" t="s">
        <v>316</v>
      </c>
      <c r="AB46" t="s">
        <v>142</v>
      </c>
      <c r="AC46">
        <v>12</v>
      </c>
      <c r="AD46" t="s">
        <v>297</v>
      </c>
      <c r="AO46" t="s">
        <v>298</v>
      </c>
      <c r="AP46" t="s">
        <v>298</v>
      </c>
      <c r="AQ46" t="s">
        <v>298</v>
      </c>
      <c r="AR46" t="s">
        <v>298</v>
      </c>
      <c r="AS46" t="s">
        <v>299</v>
      </c>
      <c r="AT46" t="s">
        <v>300</v>
      </c>
      <c r="AU46">
        <v>160</v>
      </c>
      <c r="AV46" t="b">
        <v>1</v>
      </c>
      <c r="AW46">
        <v>6</v>
      </c>
      <c r="AX46">
        <v>0</v>
      </c>
      <c r="AY46">
        <v>7.79</v>
      </c>
      <c r="AZ46">
        <v>31</v>
      </c>
      <c r="BA46">
        <v>0.90559400000000001</v>
      </c>
      <c r="BB46">
        <v>0.44301315861058399</v>
      </c>
      <c r="BC46">
        <v>16</v>
      </c>
      <c r="BD46">
        <v>0.90151899999999996</v>
      </c>
      <c r="BE46">
        <v>15</v>
      </c>
      <c r="BF46">
        <v>0.90559400000000001</v>
      </c>
      <c r="BG46" t="s">
        <v>311</v>
      </c>
      <c r="BH46" t="s">
        <v>301</v>
      </c>
      <c r="BI46" t="s">
        <v>300</v>
      </c>
      <c r="BJ46">
        <v>239</v>
      </c>
      <c r="BK46">
        <v>1</v>
      </c>
      <c r="BL46">
        <v>6</v>
      </c>
      <c r="BM46">
        <v>1</v>
      </c>
      <c r="BN46">
        <v>6</v>
      </c>
      <c r="BO46">
        <v>9</v>
      </c>
      <c r="BP46">
        <v>1</v>
      </c>
      <c r="BQ46">
        <v>9</v>
      </c>
      <c r="BR46">
        <v>12</v>
      </c>
      <c r="BS46">
        <v>1</v>
      </c>
      <c r="BT46">
        <v>8</v>
      </c>
      <c r="BU46">
        <v>13</v>
      </c>
      <c r="BV46">
        <v>0.86666666666666603</v>
      </c>
      <c r="BW46">
        <v>7.5</v>
      </c>
      <c r="BX46">
        <v>40</v>
      </c>
      <c r="BY46">
        <v>0.952380952380952</v>
      </c>
      <c r="BZ46">
        <v>30.5</v>
      </c>
      <c r="CA46" t="s">
        <v>301</v>
      </c>
      <c r="CB46" t="s">
        <v>300</v>
      </c>
      <c r="CC46">
        <v>223</v>
      </c>
      <c r="CD46" t="b">
        <v>1</v>
      </c>
      <c r="CE46">
        <v>8</v>
      </c>
      <c r="CF46">
        <v>0</v>
      </c>
      <c r="CG46">
        <v>8.25</v>
      </c>
      <c r="CH46">
        <v>16</v>
      </c>
      <c r="CI46">
        <v>0.71033049999999998</v>
      </c>
      <c r="CJ46">
        <v>16</v>
      </c>
      <c r="CK46">
        <v>0.69367849999999998</v>
      </c>
      <c r="CL46">
        <v>32</v>
      </c>
      <c r="CM46">
        <v>0.76932699999999998</v>
      </c>
      <c r="CN46">
        <v>17</v>
      </c>
      <c r="CO46">
        <v>0.88917199999999996</v>
      </c>
      <c r="CP46">
        <v>0.27898005766381101</v>
      </c>
      <c r="CQ46">
        <v>57</v>
      </c>
      <c r="CR46">
        <v>0.71365999999999996</v>
      </c>
      <c r="CS46" t="s">
        <v>311</v>
      </c>
    </row>
    <row r="47" spans="1:97" x14ac:dyDescent="0.2">
      <c r="A47">
        <v>10718</v>
      </c>
      <c r="B47" s="1">
        <v>45104</v>
      </c>
      <c r="C47" s="7">
        <v>0.5557523148148148</v>
      </c>
      <c r="D47" s="1">
        <v>45107</v>
      </c>
      <c r="E47" s="7">
        <v>0.56773148148148145</v>
      </c>
      <c r="F47" s="1">
        <v>45117</v>
      </c>
      <c r="G47" s="7">
        <v>0.71834490740740742</v>
      </c>
      <c r="H47">
        <v>10927</v>
      </c>
      <c r="I47" t="s">
        <v>287</v>
      </c>
      <c r="J47">
        <v>144</v>
      </c>
      <c r="K47" t="s">
        <v>288</v>
      </c>
      <c r="L47">
        <v>169</v>
      </c>
      <c r="M47" t="s">
        <v>287</v>
      </c>
      <c r="N47">
        <v>266</v>
      </c>
      <c r="O47" t="s">
        <v>305</v>
      </c>
      <c r="P47" t="s">
        <v>306</v>
      </c>
      <c r="Q47" t="s">
        <v>307</v>
      </c>
      <c r="R47" t="s">
        <v>292</v>
      </c>
      <c r="S47" t="s">
        <v>293</v>
      </c>
      <c r="T47" t="s">
        <v>308</v>
      </c>
      <c r="U47" t="s">
        <v>327</v>
      </c>
      <c r="V47" t="b">
        <v>0</v>
      </c>
      <c r="W47" t="s">
        <v>303</v>
      </c>
      <c r="X47" t="s">
        <v>328</v>
      </c>
      <c r="Z47">
        <v>28</v>
      </c>
      <c r="AA47" t="s">
        <v>300</v>
      </c>
      <c r="AB47" t="s">
        <v>141</v>
      </c>
      <c r="AC47">
        <v>18</v>
      </c>
      <c r="AD47" t="s">
        <v>297</v>
      </c>
      <c r="AO47" t="s">
        <v>298</v>
      </c>
      <c r="AP47" t="s">
        <v>298</v>
      </c>
      <c r="AQ47" t="s">
        <v>298</v>
      </c>
      <c r="AR47" t="s">
        <v>298</v>
      </c>
      <c r="AS47" t="s">
        <v>299</v>
      </c>
      <c r="AT47" t="s">
        <v>300</v>
      </c>
      <c r="AU47">
        <v>154</v>
      </c>
      <c r="AV47" t="b">
        <v>1</v>
      </c>
      <c r="AW47">
        <v>6</v>
      </c>
      <c r="AX47">
        <v>0</v>
      </c>
      <c r="AY47">
        <v>9.68</v>
      </c>
      <c r="AZ47">
        <v>32</v>
      </c>
      <c r="BA47">
        <v>0.56600450000000002</v>
      </c>
      <c r="BB47">
        <v>0.12983861535401101</v>
      </c>
      <c r="BC47">
        <v>16</v>
      </c>
      <c r="BD47">
        <v>0.51401450000000004</v>
      </c>
      <c r="BE47">
        <v>16</v>
      </c>
      <c r="BF47">
        <v>0.62032749999999903</v>
      </c>
      <c r="BG47">
        <v>2.3207550000000001</v>
      </c>
      <c r="BH47" t="s">
        <v>301</v>
      </c>
      <c r="BI47" t="s">
        <v>300</v>
      </c>
      <c r="BJ47">
        <v>82</v>
      </c>
      <c r="BK47">
        <v>1</v>
      </c>
      <c r="BN47">
        <v>0</v>
      </c>
      <c r="BQ47">
        <v>0</v>
      </c>
      <c r="BT47">
        <v>0</v>
      </c>
      <c r="BW47">
        <v>0</v>
      </c>
      <c r="BZ47">
        <v>0</v>
      </c>
      <c r="CA47" t="s">
        <v>301</v>
      </c>
      <c r="CB47" t="s">
        <v>300</v>
      </c>
      <c r="CC47">
        <v>229</v>
      </c>
      <c r="CD47" t="b">
        <v>1</v>
      </c>
      <c r="CE47">
        <v>8</v>
      </c>
      <c r="CF47">
        <v>0</v>
      </c>
      <c r="CG47">
        <v>7.45</v>
      </c>
      <c r="CH47">
        <v>16</v>
      </c>
      <c r="CI47">
        <v>0.73319999999999996</v>
      </c>
      <c r="CJ47">
        <v>15</v>
      </c>
      <c r="CK47">
        <v>0.74768000000000001</v>
      </c>
      <c r="CL47">
        <v>31</v>
      </c>
      <c r="CM47">
        <v>0.92831300000000005</v>
      </c>
      <c r="CN47">
        <v>16</v>
      </c>
      <c r="CO47">
        <v>0.9573045</v>
      </c>
      <c r="CP47">
        <v>0.37947054620051102</v>
      </c>
      <c r="CQ47">
        <v>56</v>
      </c>
      <c r="CR47">
        <v>0.74925850000000005</v>
      </c>
      <c r="CS47">
        <v>-0.55072500000000002</v>
      </c>
    </row>
    <row r="48" spans="1:97" x14ac:dyDescent="0.2">
      <c r="A48">
        <v>10661</v>
      </c>
      <c r="B48" s="1">
        <v>45099</v>
      </c>
      <c r="C48" s="7">
        <v>0.4956828703703704</v>
      </c>
      <c r="D48" s="1">
        <v>45099</v>
      </c>
      <c r="E48" s="7">
        <v>0.50344907407407413</v>
      </c>
      <c r="F48" s="1">
        <v>45117</v>
      </c>
      <c r="G48" s="7">
        <v>0.71834490740740742</v>
      </c>
      <c r="H48">
        <v>10928</v>
      </c>
      <c r="I48" t="s">
        <v>287</v>
      </c>
      <c r="J48">
        <v>144</v>
      </c>
      <c r="K48" t="s">
        <v>288</v>
      </c>
      <c r="L48">
        <v>169</v>
      </c>
      <c r="M48" t="s">
        <v>287</v>
      </c>
      <c r="N48">
        <v>266</v>
      </c>
      <c r="O48" t="s">
        <v>305</v>
      </c>
      <c r="P48" t="s">
        <v>306</v>
      </c>
      <c r="Q48" t="s">
        <v>307</v>
      </c>
      <c r="R48" t="s">
        <v>292</v>
      </c>
      <c r="S48" t="s">
        <v>293</v>
      </c>
      <c r="U48" t="s">
        <v>327</v>
      </c>
      <c r="V48" t="b">
        <v>0</v>
      </c>
      <c r="W48" t="s">
        <v>313</v>
      </c>
      <c r="X48" t="s">
        <v>329</v>
      </c>
      <c r="Z48">
        <v>50</v>
      </c>
      <c r="AA48" t="s">
        <v>300</v>
      </c>
      <c r="AB48" t="s">
        <v>142</v>
      </c>
      <c r="AC48">
        <v>18</v>
      </c>
      <c r="AD48" t="s">
        <v>322</v>
      </c>
      <c r="AO48" t="s">
        <v>298</v>
      </c>
      <c r="AP48" t="s">
        <v>298</v>
      </c>
      <c r="AQ48" t="s">
        <v>298</v>
      </c>
      <c r="AR48" t="s">
        <v>298</v>
      </c>
      <c r="AS48" t="s">
        <v>299</v>
      </c>
      <c r="AT48" t="s">
        <v>300</v>
      </c>
      <c r="AU48">
        <v>145</v>
      </c>
      <c r="AV48" t="b">
        <v>1</v>
      </c>
      <c r="AW48">
        <v>6</v>
      </c>
      <c r="AX48">
        <v>0</v>
      </c>
      <c r="AY48">
        <v>9.8800000000000008</v>
      </c>
      <c r="AZ48">
        <v>32</v>
      </c>
      <c r="BA48">
        <v>0.58486400000000005</v>
      </c>
      <c r="BB48">
        <v>8.3144092147096296E-2</v>
      </c>
      <c r="BC48">
        <v>16</v>
      </c>
      <c r="BD48">
        <v>0.58184999999999998</v>
      </c>
      <c r="BE48">
        <v>16</v>
      </c>
      <c r="BF48">
        <v>0.59229899999999902</v>
      </c>
      <c r="BG48">
        <v>2.6981130000000002</v>
      </c>
      <c r="BH48" t="s">
        <v>301</v>
      </c>
      <c r="BI48" t="s">
        <v>300</v>
      </c>
      <c r="BJ48">
        <v>223</v>
      </c>
      <c r="BK48">
        <v>1</v>
      </c>
      <c r="BL48">
        <v>6</v>
      </c>
      <c r="BM48">
        <v>1</v>
      </c>
      <c r="BN48">
        <v>5</v>
      </c>
      <c r="BO48">
        <v>9</v>
      </c>
      <c r="BP48">
        <v>1</v>
      </c>
      <c r="BQ48">
        <v>9</v>
      </c>
      <c r="BR48">
        <v>12</v>
      </c>
      <c r="BS48">
        <v>1</v>
      </c>
      <c r="BT48">
        <v>11</v>
      </c>
      <c r="BU48">
        <v>13</v>
      </c>
      <c r="BV48">
        <v>0.86666666666666603</v>
      </c>
      <c r="BW48">
        <v>10.5</v>
      </c>
      <c r="BX48">
        <v>40</v>
      </c>
      <c r="BY48">
        <v>0.952380952380952</v>
      </c>
      <c r="BZ48">
        <v>35.5</v>
      </c>
      <c r="CA48" t="s">
        <v>301</v>
      </c>
      <c r="CB48" t="s">
        <v>300</v>
      </c>
      <c r="CC48">
        <v>208</v>
      </c>
      <c r="CD48" t="b">
        <v>1</v>
      </c>
      <c r="CE48">
        <v>8</v>
      </c>
      <c r="CF48">
        <v>0</v>
      </c>
      <c r="CG48">
        <v>9.81</v>
      </c>
      <c r="CH48">
        <v>16</v>
      </c>
      <c r="CI48">
        <v>0.51622400000000002</v>
      </c>
      <c r="CJ48">
        <v>16</v>
      </c>
      <c r="CK48">
        <v>0.51196799999999998</v>
      </c>
      <c r="CL48">
        <v>32</v>
      </c>
      <c r="CM48">
        <v>0.48638199999999998</v>
      </c>
      <c r="CN48">
        <v>21</v>
      </c>
      <c r="CO48">
        <v>0.55719799999999997</v>
      </c>
      <c r="CP48">
        <v>0.17827996032481999</v>
      </c>
      <c r="CQ48">
        <v>53</v>
      </c>
      <c r="CR48">
        <v>0.51183699999999999</v>
      </c>
      <c r="CS48">
        <v>2.8695650000000001</v>
      </c>
    </row>
    <row r="49" spans="1:97" x14ac:dyDescent="0.2">
      <c r="A49">
        <v>10642</v>
      </c>
      <c r="B49" s="1">
        <v>45098</v>
      </c>
      <c r="C49" s="7">
        <v>0.67704861111111114</v>
      </c>
      <c r="D49" s="1">
        <v>45098</v>
      </c>
      <c r="E49" s="7">
        <v>0.68518518518518512</v>
      </c>
      <c r="F49" s="1">
        <v>45117</v>
      </c>
      <c r="G49" s="7">
        <v>0.71834490740740742</v>
      </c>
      <c r="H49">
        <v>10929</v>
      </c>
      <c r="I49" t="s">
        <v>287</v>
      </c>
      <c r="J49">
        <v>144</v>
      </c>
      <c r="K49" t="s">
        <v>288</v>
      </c>
      <c r="L49">
        <v>169</v>
      </c>
      <c r="M49" t="s">
        <v>287</v>
      </c>
      <c r="N49">
        <v>266</v>
      </c>
      <c r="O49" t="s">
        <v>305</v>
      </c>
      <c r="P49" t="s">
        <v>306</v>
      </c>
      <c r="Q49" t="s">
        <v>307</v>
      </c>
      <c r="R49" t="s">
        <v>292</v>
      </c>
      <c r="S49" t="s">
        <v>293</v>
      </c>
      <c r="U49" t="s">
        <v>327</v>
      </c>
      <c r="V49" t="b">
        <v>0</v>
      </c>
      <c r="W49" t="s">
        <v>303</v>
      </c>
      <c r="X49" t="s">
        <v>304</v>
      </c>
      <c r="Z49">
        <v>44</v>
      </c>
      <c r="AA49" t="s">
        <v>300</v>
      </c>
      <c r="AB49" t="s">
        <v>141</v>
      </c>
      <c r="AC49">
        <v>19</v>
      </c>
      <c r="AO49" t="s">
        <v>298</v>
      </c>
      <c r="AP49" t="s">
        <v>298</v>
      </c>
      <c r="AQ49" t="s">
        <v>298</v>
      </c>
      <c r="AR49" t="s">
        <v>298</v>
      </c>
      <c r="AS49" t="s">
        <v>299</v>
      </c>
      <c r="AT49" t="s">
        <v>300</v>
      </c>
      <c r="AU49">
        <v>146</v>
      </c>
      <c r="AV49" t="b">
        <v>1</v>
      </c>
      <c r="AW49">
        <v>5</v>
      </c>
      <c r="AX49">
        <v>0</v>
      </c>
      <c r="AY49">
        <v>9.68</v>
      </c>
      <c r="AZ49">
        <v>32</v>
      </c>
      <c r="BA49">
        <v>0.57826599999999995</v>
      </c>
      <c r="BB49">
        <v>8.1598602605988294E-2</v>
      </c>
      <c r="BC49">
        <v>16</v>
      </c>
      <c r="BD49">
        <v>0.54729749999999999</v>
      </c>
      <c r="BE49">
        <v>16</v>
      </c>
      <c r="BF49">
        <v>0.62108949999999996</v>
      </c>
      <c r="BG49">
        <v>2.3207550000000001</v>
      </c>
      <c r="BH49" t="s">
        <v>301</v>
      </c>
      <c r="BI49" t="s">
        <v>300</v>
      </c>
      <c r="BJ49">
        <v>269</v>
      </c>
      <c r="BK49">
        <v>1</v>
      </c>
      <c r="BL49">
        <v>6</v>
      </c>
      <c r="BM49">
        <v>1</v>
      </c>
      <c r="BN49">
        <v>6</v>
      </c>
      <c r="BO49">
        <v>8</v>
      </c>
      <c r="BP49">
        <v>0.88888888888888795</v>
      </c>
      <c r="BQ49">
        <v>8</v>
      </c>
      <c r="BR49">
        <v>10</v>
      </c>
      <c r="BS49">
        <v>0.83333333333333304</v>
      </c>
      <c r="BT49">
        <v>8</v>
      </c>
      <c r="BU49">
        <v>11</v>
      </c>
      <c r="BV49">
        <v>0.73333333333333295</v>
      </c>
      <c r="BW49">
        <v>9</v>
      </c>
      <c r="BX49">
        <v>35</v>
      </c>
      <c r="BY49">
        <v>0.83333333333333304</v>
      </c>
      <c r="BZ49">
        <v>31</v>
      </c>
      <c r="CA49" t="s">
        <v>301</v>
      </c>
      <c r="CB49" t="s">
        <v>300</v>
      </c>
      <c r="CC49">
        <v>217</v>
      </c>
      <c r="CD49" t="b">
        <v>1</v>
      </c>
      <c r="CE49">
        <v>8</v>
      </c>
      <c r="CF49">
        <v>0</v>
      </c>
      <c r="CG49">
        <v>8.42</v>
      </c>
      <c r="CH49">
        <v>16</v>
      </c>
      <c r="CI49">
        <v>0.63231799999999905</v>
      </c>
      <c r="CJ49">
        <v>16</v>
      </c>
      <c r="CK49">
        <v>0.63554200000000005</v>
      </c>
      <c r="CL49">
        <v>32</v>
      </c>
      <c r="CM49">
        <v>0.73250899999999997</v>
      </c>
      <c r="CN49">
        <v>22</v>
      </c>
      <c r="CO49">
        <v>0.71524849999999995</v>
      </c>
      <c r="CP49">
        <v>0.102657110210972</v>
      </c>
      <c r="CQ49">
        <v>52</v>
      </c>
      <c r="CR49">
        <v>0.65502299999999902</v>
      </c>
      <c r="CS49">
        <v>0.85507200000000005</v>
      </c>
    </row>
    <row r="50" spans="1:97" x14ac:dyDescent="0.2">
      <c r="A50">
        <v>10659</v>
      </c>
      <c r="B50" s="1">
        <v>45118</v>
      </c>
      <c r="C50" s="7">
        <v>0.5917013888888889</v>
      </c>
      <c r="D50" s="1">
        <v>45118</v>
      </c>
      <c r="E50" s="7">
        <v>0.62646990740740738</v>
      </c>
      <c r="F50" s="1">
        <v>45118</v>
      </c>
      <c r="G50" s="7">
        <v>0.62667824074074074</v>
      </c>
      <c r="H50">
        <v>10977</v>
      </c>
      <c r="I50" t="s">
        <v>287</v>
      </c>
      <c r="J50">
        <v>144</v>
      </c>
      <c r="K50" t="s">
        <v>288</v>
      </c>
      <c r="L50">
        <v>169</v>
      </c>
      <c r="M50" t="s">
        <v>287</v>
      </c>
      <c r="N50">
        <v>266</v>
      </c>
      <c r="O50" t="s">
        <v>305</v>
      </c>
      <c r="P50" t="s">
        <v>306</v>
      </c>
      <c r="Q50" t="s">
        <v>307</v>
      </c>
      <c r="R50" t="s">
        <v>292</v>
      </c>
      <c r="S50" t="s">
        <v>293</v>
      </c>
      <c r="T50" t="s">
        <v>308</v>
      </c>
      <c r="U50" t="s">
        <v>327</v>
      </c>
      <c r="V50" t="b">
        <v>0</v>
      </c>
      <c r="W50" t="s">
        <v>315</v>
      </c>
      <c r="X50" t="s">
        <v>316</v>
      </c>
      <c r="Z50">
        <v>62</v>
      </c>
      <c r="AA50" t="s">
        <v>300</v>
      </c>
      <c r="AB50" t="s">
        <v>141</v>
      </c>
      <c r="AC50">
        <v>16</v>
      </c>
      <c r="AD50" t="s">
        <v>297</v>
      </c>
      <c r="AO50" t="s">
        <v>298</v>
      </c>
      <c r="AP50" t="s">
        <v>298</v>
      </c>
      <c r="AQ50" t="s">
        <v>298</v>
      </c>
      <c r="AR50" t="s">
        <v>298</v>
      </c>
      <c r="AS50" t="s">
        <v>299</v>
      </c>
      <c r="AT50" t="s">
        <v>300</v>
      </c>
      <c r="AU50">
        <v>210</v>
      </c>
      <c r="AV50" t="b">
        <v>1</v>
      </c>
      <c r="AW50">
        <v>5</v>
      </c>
      <c r="AX50">
        <v>0</v>
      </c>
      <c r="AY50">
        <v>6.58</v>
      </c>
      <c r="AZ50">
        <v>32</v>
      </c>
      <c r="BA50">
        <v>1.2652364999999901</v>
      </c>
      <c r="BB50">
        <v>0.12380923099261699</v>
      </c>
      <c r="BC50">
        <v>16</v>
      </c>
      <c r="BD50">
        <v>1.2473209999999999</v>
      </c>
      <c r="BE50">
        <v>16</v>
      </c>
      <c r="BF50">
        <v>1.303885</v>
      </c>
      <c r="BG50">
        <v>-3.528302</v>
      </c>
      <c r="BH50" t="s">
        <v>301</v>
      </c>
      <c r="BI50" t="s">
        <v>300</v>
      </c>
      <c r="BJ50">
        <v>345</v>
      </c>
      <c r="BK50">
        <v>1</v>
      </c>
      <c r="BL50">
        <v>5</v>
      </c>
      <c r="BM50">
        <v>0.83333333333333304</v>
      </c>
      <c r="BN50">
        <v>2.5</v>
      </c>
      <c r="BO50">
        <v>5</v>
      </c>
      <c r="BP50">
        <v>0.55555555555555503</v>
      </c>
      <c r="BQ50">
        <v>3</v>
      </c>
      <c r="BR50">
        <v>9</v>
      </c>
      <c r="BS50">
        <v>0.75</v>
      </c>
      <c r="BT50">
        <v>4.5</v>
      </c>
      <c r="BU50">
        <v>7</v>
      </c>
      <c r="BV50">
        <v>0.46666666666666601</v>
      </c>
      <c r="BW50">
        <v>3.5</v>
      </c>
      <c r="BX50">
        <v>26</v>
      </c>
      <c r="BY50">
        <v>0.61904761904761896</v>
      </c>
      <c r="BZ50">
        <v>13.5</v>
      </c>
      <c r="CA50" t="s">
        <v>301</v>
      </c>
      <c r="CB50" t="s">
        <v>300</v>
      </c>
      <c r="CC50">
        <v>262</v>
      </c>
      <c r="CD50" t="b">
        <v>1</v>
      </c>
      <c r="CE50">
        <v>8</v>
      </c>
      <c r="CF50">
        <v>0</v>
      </c>
      <c r="CG50">
        <v>5.7</v>
      </c>
      <c r="CH50">
        <v>16</v>
      </c>
      <c r="CI50">
        <v>0.87820500000000001</v>
      </c>
      <c r="CJ50">
        <v>16</v>
      </c>
      <c r="CK50">
        <v>1.2628174999999999</v>
      </c>
      <c r="CL50">
        <v>32</v>
      </c>
      <c r="CM50">
        <v>1.6302365000000001</v>
      </c>
      <c r="CN50">
        <v>20</v>
      </c>
      <c r="CO50">
        <v>1.6390940000000001</v>
      </c>
      <c r="CP50">
        <v>0.29657883802951901</v>
      </c>
      <c r="CQ50">
        <v>54</v>
      </c>
      <c r="CR50">
        <v>1.1402764999999999</v>
      </c>
      <c r="CS50">
        <v>-3.086957</v>
      </c>
    </row>
    <row r="51" spans="1:97" x14ac:dyDescent="0.2">
      <c r="A51">
        <v>10716</v>
      </c>
      <c r="B51" s="1">
        <v>45106</v>
      </c>
      <c r="C51" s="7">
        <v>0.54896990740740736</v>
      </c>
      <c r="D51" s="1">
        <v>45106</v>
      </c>
      <c r="E51" s="7">
        <v>0.56019675925925927</v>
      </c>
      <c r="F51" s="1">
        <v>45118</v>
      </c>
      <c r="G51" s="7">
        <v>0.62667824074074074</v>
      </c>
      <c r="H51">
        <v>10978</v>
      </c>
      <c r="I51" t="s">
        <v>287</v>
      </c>
      <c r="J51">
        <v>144</v>
      </c>
      <c r="K51" t="s">
        <v>288</v>
      </c>
      <c r="L51">
        <v>169</v>
      </c>
      <c r="M51" t="s">
        <v>287</v>
      </c>
      <c r="N51">
        <v>266</v>
      </c>
      <c r="O51" t="s">
        <v>305</v>
      </c>
      <c r="P51" t="s">
        <v>306</v>
      </c>
      <c r="Q51" t="s">
        <v>307</v>
      </c>
      <c r="R51" t="s">
        <v>292</v>
      </c>
      <c r="S51" t="s">
        <v>293</v>
      </c>
      <c r="T51" t="s">
        <v>289</v>
      </c>
      <c r="U51" t="s">
        <v>327</v>
      </c>
      <c r="V51" t="b">
        <v>0</v>
      </c>
      <c r="W51" t="s">
        <v>315</v>
      </c>
      <c r="X51" t="s">
        <v>316</v>
      </c>
      <c r="Z51">
        <v>69</v>
      </c>
      <c r="AA51" t="s">
        <v>300</v>
      </c>
      <c r="AB51" t="s">
        <v>142</v>
      </c>
      <c r="AC51">
        <v>20</v>
      </c>
      <c r="AD51" t="s">
        <v>297</v>
      </c>
      <c r="AO51" t="s">
        <v>298</v>
      </c>
      <c r="AP51" t="s">
        <v>298</v>
      </c>
      <c r="AQ51" t="s">
        <v>298</v>
      </c>
      <c r="AR51" t="s">
        <v>298</v>
      </c>
      <c r="AS51" t="s">
        <v>299</v>
      </c>
      <c r="AT51" t="s">
        <v>300</v>
      </c>
      <c r="AU51">
        <v>148</v>
      </c>
      <c r="AV51" t="b">
        <v>1</v>
      </c>
      <c r="AW51">
        <v>6</v>
      </c>
      <c r="AX51">
        <v>0</v>
      </c>
      <c r="AY51">
        <v>8.1199999999999992</v>
      </c>
      <c r="AZ51">
        <v>26</v>
      </c>
      <c r="BA51">
        <v>0.65315500000000004</v>
      </c>
      <c r="BB51">
        <v>0.173353454871011</v>
      </c>
      <c r="BC51">
        <v>15</v>
      </c>
      <c r="BD51">
        <v>0.65756800000000004</v>
      </c>
      <c r="BE51">
        <v>11</v>
      </c>
      <c r="BF51">
        <v>0.62000699999999997</v>
      </c>
      <c r="BG51">
        <v>-0.62264200000000003</v>
      </c>
      <c r="BH51" t="s">
        <v>301</v>
      </c>
      <c r="BI51" t="s">
        <v>300</v>
      </c>
      <c r="BJ51">
        <v>264</v>
      </c>
      <c r="BK51">
        <v>1</v>
      </c>
      <c r="BL51">
        <v>5</v>
      </c>
      <c r="BM51">
        <v>0.83333333333333304</v>
      </c>
      <c r="BN51">
        <v>2.5</v>
      </c>
      <c r="BO51">
        <v>7</v>
      </c>
      <c r="BP51">
        <v>0.77777777777777701</v>
      </c>
      <c r="BQ51">
        <v>5.5</v>
      </c>
      <c r="BR51">
        <v>7</v>
      </c>
      <c r="BS51">
        <v>0.58333333333333304</v>
      </c>
      <c r="BT51">
        <v>4</v>
      </c>
      <c r="BU51">
        <v>11</v>
      </c>
      <c r="BV51">
        <v>0.73333333333333295</v>
      </c>
      <c r="BW51">
        <v>7</v>
      </c>
      <c r="BX51">
        <v>30</v>
      </c>
      <c r="BY51">
        <v>0.71428571428571397</v>
      </c>
      <c r="BZ51">
        <v>19</v>
      </c>
      <c r="CA51" t="s">
        <v>301</v>
      </c>
      <c r="CB51" t="s">
        <v>300</v>
      </c>
      <c r="CC51">
        <v>233</v>
      </c>
      <c r="CD51" t="b">
        <v>1</v>
      </c>
      <c r="CE51">
        <v>8</v>
      </c>
      <c r="CF51">
        <v>0</v>
      </c>
      <c r="CG51">
        <v>7.12</v>
      </c>
      <c r="CH51">
        <v>16</v>
      </c>
      <c r="CI51">
        <v>0.517648</v>
      </c>
      <c r="CJ51">
        <v>16</v>
      </c>
      <c r="CK51">
        <v>0.68857049999999997</v>
      </c>
      <c r="CL51">
        <v>29</v>
      </c>
      <c r="CM51">
        <v>0.93567100000000003</v>
      </c>
      <c r="CN51">
        <v>17</v>
      </c>
      <c r="CO51">
        <v>0.93567100000000003</v>
      </c>
      <c r="CP51">
        <v>0.28594877074764602</v>
      </c>
      <c r="CQ51">
        <v>54</v>
      </c>
      <c r="CR51">
        <v>0.71072449999999998</v>
      </c>
      <c r="CS51">
        <v>-1.028986</v>
      </c>
    </row>
    <row r="52" spans="1:97" x14ac:dyDescent="0.2">
      <c r="A52">
        <v>10741</v>
      </c>
      <c r="B52" s="1">
        <v>45103</v>
      </c>
      <c r="C52" s="7">
        <v>0.60739583333333336</v>
      </c>
      <c r="D52" s="1">
        <v>45106</v>
      </c>
      <c r="E52" s="7">
        <v>0.54895833333333333</v>
      </c>
      <c r="F52" s="1">
        <v>45118</v>
      </c>
      <c r="G52" s="7">
        <v>0.62667824074074074</v>
      </c>
      <c r="H52">
        <v>10979</v>
      </c>
      <c r="I52" t="s">
        <v>287</v>
      </c>
      <c r="J52">
        <v>144</v>
      </c>
      <c r="K52" t="s">
        <v>288</v>
      </c>
      <c r="L52">
        <v>169</v>
      </c>
      <c r="M52" t="s">
        <v>287</v>
      </c>
      <c r="N52">
        <v>266</v>
      </c>
      <c r="O52" t="s">
        <v>305</v>
      </c>
      <c r="P52" t="s">
        <v>306</v>
      </c>
      <c r="Q52" t="s">
        <v>307</v>
      </c>
      <c r="R52" t="s">
        <v>292</v>
      </c>
      <c r="S52" t="s">
        <v>293</v>
      </c>
      <c r="U52" t="s">
        <v>327</v>
      </c>
      <c r="V52" t="b">
        <v>0</v>
      </c>
      <c r="W52" t="s">
        <v>303</v>
      </c>
      <c r="X52" t="s">
        <v>328</v>
      </c>
      <c r="Z52">
        <v>28</v>
      </c>
      <c r="AA52" t="s">
        <v>330</v>
      </c>
      <c r="AB52" t="s">
        <v>141</v>
      </c>
      <c r="AC52">
        <v>16</v>
      </c>
      <c r="AD52" t="s">
        <v>297</v>
      </c>
      <c r="AO52" t="s">
        <v>298</v>
      </c>
      <c r="AP52" t="s">
        <v>298</v>
      </c>
      <c r="AQ52" t="s">
        <v>298</v>
      </c>
      <c r="AR52" t="s">
        <v>298</v>
      </c>
      <c r="AS52" t="s">
        <v>299</v>
      </c>
      <c r="AT52" t="s">
        <v>300</v>
      </c>
      <c r="AU52">
        <v>170</v>
      </c>
      <c r="AV52" t="b">
        <v>1</v>
      </c>
      <c r="AW52">
        <v>5</v>
      </c>
      <c r="AX52">
        <v>0</v>
      </c>
      <c r="AY52">
        <v>9.5299999999999994</v>
      </c>
      <c r="AZ52">
        <v>32</v>
      </c>
      <c r="BA52">
        <v>0.61061350000000003</v>
      </c>
      <c r="BB52">
        <v>7.8912368494458901E-2</v>
      </c>
      <c r="BC52">
        <v>16</v>
      </c>
      <c r="BD52">
        <v>0.55232599999999998</v>
      </c>
      <c r="BE52">
        <v>16</v>
      </c>
      <c r="BF52">
        <v>0.6439705</v>
      </c>
      <c r="BG52">
        <v>2.0377360000000002</v>
      </c>
      <c r="BH52" t="s">
        <v>301</v>
      </c>
      <c r="BI52" t="s">
        <v>300</v>
      </c>
      <c r="BJ52">
        <v>290</v>
      </c>
      <c r="BK52">
        <v>1</v>
      </c>
      <c r="BL52">
        <v>6</v>
      </c>
      <c r="BM52">
        <v>1</v>
      </c>
      <c r="BN52">
        <v>6</v>
      </c>
      <c r="BO52">
        <v>7</v>
      </c>
      <c r="BP52">
        <v>0.77777777777777701</v>
      </c>
      <c r="BQ52">
        <v>7</v>
      </c>
      <c r="BR52">
        <v>10</v>
      </c>
      <c r="BS52">
        <v>0.83333333333333304</v>
      </c>
      <c r="BT52">
        <v>8.5</v>
      </c>
      <c r="BU52">
        <v>6</v>
      </c>
      <c r="BV52">
        <v>0.4</v>
      </c>
      <c r="BW52">
        <v>4</v>
      </c>
      <c r="BX52">
        <v>29</v>
      </c>
      <c r="BY52">
        <v>0.69047619047619002</v>
      </c>
      <c r="BZ52">
        <v>25.5</v>
      </c>
      <c r="CA52" t="s">
        <v>301</v>
      </c>
      <c r="CB52" t="s">
        <v>300</v>
      </c>
      <c r="CC52">
        <v>235</v>
      </c>
      <c r="CD52" t="b">
        <v>1</v>
      </c>
      <c r="CE52">
        <v>8</v>
      </c>
      <c r="CF52">
        <v>0</v>
      </c>
      <c r="CG52">
        <v>7.57</v>
      </c>
      <c r="CH52">
        <v>15</v>
      </c>
      <c r="CI52">
        <v>0.57914900000000002</v>
      </c>
      <c r="CJ52">
        <v>15</v>
      </c>
      <c r="CK52">
        <v>0.64557500000000001</v>
      </c>
      <c r="CL52">
        <v>28</v>
      </c>
      <c r="CM52">
        <v>0.78093199999999996</v>
      </c>
      <c r="CN52">
        <v>17</v>
      </c>
      <c r="CO52">
        <v>0.970804</v>
      </c>
      <c r="CP52">
        <v>0.19865609025800099</v>
      </c>
      <c r="CQ52">
        <v>51</v>
      </c>
      <c r="CR52">
        <v>0.63687499999999997</v>
      </c>
      <c r="CS52">
        <v>-0.37681199999999998</v>
      </c>
    </row>
    <row r="53" spans="1:97" x14ac:dyDescent="0.2">
      <c r="A53">
        <v>10700</v>
      </c>
      <c r="B53" s="1">
        <v>45079</v>
      </c>
      <c r="C53" s="7">
        <v>0.58606481481481476</v>
      </c>
      <c r="D53" s="1">
        <v>45079</v>
      </c>
      <c r="E53" s="7">
        <v>0.59574074074074079</v>
      </c>
      <c r="F53" s="1">
        <v>45118</v>
      </c>
      <c r="G53" s="7">
        <v>0.62667824074074074</v>
      </c>
      <c r="H53">
        <v>10981</v>
      </c>
      <c r="I53" t="s">
        <v>287</v>
      </c>
      <c r="J53">
        <v>144</v>
      </c>
      <c r="K53" t="s">
        <v>288</v>
      </c>
      <c r="L53">
        <v>169</v>
      </c>
      <c r="M53" t="s">
        <v>287</v>
      </c>
      <c r="N53">
        <v>266</v>
      </c>
      <c r="O53" t="s">
        <v>305</v>
      </c>
      <c r="P53" t="s">
        <v>306</v>
      </c>
      <c r="Q53" t="s">
        <v>307</v>
      </c>
      <c r="R53" t="s">
        <v>292</v>
      </c>
      <c r="S53" t="s">
        <v>293</v>
      </c>
      <c r="U53" t="s">
        <v>294</v>
      </c>
      <c r="V53" t="b">
        <v>0</v>
      </c>
      <c r="W53" t="s">
        <v>303</v>
      </c>
      <c r="X53" t="s">
        <v>304</v>
      </c>
      <c r="Z53">
        <v>23</v>
      </c>
      <c r="AA53" t="s">
        <v>300</v>
      </c>
      <c r="AB53" t="s">
        <v>141</v>
      </c>
      <c r="AC53">
        <v>17</v>
      </c>
      <c r="AD53" t="s">
        <v>297</v>
      </c>
      <c r="AO53" t="s">
        <v>298</v>
      </c>
      <c r="AP53" t="s">
        <v>298</v>
      </c>
      <c r="AQ53" t="s">
        <v>298</v>
      </c>
      <c r="AR53" t="s">
        <v>298</v>
      </c>
      <c r="AS53" t="s">
        <v>299</v>
      </c>
      <c r="AT53" t="s">
        <v>300</v>
      </c>
      <c r="AU53">
        <v>151</v>
      </c>
      <c r="AV53" t="b">
        <v>1</v>
      </c>
      <c r="AW53">
        <v>6</v>
      </c>
      <c r="AX53">
        <v>0</v>
      </c>
      <c r="AY53">
        <v>9.6199999999999992</v>
      </c>
      <c r="AZ53">
        <v>32</v>
      </c>
      <c r="BA53">
        <v>0.60821000000000003</v>
      </c>
      <c r="BB53">
        <v>0.31455267080597299</v>
      </c>
      <c r="BC53">
        <v>16</v>
      </c>
      <c r="BD53">
        <v>0.59153049999999996</v>
      </c>
      <c r="BE53">
        <v>16</v>
      </c>
      <c r="BF53">
        <v>0.62904450000000001</v>
      </c>
      <c r="BG53">
        <v>2.2075469999999999</v>
      </c>
      <c r="BH53" t="s">
        <v>301</v>
      </c>
      <c r="BI53" t="s">
        <v>300</v>
      </c>
      <c r="BJ53">
        <v>242</v>
      </c>
      <c r="BK53">
        <v>1</v>
      </c>
      <c r="BL53">
        <v>6</v>
      </c>
      <c r="BM53">
        <v>1</v>
      </c>
      <c r="BN53">
        <v>6</v>
      </c>
      <c r="BO53">
        <v>9</v>
      </c>
      <c r="BP53">
        <v>1</v>
      </c>
      <c r="BQ53">
        <v>9</v>
      </c>
      <c r="BR53">
        <v>10</v>
      </c>
      <c r="BS53">
        <v>0.83333333333333304</v>
      </c>
      <c r="BT53">
        <v>7</v>
      </c>
      <c r="BU53">
        <v>12</v>
      </c>
      <c r="BV53">
        <v>0.8</v>
      </c>
      <c r="BW53">
        <v>10.5</v>
      </c>
      <c r="BX53">
        <v>37</v>
      </c>
      <c r="BY53">
        <v>0.88095238095238004</v>
      </c>
      <c r="BZ53">
        <v>32.5</v>
      </c>
      <c r="CA53" t="s">
        <v>301</v>
      </c>
      <c r="CB53" t="s">
        <v>300</v>
      </c>
      <c r="CC53">
        <v>197</v>
      </c>
      <c r="CD53" t="b">
        <v>1</v>
      </c>
      <c r="CE53">
        <v>8</v>
      </c>
      <c r="CF53">
        <v>0</v>
      </c>
      <c r="CG53">
        <v>9.84</v>
      </c>
      <c r="CH53">
        <v>15</v>
      </c>
      <c r="CI53">
        <v>0.43805300000000003</v>
      </c>
      <c r="CJ53">
        <v>16</v>
      </c>
      <c r="CK53">
        <v>0.5131095</v>
      </c>
      <c r="CL53">
        <v>31</v>
      </c>
      <c r="CM53">
        <v>0.44614100000000001</v>
      </c>
      <c r="CN53">
        <v>18</v>
      </c>
      <c r="CO53">
        <v>0.44194800000000001</v>
      </c>
      <c r="CP53">
        <v>9.2177482932082902E-2</v>
      </c>
      <c r="CQ53">
        <v>54</v>
      </c>
      <c r="CR53">
        <v>0.47568899999999997</v>
      </c>
      <c r="CS53">
        <v>2.913043</v>
      </c>
    </row>
    <row r="54" spans="1:97" x14ac:dyDescent="0.2">
      <c r="A54">
        <v>10701</v>
      </c>
      <c r="B54" s="1">
        <v>45078</v>
      </c>
      <c r="C54" s="7">
        <v>0.74006944444444445</v>
      </c>
      <c r="D54" s="1">
        <v>45078</v>
      </c>
      <c r="E54" s="7">
        <v>0.74829861111111118</v>
      </c>
      <c r="F54" s="1">
        <v>45118</v>
      </c>
      <c r="G54" s="7">
        <v>0.62667824074074074</v>
      </c>
      <c r="H54">
        <v>10982</v>
      </c>
      <c r="I54" t="s">
        <v>287</v>
      </c>
      <c r="J54">
        <v>144</v>
      </c>
      <c r="K54" t="s">
        <v>288</v>
      </c>
      <c r="L54">
        <v>169</v>
      </c>
      <c r="M54" t="s">
        <v>287</v>
      </c>
      <c r="N54">
        <v>266</v>
      </c>
      <c r="O54" t="s">
        <v>305</v>
      </c>
      <c r="P54" t="s">
        <v>306</v>
      </c>
      <c r="Q54" t="s">
        <v>307</v>
      </c>
      <c r="R54" t="s">
        <v>292</v>
      </c>
      <c r="S54" t="s">
        <v>293</v>
      </c>
      <c r="U54" t="s">
        <v>294</v>
      </c>
      <c r="V54" t="b">
        <v>0</v>
      </c>
      <c r="W54" t="s">
        <v>303</v>
      </c>
      <c r="X54" t="s">
        <v>304</v>
      </c>
      <c r="Z54">
        <v>27</v>
      </c>
      <c r="AA54" t="s">
        <v>300</v>
      </c>
      <c r="AB54" t="s">
        <v>142</v>
      </c>
      <c r="AC54">
        <v>17</v>
      </c>
      <c r="AD54" t="s">
        <v>297</v>
      </c>
      <c r="AO54" t="s">
        <v>298</v>
      </c>
      <c r="AP54" t="s">
        <v>298</v>
      </c>
      <c r="AQ54" t="s">
        <v>298</v>
      </c>
      <c r="AR54" t="s">
        <v>298</v>
      </c>
      <c r="AS54" t="s">
        <v>299</v>
      </c>
      <c r="AT54" t="s">
        <v>300</v>
      </c>
      <c r="AU54">
        <v>164</v>
      </c>
      <c r="AV54" t="b">
        <v>1</v>
      </c>
      <c r="AW54">
        <v>6</v>
      </c>
      <c r="AX54">
        <v>0</v>
      </c>
      <c r="AY54">
        <v>8.6</v>
      </c>
      <c r="AZ54">
        <v>32</v>
      </c>
      <c r="BA54">
        <v>0.73737649999999999</v>
      </c>
      <c r="BB54">
        <v>0.18720635455871401</v>
      </c>
      <c r="BC54">
        <v>16</v>
      </c>
      <c r="BD54">
        <v>0.71252249999999995</v>
      </c>
      <c r="BE54">
        <v>16</v>
      </c>
      <c r="BF54">
        <v>0.80386599999999997</v>
      </c>
      <c r="BG54">
        <v>0.28301900000000002</v>
      </c>
      <c r="BH54" t="s">
        <v>301</v>
      </c>
      <c r="BI54" t="s">
        <v>300</v>
      </c>
      <c r="BJ54">
        <v>259</v>
      </c>
      <c r="BK54">
        <v>1</v>
      </c>
      <c r="BL54">
        <v>6</v>
      </c>
      <c r="BM54">
        <v>1</v>
      </c>
      <c r="BN54">
        <v>6</v>
      </c>
      <c r="BO54">
        <v>9</v>
      </c>
      <c r="BP54">
        <v>1</v>
      </c>
      <c r="BQ54">
        <v>9</v>
      </c>
      <c r="BR54">
        <v>11</v>
      </c>
      <c r="BS54">
        <v>0.91666666666666596</v>
      </c>
      <c r="BT54">
        <v>10</v>
      </c>
      <c r="BU54">
        <v>11</v>
      </c>
      <c r="BV54">
        <v>0.73333333333333295</v>
      </c>
      <c r="BW54">
        <v>7.5</v>
      </c>
      <c r="BX54">
        <v>37</v>
      </c>
      <c r="BY54">
        <v>0.88095238095238004</v>
      </c>
      <c r="BZ54">
        <v>32.5</v>
      </c>
      <c r="CA54" t="s">
        <v>301</v>
      </c>
      <c r="CB54" t="s">
        <v>300</v>
      </c>
      <c r="CC54">
        <v>221</v>
      </c>
      <c r="CD54" t="b">
        <v>1</v>
      </c>
      <c r="CE54">
        <v>8</v>
      </c>
      <c r="CF54">
        <v>0</v>
      </c>
      <c r="CG54">
        <v>6.58</v>
      </c>
      <c r="CH54">
        <v>5</v>
      </c>
      <c r="CI54">
        <v>0.97234399999999999</v>
      </c>
      <c r="CJ54">
        <v>16</v>
      </c>
      <c r="CK54">
        <v>0.52544449999999998</v>
      </c>
      <c r="CL54">
        <v>29</v>
      </c>
      <c r="CM54">
        <v>1.096211</v>
      </c>
      <c r="CN54">
        <v>16</v>
      </c>
      <c r="CO54">
        <v>1.0711925</v>
      </c>
      <c r="CP54">
        <v>0.47047030279903101</v>
      </c>
      <c r="CQ54">
        <v>44</v>
      </c>
      <c r="CR54">
        <v>0.73813200000000001</v>
      </c>
      <c r="CS54">
        <v>-1.8115939999999999</v>
      </c>
    </row>
    <row r="55" spans="1:97" x14ac:dyDescent="0.2">
      <c r="A55">
        <v>10638</v>
      </c>
      <c r="B55" s="1">
        <v>45076</v>
      </c>
      <c r="C55" s="7">
        <v>0.65785879629629629</v>
      </c>
      <c r="D55" s="1">
        <v>45078</v>
      </c>
      <c r="E55" s="7">
        <v>0.74003472222222222</v>
      </c>
      <c r="F55" s="1">
        <v>45118</v>
      </c>
      <c r="G55" s="7">
        <v>0.62667824074074074</v>
      </c>
      <c r="H55">
        <v>10983</v>
      </c>
      <c r="I55" t="s">
        <v>287</v>
      </c>
      <c r="J55">
        <v>144</v>
      </c>
      <c r="K55" t="s">
        <v>288</v>
      </c>
      <c r="L55">
        <v>169</v>
      </c>
      <c r="M55" t="s">
        <v>287</v>
      </c>
      <c r="N55">
        <v>266</v>
      </c>
      <c r="O55" t="s">
        <v>305</v>
      </c>
      <c r="P55" t="s">
        <v>306</v>
      </c>
      <c r="Q55" t="s">
        <v>307</v>
      </c>
      <c r="R55" t="s">
        <v>292</v>
      </c>
      <c r="S55" t="s">
        <v>293</v>
      </c>
      <c r="U55" t="s">
        <v>294</v>
      </c>
      <c r="V55" t="b">
        <v>0</v>
      </c>
      <c r="W55" t="s">
        <v>303</v>
      </c>
      <c r="X55" t="s">
        <v>304</v>
      </c>
      <c r="AB55" t="s">
        <v>141</v>
      </c>
      <c r="AO55" t="s">
        <v>298</v>
      </c>
      <c r="AP55" t="s">
        <v>298</v>
      </c>
      <c r="AQ55" t="s">
        <v>298</v>
      </c>
      <c r="AR55" t="s">
        <v>298</v>
      </c>
      <c r="AS55" t="s">
        <v>299</v>
      </c>
      <c r="AT55" t="s">
        <v>300</v>
      </c>
      <c r="AU55">
        <v>175</v>
      </c>
      <c r="AV55" t="b">
        <v>1</v>
      </c>
      <c r="AW55">
        <v>6</v>
      </c>
      <c r="AX55">
        <v>0</v>
      </c>
      <c r="AY55">
        <v>7.08</v>
      </c>
      <c r="AZ55">
        <v>32</v>
      </c>
      <c r="BA55">
        <v>1.0773765</v>
      </c>
      <c r="BB55">
        <v>0.16733572360236501</v>
      </c>
      <c r="BC55">
        <v>16</v>
      </c>
      <c r="BD55">
        <v>0.97817149999999997</v>
      </c>
      <c r="BE55">
        <v>16</v>
      </c>
      <c r="BF55">
        <v>1.1562779999999999</v>
      </c>
      <c r="BG55" t="s">
        <v>311</v>
      </c>
      <c r="BH55" t="s">
        <v>301</v>
      </c>
      <c r="BI55" t="s">
        <v>300</v>
      </c>
      <c r="BJ55">
        <v>259</v>
      </c>
      <c r="BK55">
        <v>1</v>
      </c>
      <c r="BL55">
        <v>6</v>
      </c>
      <c r="BM55">
        <v>1</v>
      </c>
      <c r="BN55">
        <v>6</v>
      </c>
      <c r="BO55">
        <v>4</v>
      </c>
      <c r="BP55">
        <v>0.44444444444444398</v>
      </c>
      <c r="BQ55">
        <v>4</v>
      </c>
      <c r="BR55">
        <v>10</v>
      </c>
      <c r="BS55">
        <v>0.83333333333333304</v>
      </c>
      <c r="BT55">
        <v>6</v>
      </c>
      <c r="BU55">
        <v>12</v>
      </c>
      <c r="BV55">
        <v>0.8</v>
      </c>
      <c r="BW55">
        <v>6.5</v>
      </c>
      <c r="BX55">
        <v>32</v>
      </c>
      <c r="BY55">
        <v>0.76190476190476097</v>
      </c>
      <c r="BZ55">
        <v>22.5</v>
      </c>
      <c r="CA55" t="s">
        <v>301</v>
      </c>
      <c r="CB55" t="s">
        <v>300</v>
      </c>
      <c r="CC55">
        <v>250</v>
      </c>
      <c r="CD55" t="b">
        <v>1</v>
      </c>
      <c r="CE55">
        <v>8</v>
      </c>
      <c r="CF55">
        <v>0</v>
      </c>
      <c r="CG55">
        <v>7.86</v>
      </c>
      <c r="CH55">
        <v>16</v>
      </c>
      <c r="CI55">
        <v>0.76861099999999904</v>
      </c>
      <c r="CJ55">
        <v>16</v>
      </c>
      <c r="CK55">
        <v>0.87451999999999996</v>
      </c>
      <c r="CL55">
        <v>32</v>
      </c>
      <c r="CM55">
        <v>0.86372099999999996</v>
      </c>
      <c r="CN55">
        <v>18</v>
      </c>
      <c r="CO55">
        <v>0.83982400000000001</v>
      </c>
      <c r="CP55">
        <v>0.36407777332631802</v>
      </c>
      <c r="CQ55">
        <v>56</v>
      </c>
      <c r="CR55">
        <v>0.83992</v>
      </c>
      <c r="CS55" t="s">
        <v>311</v>
      </c>
    </row>
    <row r="56" spans="1:97" x14ac:dyDescent="0.2">
      <c r="A56">
        <v>10317</v>
      </c>
      <c r="B56" s="1">
        <v>45062</v>
      </c>
      <c r="C56" s="7">
        <v>0.45574074074074072</v>
      </c>
      <c r="D56" s="1">
        <v>45062</v>
      </c>
      <c r="E56" s="7">
        <v>0.50572916666666667</v>
      </c>
      <c r="F56" s="1">
        <v>45118</v>
      </c>
      <c r="G56" s="7">
        <v>0.62667824074074074</v>
      </c>
      <c r="H56">
        <v>10984</v>
      </c>
      <c r="I56" t="s">
        <v>287</v>
      </c>
      <c r="J56">
        <v>144</v>
      </c>
      <c r="K56" t="s">
        <v>288</v>
      </c>
      <c r="L56">
        <v>169</v>
      </c>
      <c r="M56" t="s">
        <v>287</v>
      </c>
      <c r="N56">
        <v>266</v>
      </c>
      <c r="O56" t="s">
        <v>305</v>
      </c>
      <c r="P56" t="s">
        <v>306</v>
      </c>
      <c r="Q56" t="s">
        <v>307</v>
      </c>
      <c r="R56" t="s">
        <v>292</v>
      </c>
      <c r="S56" t="s">
        <v>293</v>
      </c>
      <c r="U56" t="s">
        <v>294</v>
      </c>
      <c r="V56" t="b">
        <v>0</v>
      </c>
      <c r="W56" t="s">
        <v>303</v>
      </c>
      <c r="X56" t="s">
        <v>304</v>
      </c>
      <c r="AB56" t="s">
        <v>141</v>
      </c>
      <c r="AO56" t="s">
        <v>298</v>
      </c>
      <c r="AP56" t="s">
        <v>298</v>
      </c>
      <c r="AQ56" t="s">
        <v>298</v>
      </c>
      <c r="AR56" t="s">
        <v>298</v>
      </c>
      <c r="AS56" t="s">
        <v>299</v>
      </c>
      <c r="AT56" t="s">
        <v>300</v>
      </c>
      <c r="AU56">
        <v>217</v>
      </c>
      <c r="AV56" t="b">
        <v>1</v>
      </c>
      <c r="AW56">
        <v>4</v>
      </c>
      <c r="AX56">
        <v>6</v>
      </c>
      <c r="AY56">
        <v>7.4</v>
      </c>
      <c r="AZ56">
        <v>32</v>
      </c>
      <c r="BA56">
        <v>0.80411449999999995</v>
      </c>
      <c r="BB56">
        <v>0.28349804387160599</v>
      </c>
      <c r="BC56">
        <v>16</v>
      </c>
      <c r="BD56">
        <v>0.73750499999999997</v>
      </c>
      <c r="BE56">
        <v>16</v>
      </c>
      <c r="BF56">
        <v>1.0709495</v>
      </c>
      <c r="BG56" t="s">
        <v>311</v>
      </c>
      <c r="BH56" t="s">
        <v>301</v>
      </c>
      <c r="BI56" t="s">
        <v>300</v>
      </c>
      <c r="BJ56">
        <v>234</v>
      </c>
      <c r="BK56">
        <v>1</v>
      </c>
      <c r="BL56">
        <v>6</v>
      </c>
      <c r="BM56">
        <v>1</v>
      </c>
      <c r="BN56">
        <v>6</v>
      </c>
      <c r="BO56">
        <v>9</v>
      </c>
      <c r="BP56">
        <v>1</v>
      </c>
      <c r="BQ56">
        <v>9</v>
      </c>
      <c r="BR56">
        <v>10</v>
      </c>
      <c r="BS56">
        <v>0.83333333333333304</v>
      </c>
      <c r="BT56">
        <v>10</v>
      </c>
      <c r="BU56">
        <v>11</v>
      </c>
      <c r="BV56">
        <v>0.73333333333333295</v>
      </c>
      <c r="BW56">
        <v>8.5</v>
      </c>
      <c r="BX56">
        <v>36</v>
      </c>
      <c r="BY56">
        <v>0.85714285714285698</v>
      </c>
      <c r="BZ56">
        <v>33.5</v>
      </c>
      <c r="CA56" t="s">
        <v>301</v>
      </c>
      <c r="CB56" t="s">
        <v>300</v>
      </c>
      <c r="CC56">
        <v>235</v>
      </c>
      <c r="CD56" t="b">
        <v>1</v>
      </c>
      <c r="CE56">
        <v>8</v>
      </c>
      <c r="CF56">
        <v>0</v>
      </c>
      <c r="CG56">
        <v>7.54</v>
      </c>
      <c r="CH56">
        <v>16</v>
      </c>
      <c r="CI56">
        <v>0.66296999999999995</v>
      </c>
      <c r="CJ56">
        <v>16</v>
      </c>
      <c r="CK56">
        <v>0.59224349999999903</v>
      </c>
      <c r="CL56">
        <v>31</v>
      </c>
      <c r="CM56">
        <v>0.90447500000000003</v>
      </c>
      <c r="CN56">
        <v>18</v>
      </c>
      <c r="CO56">
        <v>0.86717650000000002</v>
      </c>
      <c r="CP56">
        <v>0.237942226612364</v>
      </c>
      <c r="CQ56">
        <v>55</v>
      </c>
      <c r="CR56">
        <v>0.72984800000000005</v>
      </c>
      <c r="CS56" t="s">
        <v>311</v>
      </c>
    </row>
    <row r="57" spans="1:97" x14ac:dyDescent="0.2">
      <c r="A57">
        <v>10713</v>
      </c>
      <c r="B57" s="1">
        <v>45126</v>
      </c>
      <c r="C57" s="7">
        <v>0.57181712962962961</v>
      </c>
      <c r="D57" s="1">
        <v>45126</v>
      </c>
      <c r="E57" s="7">
        <v>0.5823842592592593</v>
      </c>
      <c r="F57" s="1">
        <v>45128</v>
      </c>
      <c r="G57" s="7">
        <v>0.70435185185185178</v>
      </c>
      <c r="H57">
        <v>11280</v>
      </c>
      <c r="I57" t="s">
        <v>287</v>
      </c>
      <c r="J57">
        <v>144</v>
      </c>
      <c r="K57" t="s">
        <v>288</v>
      </c>
      <c r="L57">
        <v>169</v>
      </c>
      <c r="M57" t="s">
        <v>287</v>
      </c>
      <c r="N57">
        <v>266</v>
      </c>
      <c r="O57" t="s">
        <v>305</v>
      </c>
      <c r="P57" t="s">
        <v>306</v>
      </c>
      <c r="Q57" t="s">
        <v>307</v>
      </c>
      <c r="R57" t="s">
        <v>292</v>
      </c>
      <c r="S57" t="s">
        <v>293</v>
      </c>
      <c r="U57" t="s">
        <v>327</v>
      </c>
      <c r="V57" t="b">
        <v>0</v>
      </c>
      <c r="W57" t="s">
        <v>303</v>
      </c>
      <c r="X57" t="s">
        <v>304</v>
      </c>
      <c r="Z57">
        <v>71</v>
      </c>
      <c r="AA57" t="s">
        <v>300</v>
      </c>
      <c r="AB57" t="s">
        <v>141</v>
      </c>
      <c r="AC57">
        <v>16</v>
      </c>
      <c r="AD57" t="s">
        <v>322</v>
      </c>
      <c r="AO57" t="s">
        <v>298</v>
      </c>
      <c r="AP57" t="s">
        <v>298</v>
      </c>
      <c r="AQ57" t="s">
        <v>298</v>
      </c>
      <c r="AR57" t="s">
        <v>298</v>
      </c>
      <c r="AS57" t="s">
        <v>299</v>
      </c>
      <c r="AT57" t="s">
        <v>300</v>
      </c>
      <c r="AU57">
        <v>217</v>
      </c>
      <c r="AV57" t="b">
        <v>1</v>
      </c>
      <c r="AW57">
        <v>4</v>
      </c>
      <c r="AX57">
        <v>6</v>
      </c>
      <c r="AY57">
        <v>8.08</v>
      </c>
      <c r="AZ57">
        <v>32</v>
      </c>
      <c r="BA57">
        <v>0.87738050000000001</v>
      </c>
      <c r="BB57">
        <v>0.19449015338643</v>
      </c>
      <c r="BC57">
        <v>16</v>
      </c>
      <c r="BD57">
        <v>0.83993050000000002</v>
      </c>
      <c r="BE57">
        <v>16</v>
      </c>
      <c r="BF57">
        <v>0.909941</v>
      </c>
      <c r="BG57">
        <v>-0.69811299999999998</v>
      </c>
      <c r="BH57" t="s">
        <v>301</v>
      </c>
      <c r="BI57" t="s">
        <v>300</v>
      </c>
      <c r="BJ57">
        <v>350</v>
      </c>
      <c r="BK57">
        <v>1</v>
      </c>
      <c r="BL57">
        <v>6</v>
      </c>
      <c r="BM57">
        <v>1</v>
      </c>
      <c r="BN57">
        <v>5</v>
      </c>
      <c r="BO57">
        <v>8</v>
      </c>
      <c r="BP57">
        <v>0.88888888888888795</v>
      </c>
      <c r="BQ57">
        <v>6</v>
      </c>
      <c r="BR57">
        <v>11</v>
      </c>
      <c r="BS57">
        <v>0.91666666666666596</v>
      </c>
      <c r="BT57">
        <v>7</v>
      </c>
      <c r="BU57">
        <v>11</v>
      </c>
      <c r="BV57">
        <v>0.73333333333333295</v>
      </c>
      <c r="BW57">
        <v>6</v>
      </c>
      <c r="BX57">
        <v>36</v>
      </c>
      <c r="BY57">
        <v>0.85714285714285698</v>
      </c>
      <c r="BZ57">
        <v>24</v>
      </c>
      <c r="CA57" t="s">
        <v>301</v>
      </c>
      <c r="CB57" t="s">
        <v>300</v>
      </c>
      <c r="CC57">
        <v>276</v>
      </c>
      <c r="CD57" t="b">
        <v>1</v>
      </c>
      <c r="CE57">
        <v>8</v>
      </c>
      <c r="CF57">
        <v>0</v>
      </c>
      <c r="CG57">
        <v>6.48</v>
      </c>
      <c r="CH57">
        <v>16</v>
      </c>
      <c r="CI57">
        <v>1.17580999999999</v>
      </c>
      <c r="CJ57">
        <v>16</v>
      </c>
      <c r="CK57">
        <v>1.0357574999999899</v>
      </c>
      <c r="CL57">
        <v>31</v>
      </c>
      <c r="CM57">
        <v>1.237671</v>
      </c>
      <c r="CN57">
        <v>17</v>
      </c>
      <c r="CO57">
        <v>1.3375600000000001</v>
      </c>
      <c r="CP57">
        <v>0.19151517163612999</v>
      </c>
      <c r="CQ57">
        <v>56</v>
      </c>
      <c r="CR57">
        <v>1.1351329999999999</v>
      </c>
      <c r="CS57">
        <v>-1.9565220000000001</v>
      </c>
    </row>
    <row r="58" spans="1:97" x14ac:dyDescent="0.2">
      <c r="A58">
        <v>10783</v>
      </c>
      <c r="B58" s="1">
        <v>45133</v>
      </c>
      <c r="C58" s="7">
        <v>0.71362268518518512</v>
      </c>
      <c r="D58" s="1">
        <v>45133</v>
      </c>
      <c r="E58" s="7">
        <v>0.72203703703703714</v>
      </c>
      <c r="F58" s="1">
        <v>45135</v>
      </c>
      <c r="G58" s="7">
        <v>0.44812500000000005</v>
      </c>
      <c r="H58">
        <v>11476</v>
      </c>
      <c r="I58" t="s">
        <v>287</v>
      </c>
      <c r="J58">
        <v>144</v>
      </c>
      <c r="K58" t="s">
        <v>288</v>
      </c>
      <c r="L58">
        <v>169</v>
      </c>
      <c r="M58" t="s">
        <v>287</v>
      </c>
      <c r="N58">
        <v>266</v>
      </c>
      <c r="O58" t="s">
        <v>305</v>
      </c>
      <c r="P58" t="s">
        <v>306</v>
      </c>
      <c r="Q58" t="s">
        <v>307</v>
      </c>
      <c r="R58" t="s">
        <v>292</v>
      </c>
      <c r="S58" t="s">
        <v>293</v>
      </c>
      <c r="U58" t="s">
        <v>327</v>
      </c>
      <c r="V58" t="b">
        <v>0</v>
      </c>
      <c r="W58" t="s">
        <v>303</v>
      </c>
      <c r="X58" t="s">
        <v>304</v>
      </c>
      <c r="Z58">
        <v>51</v>
      </c>
      <c r="AA58" t="s">
        <v>300</v>
      </c>
      <c r="AB58" t="s">
        <v>141</v>
      </c>
      <c r="AC58">
        <v>16</v>
      </c>
      <c r="AD58" t="s">
        <v>322</v>
      </c>
      <c r="AO58" t="s">
        <v>298</v>
      </c>
      <c r="AP58" t="s">
        <v>298</v>
      </c>
      <c r="AQ58" t="s">
        <v>298</v>
      </c>
      <c r="AR58" t="s">
        <v>298</v>
      </c>
      <c r="AS58" t="s">
        <v>299</v>
      </c>
      <c r="AT58" t="s">
        <v>300</v>
      </c>
      <c r="AU58">
        <v>154</v>
      </c>
      <c r="AV58" t="b">
        <v>1</v>
      </c>
      <c r="AW58">
        <v>6</v>
      </c>
      <c r="AX58">
        <v>0</v>
      </c>
      <c r="AY58">
        <v>8.65</v>
      </c>
      <c r="AZ58">
        <v>32</v>
      </c>
      <c r="BA58">
        <v>0.78146399999999905</v>
      </c>
      <c r="BB58">
        <v>0.128786093286442</v>
      </c>
      <c r="BC58">
        <v>16</v>
      </c>
      <c r="BD58">
        <v>0.73981399999999997</v>
      </c>
      <c r="BE58">
        <v>16</v>
      </c>
      <c r="BF58">
        <v>0.79387399999999997</v>
      </c>
      <c r="BG58">
        <v>0.37735800000000003</v>
      </c>
      <c r="BH58" t="s">
        <v>301</v>
      </c>
      <c r="BI58" t="s">
        <v>300</v>
      </c>
      <c r="BJ58">
        <v>275</v>
      </c>
      <c r="BK58">
        <v>1</v>
      </c>
      <c r="BL58">
        <v>6</v>
      </c>
      <c r="BM58">
        <v>1</v>
      </c>
      <c r="BN58">
        <v>6</v>
      </c>
      <c r="BO58">
        <v>7</v>
      </c>
      <c r="BP58">
        <v>0.77777777777777701</v>
      </c>
      <c r="BQ58">
        <v>7</v>
      </c>
      <c r="BR58">
        <v>9</v>
      </c>
      <c r="BS58">
        <v>0.75</v>
      </c>
      <c r="BT58">
        <v>8</v>
      </c>
      <c r="BU58">
        <v>8</v>
      </c>
      <c r="BV58">
        <v>0.53333333333333299</v>
      </c>
      <c r="BW58">
        <v>7</v>
      </c>
      <c r="BX58">
        <v>30</v>
      </c>
      <c r="BY58">
        <v>0.71428571428571397</v>
      </c>
      <c r="BZ58">
        <v>28</v>
      </c>
      <c r="CA58" t="s">
        <v>301</v>
      </c>
      <c r="CB58" t="s">
        <v>300</v>
      </c>
      <c r="CC58">
        <v>215</v>
      </c>
      <c r="CD58" t="b">
        <v>1</v>
      </c>
      <c r="CE58">
        <v>8</v>
      </c>
      <c r="CF58">
        <v>0</v>
      </c>
      <c r="CG58">
        <v>9.2899999999999991</v>
      </c>
      <c r="CH58">
        <v>16</v>
      </c>
      <c r="CI58">
        <v>0.61249500000000001</v>
      </c>
      <c r="CJ58">
        <v>16</v>
      </c>
      <c r="CK58">
        <v>0.63165850000000001</v>
      </c>
      <c r="CL58">
        <v>32</v>
      </c>
      <c r="CM58">
        <v>0.56676249999999995</v>
      </c>
      <c r="CN58">
        <v>20</v>
      </c>
      <c r="CO58">
        <v>0.55150500000000002</v>
      </c>
      <c r="CP58">
        <v>0.17561975267357399</v>
      </c>
      <c r="CQ58">
        <v>54</v>
      </c>
      <c r="CR58">
        <v>0.63732</v>
      </c>
      <c r="CS58">
        <v>2.115942</v>
      </c>
    </row>
    <row r="59" spans="1:97" x14ac:dyDescent="0.2">
      <c r="A59">
        <v>10781</v>
      </c>
      <c r="B59" s="1">
        <v>45132</v>
      </c>
      <c r="C59" s="7">
        <v>0.66916666666666658</v>
      </c>
      <c r="D59" s="1">
        <v>45133</v>
      </c>
      <c r="E59" s="7">
        <v>0.71359953703703705</v>
      </c>
      <c r="F59" s="1">
        <v>45135</v>
      </c>
      <c r="G59" s="7">
        <v>0.44812500000000005</v>
      </c>
      <c r="H59">
        <v>11477</v>
      </c>
      <c r="I59" t="s">
        <v>287</v>
      </c>
      <c r="J59">
        <v>144</v>
      </c>
      <c r="K59" t="s">
        <v>288</v>
      </c>
      <c r="L59">
        <v>169</v>
      </c>
      <c r="M59" t="s">
        <v>287</v>
      </c>
      <c r="N59">
        <v>266</v>
      </c>
      <c r="O59" t="s">
        <v>305</v>
      </c>
      <c r="P59" t="s">
        <v>306</v>
      </c>
      <c r="Q59" t="s">
        <v>307</v>
      </c>
      <c r="R59" t="s">
        <v>292</v>
      </c>
      <c r="S59" t="s">
        <v>293</v>
      </c>
      <c r="U59" t="s">
        <v>327</v>
      </c>
      <c r="V59" t="b">
        <v>0</v>
      </c>
      <c r="W59" t="s">
        <v>303</v>
      </c>
      <c r="X59" t="s">
        <v>304</v>
      </c>
      <c r="Z59">
        <v>37</v>
      </c>
      <c r="AA59" t="s">
        <v>300</v>
      </c>
      <c r="AB59" t="s">
        <v>142</v>
      </c>
      <c r="AC59">
        <v>16</v>
      </c>
      <c r="AD59" t="s">
        <v>297</v>
      </c>
      <c r="AO59" t="s">
        <v>298</v>
      </c>
      <c r="AP59" t="s">
        <v>298</v>
      </c>
      <c r="AQ59" t="s">
        <v>298</v>
      </c>
      <c r="AR59" t="s">
        <v>298</v>
      </c>
      <c r="AS59" t="s">
        <v>299</v>
      </c>
      <c r="AT59" t="s">
        <v>300</v>
      </c>
      <c r="AU59">
        <v>149</v>
      </c>
      <c r="AV59" t="b">
        <v>1</v>
      </c>
      <c r="AW59">
        <v>6</v>
      </c>
      <c r="AX59">
        <v>0</v>
      </c>
      <c r="AY59">
        <v>9.92</v>
      </c>
      <c r="AZ59">
        <v>32</v>
      </c>
      <c r="BA59">
        <v>0.51041800000000004</v>
      </c>
      <c r="BB59">
        <v>6.9779371632795406E-2</v>
      </c>
      <c r="BC59">
        <v>16</v>
      </c>
      <c r="BD59">
        <v>0.47716550000000002</v>
      </c>
      <c r="BE59">
        <v>16</v>
      </c>
      <c r="BF59">
        <v>0.58552850000000001</v>
      </c>
      <c r="BG59">
        <v>2.7735850000000002</v>
      </c>
      <c r="BH59" t="s">
        <v>301</v>
      </c>
      <c r="BI59" t="s">
        <v>300</v>
      </c>
      <c r="BJ59">
        <v>267</v>
      </c>
      <c r="BK59">
        <v>1</v>
      </c>
      <c r="BL59">
        <v>6</v>
      </c>
      <c r="BM59">
        <v>1</v>
      </c>
      <c r="BN59">
        <v>6</v>
      </c>
      <c r="BO59">
        <v>9</v>
      </c>
      <c r="BP59">
        <v>1</v>
      </c>
      <c r="BQ59">
        <v>9</v>
      </c>
      <c r="BR59">
        <v>9</v>
      </c>
      <c r="BS59">
        <v>0.75</v>
      </c>
      <c r="BT59">
        <v>9</v>
      </c>
      <c r="BU59">
        <v>12</v>
      </c>
      <c r="BV59">
        <v>0.8</v>
      </c>
      <c r="BW59">
        <v>11</v>
      </c>
      <c r="BX59">
        <v>36</v>
      </c>
      <c r="BY59">
        <v>0.85714285714285698</v>
      </c>
      <c r="BZ59">
        <v>35</v>
      </c>
      <c r="CA59" t="s">
        <v>301</v>
      </c>
      <c r="CB59" t="s">
        <v>300</v>
      </c>
      <c r="CC59">
        <v>204</v>
      </c>
      <c r="CD59" t="b">
        <v>1</v>
      </c>
      <c r="CE59">
        <v>8</v>
      </c>
      <c r="CF59">
        <v>0</v>
      </c>
      <c r="CG59">
        <v>9.06</v>
      </c>
      <c r="CH59">
        <v>16</v>
      </c>
      <c r="CI59">
        <v>0.43882900000000002</v>
      </c>
      <c r="CJ59">
        <v>16</v>
      </c>
      <c r="CK59">
        <v>0.43729699999999999</v>
      </c>
      <c r="CL59">
        <v>29</v>
      </c>
      <c r="CM59">
        <v>0.52901500000000001</v>
      </c>
      <c r="CN59">
        <v>15</v>
      </c>
      <c r="CO59">
        <v>0.57052999999999998</v>
      </c>
      <c r="CP59">
        <v>0.18416782071124299</v>
      </c>
      <c r="CQ59">
        <v>56</v>
      </c>
      <c r="CR59">
        <v>0.45408399999999999</v>
      </c>
      <c r="CS59">
        <v>1.7826090000000001</v>
      </c>
    </row>
    <row r="60" spans="1:97" x14ac:dyDescent="0.2">
      <c r="A60">
        <v>10774</v>
      </c>
      <c r="B60" s="1">
        <v>45128</v>
      </c>
      <c r="C60" s="7">
        <v>0.70443287037037028</v>
      </c>
      <c r="D60" s="1">
        <v>45132</v>
      </c>
      <c r="E60" s="7">
        <v>0.6691435185185185</v>
      </c>
      <c r="F60" s="1">
        <v>45135</v>
      </c>
      <c r="G60" s="7">
        <v>0.44812500000000005</v>
      </c>
      <c r="H60">
        <v>11478</v>
      </c>
      <c r="I60" t="s">
        <v>287</v>
      </c>
      <c r="J60">
        <v>144</v>
      </c>
      <c r="K60" t="s">
        <v>288</v>
      </c>
      <c r="L60">
        <v>169</v>
      </c>
      <c r="M60" t="s">
        <v>287</v>
      </c>
      <c r="N60">
        <v>266</v>
      </c>
      <c r="O60" t="s">
        <v>305</v>
      </c>
      <c r="P60" t="s">
        <v>306</v>
      </c>
      <c r="Q60" t="s">
        <v>307</v>
      </c>
      <c r="R60" t="s">
        <v>292</v>
      </c>
      <c r="S60" t="s">
        <v>293</v>
      </c>
      <c r="U60" t="s">
        <v>327</v>
      </c>
      <c r="V60" t="b">
        <v>0</v>
      </c>
      <c r="W60" t="s">
        <v>295</v>
      </c>
      <c r="X60" t="s">
        <v>296</v>
      </c>
      <c r="Z60">
        <v>46</v>
      </c>
      <c r="AA60" t="s">
        <v>300</v>
      </c>
      <c r="AB60" t="s">
        <v>141</v>
      </c>
      <c r="AC60">
        <v>19</v>
      </c>
      <c r="AD60" t="s">
        <v>297</v>
      </c>
      <c r="AO60" t="s">
        <v>298</v>
      </c>
      <c r="AP60" t="s">
        <v>298</v>
      </c>
      <c r="AQ60" t="s">
        <v>298</v>
      </c>
      <c r="AR60" t="s">
        <v>298</v>
      </c>
      <c r="AS60" t="s">
        <v>299</v>
      </c>
      <c r="AT60" t="s">
        <v>300</v>
      </c>
      <c r="AU60">
        <v>154</v>
      </c>
      <c r="AV60" t="b">
        <v>1</v>
      </c>
      <c r="AW60">
        <v>6</v>
      </c>
      <c r="AX60">
        <v>0</v>
      </c>
      <c r="AY60">
        <v>9.35</v>
      </c>
      <c r="AZ60">
        <v>31</v>
      </c>
      <c r="BA60">
        <v>0.59814199999999995</v>
      </c>
      <c r="BB60">
        <v>0.164808108718526</v>
      </c>
      <c r="BC60">
        <v>16</v>
      </c>
      <c r="BD60">
        <v>0.577403</v>
      </c>
      <c r="BE60">
        <v>15</v>
      </c>
      <c r="BF60">
        <v>0.62306300000000003</v>
      </c>
      <c r="BG60">
        <v>1.698113</v>
      </c>
      <c r="BH60" t="s">
        <v>301</v>
      </c>
      <c r="BI60" t="s">
        <v>300</v>
      </c>
      <c r="BJ60">
        <v>235</v>
      </c>
      <c r="BK60">
        <v>1</v>
      </c>
      <c r="BL60">
        <v>6</v>
      </c>
      <c r="BM60">
        <v>1</v>
      </c>
      <c r="BN60">
        <v>6</v>
      </c>
      <c r="BO60">
        <v>7</v>
      </c>
      <c r="BP60">
        <v>0.77777777777777701</v>
      </c>
      <c r="BQ60">
        <v>7</v>
      </c>
      <c r="BR60">
        <v>11</v>
      </c>
      <c r="BS60">
        <v>0.91666666666666596</v>
      </c>
      <c r="BT60">
        <v>9.5</v>
      </c>
      <c r="BU60">
        <v>8</v>
      </c>
      <c r="BV60">
        <v>0.53333333333333299</v>
      </c>
      <c r="BW60">
        <v>6.5</v>
      </c>
      <c r="BX60">
        <v>32</v>
      </c>
      <c r="BY60">
        <v>0.76190476190476097</v>
      </c>
      <c r="BZ60">
        <v>29</v>
      </c>
      <c r="CA60" t="s">
        <v>301</v>
      </c>
      <c r="CB60" t="s">
        <v>300</v>
      </c>
      <c r="CC60">
        <v>246</v>
      </c>
      <c r="CD60" t="b">
        <v>1</v>
      </c>
      <c r="CE60">
        <v>8</v>
      </c>
      <c r="CF60">
        <v>0</v>
      </c>
      <c r="CG60">
        <v>8.2200000000000006</v>
      </c>
      <c r="CH60">
        <v>16</v>
      </c>
      <c r="CI60">
        <v>0.70015399999999905</v>
      </c>
      <c r="CJ60">
        <v>16</v>
      </c>
      <c r="CK60">
        <v>0.74153049999999998</v>
      </c>
      <c r="CL60">
        <v>32</v>
      </c>
      <c r="CM60">
        <v>0.77527849999999998</v>
      </c>
      <c r="CN60">
        <v>23</v>
      </c>
      <c r="CO60">
        <v>0.72890100000000002</v>
      </c>
      <c r="CP60">
        <v>0.35200530546467801</v>
      </c>
      <c r="CQ60">
        <v>51</v>
      </c>
      <c r="CR60">
        <v>0.77133099999999999</v>
      </c>
      <c r="CS60">
        <v>0.56521699999999997</v>
      </c>
    </row>
    <row r="61" spans="1:97" x14ac:dyDescent="0.2">
      <c r="A61">
        <v>10719</v>
      </c>
      <c r="B61" s="1">
        <v>45121</v>
      </c>
      <c r="C61" s="7">
        <v>0.52714120370370365</v>
      </c>
      <c r="D61" s="1">
        <v>45135</v>
      </c>
      <c r="E61" s="7">
        <v>0.44928240740740738</v>
      </c>
      <c r="F61" s="1">
        <v>45135</v>
      </c>
      <c r="G61" s="7">
        <v>0.44943287037037033</v>
      </c>
      <c r="H61">
        <v>11480</v>
      </c>
      <c r="I61" t="s">
        <v>287</v>
      </c>
      <c r="J61">
        <v>144</v>
      </c>
      <c r="K61" t="s">
        <v>288</v>
      </c>
      <c r="L61">
        <v>169</v>
      </c>
      <c r="M61" t="s">
        <v>287</v>
      </c>
      <c r="N61">
        <v>266</v>
      </c>
      <c r="O61" t="s">
        <v>331</v>
      </c>
      <c r="P61" t="s">
        <v>332</v>
      </c>
      <c r="Q61" t="s">
        <v>333</v>
      </c>
      <c r="T61" t="s">
        <v>323</v>
      </c>
      <c r="U61" t="s">
        <v>327</v>
      </c>
      <c r="V61" t="b">
        <v>0</v>
      </c>
      <c r="W61" t="s">
        <v>303</v>
      </c>
      <c r="X61" t="s">
        <v>328</v>
      </c>
      <c r="Z61">
        <v>28</v>
      </c>
      <c r="AA61" t="s">
        <v>300</v>
      </c>
      <c r="AB61" t="s">
        <v>141</v>
      </c>
      <c r="AC61">
        <v>17</v>
      </c>
      <c r="AD61" t="s">
        <v>297</v>
      </c>
      <c r="AO61" t="s">
        <v>298</v>
      </c>
      <c r="AP61" t="s">
        <v>298</v>
      </c>
      <c r="AQ61" t="s">
        <v>298</v>
      </c>
      <c r="AR61" t="s">
        <v>298</v>
      </c>
      <c r="AS61" t="s">
        <v>299</v>
      </c>
      <c r="AT61" t="s">
        <v>300</v>
      </c>
      <c r="AU61">
        <v>160</v>
      </c>
      <c r="AV61" t="b">
        <v>1</v>
      </c>
      <c r="AW61">
        <v>6</v>
      </c>
      <c r="AX61">
        <v>0</v>
      </c>
      <c r="AY61">
        <v>9.64</v>
      </c>
      <c r="AZ61">
        <v>32</v>
      </c>
      <c r="BA61">
        <v>0.60368350000000004</v>
      </c>
      <c r="BB61">
        <v>6.3673994835233505E-2</v>
      </c>
      <c r="BC61">
        <v>16</v>
      </c>
      <c r="BD61">
        <v>0.59791749999999999</v>
      </c>
      <c r="BE61">
        <v>16</v>
      </c>
      <c r="BF61">
        <v>0.62732449999999995</v>
      </c>
      <c r="BG61">
        <v>2.2452830000000001</v>
      </c>
      <c r="BH61" t="s">
        <v>301</v>
      </c>
      <c r="BI61" t="s">
        <v>300</v>
      </c>
      <c r="BJ61">
        <v>263</v>
      </c>
      <c r="BK61">
        <v>1</v>
      </c>
      <c r="BL61">
        <v>6</v>
      </c>
      <c r="BM61">
        <v>1</v>
      </c>
      <c r="BN61">
        <v>6</v>
      </c>
      <c r="BO61">
        <v>9</v>
      </c>
      <c r="BP61">
        <v>1</v>
      </c>
      <c r="BQ61">
        <v>9</v>
      </c>
      <c r="BR61">
        <v>11</v>
      </c>
      <c r="BS61">
        <v>0.91666666666666596</v>
      </c>
      <c r="BT61">
        <v>10</v>
      </c>
      <c r="BU61">
        <v>13</v>
      </c>
      <c r="BV61">
        <v>0.86666666666666603</v>
      </c>
      <c r="BW61">
        <v>12.5</v>
      </c>
      <c r="BX61">
        <v>39</v>
      </c>
      <c r="BY61">
        <v>0.92857142857142805</v>
      </c>
      <c r="BZ61">
        <v>37.5</v>
      </c>
      <c r="CA61" t="s">
        <v>301</v>
      </c>
      <c r="CB61" t="s">
        <v>300</v>
      </c>
      <c r="CC61">
        <v>206</v>
      </c>
      <c r="CD61" t="b">
        <v>1</v>
      </c>
      <c r="CE61">
        <v>8</v>
      </c>
      <c r="CF61">
        <v>0</v>
      </c>
      <c r="CG61">
        <v>9.48</v>
      </c>
      <c r="CH61">
        <v>16</v>
      </c>
      <c r="CI61">
        <v>0.45823150000000001</v>
      </c>
      <c r="CJ61">
        <v>15</v>
      </c>
      <c r="CK61">
        <v>0.50408299999999995</v>
      </c>
      <c r="CL61">
        <v>31</v>
      </c>
      <c r="CM61">
        <v>0.51226499999999997</v>
      </c>
      <c r="CN61">
        <v>21</v>
      </c>
      <c r="CO61">
        <v>0.52044199999999996</v>
      </c>
      <c r="CP61">
        <v>0.13637803262871101</v>
      </c>
      <c r="CQ61">
        <v>51</v>
      </c>
      <c r="CR61">
        <v>0.49605199999999999</v>
      </c>
      <c r="CS61">
        <v>2.3913039999999999</v>
      </c>
    </row>
    <row r="62" spans="1:97" x14ac:dyDescent="0.2">
      <c r="A62">
        <v>10773</v>
      </c>
      <c r="B62" s="1">
        <v>45136</v>
      </c>
      <c r="C62" s="7">
        <v>0.46839120370370368</v>
      </c>
      <c r="D62" s="1">
        <v>45136</v>
      </c>
      <c r="E62" s="7">
        <v>0.47750000000000004</v>
      </c>
      <c r="F62" s="1">
        <v>45136</v>
      </c>
      <c r="G62" s="7">
        <v>0.47768518518518516</v>
      </c>
      <c r="H62">
        <v>11503</v>
      </c>
      <c r="I62" t="s">
        <v>287</v>
      </c>
      <c r="J62">
        <v>144</v>
      </c>
      <c r="K62" t="s">
        <v>288</v>
      </c>
      <c r="L62">
        <v>169</v>
      </c>
      <c r="M62" t="s">
        <v>287</v>
      </c>
      <c r="N62">
        <v>266</v>
      </c>
      <c r="O62" t="s">
        <v>305</v>
      </c>
      <c r="P62" t="s">
        <v>306</v>
      </c>
      <c r="Q62" t="s">
        <v>307</v>
      </c>
      <c r="R62" t="s">
        <v>292</v>
      </c>
      <c r="S62" t="s">
        <v>293</v>
      </c>
      <c r="U62" t="s">
        <v>327</v>
      </c>
      <c r="V62" t="b">
        <v>0</v>
      </c>
      <c r="W62" t="s">
        <v>315</v>
      </c>
      <c r="X62" t="s">
        <v>316</v>
      </c>
      <c r="AA62" t="s">
        <v>300</v>
      </c>
      <c r="AB62" t="s">
        <v>141</v>
      </c>
      <c r="AC62">
        <v>17</v>
      </c>
      <c r="AD62" t="s">
        <v>297</v>
      </c>
      <c r="AO62" t="s">
        <v>298</v>
      </c>
      <c r="AP62" t="s">
        <v>298</v>
      </c>
      <c r="AQ62" t="s">
        <v>298</v>
      </c>
      <c r="AR62" t="s">
        <v>298</v>
      </c>
      <c r="AS62" t="s">
        <v>299</v>
      </c>
      <c r="AT62" t="s">
        <v>300</v>
      </c>
      <c r="AU62">
        <v>179</v>
      </c>
      <c r="AV62" t="b">
        <v>1</v>
      </c>
      <c r="AW62">
        <v>6</v>
      </c>
      <c r="AX62">
        <v>0</v>
      </c>
      <c r="AY62">
        <v>7.86</v>
      </c>
      <c r="AZ62">
        <v>32</v>
      </c>
      <c r="BA62">
        <v>0.96871649999999998</v>
      </c>
      <c r="BB62">
        <v>0.26183286427410701</v>
      </c>
      <c r="BC62">
        <v>16</v>
      </c>
      <c r="BD62">
        <v>0.98584150000000004</v>
      </c>
      <c r="BE62">
        <v>16</v>
      </c>
      <c r="BF62">
        <v>0.95824749999999903</v>
      </c>
      <c r="BG62" t="s">
        <v>311</v>
      </c>
      <c r="BH62" t="s">
        <v>301</v>
      </c>
      <c r="BI62" t="s">
        <v>300</v>
      </c>
      <c r="BJ62">
        <v>231</v>
      </c>
      <c r="BK62">
        <v>1</v>
      </c>
      <c r="BL62">
        <v>6</v>
      </c>
      <c r="BM62">
        <v>1</v>
      </c>
      <c r="BN62">
        <v>6</v>
      </c>
      <c r="BO62">
        <v>8</v>
      </c>
      <c r="BP62">
        <v>0.88888888888888795</v>
      </c>
      <c r="BQ62">
        <v>8</v>
      </c>
      <c r="BR62">
        <v>9</v>
      </c>
      <c r="BS62">
        <v>0.75</v>
      </c>
      <c r="BT62">
        <v>5.5</v>
      </c>
      <c r="BU62">
        <v>13</v>
      </c>
      <c r="BV62">
        <v>0.86666666666666603</v>
      </c>
      <c r="BW62">
        <v>7.5</v>
      </c>
      <c r="BX62">
        <v>36</v>
      </c>
      <c r="BY62">
        <v>0.85714285714285698</v>
      </c>
      <c r="BZ62">
        <v>27</v>
      </c>
      <c r="CA62" t="s">
        <v>301</v>
      </c>
      <c r="CB62" t="s">
        <v>300</v>
      </c>
      <c r="CC62">
        <v>236</v>
      </c>
      <c r="CD62" t="b">
        <v>1</v>
      </c>
      <c r="CE62">
        <v>8</v>
      </c>
      <c r="CF62">
        <v>0</v>
      </c>
      <c r="CG62">
        <v>6.96</v>
      </c>
      <c r="CH62">
        <v>16</v>
      </c>
      <c r="CI62">
        <v>0.79286900000000005</v>
      </c>
      <c r="CJ62">
        <v>16</v>
      </c>
      <c r="CK62">
        <v>0.78142999999999996</v>
      </c>
      <c r="CL62">
        <v>31</v>
      </c>
      <c r="CM62">
        <v>1.075189</v>
      </c>
      <c r="CN62">
        <v>16</v>
      </c>
      <c r="CO62">
        <v>1.1738845</v>
      </c>
      <c r="CP62">
        <v>0.35527798974886698</v>
      </c>
      <c r="CQ62">
        <v>57</v>
      </c>
      <c r="CR62">
        <v>0.83140400000000003</v>
      </c>
      <c r="CS62" t="s">
        <v>311</v>
      </c>
    </row>
    <row r="63" spans="1:97" x14ac:dyDescent="0.2">
      <c r="A63">
        <v>10777</v>
      </c>
      <c r="B63" s="1">
        <v>45138</v>
      </c>
      <c r="C63" s="7">
        <v>0.48265046296296293</v>
      </c>
      <c r="D63" s="1">
        <v>45138</v>
      </c>
      <c r="E63" s="7">
        <v>0.49082175925925925</v>
      </c>
      <c r="F63" s="1">
        <v>45142</v>
      </c>
      <c r="G63" s="7">
        <v>0.55644675925925924</v>
      </c>
      <c r="H63">
        <v>11747</v>
      </c>
      <c r="I63" t="s">
        <v>287</v>
      </c>
      <c r="J63">
        <v>144</v>
      </c>
      <c r="K63" t="s">
        <v>288</v>
      </c>
      <c r="L63">
        <v>169</v>
      </c>
      <c r="M63" t="s">
        <v>287</v>
      </c>
      <c r="N63">
        <v>266</v>
      </c>
      <c r="O63" t="s">
        <v>305</v>
      </c>
      <c r="P63" t="s">
        <v>306</v>
      </c>
      <c r="Q63" t="s">
        <v>307</v>
      </c>
      <c r="R63" t="s">
        <v>292</v>
      </c>
      <c r="S63" t="s">
        <v>293</v>
      </c>
      <c r="U63" t="s">
        <v>327</v>
      </c>
      <c r="V63" t="b">
        <v>0</v>
      </c>
      <c r="W63" t="s">
        <v>309</v>
      </c>
      <c r="X63" t="s">
        <v>334</v>
      </c>
      <c r="Z63">
        <v>38</v>
      </c>
      <c r="AA63" t="s">
        <v>300</v>
      </c>
      <c r="AB63" t="s">
        <v>142</v>
      </c>
      <c r="AC63">
        <v>17</v>
      </c>
      <c r="AD63" t="s">
        <v>297</v>
      </c>
      <c r="AO63" t="s">
        <v>298</v>
      </c>
      <c r="AP63" t="s">
        <v>298</v>
      </c>
      <c r="AQ63" t="s">
        <v>298</v>
      </c>
      <c r="AR63" t="s">
        <v>298</v>
      </c>
      <c r="AS63" t="s">
        <v>299</v>
      </c>
      <c r="AT63" t="s">
        <v>300</v>
      </c>
      <c r="AU63">
        <v>155</v>
      </c>
      <c r="AV63" t="b">
        <v>1</v>
      </c>
      <c r="AW63">
        <v>5</v>
      </c>
      <c r="AX63">
        <v>0</v>
      </c>
      <c r="AY63">
        <v>9.8699999999999992</v>
      </c>
      <c r="AZ63">
        <v>32</v>
      </c>
      <c r="BA63">
        <v>0.53708599999999995</v>
      </c>
      <c r="BB63">
        <v>8.4810190454091994E-2</v>
      </c>
      <c r="BC63">
        <v>16</v>
      </c>
      <c r="BD63">
        <v>0.48904749999999902</v>
      </c>
      <c r="BE63">
        <v>16</v>
      </c>
      <c r="BF63">
        <v>0.59281049999999902</v>
      </c>
      <c r="BG63">
        <v>2.6792449999999999</v>
      </c>
      <c r="BH63" t="s">
        <v>301</v>
      </c>
      <c r="BI63" t="s">
        <v>300</v>
      </c>
      <c r="BJ63">
        <v>257</v>
      </c>
      <c r="BK63">
        <v>1</v>
      </c>
      <c r="BL63">
        <v>6</v>
      </c>
      <c r="BM63">
        <v>1</v>
      </c>
      <c r="BN63">
        <v>6</v>
      </c>
      <c r="BO63">
        <v>9</v>
      </c>
      <c r="BP63">
        <v>1</v>
      </c>
      <c r="BQ63">
        <v>9</v>
      </c>
      <c r="BR63">
        <v>9</v>
      </c>
      <c r="BS63">
        <v>0.75</v>
      </c>
      <c r="BT63">
        <v>9</v>
      </c>
      <c r="BU63">
        <v>12</v>
      </c>
      <c r="BV63">
        <v>0.8</v>
      </c>
      <c r="BW63">
        <v>10.5</v>
      </c>
      <c r="BX63">
        <v>36</v>
      </c>
      <c r="BY63">
        <v>0.85714285714285698</v>
      </c>
      <c r="BZ63">
        <v>34.5</v>
      </c>
      <c r="CA63" t="s">
        <v>301</v>
      </c>
      <c r="CB63" t="s">
        <v>300</v>
      </c>
      <c r="CC63">
        <v>216</v>
      </c>
      <c r="CD63" t="b">
        <v>1</v>
      </c>
      <c r="CE63">
        <v>8</v>
      </c>
      <c r="CF63">
        <v>0</v>
      </c>
      <c r="CG63">
        <v>10</v>
      </c>
      <c r="CH63">
        <v>16</v>
      </c>
      <c r="CI63">
        <v>0.40144449999999998</v>
      </c>
      <c r="CJ63">
        <v>15</v>
      </c>
      <c r="CK63">
        <v>0.39754800000000001</v>
      </c>
      <c r="CL63">
        <v>32</v>
      </c>
      <c r="CM63">
        <v>0.4276065</v>
      </c>
      <c r="CN63">
        <v>19</v>
      </c>
      <c r="CO63">
        <v>0.45176699999999997</v>
      </c>
      <c r="CP63">
        <v>0.20570593210323199</v>
      </c>
      <c r="CQ63">
        <v>54</v>
      </c>
      <c r="CR63">
        <v>0.40663549999999998</v>
      </c>
      <c r="CS63">
        <v>3.1449280000000002</v>
      </c>
    </row>
    <row r="64" spans="1:97" x14ac:dyDescent="0.2">
      <c r="A64">
        <v>10720</v>
      </c>
      <c r="B64" s="1">
        <v>45142</v>
      </c>
      <c r="C64" s="7">
        <v>0.52659722222222227</v>
      </c>
      <c r="D64" s="1">
        <v>45142</v>
      </c>
      <c r="E64" s="7">
        <v>0.55281250000000004</v>
      </c>
      <c r="F64" s="1">
        <v>45142</v>
      </c>
      <c r="G64" s="7">
        <v>0.55680555555555555</v>
      </c>
      <c r="H64">
        <v>11748</v>
      </c>
      <c r="I64" t="s">
        <v>287</v>
      </c>
      <c r="J64">
        <v>144</v>
      </c>
      <c r="K64" t="s">
        <v>288</v>
      </c>
      <c r="L64">
        <v>169</v>
      </c>
      <c r="M64" t="s">
        <v>287</v>
      </c>
      <c r="N64">
        <v>266</v>
      </c>
      <c r="O64" t="s">
        <v>305</v>
      </c>
      <c r="P64" t="s">
        <v>306</v>
      </c>
      <c r="Q64" t="s">
        <v>307</v>
      </c>
      <c r="R64" t="s">
        <v>292</v>
      </c>
      <c r="S64" t="s">
        <v>293</v>
      </c>
      <c r="U64" t="s">
        <v>327</v>
      </c>
      <c r="V64" t="b">
        <v>0</v>
      </c>
      <c r="AO64" t="s">
        <v>298</v>
      </c>
      <c r="AP64" t="s">
        <v>298</v>
      </c>
      <c r="AQ64" t="s">
        <v>298</v>
      </c>
      <c r="AR64" t="s">
        <v>298</v>
      </c>
      <c r="AS64" t="s">
        <v>299</v>
      </c>
      <c r="AT64" t="s">
        <v>300</v>
      </c>
      <c r="AU64">
        <v>186</v>
      </c>
      <c r="AV64" t="b">
        <v>1</v>
      </c>
      <c r="AW64">
        <v>6</v>
      </c>
      <c r="AX64">
        <v>0</v>
      </c>
      <c r="AY64">
        <v>9.89</v>
      </c>
      <c r="AZ64">
        <v>32</v>
      </c>
      <c r="BA64">
        <v>0.56492050000000005</v>
      </c>
      <c r="BB64">
        <v>9.2169494917460806E-2</v>
      </c>
      <c r="BC64">
        <v>16</v>
      </c>
      <c r="BD64">
        <v>0.5522475</v>
      </c>
      <c r="BE64">
        <v>16</v>
      </c>
      <c r="BF64">
        <v>0.58983249999999998</v>
      </c>
      <c r="BG64" t="s">
        <v>311</v>
      </c>
      <c r="BH64" t="s">
        <v>301</v>
      </c>
      <c r="BI64" t="s">
        <v>300</v>
      </c>
      <c r="BJ64">
        <v>297</v>
      </c>
      <c r="BK64">
        <v>1</v>
      </c>
      <c r="BL64">
        <v>6</v>
      </c>
      <c r="BM64">
        <v>1</v>
      </c>
      <c r="BN64">
        <v>6</v>
      </c>
      <c r="BO64">
        <v>9</v>
      </c>
      <c r="BP64">
        <v>1</v>
      </c>
      <c r="BQ64">
        <v>9</v>
      </c>
      <c r="BR64">
        <v>12</v>
      </c>
      <c r="BS64">
        <v>1</v>
      </c>
      <c r="BT64">
        <v>12</v>
      </c>
      <c r="BU64">
        <v>13</v>
      </c>
      <c r="BV64">
        <v>0.86666666666666603</v>
      </c>
      <c r="BW64">
        <v>10</v>
      </c>
      <c r="BX64">
        <v>40</v>
      </c>
      <c r="BY64">
        <v>0.952380952380952</v>
      </c>
      <c r="BZ64">
        <v>37</v>
      </c>
      <c r="CA64" t="s">
        <v>301</v>
      </c>
      <c r="CB64" t="s">
        <v>300</v>
      </c>
      <c r="CC64">
        <v>226</v>
      </c>
      <c r="CD64" t="b">
        <v>1</v>
      </c>
      <c r="CE64">
        <v>8</v>
      </c>
      <c r="CF64">
        <v>0</v>
      </c>
      <c r="CG64">
        <v>9.0399999999999991</v>
      </c>
      <c r="CH64">
        <v>16</v>
      </c>
      <c r="CI64">
        <v>0.52937449999999997</v>
      </c>
      <c r="CJ64">
        <v>16</v>
      </c>
      <c r="CK64">
        <v>0.56757649999999904</v>
      </c>
      <c r="CL64">
        <v>32</v>
      </c>
      <c r="CM64">
        <v>0.61069549999999995</v>
      </c>
      <c r="CN64">
        <v>18</v>
      </c>
      <c r="CO64">
        <v>0.60636800000000002</v>
      </c>
      <c r="CP64">
        <v>0.142268052514814</v>
      </c>
      <c r="CQ64">
        <v>56</v>
      </c>
      <c r="CR64">
        <v>0.56312649999999997</v>
      </c>
      <c r="CS64" t="s">
        <v>311</v>
      </c>
    </row>
    <row r="65" spans="1:97" x14ac:dyDescent="0.2">
      <c r="A65">
        <v>10652</v>
      </c>
      <c r="B65" s="1">
        <v>45140</v>
      </c>
      <c r="C65" s="7">
        <v>0.51678240740740744</v>
      </c>
      <c r="D65" s="1">
        <v>45142</v>
      </c>
      <c r="E65" s="7">
        <v>0.52656249999999993</v>
      </c>
      <c r="F65" s="1">
        <v>45142</v>
      </c>
      <c r="G65" s="7">
        <v>0.55680555555555555</v>
      </c>
      <c r="H65">
        <v>11749</v>
      </c>
      <c r="I65" t="s">
        <v>287</v>
      </c>
      <c r="J65">
        <v>144</v>
      </c>
      <c r="K65" t="s">
        <v>288</v>
      </c>
      <c r="L65">
        <v>169</v>
      </c>
      <c r="M65" t="s">
        <v>287</v>
      </c>
      <c r="N65">
        <v>266</v>
      </c>
      <c r="O65" t="s">
        <v>305</v>
      </c>
      <c r="P65" t="s">
        <v>306</v>
      </c>
      <c r="Q65" t="s">
        <v>307</v>
      </c>
      <c r="R65" t="s">
        <v>292</v>
      </c>
      <c r="S65" t="s">
        <v>293</v>
      </c>
      <c r="U65" t="s">
        <v>327</v>
      </c>
      <c r="V65" t="b">
        <v>0</v>
      </c>
      <c r="W65" t="s">
        <v>303</v>
      </c>
      <c r="X65" t="s">
        <v>328</v>
      </c>
      <c r="Z65">
        <v>70</v>
      </c>
      <c r="AA65" t="s">
        <v>300</v>
      </c>
      <c r="AB65" t="s">
        <v>141</v>
      </c>
      <c r="AC65">
        <v>19</v>
      </c>
      <c r="AD65" t="s">
        <v>297</v>
      </c>
      <c r="AO65" t="s">
        <v>298</v>
      </c>
      <c r="AP65" t="s">
        <v>298</v>
      </c>
      <c r="AQ65" t="s">
        <v>298</v>
      </c>
      <c r="AR65" t="s">
        <v>298</v>
      </c>
      <c r="AS65" t="s">
        <v>299</v>
      </c>
      <c r="AT65" t="s">
        <v>300</v>
      </c>
      <c r="AU65">
        <v>157</v>
      </c>
      <c r="AV65" t="b">
        <v>1</v>
      </c>
      <c r="AW65">
        <v>5</v>
      </c>
      <c r="AX65">
        <v>0</v>
      </c>
      <c r="AY65">
        <v>9.26</v>
      </c>
      <c r="AZ65">
        <v>32</v>
      </c>
      <c r="BA65">
        <v>0.64812800000000004</v>
      </c>
      <c r="BB65">
        <v>8.2175103640026004E-2</v>
      </c>
      <c r="BC65">
        <v>16</v>
      </c>
      <c r="BD65">
        <v>0.61486700000000005</v>
      </c>
      <c r="BE65">
        <v>16</v>
      </c>
      <c r="BF65">
        <v>0.68569749999999996</v>
      </c>
      <c r="BG65">
        <v>1.528302</v>
      </c>
      <c r="BH65" t="s">
        <v>301</v>
      </c>
      <c r="BI65" t="s">
        <v>300</v>
      </c>
      <c r="BJ65">
        <v>231</v>
      </c>
      <c r="BK65">
        <v>1</v>
      </c>
      <c r="BL65">
        <v>6</v>
      </c>
      <c r="BM65">
        <v>1</v>
      </c>
      <c r="BN65">
        <v>6</v>
      </c>
      <c r="BO65">
        <v>9</v>
      </c>
      <c r="BP65">
        <v>1</v>
      </c>
      <c r="BQ65">
        <v>8</v>
      </c>
      <c r="BR65">
        <v>9</v>
      </c>
      <c r="BS65">
        <v>0.75</v>
      </c>
      <c r="BT65">
        <v>9</v>
      </c>
      <c r="BU65">
        <v>11</v>
      </c>
      <c r="BV65">
        <v>0.73333333333333295</v>
      </c>
      <c r="BW65">
        <v>6.5</v>
      </c>
      <c r="BX65">
        <v>35</v>
      </c>
      <c r="BY65">
        <v>0.83333333333333304</v>
      </c>
      <c r="BZ65">
        <v>29.5</v>
      </c>
      <c r="CA65" t="s">
        <v>301</v>
      </c>
      <c r="CB65" t="s">
        <v>300</v>
      </c>
      <c r="CC65">
        <v>240</v>
      </c>
      <c r="CD65" t="b">
        <v>1</v>
      </c>
      <c r="CE65">
        <v>7</v>
      </c>
      <c r="CF65">
        <v>0</v>
      </c>
      <c r="CG65">
        <v>9.2200000000000006</v>
      </c>
      <c r="CH65">
        <v>15</v>
      </c>
      <c r="CI65">
        <v>0.61224800000000001</v>
      </c>
      <c r="CJ65">
        <v>16</v>
      </c>
      <c r="CK65">
        <v>0.66239499999999996</v>
      </c>
      <c r="CL65">
        <v>30</v>
      </c>
      <c r="CM65">
        <v>0.52852250000000001</v>
      </c>
      <c r="CN65">
        <v>18</v>
      </c>
      <c r="CO65">
        <v>0.59579249999999995</v>
      </c>
      <c r="CP65">
        <v>0.18691381120050199</v>
      </c>
      <c r="CQ65">
        <v>52</v>
      </c>
      <c r="CR65">
        <v>0.64153550000000004</v>
      </c>
      <c r="CS65">
        <v>2.0144929999999999</v>
      </c>
    </row>
    <row r="66" spans="1:97" x14ac:dyDescent="0.2">
      <c r="A66">
        <v>10767</v>
      </c>
      <c r="B66" s="1">
        <v>45139</v>
      </c>
      <c r="C66" s="7">
        <v>0.52722222222222226</v>
      </c>
      <c r="D66" s="1">
        <v>45139</v>
      </c>
      <c r="E66" s="7">
        <v>0.53452546296296299</v>
      </c>
      <c r="F66" s="1">
        <v>45142</v>
      </c>
      <c r="G66" s="7">
        <v>0.55680555555555555</v>
      </c>
      <c r="H66">
        <v>11750</v>
      </c>
      <c r="I66" t="s">
        <v>287</v>
      </c>
      <c r="J66">
        <v>144</v>
      </c>
      <c r="K66" t="s">
        <v>288</v>
      </c>
      <c r="L66">
        <v>169</v>
      </c>
      <c r="M66" t="s">
        <v>287</v>
      </c>
      <c r="N66">
        <v>266</v>
      </c>
      <c r="O66" t="s">
        <v>305</v>
      </c>
      <c r="P66" t="s">
        <v>306</v>
      </c>
      <c r="Q66" t="s">
        <v>307</v>
      </c>
      <c r="R66" t="s">
        <v>292</v>
      </c>
      <c r="S66" t="s">
        <v>293</v>
      </c>
      <c r="U66" t="s">
        <v>327</v>
      </c>
      <c r="V66" t="b">
        <v>0</v>
      </c>
      <c r="W66" t="s">
        <v>303</v>
      </c>
      <c r="X66" t="s">
        <v>304</v>
      </c>
      <c r="Z66">
        <v>25</v>
      </c>
      <c r="AA66" t="s">
        <v>300</v>
      </c>
      <c r="AB66" t="s">
        <v>141</v>
      </c>
      <c r="AC66">
        <v>17</v>
      </c>
      <c r="AD66" t="s">
        <v>297</v>
      </c>
      <c r="AO66" t="s">
        <v>298</v>
      </c>
      <c r="AP66" t="s">
        <v>298</v>
      </c>
      <c r="AQ66" t="s">
        <v>298</v>
      </c>
      <c r="AR66" t="s">
        <v>298</v>
      </c>
      <c r="AS66" t="s">
        <v>299</v>
      </c>
      <c r="AT66" t="s">
        <v>300</v>
      </c>
      <c r="AU66">
        <v>144</v>
      </c>
      <c r="AV66" t="b">
        <v>1</v>
      </c>
      <c r="AW66">
        <v>6</v>
      </c>
      <c r="AX66">
        <v>0</v>
      </c>
      <c r="AY66">
        <v>10</v>
      </c>
      <c r="AZ66">
        <v>32</v>
      </c>
      <c r="BA66">
        <v>0.51486349999999903</v>
      </c>
      <c r="BB66">
        <v>6.5034442212587196E-2</v>
      </c>
      <c r="BC66">
        <v>16</v>
      </c>
      <c r="BD66">
        <v>0.47757949999999999</v>
      </c>
      <c r="BE66">
        <v>16</v>
      </c>
      <c r="BF66">
        <v>0.531941</v>
      </c>
      <c r="BG66">
        <v>2.924528</v>
      </c>
      <c r="BH66" t="s">
        <v>301</v>
      </c>
      <c r="BI66" t="s">
        <v>300</v>
      </c>
      <c r="BJ66">
        <v>227</v>
      </c>
      <c r="BK66">
        <v>1</v>
      </c>
      <c r="BL66">
        <v>6</v>
      </c>
      <c r="BM66">
        <v>1</v>
      </c>
      <c r="BN66">
        <v>6</v>
      </c>
      <c r="BO66">
        <v>9</v>
      </c>
      <c r="BP66">
        <v>1</v>
      </c>
      <c r="BQ66">
        <v>9</v>
      </c>
      <c r="BR66">
        <v>11</v>
      </c>
      <c r="BS66">
        <v>0.91666666666666596</v>
      </c>
      <c r="BT66">
        <v>11</v>
      </c>
      <c r="BU66">
        <v>13</v>
      </c>
      <c r="BV66">
        <v>0.86666666666666603</v>
      </c>
      <c r="BW66">
        <v>10</v>
      </c>
      <c r="BX66">
        <v>39</v>
      </c>
      <c r="BY66">
        <v>0.92857142857142805</v>
      </c>
      <c r="BZ66">
        <v>36</v>
      </c>
      <c r="CA66" t="s">
        <v>301</v>
      </c>
      <c r="CB66" t="s">
        <v>300</v>
      </c>
      <c r="CC66">
        <v>198</v>
      </c>
      <c r="CD66" t="b">
        <v>1</v>
      </c>
      <c r="CE66">
        <v>8</v>
      </c>
      <c r="CF66">
        <v>0</v>
      </c>
      <c r="CG66">
        <v>9.24</v>
      </c>
      <c r="CH66">
        <v>15</v>
      </c>
      <c r="CI66">
        <v>0.56093599999999999</v>
      </c>
      <c r="CJ66">
        <v>16</v>
      </c>
      <c r="CK66">
        <v>0.4756145</v>
      </c>
      <c r="CL66">
        <v>32</v>
      </c>
      <c r="CM66">
        <v>0.57484849999999998</v>
      </c>
      <c r="CN66">
        <v>19</v>
      </c>
      <c r="CO66">
        <v>0.562338</v>
      </c>
      <c r="CP66">
        <v>0.147841884044184</v>
      </c>
      <c r="CQ66">
        <v>54</v>
      </c>
      <c r="CR66">
        <v>0.56225400000000003</v>
      </c>
      <c r="CS66">
        <v>2.0434779999999999</v>
      </c>
    </row>
    <row r="67" spans="1:97" x14ac:dyDescent="0.2">
      <c r="A67">
        <v>10803</v>
      </c>
      <c r="B67" s="1">
        <v>45154</v>
      </c>
      <c r="C67" s="7">
        <v>0.51778935185185182</v>
      </c>
      <c r="D67" s="1">
        <v>45154</v>
      </c>
      <c r="E67" s="7">
        <v>0.52760416666666665</v>
      </c>
      <c r="F67" s="1">
        <v>45154</v>
      </c>
      <c r="G67" s="7">
        <v>0.52765046296296292</v>
      </c>
      <c r="H67">
        <v>12083</v>
      </c>
      <c r="I67" t="s">
        <v>287</v>
      </c>
      <c r="J67">
        <v>144</v>
      </c>
      <c r="K67" t="s">
        <v>288</v>
      </c>
      <c r="L67">
        <v>169</v>
      </c>
      <c r="M67" t="s">
        <v>287</v>
      </c>
      <c r="N67">
        <v>266</v>
      </c>
      <c r="O67" t="s">
        <v>289</v>
      </c>
      <c r="P67" t="s">
        <v>290</v>
      </c>
      <c r="Q67" t="s">
        <v>291</v>
      </c>
      <c r="R67" t="s">
        <v>292</v>
      </c>
      <c r="S67" t="s">
        <v>293</v>
      </c>
      <c r="U67" t="s">
        <v>327</v>
      </c>
      <c r="V67" t="b">
        <v>0</v>
      </c>
      <c r="W67" t="s">
        <v>315</v>
      </c>
      <c r="X67" t="s">
        <v>316</v>
      </c>
      <c r="Z67">
        <v>21</v>
      </c>
      <c r="AA67" t="s">
        <v>335</v>
      </c>
      <c r="AB67" t="s">
        <v>141</v>
      </c>
      <c r="AC67">
        <v>15</v>
      </c>
      <c r="AD67" t="s">
        <v>297</v>
      </c>
      <c r="AO67" t="s">
        <v>298</v>
      </c>
      <c r="AP67" t="s">
        <v>298</v>
      </c>
      <c r="AQ67" t="s">
        <v>298</v>
      </c>
      <c r="AR67" t="s">
        <v>298</v>
      </c>
      <c r="AS67" t="s">
        <v>299</v>
      </c>
      <c r="AT67" t="s">
        <v>300</v>
      </c>
      <c r="AU67">
        <v>219</v>
      </c>
      <c r="AV67" t="b">
        <v>1</v>
      </c>
      <c r="AW67">
        <v>2</v>
      </c>
      <c r="AX67">
        <v>6</v>
      </c>
      <c r="AY67">
        <v>8.6199999999999992</v>
      </c>
      <c r="AZ67">
        <v>32</v>
      </c>
      <c r="BA67">
        <v>0.73723050000000001</v>
      </c>
      <c r="BB67">
        <v>0.21782775364992299</v>
      </c>
      <c r="BC67">
        <v>16</v>
      </c>
      <c r="BD67">
        <v>0.66964000000000001</v>
      </c>
      <c r="BE67">
        <v>16</v>
      </c>
      <c r="BF67">
        <v>0.80024300000000004</v>
      </c>
      <c r="BG67">
        <v>0.32075500000000001</v>
      </c>
      <c r="BH67" t="s">
        <v>301</v>
      </c>
      <c r="BI67" t="s">
        <v>300</v>
      </c>
      <c r="BJ67">
        <v>268</v>
      </c>
      <c r="BK67">
        <v>1</v>
      </c>
      <c r="BL67">
        <v>6</v>
      </c>
      <c r="BM67">
        <v>1</v>
      </c>
      <c r="BN67">
        <v>3</v>
      </c>
      <c r="BO67">
        <v>9</v>
      </c>
      <c r="BP67">
        <v>1</v>
      </c>
      <c r="BQ67">
        <v>5.5</v>
      </c>
      <c r="BR67">
        <v>10</v>
      </c>
      <c r="BS67">
        <v>0.83333333333333304</v>
      </c>
      <c r="BT67">
        <v>5.5</v>
      </c>
      <c r="BU67">
        <v>14</v>
      </c>
      <c r="BV67">
        <v>0.93333333333333302</v>
      </c>
      <c r="BW67">
        <v>8.5</v>
      </c>
      <c r="BX67">
        <v>39</v>
      </c>
      <c r="BY67">
        <v>0.92857142857142805</v>
      </c>
      <c r="BZ67">
        <v>22.5</v>
      </c>
      <c r="CA67" t="s">
        <v>301</v>
      </c>
      <c r="CB67" t="s">
        <v>300</v>
      </c>
      <c r="CC67">
        <v>228</v>
      </c>
      <c r="CD67" t="b">
        <v>1</v>
      </c>
      <c r="CE67">
        <v>8</v>
      </c>
      <c r="CF67">
        <v>0</v>
      </c>
      <c r="CG67">
        <v>6.89</v>
      </c>
      <c r="CH67">
        <v>16</v>
      </c>
      <c r="CI67">
        <v>0.84444249999999998</v>
      </c>
      <c r="CJ67">
        <v>16</v>
      </c>
      <c r="CK67">
        <v>0.49395699999999998</v>
      </c>
      <c r="CL67">
        <v>29</v>
      </c>
      <c r="CM67">
        <v>0.99874300000000005</v>
      </c>
      <c r="CN67">
        <v>17</v>
      </c>
      <c r="CO67">
        <v>0.99874300000000005</v>
      </c>
      <c r="CP67">
        <v>0.325930203790261</v>
      </c>
      <c r="CQ67">
        <v>54</v>
      </c>
      <c r="CR67">
        <v>0.70818399999999904</v>
      </c>
      <c r="CS67">
        <v>-1.3623190000000001</v>
      </c>
    </row>
    <row r="68" spans="1:97" x14ac:dyDescent="0.2">
      <c r="A68">
        <v>10794</v>
      </c>
      <c r="B68" s="1">
        <v>45160</v>
      </c>
      <c r="C68" s="7">
        <v>0.54196759259259253</v>
      </c>
      <c r="D68" s="1">
        <v>45162</v>
      </c>
      <c r="E68" s="7">
        <v>0.58797453703703706</v>
      </c>
      <c r="F68" s="1">
        <v>45162</v>
      </c>
      <c r="G68" s="7">
        <v>0.58854166666666663</v>
      </c>
      <c r="H68">
        <v>12371</v>
      </c>
      <c r="I68" t="s">
        <v>287</v>
      </c>
      <c r="J68">
        <v>144</v>
      </c>
      <c r="K68" t="s">
        <v>288</v>
      </c>
      <c r="L68">
        <v>169</v>
      </c>
      <c r="M68" t="s">
        <v>287</v>
      </c>
      <c r="N68">
        <v>266</v>
      </c>
      <c r="O68" t="s">
        <v>336</v>
      </c>
      <c r="P68" t="s">
        <v>337</v>
      </c>
      <c r="Q68" t="s">
        <v>338</v>
      </c>
      <c r="R68" t="s">
        <v>292</v>
      </c>
      <c r="S68" t="s">
        <v>293</v>
      </c>
      <c r="U68" t="s">
        <v>327</v>
      </c>
      <c r="V68" t="b">
        <v>0</v>
      </c>
      <c r="W68" t="s">
        <v>314</v>
      </c>
      <c r="X68" t="s">
        <v>325</v>
      </c>
      <c r="AB68" t="s">
        <v>142</v>
      </c>
      <c r="AC68">
        <v>16</v>
      </c>
      <c r="AD68" t="s">
        <v>297</v>
      </c>
      <c r="AO68" t="s">
        <v>298</v>
      </c>
      <c r="AP68" t="s">
        <v>298</v>
      </c>
      <c r="AQ68" t="s">
        <v>298</v>
      </c>
      <c r="AR68" t="s">
        <v>298</v>
      </c>
      <c r="AS68" t="s">
        <v>299</v>
      </c>
      <c r="AT68" t="s">
        <v>300</v>
      </c>
      <c r="AU68">
        <v>138</v>
      </c>
      <c r="AV68" t="b">
        <v>1</v>
      </c>
      <c r="AW68">
        <v>6</v>
      </c>
      <c r="AX68">
        <v>0</v>
      </c>
      <c r="AY68">
        <v>9.69</v>
      </c>
      <c r="AZ68">
        <v>30</v>
      </c>
      <c r="BA68">
        <v>0.53268199999999999</v>
      </c>
      <c r="BB68">
        <v>0.122327500315232</v>
      </c>
      <c r="BC68">
        <v>15</v>
      </c>
      <c r="BD68">
        <v>0.53043099999999999</v>
      </c>
      <c r="BE68">
        <v>15</v>
      </c>
      <c r="BF68">
        <v>0.55134700000000003</v>
      </c>
      <c r="BG68" t="s">
        <v>311</v>
      </c>
      <c r="BH68" t="s">
        <v>301</v>
      </c>
      <c r="BI68" t="s">
        <v>300</v>
      </c>
      <c r="BJ68">
        <v>266</v>
      </c>
      <c r="BK68">
        <v>1</v>
      </c>
      <c r="BL68">
        <v>6</v>
      </c>
      <c r="BM68">
        <v>1</v>
      </c>
      <c r="BN68">
        <v>6</v>
      </c>
      <c r="BO68">
        <v>8</v>
      </c>
      <c r="BP68">
        <v>0.88888888888888795</v>
      </c>
      <c r="BQ68">
        <v>7</v>
      </c>
      <c r="BR68">
        <v>10</v>
      </c>
      <c r="BS68">
        <v>0.83333333333333304</v>
      </c>
      <c r="BT68">
        <v>8.5</v>
      </c>
      <c r="BU68">
        <v>9</v>
      </c>
      <c r="BV68">
        <v>0.6</v>
      </c>
      <c r="BW68">
        <v>8</v>
      </c>
      <c r="BX68">
        <v>33</v>
      </c>
      <c r="BY68">
        <v>0.78571428571428503</v>
      </c>
      <c r="BZ68">
        <v>29.5</v>
      </c>
      <c r="CA68" t="s">
        <v>301</v>
      </c>
      <c r="CB68" t="s">
        <v>300</v>
      </c>
      <c r="CC68">
        <v>235</v>
      </c>
      <c r="CD68" t="b">
        <v>1</v>
      </c>
      <c r="CE68">
        <v>6</v>
      </c>
      <c r="CF68">
        <v>0</v>
      </c>
      <c r="CG68">
        <v>7.39</v>
      </c>
      <c r="CH68">
        <v>16</v>
      </c>
      <c r="CI68">
        <v>0.76547900000000002</v>
      </c>
      <c r="CJ68">
        <v>15</v>
      </c>
      <c r="CK68">
        <v>1.044662</v>
      </c>
      <c r="CL68">
        <v>32</v>
      </c>
      <c r="CM68">
        <v>0.98946999999999996</v>
      </c>
      <c r="CN68">
        <v>21</v>
      </c>
      <c r="CO68">
        <v>0.96914500000000003</v>
      </c>
      <c r="CP68">
        <v>0.29837636436536902</v>
      </c>
      <c r="CQ68">
        <v>48</v>
      </c>
      <c r="CR68">
        <v>0.91576100000000005</v>
      </c>
      <c r="CS68" t="s">
        <v>311</v>
      </c>
    </row>
    <row r="69" spans="1:97" x14ac:dyDescent="0.2">
      <c r="A69">
        <v>10804</v>
      </c>
      <c r="B69" s="1">
        <v>45152</v>
      </c>
      <c r="C69" s="7">
        <v>0.48447916666666663</v>
      </c>
      <c r="D69" s="1">
        <v>45153</v>
      </c>
      <c r="E69" s="7">
        <v>0.42975694444444446</v>
      </c>
      <c r="F69" s="1">
        <v>45162</v>
      </c>
      <c r="G69" s="7">
        <v>0.58854166666666663</v>
      </c>
      <c r="H69">
        <v>12373</v>
      </c>
      <c r="I69" t="s">
        <v>287</v>
      </c>
      <c r="J69">
        <v>144</v>
      </c>
      <c r="K69" t="s">
        <v>288</v>
      </c>
      <c r="L69">
        <v>169</v>
      </c>
      <c r="M69" t="s">
        <v>287</v>
      </c>
      <c r="N69">
        <v>266</v>
      </c>
      <c r="O69" t="s">
        <v>331</v>
      </c>
      <c r="P69" t="s">
        <v>332</v>
      </c>
      <c r="Q69" t="s">
        <v>333</v>
      </c>
      <c r="R69" t="s">
        <v>292</v>
      </c>
      <c r="S69" t="s">
        <v>293</v>
      </c>
      <c r="U69" t="s">
        <v>327</v>
      </c>
      <c r="V69" t="b">
        <v>0</v>
      </c>
      <c r="W69" t="s">
        <v>310</v>
      </c>
      <c r="X69" t="s">
        <v>339</v>
      </c>
      <c r="Z69">
        <v>25</v>
      </c>
      <c r="AB69" t="s">
        <v>141</v>
      </c>
      <c r="AD69" t="s">
        <v>297</v>
      </c>
      <c r="AO69" t="s">
        <v>298</v>
      </c>
      <c r="AP69" t="s">
        <v>298</v>
      </c>
      <c r="AQ69" t="s">
        <v>298</v>
      </c>
      <c r="AR69" t="s">
        <v>298</v>
      </c>
      <c r="AS69" t="s">
        <v>299</v>
      </c>
      <c r="AT69" t="s">
        <v>300</v>
      </c>
      <c r="AU69">
        <v>149</v>
      </c>
      <c r="AV69" t="b">
        <v>1</v>
      </c>
      <c r="AW69">
        <v>6</v>
      </c>
      <c r="AX69">
        <v>0</v>
      </c>
      <c r="AY69">
        <v>8.8699999999999992</v>
      </c>
      <c r="AZ69">
        <v>32</v>
      </c>
      <c r="BA69">
        <v>0.69155750000000005</v>
      </c>
      <c r="BB69">
        <v>0.13656595526995999</v>
      </c>
      <c r="BC69">
        <v>16</v>
      </c>
      <c r="BD69">
        <v>0.64313200000000004</v>
      </c>
      <c r="BE69">
        <v>16</v>
      </c>
      <c r="BF69">
        <v>0.75372449999999902</v>
      </c>
      <c r="BG69" t="s">
        <v>311</v>
      </c>
      <c r="BH69" t="s">
        <v>301</v>
      </c>
      <c r="BI69" t="s">
        <v>300</v>
      </c>
      <c r="BJ69">
        <v>265</v>
      </c>
      <c r="BK69">
        <v>1</v>
      </c>
      <c r="BL69">
        <v>6</v>
      </c>
      <c r="BM69">
        <v>1</v>
      </c>
      <c r="BN69">
        <v>6</v>
      </c>
      <c r="BO69">
        <v>8</v>
      </c>
      <c r="BP69">
        <v>0.88888888888888795</v>
      </c>
      <c r="BQ69">
        <v>8</v>
      </c>
      <c r="BR69">
        <v>11</v>
      </c>
      <c r="BS69">
        <v>0.91666666666666596</v>
      </c>
      <c r="BT69">
        <v>10.5</v>
      </c>
      <c r="BU69">
        <v>11</v>
      </c>
      <c r="BV69">
        <v>0.73333333333333295</v>
      </c>
      <c r="BW69">
        <v>10</v>
      </c>
      <c r="BX69">
        <v>36</v>
      </c>
      <c r="BY69">
        <v>0.85714285714285698</v>
      </c>
      <c r="BZ69">
        <v>34.5</v>
      </c>
      <c r="CA69" t="s">
        <v>301</v>
      </c>
      <c r="CB69" t="s">
        <v>300</v>
      </c>
      <c r="CC69">
        <v>225</v>
      </c>
      <c r="CD69" t="b">
        <v>1</v>
      </c>
      <c r="CE69">
        <v>8</v>
      </c>
      <c r="CF69">
        <v>0</v>
      </c>
      <c r="CG69">
        <v>8.51</v>
      </c>
      <c r="CH69">
        <v>16</v>
      </c>
      <c r="CI69">
        <v>0.57952300000000001</v>
      </c>
      <c r="CJ69">
        <v>16</v>
      </c>
      <c r="CK69">
        <v>0.66735750000000005</v>
      </c>
      <c r="CL69">
        <v>32</v>
      </c>
      <c r="CM69">
        <v>0.71174950000000003</v>
      </c>
      <c r="CN69">
        <v>22</v>
      </c>
      <c r="CO69">
        <v>0.73661100000000002</v>
      </c>
      <c r="CP69">
        <v>0.14358032001641599</v>
      </c>
      <c r="CQ69">
        <v>52</v>
      </c>
      <c r="CR69">
        <v>0.63871049999999996</v>
      </c>
      <c r="CS69" t="s">
        <v>311</v>
      </c>
    </row>
    <row r="70" spans="1:97" x14ac:dyDescent="0.2">
      <c r="A70">
        <v>10800</v>
      </c>
      <c r="B70" s="1">
        <v>45150</v>
      </c>
      <c r="C70" s="7">
        <v>0.53469907407407413</v>
      </c>
      <c r="D70" s="1">
        <v>45152</v>
      </c>
      <c r="E70" s="7">
        <v>0.41219907407407402</v>
      </c>
      <c r="F70" s="1">
        <v>45162</v>
      </c>
      <c r="G70" s="7">
        <v>0.58854166666666663</v>
      </c>
      <c r="H70">
        <v>12374</v>
      </c>
      <c r="I70" t="s">
        <v>287</v>
      </c>
      <c r="J70">
        <v>144</v>
      </c>
      <c r="K70" t="s">
        <v>288</v>
      </c>
      <c r="L70">
        <v>169</v>
      </c>
      <c r="M70" t="s">
        <v>287</v>
      </c>
      <c r="N70">
        <v>266</v>
      </c>
      <c r="O70" t="s">
        <v>331</v>
      </c>
      <c r="P70" t="s">
        <v>332</v>
      </c>
      <c r="Q70" t="s">
        <v>333</v>
      </c>
      <c r="R70" t="s">
        <v>292</v>
      </c>
      <c r="S70" t="s">
        <v>293</v>
      </c>
      <c r="U70" t="s">
        <v>327</v>
      </c>
      <c r="V70" t="b">
        <v>0</v>
      </c>
      <c r="W70" t="s">
        <v>315</v>
      </c>
      <c r="X70" t="s">
        <v>316</v>
      </c>
      <c r="Z70">
        <v>26</v>
      </c>
      <c r="AA70" t="s">
        <v>300</v>
      </c>
      <c r="AB70" t="s">
        <v>141</v>
      </c>
      <c r="AC70">
        <v>16</v>
      </c>
      <c r="AD70" t="s">
        <v>297</v>
      </c>
      <c r="AO70" t="s">
        <v>298</v>
      </c>
      <c r="AP70" t="s">
        <v>298</v>
      </c>
      <c r="AQ70" t="s">
        <v>298</v>
      </c>
      <c r="AR70" t="s">
        <v>298</v>
      </c>
      <c r="AS70" t="s">
        <v>299</v>
      </c>
      <c r="AT70" t="s">
        <v>300</v>
      </c>
      <c r="AU70">
        <v>148</v>
      </c>
      <c r="AV70" t="b">
        <v>1</v>
      </c>
      <c r="AW70">
        <v>6</v>
      </c>
      <c r="AX70">
        <v>0</v>
      </c>
      <c r="AY70">
        <v>9.86</v>
      </c>
      <c r="AZ70">
        <v>32</v>
      </c>
      <c r="BA70">
        <v>0.56183850000000002</v>
      </c>
      <c r="BB70">
        <v>0.11296406344375801</v>
      </c>
      <c r="BC70">
        <v>16</v>
      </c>
      <c r="BD70">
        <v>0.510764</v>
      </c>
      <c r="BE70">
        <v>16</v>
      </c>
      <c r="BF70">
        <v>0.59426400000000001</v>
      </c>
      <c r="BG70">
        <v>2.660377</v>
      </c>
      <c r="BH70" t="s">
        <v>301</v>
      </c>
      <c r="BI70" t="s">
        <v>300</v>
      </c>
      <c r="BJ70">
        <v>246</v>
      </c>
      <c r="BK70">
        <v>1</v>
      </c>
      <c r="BL70">
        <v>6</v>
      </c>
      <c r="BM70">
        <v>1</v>
      </c>
      <c r="BN70">
        <v>6</v>
      </c>
      <c r="BO70">
        <v>9</v>
      </c>
      <c r="BP70">
        <v>1</v>
      </c>
      <c r="BQ70">
        <v>9</v>
      </c>
      <c r="BR70">
        <v>11</v>
      </c>
      <c r="BS70">
        <v>0.91666666666666596</v>
      </c>
      <c r="BT70">
        <v>9.5</v>
      </c>
      <c r="BU70">
        <v>13</v>
      </c>
      <c r="BV70">
        <v>0.86666666666666603</v>
      </c>
      <c r="BW70">
        <v>8</v>
      </c>
      <c r="BX70">
        <v>39</v>
      </c>
      <c r="BY70">
        <v>0.92857142857142805</v>
      </c>
      <c r="BZ70">
        <v>32.5</v>
      </c>
      <c r="CA70" t="s">
        <v>301</v>
      </c>
      <c r="CB70" t="s">
        <v>300</v>
      </c>
      <c r="CC70">
        <v>205</v>
      </c>
      <c r="CD70" t="b">
        <v>1</v>
      </c>
      <c r="CE70">
        <v>7</v>
      </c>
      <c r="CF70">
        <v>0</v>
      </c>
      <c r="CG70">
        <v>8.32</v>
      </c>
      <c r="CH70">
        <v>16</v>
      </c>
      <c r="CI70">
        <v>0.51919150000000003</v>
      </c>
      <c r="CJ70">
        <v>16</v>
      </c>
      <c r="CK70">
        <v>0.50993350000000004</v>
      </c>
      <c r="CL70">
        <v>30</v>
      </c>
      <c r="CM70">
        <v>0.68828699999999998</v>
      </c>
      <c r="CN70">
        <v>13</v>
      </c>
      <c r="CO70">
        <v>0.69506199999999996</v>
      </c>
      <c r="CP70">
        <v>0.107085585556489</v>
      </c>
      <c r="CQ70">
        <v>58</v>
      </c>
      <c r="CR70">
        <v>0.56035199999999996</v>
      </c>
      <c r="CS70">
        <v>0.71014500000000003</v>
      </c>
    </row>
    <row r="71" spans="1:97" x14ac:dyDescent="0.2">
      <c r="A71">
        <v>10801</v>
      </c>
      <c r="B71" s="1">
        <v>45147</v>
      </c>
      <c r="C71" s="7">
        <v>0.49761574074074072</v>
      </c>
      <c r="D71" s="1">
        <v>45147</v>
      </c>
      <c r="E71" s="7">
        <v>0.50813657407407409</v>
      </c>
      <c r="F71" s="1">
        <v>45162</v>
      </c>
      <c r="G71" s="7">
        <v>0.58854166666666663</v>
      </c>
      <c r="H71">
        <v>12375</v>
      </c>
      <c r="I71" t="s">
        <v>287</v>
      </c>
      <c r="J71">
        <v>144</v>
      </c>
      <c r="K71" t="s">
        <v>288</v>
      </c>
      <c r="L71">
        <v>169</v>
      </c>
      <c r="M71" t="s">
        <v>287</v>
      </c>
      <c r="N71">
        <v>266</v>
      </c>
      <c r="O71" t="s">
        <v>331</v>
      </c>
      <c r="P71" t="s">
        <v>332</v>
      </c>
      <c r="Q71" t="s">
        <v>333</v>
      </c>
      <c r="R71" t="s">
        <v>292</v>
      </c>
      <c r="S71" t="s">
        <v>293</v>
      </c>
      <c r="U71" t="s">
        <v>327</v>
      </c>
      <c r="V71" t="b">
        <v>0</v>
      </c>
      <c r="W71" t="s">
        <v>315</v>
      </c>
      <c r="X71" t="s">
        <v>340</v>
      </c>
      <c r="Z71">
        <v>34</v>
      </c>
      <c r="AB71" t="s">
        <v>141</v>
      </c>
      <c r="AD71" t="s">
        <v>297</v>
      </c>
      <c r="AO71" t="s">
        <v>298</v>
      </c>
      <c r="AP71" t="s">
        <v>298</v>
      </c>
      <c r="AQ71" t="s">
        <v>298</v>
      </c>
      <c r="AR71" t="s">
        <v>298</v>
      </c>
      <c r="AS71" t="s">
        <v>299</v>
      </c>
      <c r="AT71" t="s">
        <v>300</v>
      </c>
      <c r="AU71">
        <v>117</v>
      </c>
      <c r="AV71" t="b">
        <v>1</v>
      </c>
      <c r="AW71">
        <v>12</v>
      </c>
      <c r="AX71">
        <v>0</v>
      </c>
      <c r="AY71">
        <v>8.44</v>
      </c>
      <c r="AZ71">
        <v>52</v>
      </c>
      <c r="BA71">
        <v>0.49891999999999997</v>
      </c>
      <c r="BB71">
        <v>0.100701480454888</v>
      </c>
      <c r="BC71">
        <v>30</v>
      </c>
      <c r="BD71">
        <v>0.47685699999999998</v>
      </c>
      <c r="BE71">
        <v>22</v>
      </c>
      <c r="BF71">
        <v>0.51299099999999997</v>
      </c>
      <c r="BG71" t="s">
        <v>311</v>
      </c>
      <c r="BH71" t="s">
        <v>301</v>
      </c>
      <c r="BI71" t="s">
        <v>300</v>
      </c>
      <c r="BJ71">
        <v>260</v>
      </c>
      <c r="BK71">
        <v>1</v>
      </c>
      <c r="BL71">
        <v>6</v>
      </c>
      <c r="BM71">
        <v>1</v>
      </c>
      <c r="BN71">
        <v>6</v>
      </c>
      <c r="BO71">
        <v>9</v>
      </c>
      <c r="BP71">
        <v>1</v>
      </c>
      <c r="BQ71">
        <v>9</v>
      </c>
      <c r="BR71">
        <v>9</v>
      </c>
      <c r="BS71">
        <v>0.75</v>
      </c>
      <c r="BT71">
        <v>6.5</v>
      </c>
      <c r="BU71">
        <v>10</v>
      </c>
      <c r="BV71">
        <v>0.66666666666666596</v>
      </c>
      <c r="BW71">
        <v>7</v>
      </c>
      <c r="BX71">
        <v>34</v>
      </c>
      <c r="BY71">
        <v>0.80952380952380898</v>
      </c>
      <c r="BZ71">
        <v>28.5</v>
      </c>
      <c r="CA71" t="s">
        <v>301</v>
      </c>
      <c r="CB71" t="s">
        <v>300</v>
      </c>
      <c r="CC71">
        <v>249</v>
      </c>
      <c r="CD71" t="b">
        <v>1</v>
      </c>
      <c r="CE71">
        <v>8</v>
      </c>
      <c r="CF71">
        <v>0</v>
      </c>
      <c r="CG71">
        <v>7.13</v>
      </c>
      <c r="CH71">
        <v>16</v>
      </c>
      <c r="CI71">
        <v>0.53567149999999997</v>
      </c>
      <c r="CJ71">
        <v>16</v>
      </c>
      <c r="CK71">
        <v>0.51607899999999995</v>
      </c>
      <c r="CL71">
        <v>31</v>
      </c>
      <c r="CM71">
        <v>1.0223329999999999</v>
      </c>
      <c r="CN71">
        <v>14</v>
      </c>
      <c r="CO71">
        <v>1.0836595</v>
      </c>
      <c r="CP71">
        <v>0.480849523761533</v>
      </c>
      <c r="CQ71">
        <v>59</v>
      </c>
      <c r="CR71">
        <v>0.62496300000000005</v>
      </c>
      <c r="CS71" t="s">
        <v>311</v>
      </c>
    </row>
    <row r="72" spans="1:97" x14ac:dyDescent="0.2">
      <c r="A72">
        <v>10737</v>
      </c>
      <c r="B72" s="1">
        <v>45145</v>
      </c>
      <c r="C72" s="7">
        <v>0.46362268518518518</v>
      </c>
      <c r="D72" s="1">
        <v>45145</v>
      </c>
      <c r="E72" s="7">
        <v>0.75723379629629628</v>
      </c>
      <c r="F72" s="1">
        <v>45162</v>
      </c>
      <c r="G72" s="7">
        <v>0.58854166666666663</v>
      </c>
      <c r="H72">
        <v>12376</v>
      </c>
      <c r="I72" t="s">
        <v>287</v>
      </c>
      <c r="J72">
        <v>144</v>
      </c>
      <c r="K72" t="s">
        <v>288</v>
      </c>
      <c r="L72">
        <v>169</v>
      </c>
      <c r="M72" t="s">
        <v>287</v>
      </c>
      <c r="N72">
        <v>266</v>
      </c>
      <c r="O72" t="s">
        <v>305</v>
      </c>
      <c r="P72" t="s">
        <v>306</v>
      </c>
      <c r="Q72" t="s">
        <v>307</v>
      </c>
      <c r="R72" t="s">
        <v>292</v>
      </c>
      <c r="S72" t="s">
        <v>293</v>
      </c>
      <c r="U72" t="s">
        <v>327</v>
      </c>
      <c r="V72" t="b">
        <v>0</v>
      </c>
      <c r="W72" t="s">
        <v>324</v>
      </c>
      <c r="X72" t="s">
        <v>341</v>
      </c>
      <c r="Z72">
        <v>69</v>
      </c>
      <c r="AA72" t="s">
        <v>300</v>
      </c>
      <c r="AB72" t="s">
        <v>142</v>
      </c>
      <c r="AD72" t="s">
        <v>297</v>
      </c>
      <c r="AO72" t="s">
        <v>298</v>
      </c>
      <c r="AP72" t="s">
        <v>298</v>
      </c>
      <c r="AQ72" t="s">
        <v>298</v>
      </c>
      <c r="AR72" t="s">
        <v>298</v>
      </c>
      <c r="AS72" t="s">
        <v>299</v>
      </c>
      <c r="AT72" t="s">
        <v>300</v>
      </c>
      <c r="AU72">
        <v>205</v>
      </c>
      <c r="AV72" t="b">
        <v>1</v>
      </c>
      <c r="AW72">
        <v>2</v>
      </c>
      <c r="AX72">
        <v>6</v>
      </c>
      <c r="AY72">
        <v>8.1300000000000008</v>
      </c>
      <c r="AZ72">
        <v>32</v>
      </c>
      <c r="BA72">
        <v>0.88161900000000004</v>
      </c>
      <c r="BB72">
        <v>9.8479763877832194E-2</v>
      </c>
      <c r="BC72">
        <v>16</v>
      </c>
      <c r="BD72">
        <v>0.81920649999999995</v>
      </c>
      <c r="BE72">
        <v>16</v>
      </c>
      <c r="BF72">
        <v>0.89816949999999995</v>
      </c>
      <c r="BG72" t="s">
        <v>311</v>
      </c>
      <c r="BH72" t="s">
        <v>301</v>
      </c>
      <c r="BI72" t="s">
        <v>300</v>
      </c>
      <c r="BJ72">
        <v>235</v>
      </c>
      <c r="BK72">
        <v>1</v>
      </c>
      <c r="BL72">
        <v>6</v>
      </c>
      <c r="BM72">
        <v>1</v>
      </c>
      <c r="BN72">
        <v>6</v>
      </c>
      <c r="BO72">
        <v>4</v>
      </c>
      <c r="BP72">
        <v>0.44444444444444398</v>
      </c>
      <c r="BQ72">
        <v>3</v>
      </c>
      <c r="BR72">
        <v>9</v>
      </c>
      <c r="BS72">
        <v>0.75</v>
      </c>
      <c r="BT72">
        <v>6</v>
      </c>
      <c r="BU72">
        <v>11</v>
      </c>
      <c r="BV72">
        <v>0.73333333333333295</v>
      </c>
      <c r="BW72">
        <v>6</v>
      </c>
      <c r="BX72">
        <v>30</v>
      </c>
      <c r="BY72">
        <v>0.71428571428571397</v>
      </c>
      <c r="BZ72">
        <v>21</v>
      </c>
      <c r="CA72" t="s">
        <v>301</v>
      </c>
      <c r="CB72" t="s">
        <v>300</v>
      </c>
      <c r="CC72">
        <v>215</v>
      </c>
      <c r="CD72" t="b">
        <v>1</v>
      </c>
      <c r="CE72">
        <v>8</v>
      </c>
      <c r="CF72">
        <v>0</v>
      </c>
      <c r="CG72">
        <v>7.84</v>
      </c>
      <c r="CH72">
        <v>15</v>
      </c>
      <c r="CI72">
        <v>0.72055599999999997</v>
      </c>
      <c r="CJ72">
        <v>16</v>
      </c>
      <c r="CK72">
        <v>0.61234900000000003</v>
      </c>
      <c r="CL72">
        <v>30</v>
      </c>
      <c r="CM72">
        <v>0.79168899999999998</v>
      </c>
      <c r="CN72">
        <v>15</v>
      </c>
      <c r="CO72">
        <v>0.82090700000000005</v>
      </c>
      <c r="CP72">
        <v>0.18977069140560099</v>
      </c>
      <c r="CQ72">
        <v>56</v>
      </c>
      <c r="CR72">
        <v>0.72060299999999999</v>
      </c>
      <c r="CS72" t="s">
        <v>311</v>
      </c>
    </row>
    <row r="73" spans="1:97" x14ac:dyDescent="0.2">
      <c r="A73">
        <v>10802</v>
      </c>
      <c r="B73" s="1">
        <v>45155</v>
      </c>
      <c r="C73" s="7">
        <v>0.62106481481481479</v>
      </c>
      <c r="D73" s="1">
        <v>45155</v>
      </c>
      <c r="E73" s="7">
        <v>0.6300810185185185</v>
      </c>
      <c r="F73" s="1">
        <v>45162</v>
      </c>
      <c r="G73" s="7">
        <v>0.58908564814814812</v>
      </c>
      <c r="H73">
        <v>12378</v>
      </c>
      <c r="I73" t="s">
        <v>287</v>
      </c>
      <c r="J73">
        <v>144</v>
      </c>
      <c r="K73" t="s">
        <v>288</v>
      </c>
      <c r="L73">
        <v>169</v>
      </c>
      <c r="M73" t="s">
        <v>287</v>
      </c>
      <c r="N73">
        <v>266</v>
      </c>
      <c r="O73" t="s">
        <v>289</v>
      </c>
      <c r="P73" t="s">
        <v>290</v>
      </c>
      <c r="Q73" t="s">
        <v>291</v>
      </c>
      <c r="R73" t="s">
        <v>292</v>
      </c>
      <c r="S73" t="s">
        <v>293</v>
      </c>
      <c r="U73" t="s">
        <v>327</v>
      </c>
      <c r="V73" t="b">
        <v>0</v>
      </c>
      <c r="AO73" t="s">
        <v>298</v>
      </c>
      <c r="AP73" t="s">
        <v>298</v>
      </c>
      <c r="AQ73" t="s">
        <v>298</v>
      </c>
      <c r="AR73" t="s">
        <v>298</v>
      </c>
      <c r="AS73" t="s">
        <v>299</v>
      </c>
      <c r="AT73" t="s">
        <v>300</v>
      </c>
      <c r="AU73">
        <v>176</v>
      </c>
      <c r="AV73" t="b">
        <v>1</v>
      </c>
      <c r="AW73">
        <v>5</v>
      </c>
      <c r="AX73">
        <v>0</v>
      </c>
      <c r="AY73">
        <v>9.27</v>
      </c>
      <c r="AZ73">
        <v>32</v>
      </c>
      <c r="BA73">
        <v>0.63112749999999995</v>
      </c>
      <c r="BB73">
        <v>9.7588014230344203E-2</v>
      </c>
      <c r="BC73">
        <v>16</v>
      </c>
      <c r="BD73">
        <v>0.59238950000000001</v>
      </c>
      <c r="BE73">
        <v>16</v>
      </c>
      <c r="BF73">
        <v>0.68477750000000004</v>
      </c>
      <c r="BG73" t="s">
        <v>311</v>
      </c>
      <c r="BH73" t="s">
        <v>301</v>
      </c>
      <c r="BI73" t="s">
        <v>300</v>
      </c>
      <c r="BJ73">
        <v>331</v>
      </c>
      <c r="BK73">
        <v>1</v>
      </c>
      <c r="BL73">
        <v>6</v>
      </c>
      <c r="BM73">
        <v>1</v>
      </c>
      <c r="BN73">
        <v>6</v>
      </c>
      <c r="BO73">
        <v>9</v>
      </c>
      <c r="BP73">
        <v>1</v>
      </c>
      <c r="BQ73">
        <v>9</v>
      </c>
      <c r="BR73">
        <v>10</v>
      </c>
      <c r="BS73">
        <v>0.83333333333333304</v>
      </c>
      <c r="BT73">
        <v>9.5</v>
      </c>
      <c r="BU73">
        <v>14</v>
      </c>
      <c r="BV73">
        <v>0.93333333333333302</v>
      </c>
      <c r="BW73">
        <v>11.5</v>
      </c>
      <c r="BX73">
        <v>39</v>
      </c>
      <c r="BY73">
        <v>0.92857142857142805</v>
      </c>
      <c r="BZ73">
        <v>36</v>
      </c>
      <c r="CA73" t="s">
        <v>301</v>
      </c>
      <c r="CB73" t="s">
        <v>300</v>
      </c>
      <c r="CC73">
        <v>230</v>
      </c>
      <c r="CD73" t="b">
        <v>1</v>
      </c>
      <c r="CE73">
        <v>8</v>
      </c>
      <c r="CF73">
        <v>0</v>
      </c>
      <c r="CG73">
        <v>7.72</v>
      </c>
      <c r="CH73">
        <v>16</v>
      </c>
      <c r="CI73">
        <v>0.691299</v>
      </c>
      <c r="CJ73">
        <v>15</v>
      </c>
      <c r="CK73">
        <v>0.58293099999999998</v>
      </c>
      <c r="CL73">
        <v>30</v>
      </c>
      <c r="CM73">
        <v>0.82005249999999996</v>
      </c>
      <c r="CN73">
        <v>19</v>
      </c>
      <c r="CO73">
        <v>0.85418899999999998</v>
      </c>
      <c r="CP73">
        <v>0.17491930485072901</v>
      </c>
      <c r="CQ73">
        <v>52</v>
      </c>
      <c r="CR73">
        <v>0.63643549999999904</v>
      </c>
      <c r="CS7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bippity_poppity_boo</vt:lpstr>
      <vt:lpstr>trust</vt:lpstr>
      <vt:lpstr>rf1_data</vt:lpstr>
      <vt:lpstr>island_data</vt:lpstr>
      <vt:lpstr>TabCAT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2023-10-27T13:48:13Z</dcterms:created>
  <dcterms:modified xsi:type="dcterms:W3CDTF">2023-11-06T19:18:02Z</dcterms:modified>
</cp:coreProperties>
</file>